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DeLL\Desktop\ملفات خاصة بالمعمل ووظائفه\"/>
    </mc:Choice>
  </mc:AlternateContent>
  <xr:revisionPtr revIDLastSave="0" documentId="13_ncr:1_{035F5CE8-2AAA-468C-B441-D8C5055DCB43}" xr6:coauthVersionLast="47" xr6:coauthVersionMax="47" xr10:uidLastSave="{00000000-0000-0000-0000-000000000000}"/>
  <bookViews>
    <workbookView xWindow="-120" yWindow="-120" windowWidth="20730" windowHeight="11160" tabRatio="772" firstSheet="1" activeTab="7" xr2:uid="{00000000-000D-0000-FFFF-FFFF00000000}"/>
  </bookViews>
  <sheets>
    <sheet name="لوحة التحكم" sheetId="1" state="hidden" r:id="rId1"/>
    <sheet name="الإدخالات" sheetId="4" r:id="rId2"/>
    <sheet name="سجل الإنتاج" sheetId="5" r:id="rId3"/>
    <sheet name="الصرف المباشر" sheetId="6" r:id="rId4"/>
    <sheet name="تعديل الجرد" sheetId="7" r:id="rId5"/>
    <sheet name="الرصيد الحالي" sheetId="8" r:id="rId6"/>
    <sheet name="سجل الحركات" sheetId="9" r:id="rId7"/>
    <sheet name="المواد" sheetId="2" r:id="rId8"/>
    <sheet name="الطبخات" sheetId="3" r:id="rId9"/>
    <sheet name="التعليمات" sheetId="10" r:id="rId10"/>
    <sheet name="قوائم" sheetId="11" state="hidden" r:id="rId11"/>
    <sheet name="بيانات الحركات" sheetId="12" state="hidden" r:id="rId12"/>
  </sheets>
  <definedNames>
    <definedName name="_xlnm._FilterDatabase" localSheetId="1" hidden="1">الإدخالات!$A$1:$G$501</definedName>
    <definedName name="_xlnm._FilterDatabase" localSheetId="5" hidden="1">'الرصيد الحالي'!$A$1:$F$320</definedName>
    <definedName name="_xlnm._FilterDatabase" localSheetId="3" hidden="1">'الصرف المباشر'!$A$1:$F$501</definedName>
    <definedName name="_xlnm._FilterDatabase" localSheetId="8" hidden="1">الطبخات!$A$1:$E$900</definedName>
    <definedName name="_xlnm._FilterDatabase" localSheetId="7" hidden="1">المواد!$A$1:$D$319</definedName>
    <definedName name="_xlnm._FilterDatabase" localSheetId="4" hidden="1">'تعديل الجرد'!$A$1:$H$501</definedName>
    <definedName name="_xlnm._FilterDatabase" localSheetId="2" hidden="1">'سجل الإنتاج'!$A$1:$D$501</definedName>
    <definedName name="_xlnm._FilterDatabase" localSheetId="6" hidden="1">'سجل الحركات'!$A$1:$F$2001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8" i="2" l="1"/>
  <c r="C163" i="2"/>
  <c r="D46" i="3"/>
  <c r="F2001" i="12"/>
  <c r="E2001" i="12"/>
  <c r="D2001" i="12"/>
  <c r="C2001" i="12"/>
  <c r="B2001" i="12"/>
  <c r="G2001" i="12" s="1"/>
  <c r="A2001" i="12"/>
  <c r="G2000" i="12"/>
  <c r="F2000" i="12"/>
  <c r="E2000" i="12"/>
  <c r="D2000" i="12"/>
  <c r="C2000" i="12"/>
  <c r="B2000" i="12"/>
  <c r="A2000" i="12"/>
  <c r="G1999" i="12"/>
  <c r="F1999" i="12"/>
  <c r="E1999" i="12"/>
  <c r="D1999" i="12"/>
  <c r="C1999" i="12"/>
  <c r="B1999" i="12"/>
  <c r="A1999" i="12"/>
  <c r="F1998" i="12"/>
  <c r="E1998" i="12"/>
  <c r="D1998" i="12"/>
  <c r="C1998" i="12"/>
  <c r="B1998" i="12"/>
  <c r="G1998" i="12" s="1"/>
  <c r="A1998" i="12"/>
  <c r="F1997" i="12"/>
  <c r="E1997" i="12"/>
  <c r="D1997" i="12"/>
  <c r="C1997" i="12"/>
  <c r="B1997" i="12"/>
  <c r="G1997" i="12" s="1"/>
  <c r="A1997" i="12"/>
  <c r="G1996" i="12"/>
  <c r="F1996" i="12"/>
  <c r="E1996" i="12"/>
  <c r="D1996" i="12"/>
  <c r="C1996" i="12"/>
  <c r="B1996" i="12"/>
  <c r="A1996" i="12"/>
  <c r="G1995" i="12"/>
  <c r="F1995" i="12"/>
  <c r="E1995" i="12"/>
  <c r="D1995" i="12"/>
  <c r="C1995" i="12"/>
  <c r="B1995" i="12"/>
  <c r="A1995" i="12"/>
  <c r="F1994" i="12"/>
  <c r="E1994" i="12"/>
  <c r="D1994" i="12"/>
  <c r="C1994" i="12"/>
  <c r="B1994" i="12"/>
  <c r="G1994" i="12" s="1"/>
  <c r="A1994" i="12"/>
  <c r="F1993" i="12"/>
  <c r="E1993" i="12"/>
  <c r="D1993" i="12"/>
  <c r="C1993" i="12"/>
  <c r="B1993" i="12"/>
  <c r="G1993" i="12" s="1"/>
  <c r="A1993" i="12"/>
  <c r="G1992" i="12"/>
  <c r="F1992" i="12"/>
  <c r="E1992" i="12"/>
  <c r="D1992" i="12"/>
  <c r="C1992" i="12"/>
  <c r="B1992" i="12"/>
  <c r="A1992" i="12"/>
  <c r="G1991" i="12"/>
  <c r="F1991" i="12"/>
  <c r="E1991" i="12"/>
  <c r="D1991" i="12"/>
  <c r="C1991" i="12"/>
  <c r="B1991" i="12"/>
  <c r="A1991" i="12"/>
  <c r="F1990" i="12"/>
  <c r="E1990" i="12"/>
  <c r="D1990" i="12"/>
  <c r="C1990" i="12"/>
  <c r="B1990" i="12"/>
  <c r="G1990" i="12" s="1"/>
  <c r="A1990" i="12"/>
  <c r="F1989" i="12"/>
  <c r="E1989" i="12"/>
  <c r="D1989" i="12"/>
  <c r="C1989" i="12"/>
  <c r="B1989" i="12"/>
  <c r="G1989" i="12" s="1"/>
  <c r="A1989" i="12"/>
  <c r="G1988" i="12"/>
  <c r="F1988" i="12"/>
  <c r="E1988" i="12"/>
  <c r="D1988" i="12"/>
  <c r="C1988" i="12"/>
  <c r="B1988" i="12"/>
  <c r="A1988" i="12"/>
  <c r="G1987" i="12"/>
  <c r="F1987" i="12"/>
  <c r="E1987" i="12"/>
  <c r="D1987" i="12"/>
  <c r="C1987" i="12"/>
  <c r="B1987" i="12"/>
  <c r="A1987" i="12"/>
  <c r="F1986" i="12"/>
  <c r="E1986" i="12"/>
  <c r="D1986" i="12"/>
  <c r="C1986" i="12"/>
  <c r="B1986" i="12"/>
  <c r="G1986" i="12" s="1"/>
  <c r="A1986" i="12"/>
  <c r="F1985" i="12"/>
  <c r="E1985" i="12"/>
  <c r="D1985" i="12"/>
  <c r="C1985" i="12"/>
  <c r="B1985" i="12"/>
  <c r="G1985" i="12" s="1"/>
  <c r="A1985" i="12"/>
  <c r="G1984" i="12"/>
  <c r="F1984" i="12"/>
  <c r="E1984" i="12"/>
  <c r="D1984" i="12"/>
  <c r="C1984" i="12"/>
  <c r="B1984" i="12"/>
  <c r="A1984" i="12"/>
  <c r="G1983" i="12"/>
  <c r="F1983" i="12"/>
  <c r="E1983" i="12"/>
  <c r="D1983" i="12"/>
  <c r="C1983" i="12"/>
  <c r="B1983" i="12"/>
  <c r="A1983" i="12"/>
  <c r="F1982" i="12"/>
  <c r="E1982" i="12"/>
  <c r="D1982" i="12"/>
  <c r="C1982" i="12"/>
  <c r="B1982" i="12"/>
  <c r="G1982" i="12" s="1"/>
  <c r="A1982" i="12"/>
  <c r="F1981" i="12"/>
  <c r="E1981" i="12"/>
  <c r="D1981" i="12"/>
  <c r="C1981" i="12"/>
  <c r="B1981" i="12"/>
  <c r="G1981" i="12" s="1"/>
  <c r="A1981" i="12"/>
  <c r="G1980" i="12"/>
  <c r="F1980" i="12"/>
  <c r="E1980" i="12"/>
  <c r="D1980" i="12"/>
  <c r="C1980" i="12"/>
  <c r="B1980" i="12"/>
  <c r="A1980" i="12"/>
  <c r="G1979" i="12"/>
  <c r="F1979" i="12"/>
  <c r="E1979" i="12"/>
  <c r="D1979" i="12"/>
  <c r="C1979" i="12"/>
  <c r="B1979" i="12"/>
  <c r="A1979" i="12"/>
  <c r="F1978" i="12"/>
  <c r="E1978" i="12"/>
  <c r="D1978" i="12"/>
  <c r="C1978" i="12"/>
  <c r="B1978" i="12"/>
  <c r="G1978" i="12" s="1"/>
  <c r="A1978" i="12"/>
  <c r="F1977" i="12"/>
  <c r="E1977" i="12"/>
  <c r="D1977" i="12"/>
  <c r="C1977" i="12"/>
  <c r="B1977" i="12"/>
  <c r="G1977" i="12" s="1"/>
  <c r="A1977" i="12"/>
  <c r="G1976" i="12"/>
  <c r="F1976" i="12"/>
  <c r="E1976" i="12"/>
  <c r="D1976" i="12"/>
  <c r="C1976" i="12"/>
  <c r="B1976" i="12"/>
  <c r="A1976" i="12"/>
  <c r="G1975" i="12"/>
  <c r="F1975" i="12"/>
  <c r="E1975" i="12"/>
  <c r="D1975" i="12"/>
  <c r="C1975" i="12"/>
  <c r="B1975" i="12"/>
  <c r="A1975" i="12"/>
  <c r="F1974" i="12"/>
  <c r="E1974" i="12"/>
  <c r="D1974" i="12"/>
  <c r="C1974" i="12"/>
  <c r="B1974" i="12"/>
  <c r="G1974" i="12" s="1"/>
  <c r="A1974" i="12"/>
  <c r="F1973" i="12"/>
  <c r="E1973" i="12"/>
  <c r="D1973" i="12"/>
  <c r="C1973" i="12"/>
  <c r="B1973" i="12"/>
  <c r="G1973" i="12" s="1"/>
  <c r="A1973" i="12"/>
  <c r="G1972" i="12"/>
  <c r="F1972" i="12"/>
  <c r="E1972" i="12"/>
  <c r="D1972" i="12"/>
  <c r="C1972" i="12"/>
  <c r="B1972" i="12"/>
  <c r="A1972" i="12"/>
  <c r="G1971" i="12"/>
  <c r="F1971" i="12"/>
  <c r="E1971" i="12"/>
  <c r="D1971" i="12"/>
  <c r="C1971" i="12"/>
  <c r="B1971" i="12"/>
  <c r="A1971" i="12"/>
  <c r="F1970" i="12"/>
  <c r="E1970" i="12"/>
  <c r="D1970" i="12"/>
  <c r="C1970" i="12"/>
  <c r="B1970" i="12"/>
  <c r="G1970" i="12" s="1"/>
  <c r="A1970" i="12"/>
  <c r="F1969" i="12"/>
  <c r="E1969" i="12"/>
  <c r="D1969" i="12"/>
  <c r="C1969" i="12"/>
  <c r="B1969" i="12"/>
  <c r="G1969" i="12" s="1"/>
  <c r="A1969" i="12"/>
  <c r="G1968" i="12"/>
  <c r="F1968" i="12"/>
  <c r="E1968" i="12"/>
  <c r="D1968" i="12"/>
  <c r="C1968" i="12"/>
  <c r="B1968" i="12"/>
  <c r="A1968" i="12"/>
  <c r="G1967" i="12"/>
  <c r="F1967" i="12"/>
  <c r="E1967" i="12"/>
  <c r="D1967" i="12"/>
  <c r="C1967" i="12"/>
  <c r="B1967" i="12"/>
  <c r="A1967" i="12"/>
  <c r="F1966" i="12"/>
  <c r="E1966" i="12"/>
  <c r="D1966" i="12"/>
  <c r="C1966" i="12"/>
  <c r="B1966" i="12"/>
  <c r="G1966" i="12" s="1"/>
  <c r="A1966" i="12"/>
  <c r="F1965" i="12"/>
  <c r="E1965" i="12"/>
  <c r="D1965" i="12"/>
  <c r="C1965" i="12"/>
  <c r="B1965" i="12"/>
  <c r="G1965" i="12" s="1"/>
  <c r="A1965" i="12"/>
  <c r="G1964" i="12"/>
  <c r="F1964" i="12"/>
  <c r="E1964" i="12"/>
  <c r="D1964" i="12"/>
  <c r="C1964" i="12"/>
  <c r="B1964" i="12"/>
  <c r="A1964" i="12"/>
  <c r="G1963" i="12"/>
  <c r="F1963" i="12"/>
  <c r="E1963" i="12"/>
  <c r="D1963" i="12"/>
  <c r="C1963" i="12"/>
  <c r="B1963" i="12"/>
  <c r="A1963" i="12"/>
  <c r="F1962" i="12"/>
  <c r="E1962" i="12"/>
  <c r="D1962" i="12"/>
  <c r="C1962" i="12"/>
  <c r="B1962" i="12"/>
  <c r="G1962" i="12" s="1"/>
  <c r="A1962" i="12"/>
  <c r="F1961" i="12"/>
  <c r="E1961" i="12"/>
  <c r="D1961" i="12"/>
  <c r="C1961" i="12"/>
  <c r="B1961" i="12"/>
  <c r="G1961" i="12" s="1"/>
  <c r="A1961" i="12"/>
  <c r="G1960" i="12"/>
  <c r="F1960" i="12"/>
  <c r="E1960" i="12"/>
  <c r="D1960" i="12"/>
  <c r="C1960" i="12"/>
  <c r="B1960" i="12"/>
  <c r="A1960" i="12"/>
  <c r="G1959" i="12"/>
  <c r="F1959" i="12"/>
  <c r="E1959" i="12"/>
  <c r="D1959" i="12"/>
  <c r="C1959" i="12"/>
  <c r="B1959" i="12"/>
  <c r="A1959" i="12"/>
  <c r="F1958" i="12"/>
  <c r="E1958" i="12"/>
  <c r="D1958" i="12"/>
  <c r="C1958" i="12"/>
  <c r="B1958" i="12"/>
  <c r="G1958" i="12" s="1"/>
  <c r="A1958" i="12"/>
  <c r="F1957" i="12"/>
  <c r="E1957" i="12"/>
  <c r="D1957" i="12"/>
  <c r="C1957" i="12"/>
  <c r="B1957" i="12"/>
  <c r="G1957" i="12" s="1"/>
  <c r="A1957" i="12"/>
  <c r="G1956" i="12"/>
  <c r="F1956" i="12"/>
  <c r="E1956" i="12"/>
  <c r="D1956" i="12"/>
  <c r="C1956" i="12"/>
  <c r="B1956" i="12"/>
  <c r="A1956" i="12"/>
  <c r="G1955" i="12"/>
  <c r="F1955" i="12"/>
  <c r="E1955" i="12"/>
  <c r="D1955" i="12"/>
  <c r="C1955" i="12"/>
  <c r="B1955" i="12"/>
  <c r="A1955" i="12"/>
  <c r="F1954" i="12"/>
  <c r="E1954" i="12"/>
  <c r="D1954" i="12"/>
  <c r="C1954" i="12"/>
  <c r="B1954" i="12"/>
  <c r="G1954" i="12" s="1"/>
  <c r="A1954" i="12"/>
  <c r="F1953" i="12"/>
  <c r="E1953" i="12"/>
  <c r="D1953" i="12"/>
  <c r="C1953" i="12"/>
  <c r="B1953" i="12"/>
  <c r="G1953" i="12" s="1"/>
  <c r="A1953" i="12"/>
  <c r="G1952" i="12"/>
  <c r="F1952" i="12"/>
  <c r="E1952" i="12"/>
  <c r="D1952" i="12"/>
  <c r="C1952" i="12"/>
  <c r="B1952" i="12"/>
  <c r="A1952" i="12"/>
  <c r="G1951" i="12"/>
  <c r="F1951" i="12"/>
  <c r="E1951" i="12"/>
  <c r="D1951" i="12"/>
  <c r="C1951" i="12"/>
  <c r="B1951" i="12"/>
  <c r="A1951" i="12"/>
  <c r="F1950" i="12"/>
  <c r="E1950" i="12"/>
  <c r="D1950" i="12"/>
  <c r="C1950" i="12"/>
  <c r="B1950" i="12"/>
  <c r="G1950" i="12" s="1"/>
  <c r="A1950" i="12"/>
  <c r="F1949" i="12"/>
  <c r="E1949" i="12"/>
  <c r="D1949" i="12"/>
  <c r="C1949" i="12"/>
  <c r="B1949" i="12"/>
  <c r="G1949" i="12" s="1"/>
  <c r="A1949" i="12"/>
  <c r="G1948" i="12"/>
  <c r="F1948" i="12"/>
  <c r="E1948" i="12"/>
  <c r="D1948" i="12"/>
  <c r="C1948" i="12"/>
  <c r="B1948" i="12"/>
  <c r="A1948" i="12"/>
  <c r="G1947" i="12"/>
  <c r="F1947" i="12"/>
  <c r="E1947" i="12"/>
  <c r="D1947" i="12"/>
  <c r="C1947" i="12"/>
  <c r="B1947" i="12"/>
  <c r="A1947" i="12"/>
  <c r="F1946" i="12"/>
  <c r="E1946" i="12"/>
  <c r="D1946" i="12"/>
  <c r="C1946" i="12"/>
  <c r="B1946" i="12"/>
  <c r="G1946" i="12" s="1"/>
  <c r="A1946" i="12"/>
  <c r="F1945" i="12"/>
  <c r="E1945" i="12"/>
  <c r="D1945" i="12"/>
  <c r="C1945" i="12"/>
  <c r="B1945" i="12"/>
  <c r="G1945" i="12" s="1"/>
  <c r="A1945" i="12"/>
  <c r="G1944" i="12"/>
  <c r="F1944" i="12"/>
  <c r="E1944" i="12"/>
  <c r="D1944" i="12"/>
  <c r="C1944" i="12"/>
  <c r="B1944" i="12"/>
  <c r="A1944" i="12"/>
  <c r="G1943" i="12"/>
  <c r="F1943" i="12"/>
  <c r="E1943" i="12"/>
  <c r="D1943" i="12"/>
  <c r="C1943" i="12"/>
  <c r="B1943" i="12"/>
  <c r="A1943" i="12"/>
  <c r="F1942" i="12"/>
  <c r="E1942" i="12"/>
  <c r="D1942" i="12"/>
  <c r="C1942" i="12"/>
  <c r="B1942" i="12"/>
  <c r="G1942" i="12" s="1"/>
  <c r="A1942" i="12"/>
  <c r="F1941" i="12"/>
  <c r="E1941" i="12"/>
  <c r="D1941" i="12"/>
  <c r="C1941" i="12"/>
  <c r="B1941" i="12"/>
  <c r="G1941" i="12" s="1"/>
  <c r="A1941" i="12"/>
  <c r="G1940" i="12"/>
  <c r="F1940" i="12"/>
  <c r="E1940" i="12"/>
  <c r="D1940" i="12"/>
  <c r="C1940" i="12"/>
  <c r="B1940" i="12"/>
  <c r="A1940" i="12"/>
  <c r="G1939" i="12"/>
  <c r="F1939" i="12"/>
  <c r="E1939" i="12"/>
  <c r="D1939" i="12"/>
  <c r="C1939" i="12"/>
  <c r="B1939" i="12"/>
  <c r="A1939" i="12"/>
  <c r="F1938" i="12"/>
  <c r="E1938" i="12"/>
  <c r="D1938" i="12"/>
  <c r="C1938" i="12"/>
  <c r="B1938" i="12"/>
  <c r="G1938" i="12" s="1"/>
  <c r="A1938" i="12"/>
  <c r="F1937" i="12"/>
  <c r="E1937" i="12"/>
  <c r="D1937" i="12"/>
  <c r="C1937" i="12"/>
  <c r="B1937" i="12"/>
  <c r="G1937" i="12" s="1"/>
  <c r="A1937" i="12"/>
  <c r="G1936" i="12"/>
  <c r="F1936" i="12"/>
  <c r="E1936" i="12"/>
  <c r="D1936" i="12"/>
  <c r="C1936" i="12"/>
  <c r="B1936" i="12"/>
  <c r="A1936" i="12"/>
  <c r="G1935" i="12"/>
  <c r="F1935" i="12"/>
  <c r="E1935" i="12"/>
  <c r="D1935" i="12"/>
  <c r="C1935" i="12"/>
  <c r="B1935" i="12"/>
  <c r="A1935" i="12"/>
  <c r="F1934" i="12"/>
  <c r="E1934" i="12"/>
  <c r="D1934" i="12"/>
  <c r="C1934" i="12"/>
  <c r="B1934" i="12"/>
  <c r="G1934" i="12" s="1"/>
  <c r="A1934" i="12"/>
  <c r="F1933" i="12"/>
  <c r="E1933" i="12"/>
  <c r="D1933" i="12"/>
  <c r="C1933" i="12"/>
  <c r="B1933" i="12"/>
  <c r="G1933" i="12" s="1"/>
  <c r="A1933" i="12"/>
  <c r="G1932" i="12"/>
  <c r="F1932" i="12"/>
  <c r="E1932" i="12"/>
  <c r="D1932" i="12"/>
  <c r="C1932" i="12"/>
  <c r="B1932" i="12"/>
  <c r="A1932" i="12"/>
  <c r="G1931" i="12"/>
  <c r="F1931" i="12"/>
  <c r="E1931" i="12"/>
  <c r="D1931" i="12"/>
  <c r="C1931" i="12"/>
  <c r="B1931" i="12"/>
  <c r="A1931" i="12"/>
  <c r="F1930" i="12"/>
  <c r="E1930" i="12"/>
  <c r="D1930" i="12"/>
  <c r="C1930" i="12"/>
  <c r="B1930" i="12"/>
  <c r="G1930" i="12" s="1"/>
  <c r="A1930" i="12"/>
  <c r="F1929" i="12"/>
  <c r="E1929" i="12"/>
  <c r="D1929" i="12"/>
  <c r="C1929" i="12"/>
  <c r="B1929" i="12"/>
  <c r="G1929" i="12" s="1"/>
  <c r="A1929" i="12"/>
  <c r="G1928" i="12"/>
  <c r="F1928" i="12"/>
  <c r="E1928" i="12"/>
  <c r="D1928" i="12"/>
  <c r="C1928" i="12"/>
  <c r="B1928" i="12"/>
  <c r="A1928" i="12"/>
  <c r="G1927" i="12"/>
  <c r="F1927" i="12"/>
  <c r="E1927" i="12"/>
  <c r="D1927" i="12"/>
  <c r="C1927" i="12"/>
  <c r="B1927" i="12"/>
  <c r="A1927" i="12"/>
  <c r="F1926" i="12"/>
  <c r="E1926" i="12"/>
  <c r="D1926" i="12"/>
  <c r="C1926" i="12"/>
  <c r="B1926" i="12"/>
  <c r="G1926" i="12" s="1"/>
  <c r="A1926" i="12"/>
  <c r="F1925" i="12"/>
  <c r="E1925" i="12"/>
  <c r="D1925" i="12"/>
  <c r="C1925" i="12"/>
  <c r="B1925" i="12"/>
  <c r="G1925" i="12" s="1"/>
  <c r="A1925" i="12"/>
  <c r="G1924" i="12"/>
  <c r="F1924" i="12"/>
  <c r="E1924" i="12"/>
  <c r="D1924" i="12"/>
  <c r="C1924" i="12"/>
  <c r="B1924" i="12"/>
  <c r="A1924" i="12"/>
  <c r="G1923" i="12"/>
  <c r="F1923" i="12"/>
  <c r="E1923" i="12"/>
  <c r="D1923" i="12"/>
  <c r="C1923" i="12"/>
  <c r="B1923" i="12"/>
  <c r="A1923" i="12"/>
  <c r="F1922" i="12"/>
  <c r="E1922" i="12"/>
  <c r="D1922" i="12"/>
  <c r="C1922" i="12"/>
  <c r="B1922" i="12"/>
  <c r="G1922" i="12" s="1"/>
  <c r="A1922" i="12"/>
  <c r="F1921" i="12"/>
  <c r="E1921" i="12"/>
  <c r="D1921" i="12"/>
  <c r="C1921" i="12"/>
  <c r="B1921" i="12"/>
  <c r="G1921" i="12" s="1"/>
  <c r="A1921" i="12"/>
  <c r="G1920" i="12"/>
  <c r="F1920" i="12"/>
  <c r="E1920" i="12"/>
  <c r="D1920" i="12"/>
  <c r="C1920" i="12"/>
  <c r="B1920" i="12"/>
  <c r="A1920" i="12"/>
  <c r="G1919" i="12"/>
  <c r="F1919" i="12"/>
  <c r="E1919" i="12"/>
  <c r="D1919" i="12"/>
  <c r="C1919" i="12"/>
  <c r="B1919" i="12"/>
  <c r="A1919" i="12"/>
  <c r="F1918" i="12"/>
  <c r="E1918" i="12"/>
  <c r="D1918" i="12"/>
  <c r="C1918" i="12"/>
  <c r="B1918" i="12"/>
  <c r="G1918" i="12" s="1"/>
  <c r="A1918" i="12"/>
  <c r="F1917" i="12"/>
  <c r="E1917" i="12"/>
  <c r="D1917" i="12"/>
  <c r="C1917" i="12"/>
  <c r="B1917" i="12"/>
  <c r="G1917" i="12" s="1"/>
  <c r="A1917" i="12"/>
  <c r="G1916" i="12"/>
  <c r="F1916" i="12"/>
  <c r="E1916" i="12"/>
  <c r="D1916" i="12"/>
  <c r="C1916" i="12"/>
  <c r="B1916" i="12"/>
  <c r="A1916" i="12"/>
  <c r="G1915" i="12"/>
  <c r="F1915" i="12"/>
  <c r="E1915" i="12"/>
  <c r="D1915" i="12"/>
  <c r="C1915" i="12"/>
  <c r="B1915" i="12"/>
  <c r="A1915" i="12"/>
  <c r="F1914" i="12"/>
  <c r="E1914" i="12"/>
  <c r="D1914" i="12"/>
  <c r="C1914" i="12"/>
  <c r="B1914" i="12"/>
  <c r="G1914" i="12" s="1"/>
  <c r="A1914" i="12"/>
  <c r="G1913" i="12"/>
  <c r="F1913" i="12"/>
  <c r="E1913" i="12"/>
  <c r="D1913" i="12"/>
  <c r="C1913" i="12"/>
  <c r="B1913" i="12"/>
  <c r="A1913" i="12"/>
  <c r="G1912" i="12"/>
  <c r="F1912" i="12"/>
  <c r="E1912" i="12"/>
  <c r="D1912" i="12"/>
  <c r="C1912" i="12"/>
  <c r="B1912" i="12"/>
  <c r="A1912" i="12"/>
  <c r="G1911" i="12"/>
  <c r="F1911" i="12"/>
  <c r="E1911" i="12"/>
  <c r="D1911" i="12"/>
  <c r="C1911" i="12"/>
  <c r="B1911" i="12"/>
  <c r="A1911" i="12"/>
  <c r="F1910" i="12"/>
  <c r="E1910" i="12"/>
  <c r="D1910" i="12"/>
  <c r="C1910" i="12"/>
  <c r="B1910" i="12"/>
  <c r="G1910" i="12" s="1"/>
  <c r="A1910" i="12"/>
  <c r="G1909" i="12"/>
  <c r="F1909" i="12"/>
  <c r="E1909" i="12"/>
  <c r="D1909" i="12"/>
  <c r="C1909" i="12"/>
  <c r="B1909" i="12"/>
  <c r="A1909" i="12"/>
  <c r="G1908" i="12"/>
  <c r="F1908" i="12"/>
  <c r="E1908" i="12"/>
  <c r="D1908" i="12"/>
  <c r="C1908" i="12"/>
  <c r="B1908" i="12"/>
  <c r="A1908" i="12"/>
  <c r="G1907" i="12"/>
  <c r="F1907" i="12"/>
  <c r="E1907" i="12"/>
  <c r="D1907" i="12"/>
  <c r="C1907" i="12"/>
  <c r="B1907" i="12"/>
  <c r="A1907" i="12"/>
  <c r="F1906" i="12"/>
  <c r="E1906" i="12"/>
  <c r="D1906" i="12"/>
  <c r="C1906" i="12"/>
  <c r="B1906" i="12"/>
  <c r="G1906" i="12" s="1"/>
  <c r="A1906" i="12"/>
  <c r="G1905" i="12"/>
  <c r="F1905" i="12"/>
  <c r="E1905" i="12"/>
  <c r="D1905" i="12"/>
  <c r="C1905" i="12"/>
  <c r="B1905" i="12"/>
  <c r="A1905" i="12"/>
  <c r="G1904" i="12"/>
  <c r="F1904" i="12"/>
  <c r="E1904" i="12"/>
  <c r="D1904" i="12"/>
  <c r="C1904" i="12"/>
  <c r="B1904" i="12"/>
  <c r="A1904" i="12"/>
  <c r="G1903" i="12"/>
  <c r="F1903" i="12"/>
  <c r="E1903" i="12"/>
  <c r="D1903" i="12"/>
  <c r="C1903" i="12"/>
  <c r="B1903" i="12"/>
  <c r="A1903" i="12"/>
  <c r="F1902" i="12"/>
  <c r="E1902" i="12"/>
  <c r="D1902" i="12"/>
  <c r="C1902" i="12"/>
  <c r="B1902" i="12"/>
  <c r="G1902" i="12" s="1"/>
  <c r="A1902" i="12"/>
  <c r="G1901" i="12"/>
  <c r="F1901" i="12"/>
  <c r="E1901" i="12"/>
  <c r="D1901" i="12"/>
  <c r="C1901" i="12"/>
  <c r="B1901" i="12"/>
  <c r="A1901" i="12"/>
  <c r="G1900" i="12"/>
  <c r="F1900" i="12"/>
  <c r="E1900" i="12"/>
  <c r="D1900" i="12"/>
  <c r="C1900" i="12"/>
  <c r="B1900" i="12"/>
  <c r="A1900" i="12"/>
  <c r="G1899" i="12"/>
  <c r="F1899" i="12"/>
  <c r="E1899" i="12"/>
  <c r="D1899" i="12"/>
  <c r="C1899" i="12"/>
  <c r="B1899" i="12"/>
  <c r="A1899" i="12"/>
  <c r="F1898" i="12"/>
  <c r="E1898" i="12"/>
  <c r="D1898" i="12"/>
  <c r="C1898" i="12"/>
  <c r="B1898" i="12"/>
  <c r="G1898" i="12" s="1"/>
  <c r="A1898" i="12"/>
  <c r="G1897" i="12"/>
  <c r="F1897" i="12"/>
  <c r="E1897" i="12"/>
  <c r="D1897" i="12"/>
  <c r="C1897" i="12"/>
  <c r="B1897" i="12"/>
  <c r="A1897" i="12"/>
  <c r="G1896" i="12"/>
  <c r="F1896" i="12"/>
  <c r="E1896" i="12"/>
  <c r="D1896" i="12"/>
  <c r="C1896" i="12"/>
  <c r="B1896" i="12"/>
  <c r="A1896" i="12"/>
  <c r="G1895" i="12"/>
  <c r="F1895" i="12"/>
  <c r="E1895" i="12"/>
  <c r="D1895" i="12"/>
  <c r="C1895" i="12"/>
  <c r="B1895" i="12"/>
  <c r="A1895" i="12"/>
  <c r="F1894" i="12"/>
  <c r="E1894" i="12"/>
  <c r="D1894" i="12"/>
  <c r="C1894" i="12"/>
  <c r="B1894" i="12"/>
  <c r="G1894" i="12" s="1"/>
  <c r="A1894" i="12"/>
  <c r="G1893" i="12"/>
  <c r="F1893" i="12"/>
  <c r="E1893" i="12"/>
  <c r="D1893" i="12"/>
  <c r="C1893" i="12"/>
  <c r="B1893" i="12"/>
  <c r="A1893" i="12"/>
  <c r="G1892" i="12"/>
  <c r="F1892" i="12"/>
  <c r="E1892" i="12"/>
  <c r="D1892" i="12"/>
  <c r="C1892" i="12"/>
  <c r="B1892" i="12"/>
  <c r="A1892" i="12"/>
  <c r="G1891" i="12"/>
  <c r="F1891" i="12"/>
  <c r="E1891" i="12"/>
  <c r="D1891" i="12"/>
  <c r="C1891" i="12"/>
  <c r="B1891" i="12"/>
  <c r="A1891" i="12"/>
  <c r="F1890" i="12"/>
  <c r="E1890" i="12"/>
  <c r="D1890" i="12"/>
  <c r="C1890" i="12"/>
  <c r="B1890" i="12"/>
  <c r="G1890" i="12" s="1"/>
  <c r="A1890" i="12"/>
  <c r="G1889" i="12"/>
  <c r="F1889" i="12"/>
  <c r="E1889" i="12"/>
  <c r="D1889" i="12"/>
  <c r="C1889" i="12"/>
  <c r="B1889" i="12"/>
  <c r="A1889" i="12"/>
  <c r="G1888" i="12"/>
  <c r="F1888" i="12"/>
  <c r="E1888" i="12"/>
  <c r="D1888" i="12"/>
  <c r="C1888" i="12"/>
  <c r="B1888" i="12"/>
  <c r="A1888" i="12"/>
  <c r="G1887" i="12"/>
  <c r="F1887" i="12"/>
  <c r="E1887" i="12"/>
  <c r="D1887" i="12"/>
  <c r="C1887" i="12"/>
  <c r="B1887" i="12"/>
  <c r="A1887" i="12"/>
  <c r="F1886" i="12"/>
  <c r="E1886" i="12"/>
  <c r="D1886" i="12"/>
  <c r="C1886" i="12"/>
  <c r="B1886" i="12"/>
  <c r="G1886" i="12" s="1"/>
  <c r="A1886" i="12"/>
  <c r="G1885" i="12"/>
  <c r="F1885" i="12"/>
  <c r="E1885" i="12"/>
  <c r="D1885" i="12"/>
  <c r="C1885" i="12"/>
  <c r="B1885" i="12"/>
  <c r="A1885" i="12"/>
  <c r="G1884" i="12"/>
  <c r="F1884" i="12"/>
  <c r="E1884" i="12"/>
  <c r="D1884" i="12"/>
  <c r="C1884" i="12"/>
  <c r="B1884" i="12"/>
  <c r="A1884" i="12"/>
  <c r="G1883" i="12"/>
  <c r="F1883" i="12"/>
  <c r="E1883" i="12"/>
  <c r="D1883" i="12"/>
  <c r="C1883" i="12"/>
  <c r="B1883" i="12"/>
  <c r="A1883" i="12"/>
  <c r="F1882" i="12"/>
  <c r="E1882" i="12"/>
  <c r="D1882" i="12"/>
  <c r="C1882" i="12"/>
  <c r="B1882" i="12"/>
  <c r="G1882" i="12" s="1"/>
  <c r="A1882" i="12"/>
  <c r="G1881" i="12"/>
  <c r="F1881" i="12"/>
  <c r="E1881" i="12"/>
  <c r="D1881" i="12"/>
  <c r="C1881" i="12"/>
  <c r="B1881" i="12"/>
  <c r="A1881" i="12"/>
  <c r="G1880" i="12"/>
  <c r="F1880" i="12"/>
  <c r="E1880" i="12"/>
  <c r="D1880" i="12"/>
  <c r="C1880" i="12"/>
  <c r="B1880" i="12"/>
  <c r="A1880" i="12"/>
  <c r="G1879" i="12"/>
  <c r="F1879" i="12"/>
  <c r="E1879" i="12"/>
  <c r="D1879" i="12"/>
  <c r="C1879" i="12"/>
  <c r="B1879" i="12"/>
  <c r="A1879" i="12"/>
  <c r="F1878" i="12"/>
  <c r="E1878" i="12"/>
  <c r="D1878" i="12"/>
  <c r="C1878" i="12"/>
  <c r="B1878" i="12"/>
  <c r="G1878" i="12" s="1"/>
  <c r="A1878" i="12"/>
  <c r="G1877" i="12"/>
  <c r="F1877" i="12"/>
  <c r="E1877" i="12"/>
  <c r="D1877" i="12"/>
  <c r="C1877" i="12"/>
  <c r="B1877" i="12"/>
  <c r="A1877" i="12"/>
  <c r="G1876" i="12"/>
  <c r="F1876" i="12"/>
  <c r="E1876" i="12"/>
  <c r="D1876" i="12"/>
  <c r="C1876" i="12"/>
  <c r="B1876" i="12"/>
  <c r="A1876" i="12"/>
  <c r="G1875" i="12"/>
  <c r="F1875" i="12"/>
  <c r="E1875" i="12"/>
  <c r="D1875" i="12"/>
  <c r="C1875" i="12"/>
  <c r="B1875" i="12"/>
  <c r="A1875" i="12"/>
  <c r="F1874" i="12"/>
  <c r="E1874" i="12"/>
  <c r="D1874" i="12"/>
  <c r="C1874" i="12"/>
  <c r="B1874" i="12"/>
  <c r="G1874" i="12" s="1"/>
  <c r="A1874" i="12"/>
  <c r="G1873" i="12"/>
  <c r="F1873" i="12"/>
  <c r="E1873" i="12"/>
  <c r="D1873" i="12"/>
  <c r="C1873" i="12"/>
  <c r="B1873" i="12"/>
  <c r="A1873" i="12"/>
  <c r="G1872" i="12"/>
  <c r="F1872" i="12"/>
  <c r="E1872" i="12"/>
  <c r="D1872" i="12"/>
  <c r="C1872" i="12"/>
  <c r="B1872" i="12"/>
  <c r="A1872" i="12"/>
  <c r="G1871" i="12"/>
  <c r="F1871" i="12"/>
  <c r="E1871" i="12"/>
  <c r="D1871" i="12"/>
  <c r="C1871" i="12"/>
  <c r="B1871" i="12"/>
  <c r="A1871" i="12"/>
  <c r="F1870" i="12"/>
  <c r="E1870" i="12"/>
  <c r="D1870" i="12"/>
  <c r="C1870" i="12"/>
  <c r="B1870" i="12"/>
  <c r="G1870" i="12" s="1"/>
  <c r="A1870" i="12"/>
  <c r="G1869" i="12"/>
  <c r="F1869" i="12"/>
  <c r="E1869" i="12"/>
  <c r="D1869" i="12"/>
  <c r="C1869" i="12"/>
  <c r="B1869" i="12"/>
  <c r="A1869" i="12"/>
  <c r="G1868" i="12"/>
  <c r="F1868" i="12"/>
  <c r="E1868" i="12"/>
  <c r="D1868" i="12"/>
  <c r="C1868" i="12"/>
  <c r="B1868" i="12"/>
  <c r="A1868" i="12"/>
  <c r="G1867" i="12"/>
  <c r="F1867" i="12"/>
  <c r="E1867" i="12"/>
  <c r="D1867" i="12"/>
  <c r="C1867" i="12"/>
  <c r="B1867" i="12"/>
  <c r="A1867" i="12"/>
  <c r="F1866" i="12"/>
  <c r="E1866" i="12"/>
  <c r="D1866" i="12"/>
  <c r="C1866" i="12"/>
  <c r="B1866" i="12"/>
  <c r="G1866" i="12" s="1"/>
  <c r="A1866" i="12"/>
  <c r="G1865" i="12"/>
  <c r="F1865" i="12"/>
  <c r="E1865" i="12"/>
  <c r="D1865" i="12"/>
  <c r="C1865" i="12"/>
  <c r="B1865" i="12"/>
  <c r="A1865" i="12"/>
  <c r="G1864" i="12"/>
  <c r="F1864" i="12"/>
  <c r="E1864" i="12"/>
  <c r="D1864" i="12"/>
  <c r="C1864" i="12"/>
  <c r="B1864" i="12"/>
  <c r="A1864" i="12"/>
  <c r="G1863" i="12"/>
  <c r="F1863" i="12"/>
  <c r="E1863" i="12"/>
  <c r="D1863" i="12"/>
  <c r="C1863" i="12"/>
  <c r="B1863" i="12"/>
  <c r="A1863" i="12"/>
  <c r="F1862" i="12"/>
  <c r="E1862" i="12"/>
  <c r="D1862" i="12"/>
  <c r="C1862" i="12"/>
  <c r="B1862" i="12"/>
  <c r="G1862" i="12" s="1"/>
  <c r="A1862" i="12"/>
  <c r="G1861" i="12"/>
  <c r="F1861" i="12"/>
  <c r="E1861" i="12"/>
  <c r="D1861" i="12"/>
  <c r="C1861" i="12"/>
  <c r="B1861" i="12"/>
  <c r="A1861" i="12"/>
  <c r="G1860" i="12"/>
  <c r="F1860" i="12"/>
  <c r="E1860" i="12"/>
  <c r="D1860" i="12"/>
  <c r="C1860" i="12"/>
  <c r="B1860" i="12"/>
  <c r="A1860" i="12"/>
  <c r="G1859" i="12"/>
  <c r="F1859" i="12"/>
  <c r="E1859" i="12"/>
  <c r="D1859" i="12"/>
  <c r="C1859" i="12"/>
  <c r="B1859" i="12"/>
  <c r="A1859" i="12"/>
  <c r="F1858" i="12"/>
  <c r="E1858" i="12"/>
  <c r="D1858" i="12"/>
  <c r="C1858" i="12"/>
  <c r="B1858" i="12"/>
  <c r="G1858" i="12" s="1"/>
  <c r="A1858" i="12"/>
  <c r="G1857" i="12"/>
  <c r="F1857" i="12"/>
  <c r="E1857" i="12"/>
  <c r="D1857" i="12"/>
  <c r="C1857" i="12"/>
  <c r="B1857" i="12"/>
  <c r="A1857" i="12"/>
  <c r="G1856" i="12"/>
  <c r="F1856" i="12"/>
  <c r="E1856" i="12"/>
  <c r="D1856" i="12"/>
  <c r="C1856" i="12"/>
  <c r="B1856" i="12"/>
  <c r="A1856" i="12"/>
  <c r="G1855" i="12"/>
  <c r="F1855" i="12"/>
  <c r="E1855" i="12"/>
  <c r="D1855" i="12"/>
  <c r="C1855" i="12"/>
  <c r="B1855" i="12"/>
  <c r="A1855" i="12"/>
  <c r="F1854" i="12"/>
  <c r="E1854" i="12"/>
  <c r="D1854" i="12"/>
  <c r="C1854" i="12"/>
  <c r="B1854" i="12"/>
  <c r="G1854" i="12" s="1"/>
  <c r="A1854" i="12"/>
  <c r="G1853" i="12"/>
  <c r="F1853" i="12"/>
  <c r="E1853" i="12"/>
  <c r="D1853" i="12"/>
  <c r="C1853" i="12"/>
  <c r="B1853" i="12"/>
  <c r="A1853" i="12"/>
  <c r="G1852" i="12"/>
  <c r="F1852" i="12"/>
  <c r="E1852" i="12"/>
  <c r="D1852" i="12"/>
  <c r="C1852" i="12"/>
  <c r="B1852" i="12"/>
  <c r="A1852" i="12"/>
  <c r="G1851" i="12"/>
  <c r="F1851" i="12"/>
  <c r="E1851" i="12"/>
  <c r="D1851" i="12"/>
  <c r="C1851" i="12"/>
  <c r="B1851" i="12"/>
  <c r="A1851" i="12"/>
  <c r="F1850" i="12"/>
  <c r="E1850" i="12"/>
  <c r="D1850" i="12"/>
  <c r="C1850" i="12"/>
  <c r="B1850" i="12"/>
  <c r="G1850" i="12" s="1"/>
  <c r="A1850" i="12"/>
  <c r="G1849" i="12"/>
  <c r="F1849" i="12"/>
  <c r="E1849" i="12"/>
  <c r="D1849" i="12"/>
  <c r="C1849" i="12"/>
  <c r="B1849" i="12"/>
  <c r="A1849" i="12"/>
  <c r="G1848" i="12"/>
  <c r="F1848" i="12"/>
  <c r="E1848" i="12"/>
  <c r="D1848" i="12"/>
  <c r="C1848" i="12"/>
  <c r="B1848" i="12"/>
  <c r="A1848" i="12"/>
  <c r="G1847" i="12"/>
  <c r="F1847" i="12"/>
  <c r="E1847" i="12"/>
  <c r="D1847" i="12"/>
  <c r="C1847" i="12"/>
  <c r="B1847" i="12"/>
  <c r="A1847" i="12"/>
  <c r="F1846" i="12"/>
  <c r="E1846" i="12"/>
  <c r="D1846" i="12"/>
  <c r="C1846" i="12"/>
  <c r="B1846" i="12"/>
  <c r="G1846" i="12" s="1"/>
  <c r="A1846" i="12"/>
  <c r="G1845" i="12"/>
  <c r="F1845" i="12"/>
  <c r="E1845" i="12"/>
  <c r="D1845" i="12"/>
  <c r="C1845" i="12"/>
  <c r="B1845" i="12"/>
  <c r="A1845" i="12"/>
  <c r="G1844" i="12"/>
  <c r="F1844" i="12"/>
  <c r="E1844" i="12"/>
  <c r="D1844" i="12"/>
  <c r="C1844" i="12"/>
  <c r="B1844" i="12"/>
  <c r="A1844" i="12"/>
  <c r="G1843" i="12"/>
  <c r="F1843" i="12"/>
  <c r="E1843" i="12"/>
  <c r="D1843" i="12"/>
  <c r="C1843" i="12"/>
  <c r="B1843" i="12"/>
  <c r="A1843" i="12"/>
  <c r="F1842" i="12"/>
  <c r="E1842" i="12"/>
  <c r="D1842" i="12"/>
  <c r="C1842" i="12"/>
  <c r="B1842" i="12"/>
  <c r="G1842" i="12" s="1"/>
  <c r="A1842" i="12"/>
  <c r="G1841" i="12"/>
  <c r="F1841" i="12"/>
  <c r="E1841" i="12"/>
  <c r="D1841" i="12"/>
  <c r="C1841" i="12"/>
  <c r="B1841" i="12"/>
  <c r="A1841" i="12"/>
  <c r="G1840" i="12"/>
  <c r="F1840" i="12"/>
  <c r="E1840" i="12"/>
  <c r="D1840" i="12"/>
  <c r="C1840" i="12"/>
  <c r="B1840" i="12"/>
  <c r="A1840" i="12"/>
  <c r="G1839" i="12"/>
  <c r="F1839" i="12"/>
  <c r="E1839" i="12"/>
  <c r="D1839" i="12"/>
  <c r="C1839" i="12"/>
  <c r="B1839" i="12"/>
  <c r="A1839" i="12"/>
  <c r="F1838" i="12"/>
  <c r="E1838" i="12"/>
  <c r="D1838" i="12"/>
  <c r="C1838" i="12"/>
  <c r="B1838" i="12"/>
  <c r="G1838" i="12" s="1"/>
  <c r="A1838" i="12"/>
  <c r="G1837" i="12"/>
  <c r="F1837" i="12"/>
  <c r="E1837" i="12"/>
  <c r="D1837" i="12"/>
  <c r="C1837" i="12"/>
  <c r="B1837" i="12"/>
  <c r="A1837" i="12"/>
  <c r="G1836" i="12"/>
  <c r="F1836" i="12"/>
  <c r="E1836" i="12"/>
  <c r="D1836" i="12"/>
  <c r="C1836" i="12"/>
  <c r="B1836" i="12"/>
  <c r="A1836" i="12"/>
  <c r="G1835" i="12"/>
  <c r="F1835" i="12"/>
  <c r="E1835" i="12"/>
  <c r="D1835" i="12"/>
  <c r="C1835" i="12"/>
  <c r="B1835" i="12"/>
  <c r="A1835" i="12"/>
  <c r="F1834" i="12"/>
  <c r="E1834" i="12"/>
  <c r="D1834" i="12"/>
  <c r="C1834" i="12"/>
  <c r="B1834" i="12"/>
  <c r="G1834" i="12" s="1"/>
  <c r="A1834" i="12"/>
  <c r="G1833" i="12"/>
  <c r="F1833" i="12"/>
  <c r="E1833" i="12"/>
  <c r="D1833" i="12"/>
  <c r="C1833" i="12"/>
  <c r="B1833" i="12"/>
  <c r="A1833" i="12"/>
  <c r="G1832" i="12"/>
  <c r="F1832" i="12"/>
  <c r="E1832" i="12"/>
  <c r="D1832" i="12"/>
  <c r="C1832" i="12"/>
  <c r="B1832" i="12"/>
  <c r="A1832" i="12"/>
  <c r="F1831" i="12"/>
  <c r="E1831" i="12"/>
  <c r="D1831" i="12"/>
  <c r="C1831" i="12"/>
  <c r="B1831" i="12"/>
  <c r="G1831" i="12" s="1"/>
  <c r="A1831" i="12"/>
  <c r="F1830" i="12"/>
  <c r="E1830" i="12"/>
  <c r="D1830" i="12"/>
  <c r="C1830" i="12"/>
  <c r="B1830" i="12"/>
  <c r="G1830" i="12" s="1"/>
  <c r="A1830" i="12"/>
  <c r="G1829" i="12"/>
  <c r="F1829" i="12"/>
  <c r="E1829" i="12"/>
  <c r="D1829" i="12"/>
  <c r="C1829" i="12"/>
  <c r="B1829" i="12"/>
  <c r="A1829" i="12"/>
  <c r="G1828" i="12"/>
  <c r="F1828" i="12"/>
  <c r="E1828" i="12"/>
  <c r="D1828" i="12"/>
  <c r="C1828" i="12"/>
  <c r="B1828" i="12"/>
  <c r="A1828" i="12"/>
  <c r="F1827" i="12"/>
  <c r="E1827" i="12"/>
  <c r="D1827" i="12"/>
  <c r="C1827" i="12"/>
  <c r="B1827" i="12"/>
  <c r="G1827" i="12" s="1"/>
  <c r="A1827" i="12"/>
  <c r="F1826" i="12"/>
  <c r="E1826" i="12"/>
  <c r="D1826" i="12"/>
  <c r="C1826" i="12"/>
  <c r="B1826" i="12"/>
  <c r="G1826" i="12" s="1"/>
  <c r="A1826" i="12"/>
  <c r="G1825" i="12"/>
  <c r="F1825" i="12"/>
  <c r="E1825" i="12"/>
  <c r="D1825" i="12"/>
  <c r="C1825" i="12"/>
  <c r="B1825" i="12"/>
  <c r="A1825" i="12"/>
  <c r="G1824" i="12"/>
  <c r="F1824" i="12"/>
  <c r="E1824" i="12"/>
  <c r="D1824" i="12"/>
  <c r="C1824" i="12"/>
  <c r="B1824" i="12"/>
  <c r="A1824" i="12"/>
  <c r="F1823" i="12"/>
  <c r="E1823" i="12"/>
  <c r="D1823" i="12"/>
  <c r="C1823" i="12"/>
  <c r="B1823" i="12"/>
  <c r="G1823" i="12" s="1"/>
  <c r="A1823" i="12"/>
  <c r="F1822" i="12"/>
  <c r="E1822" i="12"/>
  <c r="D1822" i="12"/>
  <c r="C1822" i="12"/>
  <c r="B1822" i="12"/>
  <c r="G1822" i="12" s="1"/>
  <c r="A1822" i="12"/>
  <c r="G1821" i="12"/>
  <c r="F1821" i="12"/>
  <c r="E1821" i="12"/>
  <c r="D1821" i="12"/>
  <c r="C1821" i="12"/>
  <c r="B1821" i="12"/>
  <c r="A1821" i="12"/>
  <c r="G1820" i="12"/>
  <c r="F1820" i="12"/>
  <c r="E1820" i="12"/>
  <c r="D1820" i="12"/>
  <c r="C1820" i="12"/>
  <c r="B1820" i="12"/>
  <c r="A1820" i="12"/>
  <c r="G1819" i="12"/>
  <c r="F1819" i="12"/>
  <c r="E1819" i="12"/>
  <c r="D1819" i="12"/>
  <c r="C1819" i="12"/>
  <c r="B1819" i="12"/>
  <c r="A1819" i="12"/>
  <c r="F1818" i="12"/>
  <c r="E1818" i="12"/>
  <c r="D1818" i="12"/>
  <c r="C1818" i="12"/>
  <c r="B1818" i="12"/>
  <c r="G1818" i="12" s="1"/>
  <c r="A1818" i="12"/>
  <c r="G1817" i="12"/>
  <c r="F1817" i="12"/>
  <c r="E1817" i="12"/>
  <c r="D1817" i="12"/>
  <c r="C1817" i="12"/>
  <c r="B1817" i="12"/>
  <c r="A1817" i="12"/>
  <c r="G1816" i="12"/>
  <c r="F1816" i="12"/>
  <c r="E1816" i="12"/>
  <c r="D1816" i="12"/>
  <c r="C1816" i="12"/>
  <c r="B1816" i="12"/>
  <c r="A1816" i="12"/>
  <c r="F1815" i="12"/>
  <c r="E1815" i="12"/>
  <c r="D1815" i="12"/>
  <c r="C1815" i="12"/>
  <c r="B1815" i="12"/>
  <c r="G1815" i="12" s="1"/>
  <c r="A1815" i="12"/>
  <c r="F1814" i="12"/>
  <c r="E1814" i="12"/>
  <c r="D1814" i="12"/>
  <c r="C1814" i="12"/>
  <c r="B1814" i="12"/>
  <c r="G1814" i="12" s="1"/>
  <c r="A1814" i="12"/>
  <c r="G1813" i="12"/>
  <c r="F1813" i="12"/>
  <c r="E1813" i="12"/>
  <c r="D1813" i="12"/>
  <c r="C1813" i="12"/>
  <c r="B1813" i="12"/>
  <c r="A1813" i="12"/>
  <c r="G1812" i="12"/>
  <c r="F1812" i="12"/>
  <c r="E1812" i="12"/>
  <c r="D1812" i="12"/>
  <c r="C1812" i="12"/>
  <c r="B1812" i="12"/>
  <c r="A1812" i="12"/>
  <c r="F1811" i="12"/>
  <c r="E1811" i="12"/>
  <c r="D1811" i="12"/>
  <c r="C1811" i="12"/>
  <c r="B1811" i="12"/>
  <c r="G1811" i="12" s="1"/>
  <c r="A1811" i="12"/>
  <c r="F1810" i="12"/>
  <c r="E1810" i="12"/>
  <c r="D1810" i="12"/>
  <c r="C1810" i="12"/>
  <c r="B1810" i="12"/>
  <c r="G1810" i="12" s="1"/>
  <c r="A1810" i="12"/>
  <c r="G1809" i="12"/>
  <c r="F1809" i="12"/>
  <c r="E1809" i="12"/>
  <c r="D1809" i="12"/>
  <c r="C1809" i="12"/>
  <c r="B1809" i="12"/>
  <c r="A1809" i="12"/>
  <c r="G1808" i="12"/>
  <c r="F1808" i="12"/>
  <c r="E1808" i="12"/>
  <c r="D1808" i="12"/>
  <c r="C1808" i="12"/>
  <c r="B1808" i="12"/>
  <c r="A1808" i="12"/>
  <c r="F1807" i="12"/>
  <c r="E1807" i="12"/>
  <c r="D1807" i="12"/>
  <c r="C1807" i="12"/>
  <c r="B1807" i="12"/>
  <c r="G1807" i="12" s="1"/>
  <c r="A1807" i="12"/>
  <c r="F1806" i="12"/>
  <c r="E1806" i="12"/>
  <c r="D1806" i="12"/>
  <c r="C1806" i="12"/>
  <c r="B1806" i="12"/>
  <c r="G1806" i="12" s="1"/>
  <c r="A1806" i="12"/>
  <c r="G1805" i="12"/>
  <c r="F1805" i="12"/>
  <c r="E1805" i="12"/>
  <c r="D1805" i="12"/>
  <c r="C1805" i="12"/>
  <c r="B1805" i="12"/>
  <c r="A1805" i="12"/>
  <c r="G1804" i="12"/>
  <c r="F1804" i="12"/>
  <c r="E1804" i="12"/>
  <c r="D1804" i="12"/>
  <c r="C1804" i="12"/>
  <c r="B1804" i="12"/>
  <c r="A1804" i="12"/>
  <c r="G1803" i="12"/>
  <c r="F1803" i="12"/>
  <c r="E1803" i="12"/>
  <c r="D1803" i="12"/>
  <c r="C1803" i="12"/>
  <c r="B1803" i="12"/>
  <c r="A1803" i="12"/>
  <c r="F1802" i="12"/>
  <c r="E1802" i="12"/>
  <c r="D1802" i="12"/>
  <c r="C1802" i="12"/>
  <c r="B1802" i="12"/>
  <c r="G1802" i="12" s="1"/>
  <c r="A1802" i="12"/>
  <c r="G1801" i="12"/>
  <c r="F1801" i="12"/>
  <c r="E1801" i="12"/>
  <c r="D1801" i="12"/>
  <c r="C1801" i="12"/>
  <c r="B1801" i="12"/>
  <c r="A1801" i="12"/>
  <c r="G1800" i="12"/>
  <c r="F1800" i="12"/>
  <c r="E1800" i="12"/>
  <c r="D1800" i="12"/>
  <c r="C1800" i="12"/>
  <c r="B1800" i="12"/>
  <c r="A1800" i="12"/>
  <c r="F1799" i="12"/>
  <c r="E1799" i="12"/>
  <c r="D1799" i="12"/>
  <c r="C1799" i="12"/>
  <c r="B1799" i="12"/>
  <c r="G1799" i="12" s="1"/>
  <c r="A1799" i="12"/>
  <c r="F1798" i="12"/>
  <c r="E1798" i="12"/>
  <c r="D1798" i="12"/>
  <c r="C1798" i="12"/>
  <c r="B1798" i="12"/>
  <c r="G1798" i="12" s="1"/>
  <c r="A1798" i="12"/>
  <c r="G1797" i="12"/>
  <c r="F1797" i="12"/>
  <c r="E1797" i="12"/>
  <c r="D1797" i="12"/>
  <c r="C1797" i="12"/>
  <c r="B1797" i="12"/>
  <c r="A1797" i="12"/>
  <c r="G1796" i="12"/>
  <c r="F1796" i="12"/>
  <c r="E1796" i="12"/>
  <c r="D1796" i="12"/>
  <c r="C1796" i="12"/>
  <c r="B1796" i="12"/>
  <c r="A1796" i="12"/>
  <c r="F1795" i="12"/>
  <c r="E1795" i="12"/>
  <c r="D1795" i="12"/>
  <c r="C1795" i="12"/>
  <c r="B1795" i="12"/>
  <c r="G1795" i="12" s="1"/>
  <c r="A1795" i="12"/>
  <c r="F1794" i="12"/>
  <c r="E1794" i="12"/>
  <c r="D1794" i="12"/>
  <c r="C1794" i="12"/>
  <c r="B1794" i="12"/>
  <c r="G1794" i="12" s="1"/>
  <c r="A1794" i="12"/>
  <c r="G1793" i="12"/>
  <c r="F1793" i="12"/>
  <c r="E1793" i="12"/>
  <c r="D1793" i="12"/>
  <c r="C1793" i="12"/>
  <c r="B1793" i="12"/>
  <c r="A1793" i="12"/>
  <c r="G1792" i="12"/>
  <c r="F1792" i="12"/>
  <c r="E1792" i="12"/>
  <c r="D1792" i="12"/>
  <c r="C1792" i="12"/>
  <c r="B1792" i="12"/>
  <c r="A1792" i="12"/>
  <c r="F1791" i="12"/>
  <c r="E1791" i="12"/>
  <c r="D1791" i="12"/>
  <c r="C1791" i="12"/>
  <c r="B1791" i="12"/>
  <c r="G1791" i="12" s="1"/>
  <c r="A1791" i="12"/>
  <c r="F1790" i="12"/>
  <c r="E1790" i="12"/>
  <c r="D1790" i="12"/>
  <c r="C1790" i="12"/>
  <c r="B1790" i="12"/>
  <c r="G1790" i="12" s="1"/>
  <c r="A1790" i="12"/>
  <c r="G1789" i="12"/>
  <c r="F1789" i="12"/>
  <c r="E1789" i="12"/>
  <c r="D1789" i="12"/>
  <c r="C1789" i="12"/>
  <c r="B1789" i="12"/>
  <c r="A1789" i="12"/>
  <c r="G1788" i="12"/>
  <c r="F1788" i="12"/>
  <c r="E1788" i="12"/>
  <c r="D1788" i="12"/>
  <c r="C1788" i="12"/>
  <c r="B1788" i="12"/>
  <c r="A1788" i="12"/>
  <c r="G1787" i="12"/>
  <c r="F1787" i="12"/>
  <c r="E1787" i="12"/>
  <c r="D1787" i="12"/>
  <c r="C1787" i="12"/>
  <c r="B1787" i="12"/>
  <c r="A1787" i="12"/>
  <c r="F1786" i="12"/>
  <c r="E1786" i="12"/>
  <c r="D1786" i="12"/>
  <c r="C1786" i="12"/>
  <c r="B1786" i="12"/>
  <c r="G1786" i="12" s="1"/>
  <c r="A1786" i="12"/>
  <c r="G1785" i="12"/>
  <c r="F1785" i="12"/>
  <c r="E1785" i="12"/>
  <c r="D1785" i="12"/>
  <c r="C1785" i="12"/>
  <c r="B1785" i="12"/>
  <c r="A1785" i="12"/>
  <c r="G1784" i="12"/>
  <c r="F1784" i="12"/>
  <c r="E1784" i="12"/>
  <c r="D1784" i="12"/>
  <c r="C1784" i="12"/>
  <c r="B1784" i="12"/>
  <c r="A1784" i="12"/>
  <c r="F1783" i="12"/>
  <c r="E1783" i="12"/>
  <c r="D1783" i="12"/>
  <c r="C1783" i="12"/>
  <c r="B1783" i="12"/>
  <c r="G1783" i="12" s="1"/>
  <c r="A1783" i="12"/>
  <c r="F1782" i="12"/>
  <c r="E1782" i="12"/>
  <c r="D1782" i="12"/>
  <c r="C1782" i="12"/>
  <c r="B1782" i="12"/>
  <c r="G1782" i="12" s="1"/>
  <c r="A1782" i="12"/>
  <c r="G1781" i="12"/>
  <c r="F1781" i="12"/>
  <c r="E1781" i="12"/>
  <c r="D1781" i="12"/>
  <c r="C1781" i="12"/>
  <c r="B1781" i="12"/>
  <c r="A1781" i="12"/>
  <c r="G1780" i="12"/>
  <c r="F1780" i="12"/>
  <c r="E1780" i="12"/>
  <c r="D1780" i="12"/>
  <c r="C1780" i="12"/>
  <c r="B1780" i="12"/>
  <c r="A1780" i="12"/>
  <c r="F1779" i="12"/>
  <c r="E1779" i="12"/>
  <c r="D1779" i="12"/>
  <c r="C1779" i="12"/>
  <c r="B1779" i="12"/>
  <c r="G1779" i="12" s="1"/>
  <c r="A1779" i="12"/>
  <c r="F1778" i="12"/>
  <c r="E1778" i="12"/>
  <c r="D1778" i="12"/>
  <c r="C1778" i="12"/>
  <c r="B1778" i="12"/>
  <c r="G1778" i="12" s="1"/>
  <c r="A1778" i="12"/>
  <c r="G1777" i="12"/>
  <c r="F1777" i="12"/>
  <c r="E1777" i="12"/>
  <c r="D1777" i="12"/>
  <c r="C1777" i="12"/>
  <c r="B1777" i="12"/>
  <c r="A1777" i="12"/>
  <c r="F1776" i="12"/>
  <c r="E1776" i="12"/>
  <c r="D1776" i="12"/>
  <c r="C1776" i="12"/>
  <c r="B1776" i="12"/>
  <c r="G1776" i="12" s="1"/>
  <c r="A1776" i="12"/>
  <c r="F1775" i="12"/>
  <c r="E1775" i="12"/>
  <c r="D1775" i="12"/>
  <c r="C1775" i="12"/>
  <c r="B1775" i="12"/>
  <c r="G1775" i="12" s="1"/>
  <c r="A1775" i="12"/>
  <c r="F1774" i="12"/>
  <c r="E1774" i="12"/>
  <c r="D1774" i="12"/>
  <c r="C1774" i="12"/>
  <c r="B1774" i="12"/>
  <c r="G1774" i="12" s="1"/>
  <c r="A1774" i="12"/>
  <c r="G1773" i="12"/>
  <c r="F1773" i="12"/>
  <c r="E1773" i="12"/>
  <c r="D1773" i="12"/>
  <c r="C1773" i="12"/>
  <c r="B1773" i="12"/>
  <c r="A1773" i="12"/>
  <c r="F1772" i="12"/>
  <c r="E1772" i="12"/>
  <c r="D1772" i="12"/>
  <c r="C1772" i="12"/>
  <c r="B1772" i="12"/>
  <c r="G1772" i="12" s="1"/>
  <c r="A1772" i="12"/>
  <c r="G1771" i="12"/>
  <c r="F1771" i="12"/>
  <c r="E1771" i="12"/>
  <c r="D1771" i="12"/>
  <c r="C1771" i="12"/>
  <c r="B1771" i="12"/>
  <c r="A1771" i="12"/>
  <c r="F1770" i="12"/>
  <c r="E1770" i="12"/>
  <c r="D1770" i="12"/>
  <c r="C1770" i="12"/>
  <c r="B1770" i="12"/>
  <c r="G1770" i="12" s="1"/>
  <c r="A1770" i="12"/>
  <c r="G1769" i="12"/>
  <c r="F1769" i="12"/>
  <c r="E1769" i="12"/>
  <c r="D1769" i="12"/>
  <c r="C1769" i="12"/>
  <c r="B1769" i="12"/>
  <c r="A1769" i="12"/>
  <c r="G1768" i="12"/>
  <c r="F1768" i="12"/>
  <c r="E1768" i="12"/>
  <c r="D1768" i="12"/>
  <c r="C1768" i="12"/>
  <c r="B1768" i="12"/>
  <c r="A1768" i="12"/>
  <c r="F1767" i="12"/>
  <c r="E1767" i="12"/>
  <c r="D1767" i="12"/>
  <c r="C1767" i="12"/>
  <c r="B1767" i="12"/>
  <c r="G1767" i="12" s="1"/>
  <c r="A1767" i="12"/>
  <c r="F1766" i="12"/>
  <c r="E1766" i="12"/>
  <c r="D1766" i="12"/>
  <c r="C1766" i="12"/>
  <c r="B1766" i="12"/>
  <c r="G1766" i="12" s="1"/>
  <c r="A1766" i="12"/>
  <c r="G1765" i="12"/>
  <c r="F1765" i="12"/>
  <c r="E1765" i="12"/>
  <c r="D1765" i="12"/>
  <c r="C1765" i="12"/>
  <c r="B1765" i="12"/>
  <c r="A1765" i="12"/>
  <c r="F1764" i="12"/>
  <c r="E1764" i="12"/>
  <c r="D1764" i="12"/>
  <c r="C1764" i="12"/>
  <c r="B1764" i="12"/>
  <c r="G1764" i="12" s="1"/>
  <c r="A1764" i="12"/>
  <c r="F1763" i="12"/>
  <c r="E1763" i="12"/>
  <c r="D1763" i="12"/>
  <c r="C1763" i="12"/>
  <c r="B1763" i="12"/>
  <c r="G1763" i="12" s="1"/>
  <c r="A1763" i="12"/>
  <c r="F1762" i="12"/>
  <c r="E1762" i="12"/>
  <c r="D1762" i="12"/>
  <c r="C1762" i="12"/>
  <c r="B1762" i="12"/>
  <c r="G1762" i="12" s="1"/>
  <c r="A1762" i="12"/>
  <c r="G1761" i="12"/>
  <c r="F1761" i="12"/>
  <c r="E1761" i="12"/>
  <c r="D1761" i="12"/>
  <c r="C1761" i="12"/>
  <c r="B1761" i="12"/>
  <c r="A1761" i="12"/>
  <c r="F1760" i="12"/>
  <c r="E1760" i="12"/>
  <c r="D1760" i="12"/>
  <c r="C1760" i="12"/>
  <c r="B1760" i="12"/>
  <c r="G1760" i="12" s="1"/>
  <c r="A1760" i="12"/>
  <c r="F1759" i="12"/>
  <c r="E1759" i="12"/>
  <c r="D1759" i="12"/>
  <c r="C1759" i="12"/>
  <c r="B1759" i="12"/>
  <c r="G1759" i="12" s="1"/>
  <c r="A1759" i="12"/>
  <c r="F1758" i="12"/>
  <c r="E1758" i="12"/>
  <c r="D1758" i="12"/>
  <c r="C1758" i="12"/>
  <c r="B1758" i="12"/>
  <c r="G1758" i="12" s="1"/>
  <c r="A1758" i="12"/>
  <c r="G1757" i="12"/>
  <c r="F1757" i="12"/>
  <c r="E1757" i="12"/>
  <c r="D1757" i="12"/>
  <c r="C1757" i="12"/>
  <c r="B1757" i="12"/>
  <c r="A1757" i="12"/>
  <c r="F1756" i="12"/>
  <c r="E1756" i="12"/>
  <c r="D1756" i="12"/>
  <c r="C1756" i="12"/>
  <c r="B1756" i="12"/>
  <c r="G1756" i="12" s="1"/>
  <c r="A1756" i="12"/>
  <c r="G1755" i="12"/>
  <c r="F1755" i="12"/>
  <c r="E1755" i="12"/>
  <c r="D1755" i="12"/>
  <c r="C1755" i="12"/>
  <c r="B1755" i="12"/>
  <c r="A1755" i="12"/>
  <c r="F1754" i="12"/>
  <c r="E1754" i="12"/>
  <c r="D1754" i="12"/>
  <c r="C1754" i="12"/>
  <c r="B1754" i="12"/>
  <c r="G1754" i="12" s="1"/>
  <c r="A1754" i="12"/>
  <c r="G1753" i="12"/>
  <c r="F1753" i="12"/>
  <c r="E1753" i="12"/>
  <c r="D1753" i="12"/>
  <c r="C1753" i="12"/>
  <c r="B1753" i="12"/>
  <c r="A1753" i="12"/>
  <c r="G1752" i="12"/>
  <c r="F1752" i="12"/>
  <c r="E1752" i="12"/>
  <c r="D1752" i="12"/>
  <c r="C1752" i="12"/>
  <c r="B1752" i="12"/>
  <c r="A1752" i="12"/>
  <c r="F1751" i="12"/>
  <c r="E1751" i="12"/>
  <c r="D1751" i="12"/>
  <c r="C1751" i="12"/>
  <c r="B1751" i="12"/>
  <c r="G1751" i="12" s="1"/>
  <c r="A1751" i="12"/>
  <c r="F1750" i="12"/>
  <c r="E1750" i="12"/>
  <c r="D1750" i="12"/>
  <c r="C1750" i="12"/>
  <c r="B1750" i="12"/>
  <c r="G1750" i="12" s="1"/>
  <c r="A1750" i="12"/>
  <c r="G1749" i="12"/>
  <c r="F1749" i="12"/>
  <c r="E1749" i="12"/>
  <c r="D1749" i="12"/>
  <c r="C1749" i="12"/>
  <c r="B1749" i="12"/>
  <c r="A1749" i="12"/>
  <c r="F1748" i="12"/>
  <c r="E1748" i="12"/>
  <c r="D1748" i="12"/>
  <c r="C1748" i="12"/>
  <c r="B1748" i="12"/>
  <c r="G1748" i="12" s="1"/>
  <c r="A1748" i="12"/>
  <c r="F1747" i="12"/>
  <c r="E1747" i="12"/>
  <c r="D1747" i="12"/>
  <c r="C1747" i="12"/>
  <c r="B1747" i="12"/>
  <c r="G1747" i="12" s="1"/>
  <c r="A1747" i="12"/>
  <c r="F1746" i="12"/>
  <c r="E1746" i="12"/>
  <c r="D1746" i="12"/>
  <c r="C1746" i="12"/>
  <c r="B1746" i="12"/>
  <c r="G1746" i="12" s="1"/>
  <c r="A1746" i="12"/>
  <c r="G1745" i="12"/>
  <c r="F1745" i="12"/>
  <c r="E1745" i="12"/>
  <c r="D1745" i="12"/>
  <c r="C1745" i="12"/>
  <c r="B1745" i="12"/>
  <c r="A1745" i="12"/>
  <c r="F1744" i="12"/>
  <c r="E1744" i="12"/>
  <c r="D1744" i="12"/>
  <c r="C1744" i="12"/>
  <c r="B1744" i="12"/>
  <c r="G1744" i="12" s="1"/>
  <c r="A1744" i="12"/>
  <c r="F1743" i="12"/>
  <c r="E1743" i="12"/>
  <c r="D1743" i="12"/>
  <c r="C1743" i="12"/>
  <c r="B1743" i="12"/>
  <c r="G1743" i="12" s="1"/>
  <c r="A1743" i="12"/>
  <c r="F1742" i="12"/>
  <c r="E1742" i="12"/>
  <c r="D1742" i="12"/>
  <c r="C1742" i="12"/>
  <c r="B1742" i="12"/>
  <c r="G1742" i="12" s="1"/>
  <c r="A1742" i="12"/>
  <c r="G1741" i="12"/>
  <c r="F1741" i="12"/>
  <c r="E1741" i="12"/>
  <c r="D1741" i="12"/>
  <c r="C1741" i="12"/>
  <c r="B1741" i="12"/>
  <c r="A1741" i="12"/>
  <c r="F1740" i="12"/>
  <c r="E1740" i="12"/>
  <c r="D1740" i="12"/>
  <c r="C1740" i="12"/>
  <c r="B1740" i="12"/>
  <c r="G1740" i="12" s="1"/>
  <c r="A1740" i="12"/>
  <c r="G1739" i="12"/>
  <c r="F1739" i="12"/>
  <c r="E1739" i="12"/>
  <c r="D1739" i="12"/>
  <c r="C1739" i="12"/>
  <c r="B1739" i="12"/>
  <c r="A1739" i="12"/>
  <c r="F1738" i="12"/>
  <c r="E1738" i="12"/>
  <c r="D1738" i="12"/>
  <c r="C1738" i="12"/>
  <c r="B1738" i="12"/>
  <c r="G1738" i="12" s="1"/>
  <c r="A1738" i="12"/>
  <c r="G1737" i="12"/>
  <c r="F1737" i="12"/>
  <c r="E1737" i="12"/>
  <c r="D1737" i="12"/>
  <c r="C1737" i="12"/>
  <c r="B1737" i="12"/>
  <c r="A1737" i="12"/>
  <c r="G1736" i="12"/>
  <c r="F1736" i="12"/>
  <c r="E1736" i="12"/>
  <c r="D1736" i="12"/>
  <c r="C1736" i="12"/>
  <c r="B1736" i="12"/>
  <c r="A1736" i="12"/>
  <c r="F1735" i="12"/>
  <c r="E1735" i="12"/>
  <c r="D1735" i="12"/>
  <c r="C1735" i="12"/>
  <c r="B1735" i="12"/>
  <c r="G1735" i="12" s="1"/>
  <c r="A1735" i="12"/>
  <c r="F1734" i="12"/>
  <c r="E1734" i="12"/>
  <c r="D1734" i="12"/>
  <c r="C1734" i="12"/>
  <c r="B1734" i="12"/>
  <c r="G1734" i="12" s="1"/>
  <c r="A1734" i="12"/>
  <c r="G1733" i="12"/>
  <c r="F1733" i="12"/>
  <c r="E1733" i="12"/>
  <c r="D1733" i="12"/>
  <c r="C1733" i="12"/>
  <c r="B1733" i="12"/>
  <c r="A1733" i="12"/>
  <c r="F1732" i="12"/>
  <c r="E1732" i="12"/>
  <c r="D1732" i="12"/>
  <c r="C1732" i="12"/>
  <c r="B1732" i="12"/>
  <c r="G1732" i="12" s="1"/>
  <c r="A1732" i="12"/>
  <c r="F1731" i="12"/>
  <c r="E1731" i="12"/>
  <c r="D1731" i="12"/>
  <c r="C1731" i="12"/>
  <c r="B1731" i="12"/>
  <c r="G1731" i="12" s="1"/>
  <c r="A1731" i="12"/>
  <c r="F1730" i="12"/>
  <c r="E1730" i="12"/>
  <c r="D1730" i="12"/>
  <c r="C1730" i="12"/>
  <c r="B1730" i="12"/>
  <c r="G1730" i="12" s="1"/>
  <c r="A1730" i="12"/>
  <c r="G1729" i="12"/>
  <c r="F1729" i="12"/>
  <c r="E1729" i="12"/>
  <c r="D1729" i="12"/>
  <c r="C1729" i="12"/>
  <c r="B1729" i="12"/>
  <c r="A1729" i="12"/>
  <c r="F1728" i="12"/>
  <c r="E1728" i="12"/>
  <c r="D1728" i="12"/>
  <c r="C1728" i="12"/>
  <c r="B1728" i="12"/>
  <c r="G1728" i="12" s="1"/>
  <c r="A1728" i="12"/>
  <c r="F1727" i="12"/>
  <c r="E1727" i="12"/>
  <c r="D1727" i="12"/>
  <c r="C1727" i="12"/>
  <c r="B1727" i="12"/>
  <c r="G1727" i="12" s="1"/>
  <c r="A1727" i="12"/>
  <c r="F1726" i="12"/>
  <c r="E1726" i="12"/>
  <c r="D1726" i="12"/>
  <c r="C1726" i="12"/>
  <c r="B1726" i="12"/>
  <c r="G1726" i="12" s="1"/>
  <c r="A1726" i="12"/>
  <c r="G1725" i="12"/>
  <c r="F1725" i="12"/>
  <c r="E1725" i="12"/>
  <c r="D1725" i="12"/>
  <c r="C1725" i="12"/>
  <c r="B1725" i="12"/>
  <c r="A1725" i="12"/>
  <c r="F1724" i="12"/>
  <c r="E1724" i="12"/>
  <c r="D1724" i="12"/>
  <c r="C1724" i="12"/>
  <c r="B1724" i="12"/>
  <c r="G1724" i="12" s="1"/>
  <c r="A1724" i="12"/>
  <c r="G1723" i="12"/>
  <c r="F1723" i="12"/>
  <c r="E1723" i="12"/>
  <c r="D1723" i="12"/>
  <c r="C1723" i="12"/>
  <c r="B1723" i="12"/>
  <c r="A1723" i="12"/>
  <c r="F1722" i="12"/>
  <c r="E1722" i="12"/>
  <c r="D1722" i="12"/>
  <c r="C1722" i="12"/>
  <c r="B1722" i="12"/>
  <c r="G1722" i="12" s="1"/>
  <c r="A1722" i="12"/>
  <c r="G1721" i="12"/>
  <c r="F1721" i="12"/>
  <c r="E1721" i="12"/>
  <c r="D1721" i="12"/>
  <c r="C1721" i="12"/>
  <c r="B1721" i="12"/>
  <c r="A1721" i="12"/>
  <c r="G1720" i="12"/>
  <c r="F1720" i="12"/>
  <c r="E1720" i="12"/>
  <c r="D1720" i="12"/>
  <c r="C1720" i="12"/>
  <c r="B1720" i="12"/>
  <c r="A1720" i="12"/>
  <c r="F1719" i="12"/>
  <c r="E1719" i="12"/>
  <c r="D1719" i="12"/>
  <c r="C1719" i="12"/>
  <c r="B1719" i="12"/>
  <c r="G1719" i="12" s="1"/>
  <c r="A1719" i="12"/>
  <c r="F1718" i="12"/>
  <c r="E1718" i="12"/>
  <c r="D1718" i="12"/>
  <c r="C1718" i="12"/>
  <c r="B1718" i="12"/>
  <c r="G1718" i="12" s="1"/>
  <c r="A1718" i="12"/>
  <c r="G1717" i="12"/>
  <c r="F1717" i="12"/>
  <c r="E1717" i="12"/>
  <c r="D1717" i="12"/>
  <c r="C1717" i="12"/>
  <c r="B1717" i="12"/>
  <c r="A1717" i="12"/>
  <c r="F1716" i="12"/>
  <c r="E1716" i="12"/>
  <c r="D1716" i="12"/>
  <c r="C1716" i="12"/>
  <c r="B1716" i="12"/>
  <c r="G1716" i="12" s="1"/>
  <c r="A1716" i="12"/>
  <c r="F1715" i="12"/>
  <c r="E1715" i="12"/>
  <c r="D1715" i="12"/>
  <c r="C1715" i="12"/>
  <c r="B1715" i="12"/>
  <c r="G1715" i="12" s="1"/>
  <c r="A1715" i="12"/>
  <c r="F1714" i="12"/>
  <c r="E1714" i="12"/>
  <c r="D1714" i="12"/>
  <c r="C1714" i="12"/>
  <c r="B1714" i="12"/>
  <c r="G1714" i="12" s="1"/>
  <c r="A1714" i="12"/>
  <c r="G1713" i="12"/>
  <c r="F1713" i="12"/>
  <c r="E1713" i="12"/>
  <c r="D1713" i="12"/>
  <c r="C1713" i="12"/>
  <c r="B1713" i="12"/>
  <c r="A1713" i="12"/>
  <c r="F1712" i="12"/>
  <c r="E1712" i="12"/>
  <c r="D1712" i="12"/>
  <c r="C1712" i="12"/>
  <c r="B1712" i="12"/>
  <c r="G1712" i="12" s="1"/>
  <c r="A1712" i="12"/>
  <c r="F1711" i="12"/>
  <c r="E1711" i="12"/>
  <c r="D1711" i="12"/>
  <c r="C1711" i="12"/>
  <c r="B1711" i="12"/>
  <c r="G1711" i="12" s="1"/>
  <c r="A1711" i="12"/>
  <c r="F1710" i="12"/>
  <c r="E1710" i="12"/>
  <c r="D1710" i="12"/>
  <c r="C1710" i="12"/>
  <c r="B1710" i="12"/>
  <c r="G1710" i="12" s="1"/>
  <c r="A1710" i="12"/>
  <c r="G1709" i="12"/>
  <c r="F1709" i="12"/>
  <c r="E1709" i="12"/>
  <c r="D1709" i="12"/>
  <c r="C1709" i="12"/>
  <c r="B1709" i="12"/>
  <c r="A1709" i="12"/>
  <c r="F1708" i="12"/>
  <c r="E1708" i="12"/>
  <c r="D1708" i="12"/>
  <c r="C1708" i="12"/>
  <c r="B1708" i="12"/>
  <c r="G1708" i="12" s="1"/>
  <c r="A1708" i="12"/>
  <c r="G1707" i="12"/>
  <c r="F1707" i="12"/>
  <c r="E1707" i="12"/>
  <c r="D1707" i="12"/>
  <c r="C1707" i="12"/>
  <c r="B1707" i="12"/>
  <c r="A1707" i="12"/>
  <c r="F1706" i="12"/>
  <c r="E1706" i="12"/>
  <c r="D1706" i="12"/>
  <c r="C1706" i="12"/>
  <c r="B1706" i="12"/>
  <c r="G1706" i="12" s="1"/>
  <c r="A1706" i="12"/>
  <c r="G1705" i="12"/>
  <c r="F1705" i="12"/>
  <c r="E1705" i="12"/>
  <c r="D1705" i="12"/>
  <c r="C1705" i="12"/>
  <c r="B1705" i="12"/>
  <c r="A1705" i="12"/>
  <c r="G1704" i="12"/>
  <c r="F1704" i="12"/>
  <c r="E1704" i="12"/>
  <c r="D1704" i="12"/>
  <c r="C1704" i="12"/>
  <c r="B1704" i="12"/>
  <c r="A1704" i="12"/>
  <c r="F1703" i="12"/>
  <c r="E1703" i="12"/>
  <c r="D1703" i="12"/>
  <c r="C1703" i="12"/>
  <c r="B1703" i="12"/>
  <c r="G1703" i="12" s="1"/>
  <c r="A1703" i="12"/>
  <c r="F1702" i="12"/>
  <c r="E1702" i="12"/>
  <c r="D1702" i="12"/>
  <c r="C1702" i="12"/>
  <c r="B1702" i="12"/>
  <c r="G1702" i="12" s="1"/>
  <c r="A1702" i="12"/>
  <c r="G1701" i="12"/>
  <c r="F1701" i="12"/>
  <c r="E1701" i="12"/>
  <c r="D1701" i="12"/>
  <c r="C1701" i="12"/>
  <c r="B1701" i="12"/>
  <c r="A1701" i="12"/>
  <c r="F1700" i="12"/>
  <c r="E1700" i="12"/>
  <c r="D1700" i="12"/>
  <c r="C1700" i="12"/>
  <c r="B1700" i="12"/>
  <c r="G1700" i="12" s="1"/>
  <c r="A1700" i="12"/>
  <c r="F1699" i="12"/>
  <c r="E1699" i="12"/>
  <c r="D1699" i="12"/>
  <c r="C1699" i="12"/>
  <c r="B1699" i="12"/>
  <c r="G1699" i="12" s="1"/>
  <c r="A1699" i="12"/>
  <c r="F1698" i="12"/>
  <c r="E1698" i="12"/>
  <c r="D1698" i="12"/>
  <c r="C1698" i="12"/>
  <c r="B1698" i="12"/>
  <c r="G1698" i="12" s="1"/>
  <c r="A1698" i="12"/>
  <c r="G1697" i="12"/>
  <c r="F1697" i="12"/>
  <c r="E1697" i="12"/>
  <c r="D1697" i="12"/>
  <c r="C1697" i="12"/>
  <c r="B1697" i="12"/>
  <c r="A1697" i="12"/>
  <c r="F1696" i="12"/>
  <c r="E1696" i="12"/>
  <c r="D1696" i="12"/>
  <c r="C1696" i="12"/>
  <c r="B1696" i="12"/>
  <c r="G1696" i="12" s="1"/>
  <c r="A1696" i="12"/>
  <c r="F1695" i="12"/>
  <c r="E1695" i="12"/>
  <c r="D1695" i="12"/>
  <c r="C1695" i="12"/>
  <c r="B1695" i="12"/>
  <c r="G1695" i="12" s="1"/>
  <c r="A1695" i="12"/>
  <c r="F1694" i="12"/>
  <c r="E1694" i="12"/>
  <c r="D1694" i="12"/>
  <c r="C1694" i="12"/>
  <c r="B1694" i="12"/>
  <c r="G1694" i="12" s="1"/>
  <c r="A1694" i="12"/>
  <c r="G1693" i="12"/>
  <c r="F1693" i="12"/>
  <c r="E1693" i="12"/>
  <c r="D1693" i="12"/>
  <c r="C1693" i="12"/>
  <c r="B1693" i="12"/>
  <c r="A1693" i="12"/>
  <c r="F1692" i="12"/>
  <c r="E1692" i="12"/>
  <c r="D1692" i="12"/>
  <c r="C1692" i="12"/>
  <c r="B1692" i="12"/>
  <c r="G1692" i="12" s="1"/>
  <c r="A1692" i="12"/>
  <c r="G1691" i="12"/>
  <c r="F1691" i="12"/>
  <c r="E1691" i="12"/>
  <c r="D1691" i="12"/>
  <c r="C1691" i="12"/>
  <c r="B1691" i="12"/>
  <c r="A1691" i="12"/>
  <c r="F1690" i="12"/>
  <c r="E1690" i="12"/>
  <c r="D1690" i="12"/>
  <c r="C1690" i="12"/>
  <c r="B1690" i="12"/>
  <c r="G1690" i="12" s="1"/>
  <c r="A1690" i="12"/>
  <c r="G1689" i="12"/>
  <c r="F1689" i="12"/>
  <c r="E1689" i="12"/>
  <c r="D1689" i="12"/>
  <c r="C1689" i="12"/>
  <c r="B1689" i="12"/>
  <c r="A1689" i="12"/>
  <c r="G1688" i="12"/>
  <c r="F1688" i="12"/>
  <c r="E1688" i="12"/>
  <c r="D1688" i="12"/>
  <c r="C1688" i="12"/>
  <c r="B1688" i="12"/>
  <c r="A1688" i="12"/>
  <c r="F1687" i="12"/>
  <c r="E1687" i="12"/>
  <c r="D1687" i="12"/>
  <c r="C1687" i="12"/>
  <c r="B1687" i="12"/>
  <c r="G1687" i="12" s="1"/>
  <c r="A1687" i="12"/>
  <c r="F1686" i="12"/>
  <c r="E1686" i="12"/>
  <c r="D1686" i="12"/>
  <c r="C1686" i="12"/>
  <c r="B1686" i="12"/>
  <c r="G1686" i="12" s="1"/>
  <c r="A1686" i="12"/>
  <c r="G1685" i="12"/>
  <c r="F1685" i="12"/>
  <c r="E1685" i="12"/>
  <c r="D1685" i="12"/>
  <c r="C1685" i="12"/>
  <c r="B1685" i="12"/>
  <c r="A1685" i="12"/>
  <c r="F1684" i="12"/>
  <c r="E1684" i="12"/>
  <c r="D1684" i="12"/>
  <c r="C1684" i="12"/>
  <c r="B1684" i="12"/>
  <c r="G1684" i="12" s="1"/>
  <c r="A1684" i="12"/>
  <c r="F1683" i="12"/>
  <c r="E1683" i="12"/>
  <c r="D1683" i="12"/>
  <c r="C1683" i="12"/>
  <c r="B1683" i="12"/>
  <c r="G1683" i="12" s="1"/>
  <c r="A1683" i="12"/>
  <c r="F1682" i="12"/>
  <c r="E1682" i="12"/>
  <c r="D1682" i="12"/>
  <c r="C1682" i="12"/>
  <c r="B1682" i="12"/>
  <c r="G1682" i="12" s="1"/>
  <c r="A1682" i="12"/>
  <c r="G1681" i="12"/>
  <c r="F1681" i="12"/>
  <c r="E1681" i="12"/>
  <c r="D1681" i="12"/>
  <c r="C1681" i="12"/>
  <c r="B1681" i="12"/>
  <c r="A1681" i="12"/>
  <c r="F1680" i="12"/>
  <c r="E1680" i="12"/>
  <c r="D1680" i="12"/>
  <c r="C1680" i="12"/>
  <c r="B1680" i="12"/>
  <c r="G1680" i="12" s="1"/>
  <c r="A1680" i="12"/>
  <c r="F1679" i="12"/>
  <c r="E1679" i="12"/>
  <c r="D1679" i="12"/>
  <c r="C1679" i="12"/>
  <c r="B1679" i="12"/>
  <c r="G1679" i="12" s="1"/>
  <c r="A1679" i="12"/>
  <c r="F1678" i="12"/>
  <c r="E1678" i="12"/>
  <c r="D1678" i="12"/>
  <c r="C1678" i="12"/>
  <c r="B1678" i="12"/>
  <c r="G1678" i="12" s="1"/>
  <c r="A1678" i="12"/>
  <c r="G1677" i="12"/>
  <c r="F1677" i="12"/>
  <c r="E1677" i="12"/>
  <c r="D1677" i="12"/>
  <c r="C1677" i="12"/>
  <c r="B1677" i="12"/>
  <c r="A1677" i="12"/>
  <c r="F1676" i="12"/>
  <c r="E1676" i="12"/>
  <c r="D1676" i="12"/>
  <c r="C1676" i="12"/>
  <c r="B1676" i="12"/>
  <c r="G1676" i="12" s="1"/>
  <c r="A1676" i="12"/>
  <c r="G1675" i="12"/>
  <c r="F1675" i="12"/>
  <c r="E1675" i="12"/>
  <c r="D1675" i="12"/>
  <c r="C1675" i="12"/>
  <c r="B1675" i="12"/>
  <c r="A1675" i="12"/>
  <c r="F1674" i="12"/>
  <c r="E1674" i="12"/>
  <c r="D1674" i="12"/>
  <c r="C1674" i="12"/>
  <c r="B1674" i="12"/>
  <c r="G1674" i="12" s="1"/>
  <c r="A1674" i="12"/>
  <c r="G1673" i="12"/>
  <c r="F1673" i="12"/>
  <c r="E1673" i="12"/>
  <c r="D1673" i="12"/>
  <c r="C1673" i="12"/>
  <c r="B1673" i="12"/>
  <c r="A1673" i="12"/>
  <c r="G1672" i="12"/>
  <c r="F1672" i="12"/>
  <c r="E1672" i="12"/>
  <c r="D1672" i="12"/>
  <c r="C1672" i="12"/>
  <c r="B1672" i="12"/>
  <c r="A1672" i="12"/>
  <c r="F1671" i="12"/>
  <c r="E1671" i="12"/>
  <c r="D1671" i="12"/>
  <c r="C1671" i="12"/>
  <c r="B1671" i="12"/>
  <c r="G1671" i="12" s="1"/>
  <c r="A1671" i="12"/>
  <c r="F1670" i="12"/>
  <c r="E1670" i="12"/>
  <c r="D1670" i="12"/>
  <c r="C1670" i="12"/>
  <c r="B1670" i="12"/>
  <c r="G1670" i="12" s="1"/>
  <c r="A1670" i="12"/>
  <c r="G1669" i="12"/>
  <c r="F1669" i="12"/>
  <c r="E1669" i="12"/>
  <c r="D1669" i="12"/>
  <c r="C1669" i="12"/>
  <c r="B1669" i="12"/>
  <c r="A1669" i="12"/>
  <c r="F1668" i="12"/>
  <c r="E1668" i="12"/>
  <c r="D1668" i="12"/>
  <c r="C1668" i="12"/>
  <c r="B1668" i="12"/>
  <c r="G1668" i="12" s="1"/>
  <c r="A1668" i="12"/>
  <c r="F1667" i="12"/>
  <c r="E1667" i="12"/>
  <c r="D1667" i="12"/>
  <c r="C1667" i="12"/>
  <c r="B1667" i="12"/>
  <c r="G1667" i="12" s="1"/>
  <c r="A1667" i="12"/>
  <c r="F1666" i="12"/>
  <c r="E1666" i="12"/>
  <c r="D1666" i="12"/>
  <c r="C1666" i="12"/>
  <c r="B1666" i="12"/>
  <c r="G1666" i="12" s="1"/>
  <c r="A1666" i="12"/>
  <c r="G1665" i="12"/>
  <c r="F1665" i="12"/>
  <c r="E1665" i="12"/>
  <c r="D1665" i="12"/>
  <c r="C1665" i="12"/>
  <c r="B1665" i="12"/>
  <c r="A1665" i="12"/>
  <c r="F1664" i="12"/>
  <c r="E1664" i="12"/>
  <c r="D1664" i="12"/>
  <c r="C1664" i="12"/>
  <c r="B1664" i="12"/>
  <c r="G1664" i="12" s="1"/>
  <c r="A1664" i="12"/>
  <c r="F1663" i="12"/>
  <c r="E1663" i="12"/>
  <c r="D1663" i="12"/>
  <c r="C1663" i="12"/>
  <c r="B1663" i="12"/>
  <c r="G1663" i="12" s="1"/>
  <c r="A1663" i="12"/>
  <c r="F1662" i="12"/>
  <c r="E1662" i="12"/>
  <c r="D1662" i="12"/>
  <c r="C1662" i="12"/>
  <c r="B1662" i="12"/>
  <c r="G1662" i="12" s="1"/>
  <c r="A1662" i="12"/>
  <c r="F1661" i="12"/>
  <c r="E1661" i="12"/>
  <c r="D1661" i="12"/>
  <c r="C1661" i="12"/>
  <c r="B1661" i="12"/>
  <c r="G1661" i="12" s="1"/>
  <c r="A1661" i="12"/>
  <c r="F1660" i="12"/>
  <c r="E1660" i="12"/>
  <c r="D1660" i="12"/>
  <c r="C1660" i="12"/>
  <c r="B1660" i="12"/>
  <c r="G1660" i="12" s="1"/>
  <c r="A1660" i="12"/>
  <c r="G1659" i="12"/>
  <c r="F1659" i="12"/>
  <c r="E1659" i="12"/>
  <c r="D1659" i="12"/>
  <c r="C1659" i="12"/>
  <c r="B1659" i="12"/>
  <c r="A1659" i="12"/>
  <c r="G1658" i="12"/>
  <c r="F1658" i="12"/>
  <c r="E1658" i="12"/>
  <c r="D1658" i="12"/>
  <c r="C1658" i="12"/>
  <c r="B1658" i="12"/>
  <c r="A1658" i="12"/>
  <c r="F1657" i="12"/>
  <c r="E1657" i="12"/>
  <c r="D1657" i="12"/>
  <c r="C1657" i="12"/>
  <c r="B1657" i="12"/>
  <c r="G1657" i="12" s="1"/>
  <c r="A1657" i="12"/>
  <c r="F1656" i="12"/>
  <c r="E1656" i="12"/>
  <c r="D1656" i="12"/>
  <c r="C1656" i="12"/>
  <c r="B1656" i="12"/>
  <c r="G1656" i="12" s="1"/>
  <c r="A1656" i="12"/>
  <c r="G1655" i="12"/>
  <c r="F1655" i="12"/>
  <c r="E1655" i="12"/>
  <c r="D1655" i="12"/>
  <c r="C1655" i="12"/>
  <c r="B1655" i="12"/>
  <c r="A1655" i="12"/>
  <c r="F1654" i="12"/>
  <c r="E1654" i="12"/>
  <c r="D1654" i="12"/>
  <c r="C1654" i="12"/>
  <c r="B1654" i="12"/>
  <c r="G1654" i="12" s="1"/>
  <c r="A1654" i="12"/>
  <c r="F1653" i="12"/>
  <c r="E1653" i="12"/>
  <c r="D1653" i="12"/>
  <c r="C1653" i="12"/>
  <c r="B1653" i="12"/>
  <c r="G1653" i="12" s="1"/>
  <c r="A1653" i="12"/>
  <c r="F1652" i="12"/>
  <c r="E1652" i="12"/>
  <c r="D1652" i="12"/>
  <c r="C1652" i="12"/>
  <c r="B1652" i="12"/>
  <c r="G1652" i="12" s="1"/>
  <c r="A1652" i="12"/>
  <c r="G1651" i="12"/>
  <c r="F1651" i="12"/>
  <c r="E1651" i="12"/>
  <c r="D1651" i="12"/>
  <c r="C1651" i="12"/>
  <c r="B1651" i="12"/>
  <c r="A1651" i="12"/>
  <c r="G1650" i="12"/>
  <c r="F1650" i="12"/>
  <c r="E1650" i="12"/>
  <c r="D1650" i="12"/>
  <c r="C1650" i="12"/>
  <c r="B1650" i="12"/>
  <c r="A1650" i="12"/>
  <c r="F1649" i="12"/>
  <c r="E1649" i="12"/>
  <c r="D1649" i="12"/>
  <c r="C1649" i="12"/>
  <c r="B1649" i="12"/>
  <c r="G1649" i="12" s="1"/>
  <c r="A1649" i="12"/>
  <c r="F1648" i="12"/>
  <c r="E1648" i="12"/>
  <c r="D1648" i="12"/>
  <c r="C1648" i="12"/>
  <c r="B1648" i="12"/>
  <c r="G1648" i="12" s="1"/>
  <c r="A1648" i="12"/>
  <c r="G1647" i="12"/>
  <c r="F1647" i="12"/>
  <c r="E1647" i="12"/>
  <c r="D1647" i="12"/>
  <c r="C1647" i="12"/>
  <c r="B1647" i="12"/>
  <c r="A1647" i="12"/>
  <c r="F1646" i="12"/>
  <c r="E1646" i="12"/>
  <c r="D1646" i="12"/>
  <c r="C1646" i="12"/>
  <c r="B1646" i="12"/>
  <c r="G1646" i="12" s="1"/>
  <c r="A1646" i="12"/>
  <c r="F1645" i="12"/>
  <c r="E1645" i="12"/>
  <c r="D1645" i="12"/>
  <c r="C1645" i="12"/>
  <c r="B1645" i="12"/>
  <c r="G1645" i="12" s="1"/>
  <c r="A1645" i="12"/>
  <c r="F1644" i="12"/>
  <c r="E1644" i="12"/>
  <c r="D1644" i="12"/>
  <c r="C1644" i="12"/>
  <c r="B1644" i="12"/>
  <c r="G1644" i="12" s="1"/>
  <c r="A1644" i="12"/>
  <c r="G1643" i="12"/>
  <c r="F1643" i="12"/>
  <c r="E1643" i="12"/>
  <c r="D1643" i="12"/>
  <c r="C1643" i="12"/>
  <c r="B1643" i="12"/>
  <c r="A1643" i="12"/>
  <c r="G1642" i="12"/>
  <c r="F1642" i="12"/>
  <c r="E1642" i="12"/>
  <c r="D1642" i="12"/>
  <c r="C1642" i="12"/>
  <c r="B1642" i="12"/>
  <c r="A1642" i="12"/>
  <c r="F1641" i="12"/>
  <c r="E1641" i="12"/>
  <c r="D1641" i="12"/>
  <c r="C1641" i="12"/>
  <c r="B1641" i="12"/>
  <c r="G1641" i="12" s="1"/>
  <c r="A1641" i="12"/>
  <c r="F1640" i="12"/>
  <c r="E1640" i="12"/>
  <c r="D1640" i="12"/>
  <c r="C1640" i="12"/>
  <c r="B1640" i="12"/>
  <c r="G1640" i="12" s="1"/>
  <c r="A1640" i="12"/>
  <c r="G1639" i="12"/>
  <c r="F1639" i="12"/>
  <c r="E1639" i="12"/>
  <c r="D1639" i="12"/>
  <c r="C1639" i="12"/>
  <c r="B1639" i="12"/>
  <c r="A1639" i="12"/>
  <c r="F1638" i="12"/>
  <c r="E1638" i="12"/>
  <c r="D1638" i="12"/>
  <c r="C1638" i="12"/>
  <c r="B1638" i="12"/>
  <c r="G1638" i="12" s="1"/>
  <c r="A1638" i="12"/>
  <c r="F1637" i="12"/>
  <c r="E1637" i="12"/>
  <c r="D1637" i="12"/>
  <c r="C1637" i="12"/>
  <c r="B1637" i="12"/>
  <c r="G1637" i="12" s="1"/>
  <c r="A1637" i="12"/>
  <c r="F1636" i="12"/>
  <c r="E1636" i="12"/>
  <c r="D1636" i="12"/>
  <c r="C1636" i="12"/>
  <c r="B1636" i="12"/>
  <c r="G1636" i="12" s="1"/>
  <c r="A1636" i="12"/>
  <c r="G1635" i="12"/>
  <c r="F1635" i="12"/>
  <c r="E1635" i="12"/>
  <c r="D1635" i="12"/>
  <c r="C1635" i="12"/>
  <c r="B1635" i="12"/>
  <c r="A1635" i="12"/>
  <c r="G1634" i="12"/>
  <c r="F1634" i="12"/>
  <c r="E1634" i="12"/>
  <c r="D1634" i="12"/>
  <c r="C1634" i="12"/>
  <c r="B1634" i="12"/>
  <c r="A1634" i="12"/>
  <c r="F1633" i="12"/>
  <c r="E1633" i="12"/>
  <c r="D1633" i="12"/>
  <c r="C1633" i="12"/>
  <c r="B1633" i="12"/>
  <c r="G1633" i="12" s="1"/>
  <c r="A1633" i="12"/>
  <c r="F1632" i="12"/>
  <c r="E1632" i="12"/>
  <c r="D1632" i="12"/>
  <c r="C1632" i="12"/>
  <c r="B1632" i="12"/>
  <c r="G1632" i="12" s="1"/>
  <c r="A1632" i="12"/>
  <c r="G1631" i="12"/>
  <c r="F1631" i="12"/>
  <c r="E1631" i="12"/>
  <c r="D1631" i="12"/>
  <c r="C1631" i="12"/>
  <c r="B1631" i="12"/>
  <c r="A1631" i="12"/>
  <c r="F1630" i="12"/>
  <c r="E1630" i="12"/>
  <c r="D1630" i="12"/>
  <c r="C1630" i="12"/>
  <c r="B1630" i="12"/>
  <c r="G1630" i="12" s="1"/>
  <c r="A1630" i="12"/>
  <c r="F1629" i="12"/>
  <c r="E1629" i="12"/>
  <c r="D1629" i="12"/>
  <c r="C1629" i="12"/>
  <c r="B1629" i="12"/>
  <c r="G1629" i="12" s="1"/>
  <c r="A1629" i="12"/>
  <c r="F1628" i="12"/>
  <c r="E1628" i="12"/>
  <c r="D1628" i="12"/>
  <c r="C1628" i="12"/>
  <c r="B1628" i="12"/>
  <c r="G1628" i="12" s="1"/>
  <c r="A1628" i="12"/>
  <c r="G1627" i="12"/>
  <c r="F1627" i="12"/>
  <c r="E1627" i="12"/>
  <c r="D1627" i="12"/>
  <c r="C1627" i="12"/>
  <c r="B1627" i="12"/>
  <c r="A1627" i="12"/>
  <c r="G1626" i="12"/>
  <c r="F1626" i="12"/>
  <c r="E1626" i="12"/>
  <c r="D1626" i="12"/>
  <c r="C1626" i="12"/>
  <c r="B1626" i="12"/>
  <c r="A1626" i="12"/>
  <c r="F1625" i="12"/>
  <c r="E1625" i="12"/>
  <c r="D1625" i="12"/>
  <c r="C1625" i="12"/>
  <c r="B1625" i="12"/>
  <c r="G1625" i="12" s="1"/>
  <c r="A1625" i="12"/>
  <c r="F1624" i="12"/>
  <c r="E1624" i="12"/>
  <c r="D1624" i="12"/>
  <c r="C1624" i="12"/>
  <c r="B1624" i="12"/>
  <c r="G1624" i="12" s="1"/>
  <c r="A1624" i="12"/>
  <c r="G1623" i="12"/>
  <c r="F1623" i="12"/>
  <c r="E1623" i="12"/>
  <c r="D1623" i="12"/>
  <c r="C1623" i="12"/>
  <c r="B1623" i="12"/>
  <c r="A1623" i="12"/>
  <c r="F1622" i="12"/>
  <c r="E1622" i="12"/>
  <c r="D1622" i="12"/>
  <c r="C1622" i="12"/>
  <c r="B1622" i="12"/>
  <c r="G1622" i="12" s="1"/>
  <c r="A1622" i="12"/>
  <c r="F1621" i="12"/>
  <c r="E1621" i="12"/>
  <c r="D1621" i="12"/>
  <c r="C1621" i="12"/>
  <c r="B1621" i="12"/>
  <c r="G1621" i="12" s="1"/>
  <c r="A1621" i="12"/>
  <c r="F1620" i="12"/>
  <c r="E1620" i="12"/>
  <c r="D1620" i="12"/>
  <c r="C1620" i="12"/>
  <c r="B1620" i="12"/>
  <c r="G1620" i="12" s="1"/>
  <c r="A1620" i="12"/>
  <c r="G1619" i="12"/>
  <c r="F1619" i="12"/>
  <c r="E1619" i="12"/>
  <c r="D1619" i="12"/>
  <c r="C1619" i="12"/>
  <c r="B1619" i="12"/>
  <c r="A1619" i="12"/>
  <c r="G1618" i="12"/>
  <c r="F1618" i="12"/>
  <c r="E1618" i="12"/>
  <c r="D1618" i="12"/>
  <c r="C1618" i="12"/>
  <c r="B1618" i="12"/>
  <c r="A1618" i="12"/>
  <c r="F1617" i="12"/>
  <c r="E1617" i="12"/>
  <c r="D1617" i="12"/>
  <c r="C1617" i="12"/>
  <c r="B1617" i="12"/>
  <c r="G1617" i="12" s="1"/>
  <c r="A1617" i="12"/>
  <c r="F1616" i="12"/>
  <c r="E1616" i="12"/>
  <c r="D1616" i="12"/>
  <c r="C1616" i="12"/>
  <c r="B1616" i="12"/>
  <c r="G1616" i="12" s="1"/>
  <c r="A1616" i="12"/>
  <c r="G1615" i="12"/>
  <c r="F1615" i="12"/>
  <c r="E1615" i="12"/>
  <c r="D1615" i="12"/>
  <c r="C1615" i="12"/>
  <c r="B1615" i="12"/>
  <c r="A1615" i="12"/>
  <c r="F1614" i="12"/>
  <c r="E1614" i="12"/>
  <c r="D1614" i="12"/>
  <c r="C1614" i="12"/>
  <c r="B1614" i="12"/>
  <c r="G1614" i="12" s="1"/>
  <c r="A1614" i="12"/>
  <c r="F1613" i="12"/>
  <c r="E1613" i="12"/>
  <c r="D1613" i="12"/>
  <c r="C1613" i="12"/>
  <c r="B1613" i="12"/>
  <c r="G1613" i="12" s="1"/>
  <c r="A1613" i="12"/>
  <c r="F1612" i="12"/>
  <c r="E1612" i="12"/>
  <c r="D1612" i="12"/>
  <c r="C1612" i="12"/>
  <c r="B1612" i="12"/>
  <c r="G1612" i="12" s="1"/>
  <c r="A1612" i="12"/>
  <c r="G1611" i="12"/>
  <c r="F1611" i="12"/>
  <c r="E1611" i="12"/>
  <c r="D1611" i="12"/>
  <c r="C1611" i="12"/>
  <c r="B1611" i="12"/>
  <c r="A1611" i="12"/>
  <c r="G1610" i="12"/>
  <c r="F1610" i="12"/>
  <c r="E1610" i="12"/>
  <c r="D1610" i="12"/>
  <c r="C1610" i="12"/>
  <c r="B1610" i="12"/>
  <c r="A1610" i="12"/>
  <c r="F1609" i="12"/>
  <c r="E1609" i="12"/>
  <c r="D1609" i="12"/>
  <c r="C1609" i="12"/>
  <c r="B1609" i="12"/>
  <c r="G1609" i="12" s="1"/>
  <c r="A1609" i="12"/>
  <c r="F1608" i="12"/>
  <c r="E1608" i="12"/>
  <c r="D1608" i="12"/>
  <c r="C1608" i="12"/>
  <c r="B1608" i="12"/>
  <c r="G1608" i="12" s="1"/>
  <c r="A1608" i="12"/>
  <c r="G1607" i="12"/>
  <c r="F1607" i="12"/>
  <c r="E1607" i="12"/>
  <c r="D1607" i="12"/>
  <c r="C1607" i="12"/>
  <c r="B1607" i="12"/>
  <c r="A1607" i="12"/>
  <c r="F1606" i="12"/>
  <c r="E1606" i="12"/>
  <c r="D1606" i="12"/>
  <c r="C1606" i="12"/>
  <c r="B1606" i="12"/>
  <c r="G1606" i="12" s="1"/>
  <c r="A1606" i="12"/>
  <c r="F1605" i="12"/>
  <c r="E1605" i="12"/>
  <c r="D1605" i="12"/>
  <c r="C1605" i="12"/>
  <c r="B1605" i="12"/>
  <c r="G1605" i="12" s="1"/>
  <c r="A1605" i="12"/>
  <c r="F1604" i="12"/>
  <c r="E1604" i="12"/>
  <c r="D1604" i="12"/>
  <c r="C1604" i="12"/>
  <c r="B1604" i="12"/>
  <c r="G1604" i="12" s="1"/>
  <c r="A1604" i="12"/>
  <c r="G1603" i="12"/>
  <c r="F1603" i="12"/>
  <c r="E1603" i="12"/>
  <c r="D1603" i="12"/>
  <c r="C1603" i="12"/>
  <c r="B1603" i="12"/>
  <c r="A1603" i="12"/>
  <c r="G1602" i="12"/>
  <c r="F1602" i="12"/>
  <c r="E1602" i="12"/>
  <c r="D1602" i="12"/>
  <c r="C1602" i="12"/>
  <c r="B1602" i="12"/>
  <c r="A1602" i="12"/>
  <c r="F1601" i="12"/>
  <c r="E1601" i="12"/>
  <c r="D1601" i="12"/>
  <c r="C1601" i="12"/>
  <c r="B1601" i="12"/>
  <c r="G1601" i="12" s="1"/>
  <c r="A1601" i="12"/>
  <c r="F1600" i="12"/>
  <c r="E1600" i="12"/>
  <c r="D1600" i="12"/>
  <c r="C1600" i="12"/>
  <c r="B1600" i="12"/>
  <c r="G1600" i="12" s="1"/>
  <c r="A1600" i="12"/>
  <c r="G1599" i="12"/>
  <c r="F1599" i="12"/>
  <c r="E1599" i="12"/>
  <c r="D1599" i="12"/>
  <c r="C1599" i="12"/>
  <c r="B1599" i="12"/>
  <c r="A1599" i="12"/>
  <c r="F1598" i="12"/>
  <c r="E1598" i="12"/>
  <c r="D1598" i="12"/>
  <c r="C1598" i="12"/>
  <c r="B1598" i="12"/>
  <c r="G1598" i="12" s="1"/>
  <c r="A1598" i="12"/>
  <c r="F1597" i="12"/>
  <c r="E1597" i="12"/>
  <c r="D1597" i="12"/>
  <c r="C1597" i="12"/>
  <c r="B1597" i="12"/>
  <c r="G1597" i="12" s="1"/>
  <c r="A1597" i="12"/>
  <c r="F1596" i="12"/>
  <c r="E1596" i="12"/>
  <c r="D1596" i="12"/>
  <c r="C1596" i="12"/>
  <c r="B1596" i="12"/>
  <c r="G1596" i="12" s="1"/>
  <c r="A1596" i="12"/>
  <c r="G1595" i="12"/>
  <c r="F1595" i="12"/>
  <c r="E1595" i="12"/>
  <c r="D1595" i="12"/>
  <c r="C1595" i="12"/>
  <c r="B1595" i="12"/>
  <c r="A1595" i="12"/>
  <c r="G1594" i="12"/>
  <c r="F1594" i="12"/>
  <c r="E1594" i="12"/>
  <c r="D1594" i="12"/>
  <c r="C1594" i="12"/>
  <c r="B1594" i="12"/>
  <c r="A1594" i="12"/>
  <c r="F1593" i="12"/>
  <c r="E1593" i="12"/>
  <c r="D1593" i="12"/>
  <c r="C1593" i="12"/>
  <c r="B1593" i="12"/>
  <c r="G1593" i="12" s="1"/>
  <c r="A1593" i="12"/>
  <c r="F1592" i="12"/>
  <c r="E1592" i="12"/>
  <c r="D1592" i="12"/>
  <c r="C1592" i="12"/>
  <c r="B1592" i="12"/>
  <c r="G1592" i="12" s="1"/>
  <c r="A1592" i="12"/>
  <c r="G1591" i="12"/>
  <c r="F1591" i="12"/>
  <c r="E1591" i="12"/>
  <c r="D1591" i="12"/>
  <c r="C1591" i="12"/>
  <c r="B1591" i="12"/>
  <c r="A1591" i="12"/>
  <c r="F1590" i="12"/>
  <c r="E1590" i="12"/>
  <c r="D1590" i="12"/>
  <c r="C1590" i="12"/>
  <c r="B1590" i="12"/>
  <c r="G1590" i="12" s="1"/>
  <c r="A1590" i="12"/>
  <c r="F1589" i="12"/>
  <c r="E1589" i="12"/>
  <c r="D1589" i="12"/>
  <c r="C1589" i="12"/>
  <c r="B1589" i="12"/>
  <c r="G1589" i="12" s="1"/>
  <c r="A1589" i="12"/>
  <c r="F1588" i="12"/>
  <c r="E1588" i="12"/>
  <c r="D1588" i="12"/>
  <c r="C1588" i="12"/>
  <c r="B1588" i="12"/>
  <c r="G1588" i="12" s="1"/>
  <c r="A1588" i="12"/>
  <c r="G1587" i="12"/>
  <c r="F1587" i="12"/>
  <c r="E1587" i="12"/>
  <c r="D1587" i="12"/>
  <c r="C1587" i="12"/>
  <c r="B1587" i="12"/>
  <c r="A1587" i="12"/>
  <c r="G1586" i="12"/>
  <c r="F1586" i="12"/>
  <c r="E1586" i="12"/>
  <c r="D1586" i="12"/>
  <c r="C1586" i="12"/>
  <c r="B1586" i="12"/>
  <c r="A1586" i="12"/>
  <c r="F1585" i="12"/>
  <c r="E1585" i="12"/>
  <c r="D1585" i="12"/>
  <c r="C1585" i="12"/>
  <c r="B1585" i="12"/>
  <c r="G1585" i="12" s="1"/>
  <c r="A1585" i="12"/>
  <c r="F1584" i="12"/>
  <c r="E1584" i="12"/>
  <c r="D1584" i="12"/>
  <c r="C1584" i="12"/>
  <c r="B1584" i="12"/>
  <c r="G1584" i="12" s="1"/>
  <c r="A1584" i="12"/>
  <c r="G1583" i="12"/>
  <c r="F1583" i="12"/>
  <c r="E1583" i="12"/>
  <c r="D1583" i="12"/>
  <c r="C1583" i="12"/>
  <c r="B1583" i="12"/>
  <c r="A1583" i="12"/>
  <c r="F1582" i="12"/>
  <c r="E1582" i="12"/>
  <c r="D1582" i="12"/>
  <c r="C1582" i="12"/>
  <c r="B1582" i="12"/>
  <c r="G1582" i="12" s="1"/>
  <c r="A1582" i="12"/>
  <c r="F1581" i="12"/>
  <c r="E1581" i="12"/>
  <c r="D1581" i="12"/>
  <c r="C1581" i="12"/>
  <c r="B1581" i="12"/>
  <c r="G1581" i="12" s="1"/>
  <c r="A1581" i="12"/>
  <c r="F1580" i="12"/>
  <c r="E1580" i="12"/>
  <c r="D1580" i="12"/>
  <c r="C1580" i="12"/>
  <c r="B1580" i="12"/>
  <c r="G1580" i="12" s="1"/>
  <c r="A1580" i="12"/>
  <c r="G1579" i="12"/>
  <c r="F1579" i="12"/>
  <c r="E1579" i="12"/>
  <c r="D1579" i="12"/>
  <c r="C1579" i="12"/>
  <c r="B1579" i="12"/>
  <c r="A1579" i="12"/>
  <c r="G1578" i="12"/>
  <c r="F1578" i="12"/>
  <c r="E1578" i="12"/>
  <c r="D1578" i="12"/>
  <c r="C1578" i="12"/>
  <c r="B1578" i="12"/>
  <c r="A1578" i="12"/>
  <c r="F1577" i="12"/>
  <c r="E1577" i="12"/>
  <c r="D1577" i="12"/>
  <c r="C1577" i="12"/>
  <c r="B1577" i="12"/>
  <c r="G1577" i="12" s="1"/>
  <c r="A1577" i="12"/>
  <c r="F1576" i="12"/>
  <c r="E1576" i="12"/>
  <c r="D1576" i="12"/>
  <c r="C1576" i="12"/>
  <c r="B1576" i="12"/>
  <c r="G1576" i="12" s="1"/>
  <c r="A1576" i="12"/>
  <c r="G1575" i="12"/>
  <c r="F1575" i="12"/>
  <c r="E1575" i="12"/>
  <c r="D1575" i="12"/>
  <c r="C1575" i="12"/>
  <c r="B1575" i="12"/>
  <c r="A1575" i="12"/>
  <c r="F1574" i="12"/>
  <c r="E1574" i="12"/>
  <c r="D1574" i="12"/>
  <c r="C1574" i="12"/>
  <c r="B1574" i="12"/>
  <c r="G1574" i="12" s="1"/>
  <c r="A1574" i="12"/>
  <c r="F1573" i="12"/>
  <c r="E1573" i="12"/>
  <c r="D1573" i="12"/>
  <c r="C1573" i="12"/>
  <c r="B1573" i="12"/>
  <c r="G1573" i="12" s="1"/>
  <c r="A1573" i="12"/>
  <c r="F1572" i="12"/>
  <c r="E1572" i="12"/>
  <c r="D1572" i="12"/>
  <c r="C1572" i="12"/>
  <c r="B1572" i="12"/>
  <c r="G1572" i="12" s="1"/>
  <c r="A1572" i="12"/>
  <c r="G1571" i="12"/>
  <c r="F1571" i="12"/>
  <c r="E1571" i="12"/>
  <c r="D1571" i="12"/>
  <c r="C1571" i="12"/>
  <c r="B1571" i="12"/>
  <c r="A1571" i="12"/>
  <c r="G1570" i="12"/>
  <c r="F1570" i="12"/>
  <c r="E1570" i="12"/>
  <c r="D1570" i="12"/>
  <c r="C1570" i="12"/>
  <c r="B1570" i="12"/>
  <c r="A1570" i="12"/>
  <c r="F1569" i="12"/>
  <c r="E1569" i="12"/>
  <c r="D1569" i="12"/>
  <c r="C1569" i="12"/>
  <c r="B1569" i="12"/>
  <c r="G1569" i="12" s="1"/>
  <c r="A1569" i="12"/>
  <c r="F1568" i="12"/>
  <c r="E1568" i="12"/>
  <c r="D1568" i="12"/>
  <c r="C1568" i="12"/>
  <c r="B1568" i="12"/>
  <c r="G1568" i="12" s="1"/>
  <c r="A1568" i="12"/>
  <c r="G1567" i="12"/>
  <c r="F1567" i="12"/>
  <c r="E1567" i="12"/>
  <c r="D1567" i="12"/>
  <c r="C1567" i="12"/>
  <c r="B1567" i="12"/>
  <c r="A1567" i="12"/>
  <c r="F1566" i="12"/>
  <c r="E1566" i="12"/>
  <c r="D1566" i="12"/>
  <c r="C1566" i="12"/>
  <c r="B1566" i="12"/>
  <c r="G1566" i="12" s="1"/>
  <c r="A1566" i="12"/>
  <c r="F1565" i="12"/>
  <c r="E1565" i="12"/>
  <c r="D1565" i="12"/>
  <c r="C1565" i="12"/>
  <c r="B1565" i="12"/>
  <c r="G1565" i="12" s="1"/>
  <c r="A1565" i="12"/>
  <c r="F1564" i="12"/>
  <c r="E1564" i="12"/>
  <c r="D1564" i="12"/>
  <c r="C1564" i="12"/>
  <c r="B1564" i="12"/>
  <c r="G1564" i="12" s="1"/>
  <c r="A1564" i="12"/>
  <c r="G1563" i="12"/>
  <c r="F1563" i="12"/>
  <c r="E1563" i="12"/>
  <c r="D1563" i="12"/>
  <c r="C1563" i="12"/>
  <c r="B1563" i="12"/>
  <c r="A1563" i="12"/>
  <c r="G1562" i="12"/>
  <c r="F1562" i="12"/>
  <c r="E1562" i="12"/>
  <c r="D1562" i="12"/>
  <c r="C1562" i="12"/>
  <c r="B1562" i="12"/>
  <c r="A1562" i="12"/>
  <c r="F1561" i="12"/>
  <c r="E1561" i="12"/>
  <c r="D1561" i="12"/>
  <c r="C1561" i="12"/>
  <c r="B1561" i="12"/>
  <c r="G1561" i="12" s="1"/>
  <c r="A1561" i="12"/>
  <c r="F1560" i="12"/>
  <c r="E1560" i="12"/>
  <c r="D1560" i="12"/>
  <c r="C1560" i="12"/>
  <c r="B1560" i="12"/>
  <c r="G1560" i="12" s="1"/>
  <c r="A1560" i="12"/>
  <c r="G1559" i="12"/>
  <c r="F1559" i="12"/>
  <c r="E1559" i="12"/>
  <c r="D1559" i="12"/>
  <c r="C1559" i="12"/>
  <c r="B1559" i="12"/>
  <c r="A1559" i="12"/>
  <c r="F1558" i="12"/>
  <c r="E1558" i="12"/>
  <c r="D1558" i="12"/>
  <c r="C1558" i="12"/>
  <c r="B1558" i="12"/>
  <c r="G1558" i="12" s="1"/>
  <c r="A1558" i="12"/>
  <c r="F1557" i="12"/>
  <c r="E1557" i="12"/>
  <c r="D1557" i="12"/>
  <c r="C1557" i="12"/>
  <c r="B1557" i="12"/>
  <c r="G1557" i="12" s="1"/>
  <c r="A1557" i="12"/>
  <c r="F1556" i="12"/>
  <c r="E1556" i="12"/>
  <c r="D1556" i="12"/>
  <c r="C1556" i="12"/>
  <c r="B1556" i="12"/>
  <c r="G1556" i="12" s="1"/>
  <c r="A1556" i="12"/>
  <c r="G1555" i="12"/>
  <c r="F1555" i="12"/>
  <c r="E1555" i="12"/>
  <c r="D1555" i="12"/>
  <c r="C1555" i="12"/>
  <c r="B1555" i="12"/>
  <c r="A1555" i="12"/>
  <c r="G1554" i="12"/>
  <c r="F1554" i="12"/>
  <c r="E1554" i="12"/>
  <c r="D1554" i="12"/>
  <c r="C1554" i="12"/>
  <c r="B1554" i="12"/>
  <c r="A1554" i="12"/>
  <c r="F1553" i="12"/>
  <c r="E1553" i="12"/>
  <c r="D1553" i="12"/>
  <c r="C1553" i="12"/>
  <c r="B1553" i="12"/>
  <c r="G1553" i="12" s="1"/>
  <c r="A1553" i="12"/>
  <c r="F1552" i="12"/>
  <c r="E1552" i="12"/>
  <c r="D1552" i="12"/>
  <c r="C1552" i="12"/>
  <c r="B1552" i="12"/>
  <c r="G1552" i="12" s="1"/>
  <c r="A1552" i="12"/>
  <c r="G1551" i="12"/>
  <c r="F1551" i="12"/>
  <c r="E1551" i="12"/>
  <c r="D1551" i="12"/>
  <c r="C1551" i="12"/>
  <c r="B1551" i="12"/>
  <c r="A1551" i="12"/>
  <c r="F1550" i="12"/>
  <c r="E1550" i="12"/>
  <c r="D1550" i="12"/>
  <c r="C1550" i="12"/>
  <c r="B1550" i="12"/>
  <c r="G1550" i="12" s="1"/>
  <c r="A1550" i="12"/>
  <c r="F1549" i="12"/>
  <c r="E1549" i="12"/>
  <c r="D1549" i="12"/>
  <c r="C1549" i="12"/>
  <c r="B1549" i="12"/>
  <c r="G1549" i="12" s="1"/>
  <c r="A1549" i="12"/>
  <c r="F1548" i="12"/>
  <c r="E1548" i="12"/>
  <c r="D1548" i="12"/>
  <c r="C1548" i="12"/>
  <c r="B1548" i="12"/>
  <c r="G1548" i="12" s="1"/>
  <c r="A1548" i="12"/>
  <c r="G1547" i="12"/>
  <c r="F1547" i="12"/>
  <c r="E1547" i="12"/>
  <c r="D1547" i="12"/>
  <c r="C1547" i="12"/>
  <c r="B1547" i="12"/>
  <c r="A1547" i="12"/>
  <c r="G1546" i="12"/>
  <c r="F1546" i="12"/>
  <c r="E1546" i="12"/>
  <c r="D1546" i="12"/>
  <c r="C1546" i="12"/>
  <c r="B1546" i="12"/>
  <c r="A1546" i="12"/>
  <c r="F1545" i="12"/>
  <c r="E1545" i="12"/>
  <c r="D1545" i="12"/>
  <c r="C1545" i="12"/>
  <c r="B1545" i="12"/>
  <c r="G1545" i="12" s="1"/>
  <c r="A1545" i="12"/>
  <c r="F1544" i="12"/>
  <c r="E1544" i="12"/>
  <c r="D1544" i="12"/>
  <c r="C1544" i="12"/>
  <c r="B1544" i="12"/>
  <c r="G1544" i="12" s="1"/>
  <c r="A1544" i="12"/>
  <c r="G1543" i="12"/>
  <c r="F1543" i="12"/>
  <c r="E1543" i="12"/>
  <c r="D1543" i="12"/>
  <c r="C1543" i="12"/>
  <c r="B1543" i="12"/>
  <c r="A1543" i="12"/>
  <c r="F1542" i="12"/>
  <c r="E1542" i="12"/>
  <c r="D1542" i="12"/>
  <c r="C1542" i="12"/>
  <c r="B1542" i="12"/>
  <c r="G1542" i="12" s="1"/>
  <c r="A1542" i="12"/>
  <c r="F1541" i="12"/>
  <c r="E1541" i="12"/>
  <c r="D1541" i="12"/>
  <c r="C1541" i="12"/>
  <c r="B1541" i="12"/>
  <c r="G1541" i="12" s="1"/>
  <c r="A1541" i="12"/>
  <c r="F1540" i="12"/>
  <c r="E1540" i="12"/>
  <c r="D1540" i="12"/>
  <c r="C1540" i="12"/>
  <c r="B1540" i="12"/>
  <c r="G1540" i="12" s="1"/>
  <c r="A1540" i="12"/>
  <c r="G1539" i="12"/>
  <c r="F1539" i="12"/>
  <c r="E1539" i="12"/>
  <c r="D1539" i="12"/>
  <c r="C1539" i="12"/>
  <c r="B1539" i="12"/>
  <c r="A1539" i="12"/>
  <c r="G1538" i="12"/>
  <c r="F1538" i="12"/>
  <c r="E1538" i="12"/>
  <c r="D1538" i="12"/>
  <c r="C1538" i="12"/>
  <c r="B1538" i="12"/>
  <c r="A1538" i="12"/>
  <c r="F1537" i="12"/>
  <c r="E1537" i="12"/>
  <c r="D1537" i="12"/>
  <c r="C1537" i="12"/>
  <c r="B1537" i="12"/>
  <c r="G1537" i="12" s="1"/>
  <c r="A1537" i="12"/>
  <c r="F1536" i="12"/>
  <c r="E1536" i="12"/>
  <c r="D1536" i="12"/>
  <c r="C1536" i="12"/>
  <c r="B1536" i="12"/>
  <c r="G1536" i="12" s="1"/>
  <c r="A1536" i="12"/>
  <c r="G1535" i="12"/>
  <c r="F1535" i="12"/>
  <c r="E1535" i="12"/>
  <c r="D1535" i="12"/>
  <c r="C1535" i="12"/>
  <c r="B1535" i="12"/>
  <c r="A1535" i="12"/>
  <c r="F1534" i="12"/>
  <c r="E1534" i="12"/>
  <c r="D1534" i="12"/>
  <c r="C1534" i="12"/>
  <c r="B1534" i="12"/>
  <c r="G1534" i="12" s="1"/>
  <c r="A1534" i="12"/>
  <c r="F1533" i="12"/>
  <c r="E1533" i="12"/>
  <c r="D1533" i="12"/>
  <c r="C1533" i="12"/>
  <c r="B1533" i="12"/>
  <c r="G1533" i="12" s="1"/>
  <c r="A1533" i="12"/>
  <c r="F1532" i="12"/>
  <c r="E1532" i="12"/>
  <c r="D1532" i="12"/>
  <c r="C1532" i="12"/>
  <c r="B1532" i="12"/>
  <c r="G1532" i="12" s="1"/>
  <c r="A1532" i="12"/>
  <c r="G1531" i="12"/>
  <c r="F1531" i="12"/>
  <c r="E1531" i="12"/>
  <c r="D1531" i="12"/>
  <c r="C1531" i="12"/>
  <c r="B1531" i="12"/>
  <c r="A1531" i="12"/>
  <c r="G1530" i="12"/>
  <c r="F1530" i="12"/>
  <c r="E1530" i="12"/>
  <c r="D1530" i="12"/>
  <c r="C1530" i="12"/>
  <c r="B1530" i="12"/>
  <c r="A1530" i="12"/>
  <c r="F1529" i="12"/>
  <c r="E1529" i="12"/>
  <c r="D1529" i="12"/>
  <c r="C1529" i="12"/>
  <c r="B1529" i="12"/>
  <c r="G1529" i="12" s="1"/>
  <c r="A1529" i="12"/>
  <c r="F1528" i="12"/>
  <c r="E1528" i="12"/>
  <c r="D1528" i="12"/>
  <c r="C1528" i="12"/>
  <c r="B1528" i="12"/>
  <c r="G1528" i="12" s="1"/>
  <c r="A1528" i="12"/>
  <c r="G1527" i="12"/>
  <c r="F1527" i="12"/>
  <c r="E1527" i="12"/>
  <c r="D1527" i="12"/>
  <c r="C1527" i="12"/>
  <c r="B1527" i="12"/>
  <c r="A1527" i="12"/>
  <c r="F1526" i="12"/>
  <c r="E1526" i="12"/>
  <c r="D1526" i="12"/>
  <c r="C1526" i="12"/>
  <c r="B1526" i="12"/>
  <c r="G1526" i="12" s="1"/>
  <c r="A1526" i="12"/>
  <c r="F1525" i="12"/>
  <c r="E1525" i="12"/>
  <c r="D1525" i="12"/>
  <c r="C1525" i="12"/>
  <c r="B1525" i="12"/>
  <c r="G1525" i="12" s="1"/>
  <c r="A1525" i="12"/>
  <c r="F1524" i="12"/>
  <c r="E1524" i="12"/>
  <c r="D1524" i="12"/>
  <c r="C1524" i="12"/>
  <c r="B1524" i="12"/>
  <c r="G1524" i="12" s="1"/>
  <c r="A1524" i="12"/>
  <c r="G1523" i="12"/>
  <c r="F1523" i="12"/>
  <c r="E1523" i="12"/>
  <c r="D1523" i="12"/>
  <c r="C1523" i="12"/>
  <c r="B1523" i="12"/>
  <c r="A1523" i="12"/>
  <c r="G1522" i="12"/>
  <c r="F1522" i="12"/>
  <c r="E1522" i="12"/>
  <c r="D1522" i="12"/>
  <c r="C1522" i="12"/>
  <c r="B1522" i="12"/>
  <c r="A1522" i="12"/>
  <c r="F1521" i="12"/>
  <c r="E1521" i="12"/>
  <c r="D1521" i="12"/>
  <c r="C1521" i="12"/>
  <c r="B1521" i="12"/>
  <c r="G1521" i="12" s="1"/>
  <c r="A1521" i="12"/>
  <c r="F1520" i="12"/>
  <c r="E1520" i="12"/>
  <c r="D1520" i="12"/>
  <c r="C1520" i="12"/>
  <c r="B1520" i="12"/>
  <c r="G1520" i="12" s="1"/>
  <c r="A1520" i="12"/>
  <c r="G1519" i="12"/>
  <c r="F1519" i="12"/>
  <c r="E1519" i="12"/>
  <c r="D1519" i="12"/>
  <c r="C1519" i="12"/>
  <c r="B1519" i="12"/>
  <c r="A1519" i="12"/>
  <c r="F1518" i="12"/>
  <c r="E1518" i="12"/>
  <c r="D1518" i="12"/>
  <c r="C1518" i="12"/>
  <c r="B1518" i="12"/>
  <c r="G1518" i="12" s="1"/>
  <c r="A1518" i="12"/>
  <c r="F1517" i="12"/>
  <c r="E1517" i="12"/>
  <c r="D1517" i="12"/>
  <c r="C1517" i="12"/>
  <c r="B1517" i="12"/>
  <c r="G1517" i="12" s="1"/>
  <c r="A1517" i="12"/>
  <c r="F1516" i="12"/>
  <c r="E1516" i="12"/>
  <c r="D1516" i="12"/>
  <c r="C1516" i="12"/>
  <c r="B1516" i="12"/>
  <c r="G1516" i="12" s="1"/>
  <c r="A1516" i="12"/>
  <c r="G1515" i="12"/>
  <c r="F1515" i="12"/>
  <c r="E1515" i="12"/>
  <c r="D1515" i="12"/>
  <c r="C1515" i="12"/>
  <c r="B1515" i="12"/>
  <c r="A1515" i="12"/>
  <c r="G1514" i="12"/>
  <c r="F1514" i="12"/>
  <c r="E1514" i="12"/>
  <c r="D1514" i="12"/>
  <c r="C1514" i="12"/>
  <c r="B1514" i="12"/>
  <c r="A1514" i="12"/>
  <c r="F1513" i="12"/>
  <c r="E1513" i="12"/>
  <c r="D1513" i="12"/>
  <c r="C1513" i="12"/>
  <c r="B1513" i="12"/>
  <c r="G1513" i="12" s="1"/>
  <c r="A1513" i="12"/>
  <c r="F1512" i="12"/>
  <c r="E1512" i="12"/>
  <c r="D1512" i="12"/>
  <c r="C1512" i="12"/>
  <c r="B1512" i="12"/>
  <c r="G1512" i="12" s="1"/>
  <c r="A1512" i="12"/>
  <c r="G1511" i="12"/>
  <c r="F1511" i="12"/>
  <c r="E1511" i="12"/>
  <c r="D1511" i="12"/>
  <c r="C1511" i="12"/>
  <c r="B1511" i="12"/>
  <c r="A1511" i="12"/>
  <c r="F1510" i="12"/>
  <c r="E1510" i="12"/>
  <c r="D1510" i="12"/>
  <c r="C1510" i="12"/>
  <c r="B1510" i="12"/>
  <c r="G1510" i="12" s="1"/>
  <c r="A1510" i="12"/>
  <c r="F1509" i="12"/>
  <c r="E1509" i="12"/>
  <c r="D1509" i="12"/>
  <c r="C1509" i="12"/>
  <c r="B1509" i="12"/>
  <c r="G1509" i="12" s="1"/>
  <c r="A1509" i="12"/>
  <c r="F1508" i="12"/>
  <c r="E1508" i="12"/>
  <c r="D1508" i="12"/>
  <c r="C1508" i="12"/>
  <c r="B1508" i="12"/>
  <c r="G1508" i="12" s="1"/>
  <c r="A1508" i="12"/>
  <c r="G1507" i="12"/>
  <c r="F1507" i="12"/>
  <c r="E1507" i="12"/>
  <c r="D1507" i="12"/>
  <c r="C1507" i="12"/>
  <c r="B1507" i="12"/>
  <c r="A1507" i="12"/>
  <c r="G1506" i="12"/>
  <c r="F1506" i="12"/>
  <c r="E1506" i="12"/>
  <c r="D1506" i="12"/>
  <c r="C1506" i="12"/>
  <c r="B1506" i="12"/>
  <c r="A1506" i="12"/>
  <c r="F1505" i="12"/>
  <c r="E1505" i="12"/>
  <c r="D1505" i="12"/>
  <c r="C1505" i="12"/>
  <c r="B1505" i="12"/>
  <c r="G1505" i="12" s="1"/>
  <c r="A1505" i="12"/>
  <c r="F1504" i="12"/>
  <c r="E1504" i="12"/>
  <c r="D1504" i="12"/>
  <c r="C1504" i="12"/>
  <c r="B1504" i="12"/>
  <c r="G1504" i="12" s="1"/>
  <c r="A1504" i="12"/>
  <c r="G1503" i="12"/>
  <c r="F1503" i="12"/>
  <c r="E1503" i="12"/>
  <c r="D1503" i="12"/>
  <c r="C1503" i="12"/>
  <c r="B1503" i="12"/>
  <c r="A1503" i="12"/>
  <c r="F1502" i="12"/>
  <c r="D1502" i="12"/>
  <c r="C1502" i="12"/>
  <c r="B1502" i="12"/>
  <c r="A1502" i="12"/>
  <c r="F1501" i="12"/>
  <c r="D1501" i="12"/>
  <c r="C1501" i="12"/>
  <c r="B1501" i="12"/>
  <c r="G1501" i="12" s="1"/>
  <c r="A1501" i="12"/>
  <c r="F1500" i="12"/>
  <c r="D1500" i="12"/>
  <c r="C1500" i="12"/>
  <c r="B1500" i="12"/>
  <c r="G1500" i="12" s="1"/>
  <c r="A1500" i="12"/>
  <c r="F1499" i="12"/>
  <c r="D1499" i="12"/>
  <c r="C1499" i="12"/>
  <c r="B1499" i="12"/>
  <c r="G1499" i="12" s="1"/>
  <c r="A1499" i="12"/>
  <c r="F1498" i="12"/>
  <c r="D1498" i="12"/>
  <c r="C1498" i="12"/>
  <c r="B1498" i="12"/>
  <c r="G1498" i="12" s="1"/>
  <c r="A1498" i="12"/>
  <c r="F1497" i="12"/>
  <c r="D1497" i="12"/>
  <c r="C1497" i="12"/>
  <c r="B1497" i="12"/>
  <c r="G1497" i="12" s="1"/>
  <c r="A1497" i="12"/>
  <c r="F1496" i="12"/>
  <c r="D1496" i="12"/>
  <c r="C1496" i="12"/>
  <c r="B1496" i="12"/>
  <c r="G1496" i="12" s="1"/>
  <c r="A1496" i="12"/>
  <c r="F1495" i="12"/>
  <c r="D1495" i="12"/>
  <c r="C1495" i="12"/>
  <c r="B1495" i="12"/>
  <c r="G1495" i="12" s="1"/>
  <c r="A1495" i="12"/>
  <c r="F1494" i="12"/>
  <c r="D1494" i="12"/>
  <c r="C1494" i="12"/>
  <c r="B1494" i="12"/>
  <c r="G1494" i="12" s="1"/>
  <c r="A1494" i="12"/>
  <c r="F1493" i="12"/>
  <c r="D1493" i="12"/>
  <c r="C1493" i="12"/>
  <c r="B1493" i="12"/>
  <c r="G1493" i="12" s="1"/>
  <c r="A1493" i="12"/>
  <c r="F1492" i="12"/>
  <c r="D1492" i="12"/>
  <c r="C1492" i="12"/>
  <c r="B1492" i="12"/>
  <c r="G1492" i="12" s="1"/>
  <c r="A1492" i="12"/>
  <c r="F1491" i="12"/>
  <c r="D1491" i="12"/>
  <c r="C1491" i="12"/>
  <c r="B1491" i="12"/>
  <c r="G1491" i="12" s="1"/>
  <c r="A1491" i="12"/>
  <c r="F1490" i="12"/>
  <c r="D1490" i="12"/>
  <c r="C1490" i="12"/>
  <c r="B1490" i="12"/>
  <c r="G1490" i="12" s="1"/>
  <c r="A1490" i="12"/>
  <c r="F1489" i="12"/>
  <c r="D1489" i="12"/>
  <c r="C1489" i="12"/>
  <c r="B1489" i="12"/>
  <c r="G1489" i="12" s="1"/>
  <c r="A1489" i="12"/>
  <c r="F1488" i="12"/>
  <c r="D1488" i="12"/>
  <c r="C1488" i="12"/>
  <c r="B1488" i="12"/>
  <c r="G1488" i="12" s="1"/>
  <c r="A1488" i="12"/>
  <c r="F1487" i="12"/>
  <c r="D1487" i="12"/>
  <c r="C1487" i="12"/>
  <c r="B1487" i="12"/>
  <c r="G1487" i="12" s="1"/>
  <c r="A1487" i="12"/>
  <c r="F1486" i="12"/>
  <c r="D1486" i="12"/>
  <c r="C1486" i="12"/>
  <c r="B1486" i="12"/>
  <c r="G1486" i="12" s="1"/>
  <c r="A1486" i="12"/>
  <c r="F1485" i="12"/>
  <c r="D1485" i="12"/>
  <c r="C1485" i="12"/>
  <c r="B1485" i="12"/>
  <c r="G1485" i="12" s="1"/>
  <c r="A1485" i="12"/>
  <c r="F1484" i="12"/>
  <c r="D1484" i="12"/>
  <c r="C1484" i="12"/>
  <c r="B1484" i="12"/>
  <c r="G1484" i="12" s="1"/>
  <c r="A1484" i="12"/>
  <c r="F1483" i="12"/>
  <c r="D1483" i="12"/>
  <c r="C1483" i="12"/>
  <c r="B1483" i="12"/>
  <c r="G1483" i="12" s="1"/>
  <c r="A1483" i="12"/>
  <c r="F1482" i="12"/>
  <c r="D1482" i="12"/>
  <c r="C1482" i="12"/>
  <c r="B1482" i="12"/>
  <c r="G1482" i="12" s="1"/>
  <c r="A1482" i="12"/>
  <c r="F1481" i="12"/>
  <c r="D1481" i="12"/>
  <c r="C1481" i="12"/>
  <c r="B1481" i="12"/>
  <c r="G1481" i="12" s="1"/>
  <c r="A1481" i="12"/>
  <c r="F1480" i="12"/>
  <c r="D1480" i="12"/>
  <c r="C1480" i="12"/>
  <c r="B1480" i="12"/>
  <c r="G1480" i="12" s="1"/>
  <c r="A1480" i="12"/>
  <c r="F1479" i="12"/>
  <c r="D1479" i="12"/>
  <c r="C1479" i="12"/>
  <c r="B1479" i="12"/>
  <c r="G1479" i="12" s="1"/>
  <c r="A1479" i="12"/>
  <c r="F1478" i="12"/>
  <c r="D1478" i="12"/>
  <c r="C1478" i="12"/>
  <c r="B1478" i="12"/>
  <c r="G1478" i="12" s="1"/>
  <c r="A1478" i="12"/>
  <c r="F1477" i="12"/>
  <c r="D1477" i="12"/>
  <c r="C1477" i="12"/>
  <c r="B1477" i="12"/>
  <c r="G1477" i="12" s="1"/>
  <c r="A1477" i="12"/>
  <c r="F1476" i="12"/>
  <c r="D1476" i="12"/>
  <c r="C1476" i="12"/>
  <c r="B1476" i="12"/>
  <c r="G1476" i="12" s="1"/>
  <c r="A1476" i="12"/>
  <c r="F1475" i="12"/>
  <c r="D1475" i="12"/>
  <c r="C1475" i="12"/>
  <c r="B1475" i="12"/>
  <c r="G1475" i="12" s="1"/>
  <c r="A1475" i="12"/>
  <c r="F1474" i="12"/>
  <c r="D1474" i="12"/>
  <c r="C1474" i="12"/>
  <c r="B1474" i="12"/>
  <c r="G1474" i="12" s="1"/>
  <c r="A1474" i="12"/>
  <c r="F1473" i="12"/>
  <c r="D1473" i="12"/>
  <c r="C1473" i="12"/>
  <c r="B1473" i="12"/>
  <c r="G1473" i="12" s="1"/>
  <c r="A1473" i="12"/>
  <c r="F1472" i="12"/>
  <c r="D1472" i="12"/>
  <c r="C1472" i="12"/>
  <c r="B1472" i="12"/>
  <c r="G1472" i="12" s="1"/>
  <c r="A1472" i="12"/>
  <c r="F1471" i="12"/>
  <c r="D1471" i="12"/>
  <c r="C1471" i="12"/>
  <c r="B1471" i="12"/>
  <c r="G1471" i="12" s="1"/>
  <c r="A1471" i="12"/>
  <c r="F1470" i="12"/>
  <c r="D1470" i="12"/>
  <c r="C1470" i="12"/>
  <c r="B1470" i="12"/>
  <c r="G1470" i="12" s="1"/>
  <c r="A1470" i="12"/>
  <c r="F1469" i="12"/>
  <c r="D1469" i="12"/>
  <c r="C1469" i="12"/>
  <c r="B1469" i="12"/>
  <c r="G1469" i="12" s="1"/>
  <c r="A1469" i="12"/>
  <c r="F1468" i="12"/>
  <c r="D1468" i="12"/>
  <c r="C1468" i="12"/>
  <c r="B1468" i="12"/>
  <c r="G1468" i="12" s="1"/>
  <c r="A1468" i="12"/>
  <c r="F1467" i="12"/>
  <c r="D1467" i="12"/>
  <c r="C1467" i="12"/>
  <c r="B1467" i="12"/>
  <c r="G1467" i="12" s="1"/>
  <c r="A1467" i="12"/>
  <c r="F1466" i="12"/>
  <c r="D1466" i="12"/>
  <c r="C1466" i="12"/>
  <c r="B1466" i="12"/>
  <c r="G1466" i="12" s="1"/>
  <c r="A1466" i="12"/>
  <c r="F1465" i="12"/>
  <c r="D1465" i="12"/>
  <c r="C1465" i="12"/>
  <c r="B1465" i="12"/>
  <c r="G1465" i="12" s="1"/>
  <c r="A1465" i="12"/>
  <c r="F1464" i="12"/>
  <c r="D1464" i="12"/>
  <c r="C1464" i="12"/>
  <c r="B1464" i="12"/>
  <c r="G1464" i="12" s="1"/>
  <c r="A1464" i="12"/>
  <c r="F1463" i="12"/>
  <c r="D1463" i="12"/>
  <c r="C1463" i="12"/>
  <c r="B1463" i="12"/>
  <c r="G1463" i="12" s="1"/>
  <c r="A1463" i="12"/>
  <c r="F1462" i="12"/>
  <c r="D1462" i="12"/>
  <c r="C1462" i="12"/>
  <c r="B1462" i="12"/>
  <c r="G1462" i="12" s="1"/>
  <c r="A1462" i="12"/>
  <c r="F1461" i="12"/>
  <c r="D1461" i="12"/>
  <c r="C1461" i="12"/>
  <c r="B1461" i="12"/>
  <c r="G1461" i="12" s="1"/>
  <c r="A1461" i="12"/>
  <c r="F1460" i="12"/>
  <c r="D1460" i="12"/>
  <c r="C1460" i="12"/>
  <c r="B1460" i="12"/>
  <c r="G1460" i="12" s="1"/>
  <c r="A1460" i="12"/>
  <c r="F1459" i="12"/>
  <c r="D1459" i="12"/>
  <c r="C1459" i="12"/>
  <c r="B1459" i="12"/>
  <c r="G1459" i="12" s="1"/>
  <c r="A1459" i="12"/>
  <c r="F1458" i="12"/>
  <c r="D1458" i="12"/>
  <c r="C1458" i="12"/>
  <c r="B1458" i="12"/>
  <c r="G1458" i="12" s="1"/>
  <c r="A1458" i="12"/>
  <c r="F1457" i="12"/>
  <c r="D1457" i="12"/>
  <c r="C1457" i="12"/>
  <c r="B1457" i="12"/>
  <c r="G1457" i="12" s="1"/>
  <c r="A1457" i="12"/>
  <c r="F1456" i="12"/>
  <c r="D1456" i="12"/>
  <c r="C1456" i="12"/>
  <c r="B1456" i="12"/>
  <c r="G1456" i="12" s="1"/>
  <c r="A1456" i="12"/>
  <c r="F1455" i="12"/>
  <c r="D1455" i="12"/>
  <c r="C1455" i="12"/>
  <c r="B1455" i="12"/>
  <c r="G1455" i="12" s="1"/>
  <c r="A1455" i="12"/>
  <c r="F1454" i="12"/>
  <c r="D1454" i="12"/>
  <c r="C1454" i="12"/>
  <c r="B1454" i="12"/>
  <c r="G1454" i="12" s="1"/>
  <c r="A1454" i="12"/>
  <c r="F1453" i="12"/>
  <c r="D1453" i="12"/>
  <c r="C1453" i="12"/>
  <c r="B1453" i="12"/>
  <c r="G1453" i="12" s="1"/>
  <c r="A1453" i="12"/>
  <c r="F1452" i="12"/>
  <c r="D1452" i="12"/>
  <c r="C1452" i="12"/>
  <c r="B1452" i="12"/>
  <c r="G1452" i="12" s="1"/>
  <c r="A1452" i="12"/>
  <c r="F1451" i="12"/>
  <c r="D1451" i="12"/>
  <c r="C1451" i="12"/>
  <c r="B1451" i="12"/>
  <c r="G1451" i="12" s="1"/>
  <c r="A1451" i="12"/>
  <c r="F1450" i="12"/>
  <c r="D1450" i="12"/>
  <c r="C1450" i="12"/>
  <c r="B1450" i="12"/>
  <c r="G1450" i="12" s="1"/>
  <c r="A1450" i="12"/>
  <c r="F1449" i="12"/>
  <c r="D1449" i="12"/>
  <c r="C1449" i="12"/>
  <c r="B1449" i="12"/>
  <c r="G1449" i="12" s="1"/>
  <c r="A1449" i="12"/>
  <c r="F1448" i="12"/>
  <c r="D1448" i="12"/>
  <c r="C1448" i="12"/>
  <c r="B1448" i="12"/>
  <c r="G1448" i="12" s="1"/>
  <c r="A1448" i="12"/>
  <c r="F1447" i="12"/>
  <c r="D1447" i="12"/>
  <c r="C1447" i="12"/>
  <c r="B1447" i="12"/>
  <c r="G1447" i="12" s="1"/>
  <c r="A1447" i="12"/>
  <c r="F1446" i="12"/>
  <c r="D1446" i="12"/>
  <c r="C1446" i="12"/>
  <c r="B1446" i="12"/>
  <c r="G1446" i="12" s="1"/>
  <c r="A1446" i="12"/>
  <c r="F1445" i="12"/>
  <c r="D1445" i="12"/>
  <c r="C1445" i="12"/>
  <c r="B1445" i="12"/>
  <c r="G1445" i="12" s="1"/>
  <c r="A1445" i="12"/>
  <c r="F1444" i="12"/>
  <c r="D1444" i="12"/>
  <c r="C1444" i="12"/>
  <c r="B1444" i="12"/>
  <c r="G1444" i="12" s="1"/>
  <c r="A1444" i="12"/>
  <c r="F1443" i="12"/>
  <c r="D1443" i="12"/>
  <c r="C1443" i="12"/>
  <c r="B1443" i="12"/>
  <c r="G1443" i="12" s="1"/>
  <c r="A1443" i="12"/>
  <c r="F1442" i="12"/>
  <c r="D1442" i="12"/>
  <c r="C1442" i="12"/>
  <c r="B1442" i="12"/>
  <c r="G1442" i="12" s="1"/>
  <c r="A1442" i="12"/>
  <c r="F1441" i="12"/>
  <c r="D1441" i="12"/>
  <c r="C1441" i="12"/>
  <c r="B1441" i="12"/>
  <c r="G1441" i="12" s="1"/>
  <c r="A1441" i="12"/>
  <c r="F1440" i="12"/>
  <c r="D1440" i="12"/>
  <c r="C1440" i="12"/>
  <c r="B1440" i="12"/>
  <c r="G1440" i="12" s="1"/>
  <c r="A1440" i="12"/>
  <c r="F1439" i="12"/>
  <c r="D1439" i="12"/>
  <c r="C1439" i="12"/>
  <c r="B1439" i="12"/>
  <c r="G1439" i="12" s="1"/>
  <c r="A1439" i="12"/>
  <c r="F1438" i="12"/>
  <c r="D1438" i="12"/>
  <c r="C1438" i="12"/>
  <c r="B1438" i="12"/>
  <c r="G1438" i="12" s="1"/>
  <c r="A1438" i="12"/>
  <c r="F1437" i="12"/>
  <c r="D1437" i="12"/>
  <c r="C1437" i="12"/>
  <c r="B1437" i="12"/>
  <c r="G1437" i="12" s="1"/>
  <c r="A1437" i="12"/>
  <c r="F1436" i="12"/>
  <c r="D1436" i="12"/>
  <c r="C1436" i="12"/>
  <c r="B1436" i="12"/>
  <c r="G1436" i="12" s="1"/>
  <c r="A1436" i="12"/>
  <c r="F1435" i="12"/>
  <c r="D1435" i="12"/>
  <c r="C1435" i="12"/>
  <c r="B1435" i="12"/>
  <c r="G1435" i="12" s="1"/>
  <c r="A1435" i="12"/>
  <c r="F1434" i="12"/>
  <c r="D1434" i="12"/>
  <c r="C1434" i="12"/>
  <c r="B1434" i="12"/>
  <c r="G1434" i="12" s="1"/>
  <c r="A1434" i="12"/>
  <c r="F1433" i="12"/>
  <c r="D1433" i="12"/>
  <c r="C1433" i="12"/>
  <c r="B1433" i="12"/>
  <c r="G1433" i="12" s="1"/>
  <c r="A1433" i="12"/>
  <c r="F1432" i="12"/>
  <c r="D1432" i="12"/>
  <c r="C1432" i="12"/>
  <c r="B1432" i="12"/>
  <c r="G1432" i="12" s="1"/>
  <c r="A1432" i="12"/>
  <c r="F1431" i="12"/>
  <c r="D1431" i="12"/>
  <c r="C1431" i="12"/>
  <c r="B1431" i="12"/>
  <c r="G1431" i="12" s="1"/>
  <c r="A1431" i="12"/>
  <c r="F1430" i="12"/>
  <c r="D1430" i="12"/>
  <c r="C1430" i="12"/>
  <c r="B1430" i="12"/>
  <c r="G1430" i="12" s="1"/>
  <c r="A1430" i="12"/>
  <c r="F1429" i="12"/>
  <c r="D1429" i="12"/>
  <c r="C1429" i="12"/>
  <c r="B1429" i="12"/>
  <c r="G1429" i="12" s="1"/>
  <c r="A1429" i="12"/>
  <c r="F1428" i="12"/>
  <c r="D1428" i="12"/>
  <c r="C1428" i="12"/>
  <c r="B1428" i="12"/>
  <c r="G1428" i="12" s="1"/>
  <c r="A1428" i="12"/>
  <c r="F1427" i="12"/>
  <c r="D1427" i="12"/>
  <c r="C1427" i="12"/>
  <c r="B1427" i="12"/>
  <c r="G1427" i="12" s="1"/>
  <c r="A1427" i="12"/>
  <c r="F1426" i="12"/>
  <c r="D1426" i="12"/>
  <c r="C1426" i="12"/>
  <c r="B1426" i="12"/>
  <c r="G1426" i="12" s="1"/>
  <c r="A1426" i="12"/>
  <c r="F1425" i="12"/>
  <c r="D1425" i="12"/>
  <c r="C1425" i="12"/>
  <c r="B1425" i="12"/>
  <c r="G1425" i="12" s="1"/>
  <c r="A1425" i="12"/>
  <c r="F1424" i="12"/>
  <c r="D1424" i="12"/>
  <c r="C1424" i="12"/>
  <c r="B1424" i="12"/>
  <c r="G1424" i="12" s="1"/>
  <c r="A1424" i="12"/>
  <c r="F1423" i="12"/>
  <c r="D1423" i="12"/>
  <c r="C1423" i="12"/>
  <c r="B1423" i="12"/>
  <c r="G1423" i="12" s="1"/>
  <c r="A1423" i="12"/>
  <c r="F1422" i="12"/>
  <c r="D1422" i="12"/>
  <c r="C1422" i="12"/>
  <c r="B1422" i="12"/>
  <c r="G1422" i="12" s="1"/>
  <c r="A1422" i="12"/>
  <c r="F1421" i="12"/>
  <c r="D1421" i="12"/>
  <c r="C1421" i="12"/>
  <c r="B1421" i="12"/>
  <c r="G1421" i="12" s="1"/>
  <c r="A1421" i="12"/>
  <c r="F1420" i="12"/>
  <c r="D1420" i="12"/>
  <c r="C1420" i="12"/>
  <c r="B1420" i="12"/>
  <c r="G1420" i="12" s="1"/>
  <c r="A1420" i="12"/>
  <c r="F1419" i="12"/>
  <c r="D1419" i="12"/>
  <c r="C1419" i="12"/>
  <c r="B1419" i="12"/>
  <c r="G1419" i="12" s="1"/>
  <c r="A1419" i="12"/>
  <c r="F1418" i="12"/>
  <c r="D1418" i="12"/>
  <c r="C1418" i="12"/>
  <c r="B1418" i="12"/>
  <c r="G1418" i="12" s="1"/>
  <c r="A1418" i="12"/>
  <c r="F1417" i="12"/>
  <c r="D1417" i="12"/>
  <c r="C1417" i="12"/>
  <c r="B1417" i="12"/>
  <c r="G1417" i="12" s="1"/>
  <c r="A1417" i="12"/>
  <c r="F1416" i="12"/>
  <c r="D1416" i="12"/>
  <c r="C1416" i="12"/>
  <c r="B1416" i="12"/>
  <c r="G1416" i="12" s="1"/>
  <c r="A1416" i="12"/>
  <c r="F1415" i="12"/>
  <c r="D1415" i="12"/>
  <c r="C1415" i="12"/>
  <c r="B1415" i="12"/>
  <c r="G1415" i="12" s="1"/>
  <c r="A1415" i="12"/>
  <c r="F1414" i="12"/>
  <c r="D1414" i="12"/>
  <c r="C1414" i="12"/>
  <c r="B1414" i="12"/>
  <c r="G1414" i="12" s="1"/>
  <c r="A1414" i="12"/>
  <c r="F1413" i="12"/>
  <c r="D1413" i="12"/>
  <c r="C1413" i="12"/>
  <c r="B1413" i="12"/>
  <c r="G1413" i="12" s="1"/>
  <c r="A1413" i="12"/>
  <c r="F1412" i="12"/>
  <c r="D1412" i="12"/>
  <c r="C1412" i="12"/>
  <c r="B1412" i="12"/>
  <c r="G1412" i="12" s="1"/>
  <c r="A1412" i="12"/>
  <c r="F1411" i="12"/>
  <c r="D1411" i="12"/>
  <c r="C1411" i="12"/>
  <c r="B1411" i="12"/>
  <c r="G1411" i="12" s="1"/>
  <c r="A1411" i="12"/>
  <c r="F1410" i="12"/>
  <c r="D1410" i="12"/>
  <c r="C1410" i="12"/>
  <c r="B1410" i="12"/>
  <c r="G1410" i="12" s="1"/>
  <c r="A1410" i="12"/>
  <c r="F1409" i="12"/>
  <c r="D1409" i="12"/>
  <c r="C1409" i="12"/>
  <c r="B1409" i="12"/>
  <c r="G1409" i="12" s="1"/>
  <c r="A1409" i="12"/>
  <c r="F1408" i="12"/>
  <c r="D1408" i="12"/>
  <c r="C1408" i="12"/>
  <c r="B1408" i="12"/>
  <c r="G1408" i="12" s="1"/>
  <c r="A1408" i="12"/>
  <c r="F1407" i="12"/>
  <c r="D1407" i="12"/>
  <c r="C1407" i="12"/>
  <c r="B1407" i="12"/>
  <c r="G1407" i="12" s="1"/>
  <c r="A1407" i="12"/>
  <c r="F1406" i="12"/>
  <c r="D1406" i="12"/>
  <c r="C1406" i="12"/>
  <c r="B1406" i="12"/>
  <c r="G1406" i="12" s="1"/>
  <c r="A1406" i="12"/>
  <c r="F1405" i="12"/>
  <c r="D1405" i="12"/>
  <c r="C1405" i="12"/>
  <c r="B1405" i="12"/>
  <c r="G1405" i="12" s="1"/>
  <c r="A1405" i="12"/>
  <c r="F1404" i="12"/>
  <c r="D1404" i="12"/>
  <c r="C1404" i="12"/>
  <c r="B1404" i="12"/>
  <c r="G1404" i="12" s="1"/>
  <c r="A1404" i="12"/>
  <c r="F1403" i="12"/>
  <c r="D1403" i="12"/>
  <c r="C1403" i="12"/>
  <c r="B1403" i="12"/>
  <c r="G1403" i="12" s="1"/>
  <c r="A1403" i="12"/>
  <c r="F1402" i="12"/>
  <c r="D1402" i="12"/>
  <c r="C1402" i="12"/>
  <c r="B1402" i="12"/>
  <c r="G1402" i="12" s="1"/>
  <c r="A1402" i="12"/>
  <c r="F1401" i="12"/>
  <c r="D1401" i="12"/>
  <c r="C1401" i="12"/>
  <c r="B1401" i="12"/>
  <c r="G1401" i="12" s="1"/>
  <c r="A1401" i="12"/>
  <c r="F1400" i="12"/>
  <c r="D1400" i="12"/>
  <c r="C1400" i="12"/>
  <c r="B1400" i="12"/>
  <c r="G1400" i="12" s="1"/>
  <c r="A1400" i="12"/>
  <c r="F1399" i="12"/>
  <c r="D1399" i="12"/>
  <c r="C1399" i="12"/>
  <c r="B1399" i="12"/>
  <c r="G1399" i="12" s="1"/>
  <c r="A1399" i="12"/>
  <c r="F1398" i="12"/>
  <c r="D1398" i="12"/>
  <c r="C1398" i="12"/>
  <c r="B1398" i="12"/>
  <c r="G1398" i="12" s="1"/>
  <c r="A1398" i="12"/>
  <c r="F1397" i="12"/>
  <c r="D1397" i="12"/>
  <c r="C1397" i="12"/>
  <c r="B1397" i="12"/>
  <c r="G1397" i="12" s="1"/>
  <c r="A1397" i="12"/>
  <c r="F1396" i="12"/>
  <c r="D1396" i="12"/>
  <c r="C1396" i="12"/>
  <c r="B1396" i="12"/>
  <c r="G1396" i="12" s="1"/>
  <c r="A1396" i="12"/>
  <c r="F1395" i="12"/>
  <c r="D1395" i="12"/>
  <c r="C1395" i="12"/>
  <c r="B1395" i="12"/>
  <c r="G1395" i="12" s="1"/>
  <c r="A1395" i="12"/>
  <c r="F1394" i="12"/>
  <c r="D1394" i="12"/>
  <c r="C1394" i="12"/>
  <c r="B1394" i="12"/>
  <c r="G1394" i="12" s="1"/>
  <c r="A1394" i="12"/>
  <c r="F1393" i="12"/>
  <c r="D1393" i="12"/>
  <c r="C1393" i="12"/>
  <c r="B1393" i="12"/>
  <c r="G1393" i="12" s="1"/>
  <c r="A1393" i="12"/>
  <c r="F1392" i="12"/>
  <c r="D1392" i="12"/>
  <c r="C1392" i="12"/>
  <c r="B1392" i="12"/>
  <c r="G1392" i="12" s="1"/>
  <c r="A1392" i="12"/>
  <c r="F1391" i="12"/>
  <c r="D1391" i="12"/>
  <c r="C1391" i="12"/>
  <c r="B1391" i="12"/>
  <c r="G1391" i="12" s="1"/>
  <c r="A1391" i="12"/>
  <c r="F1390" i="12"/>
  <c r="D1390" i="12"/>
  <c r="C1390" i="12"/>
  <c r="B1390" i="12"/>
  <c r="G1390" i="12" s="1"/>
  <c r="A1390" i="12"/>
  <c r="F1389" i="12"/>
  <c r="D1389" i="12"/>
  <c r="C1389" i="12"/>
  <c r="B1389" i="12"/>
  <c r="G1389" i="12" s="1"/>
  <c r="A1389" i="12"/>
  <c r="F1388" i="12"/>
  <c r="D1388" i="12"/>
  <c r="C1388" i="12"/>
  <c r="B1388" i="12"/>
  <c r="G1388" i="12" s="1"/>
  <c r="A1388" i="12"/>
  <c r="F1387" i="12"/>
  <c r="D1387" i="12"/>
  <c r="C1387" i="12"/>
  <c r="B1387" i="12"/>
  <c r="G1387" i="12" s="1"/>
  <c r="A1387" i="12"/>
  <c r="F1386" i="12"/>
  <c r="D1386" i="12"/>
  <c r="C1386" i="12"/>
  <c r="B1386" i="12"/>
  <c r="G1386" i="12" s="1"/>
  <c r="A1386" i="12"/>
  <c r="F1385" i="12"/>
  <c r="D1385" i="12"/>
  <c r="C1385" i="12"/>
  <c r="B1385" i="12"/>
  <c r="G1385" i="12" s="1"/>
  <c r="A1385" i="12"/>
  <c r="F1384" i="12"/>
  <c r="D1384" i="12"/>
  <c r="C1384" i="12"/>
  <c r="B1384" i="12"/>
  <c r="G1384" i="12" s="1"/>
  <c r="A1384" i="12"/>
  <c r="F1383" i="12"/>
  <c r="D1383" i="12"/>
  <c r="C1383" i="12"/>
  <c r="B1383" i="12"/>
  <c r="G1383" i="12" s="1"/>
  <c r="A1383" i="12"/>
  <c r="F1382" i="12"/>
  <c r="D1382" i="12"/>
  <c r="C1382" i="12"/>
  <c r="B1382" i="12"/>
  <c r="G1382" i="12" s="1"/>
  <c r="A1382" i="12"/>
  <c r="F1381" i="12"/>
  <c r="D1381" i="12"/>
  <c r="C1381" i="12"/>
  <c r="B1381" i="12"/>
  <c r="G1381" i="12" s="1"/>
  <c r="A1381" i="12"/>
  <c r="F1380" i="12"/>
  <c r="D1380" i="12"/>
  <c r="C1380" i="12"/>
  <c r="B1380" i="12"/>
  <c r="G1380" i="12" s="1"/>
  <c r="A1380" i="12"/>
  <c r="F1379" i="12"/>
  <c r="D1379" i="12"/>
  <c r="C1379" i="12"/>
  <c r="B1379" i="12"/>
  <c r="G1379" i="12" s="1"/>
  <c r="A1379" i="12"/>
  <c r="F1378" i="12"/>
  <c r="D1378" i="12"/>
  <c r="C1378" i="12"/>
  <c r="B1378" i="12"/>
  <c r="G1378" i="12" s="1"/>
  <c r="A1378" i="12"/>
  <c r="F1377" i="12"/>
  <c r="D1377" i="12"/>
  <c r="C1377" i="12"/>
  <c r="B1377" i="12"/>
  <c r="G1377" i="12" s="1"/>
  <c r="A1377" i="12"/>
  <c r="F1376" i="12"/>
  <c r="D1376" i="12"/>
  <c r="C1376" i="12"/>
  <c r="B1376" i="12"/>
  <c r="G1376" i="12" s="1"/>
  <c r="A1376" i="12"/>
  <c r="F1375" i="12"/>
  <c r="D1375" i="12"/>
  <c r="C1375" i="12"/>
  <c r="B1375" i="12"/>
  <c r="G1375" i="12" s="1"/>
  <c r="A1375" i="12"/>
  <c r="F1374" i="12"/>
  <c r="D1374" i="12"/>
  <c r="C1374" i="12"/>
  <c r="B1374" i="12"/>
  <c r="G1374" i="12" s="1"/>
  <c r="A1374" i="12"/>
  <c r="F1373" i="12"/>
  <c r="D1373" i="12"/>
  <c r="C1373" i="12"/>
  <c r="B1373" i="12"/>
  <c r="G1373" i="12" s="1"/>
  <c r="A1373" i="12"/>
  <c r="F1372" i="12"/>
  <c r="D1372" i="12"/>
  <c r="C1372" i="12"/>
  <c r="B1372" i="12"/>
  <c r="G1372" i="12" s="1"/>
  <c r="A1372" i="12"/>
  <c r="F1371" i="12"/>
  <c r="D1371" i="12"/>
  <c r="C1371" i="12"/>
  <c r="B1371" i="12"/>
  <c r="G1371" i="12" s="1"/>
  <c r="A1371" i="12"/>
  <c r="F1370" i="12"/>
  <c r="D1370" i="12"/>
  <c r="C1370" i="12"/>
  <c r="B1370" i="12"/>
  <c r="G1370" i="12" s="1"/>
  <c r="A1370" i="12"/>
  <c r="F1369" i="12"/>
  <c r="D1369" i="12"/>
  <c r="C1369" i="12"/>
  <c r="B1369" i="12"/>
  <c r="G1369" i="12" s="1"/>
  <c r="A1369" i="12"/>
  <c r="F1368" i="12"/>
  <c r="D1368" i="12"/>
  <c r="C1368" i="12"/>
  <c r="B1368" i="12"/>
  <c r="G1368" i="12" s="1"/>
  <c r="A1368" i="12"/>
  <c r="F1367" i="12"/>
  <c r="D1367" i="12"/>
  <c r="C1367" i="12"/>
  <c r="B1367" i="12"/>
  <c r="G1367" i="12" s="1"/>
  <c r="A1367" i="12"/>
  <c r="F1366" i="12"/>
  <c r="D1366" i="12"/>
  <c r="C1366" i="12"/>
  <c r="B1366" i="12"/>
  <c r="G1366" i="12" s="1"/>
  <c r="A1366" i="12"/>
  <c r="F1365" i="12"/>
  <c r="D1365" i="12"/>
  <c r="C1365" i="12"/>
  <c r="B1365" i="12"/>
  <c r="G1365" i="12" s="1"/>
  <c r="A1365" i="12"/>
  <c r="F1364" i="12"/>
  <c r="D1364" i="12"/>
  <c r="C1364" i="12"/>
  <c r="B1364" i="12"/>
  <c r="G1364" i="12" s="1"/>
  <c r="A1364" i="12"/>
  <c r="F1363" i="12"/>
  <c r="D1363" i="12"/>
  <c r="C1363" i="12"/>
  <c r="B1363" i="12"/>
  <c r="G1363" i="12" s="1"/>
  <c r="A1363" i="12"/>
  <c r="F1362" i="12"/>
  <c r="D1362" i="12"/>
  <c r="C1362" i="12"/>
  <c r="B1362" i="12"/>
  <c r="G1362" i="12" s="1"/>
  <c r="A1362" i="12"/>
  <c r="F1361" i="12"/>
  <c r="D1361" i="12"/>
  <c r="C1361" i="12"/>
  <c r="B1361" i="12"/>
  <c r="G1361" i="12" s="1"/>
  <c r="A1361" i="12"/>
  <c r="F1360" i="12"/>
  <c r="D1360" i="12"/>
  <c r="C1360" i="12"/>
  <c r="B1360" i="12"/>
  <c r="G1360" i="12" s="1"/>
  <c r="A1360" i="12"/>
  <c r="F1359" i="12"/>
  <c r="D1359" i="12"/>
  <c r="C1359" i="12"/>
  <c r="B1359" i="12"/>
  <c r="G1359" i="12" s="1"/>
  <c r="A1359" i="12"/>
  <c r="F1358" i="12"/>
  <c r="D1358" i="12"/>
  <c r="C1358" i="12"/>
  <c r="B1358" i="12"/>
  <c r="G1358" i="12" s="1"/>
  <c r="A1358" i="12"/>
  <c r="F1357" i="12"/>
  <c r="D1357" i="12"/>
  <c r="C1357" i="12"/>
  <c r="B1357" i="12"/>
  <c r="G1357" i="12" s="1"/>
  <c r="A1357" i="12"/>
  <c r="F1356" i="12"/>
  <c r="D1356" i="12"/>
  <c r="C1356" i="12"/>
  <c r="B1356" i="12"/>
  <c r="G1356" i="12" s="1"/>
  <c r="A1356" i="12"/>
  <c r="F1355" i="12"/>
  <c r="D1355" i="12"/>
  <c r="C1355" i="12"/>
  <c r="B1355" i="12"/>
  <c r="G1355" i="12" s="1"/>
  <c r="A1355" i="12"/>
  <c r="F1354" i="12"/>
  <c r="D1354" i="12"/>
  <c r="C1354" i="12"/>
  <c r="B1354" i="12"/>
  <c r="G1354" i="12" s="1"/>
  <c r="A1354" i="12"/>
  <c r="F1353" i="12"/>
  <c r="D1353" i="12"/>
  <c r="C1353" i="12"/>
  <c r="B1353" i="12"/>
  <c r="G1353" i="12" s="1"/>
  <c r="A1353" i="12"/>
  <c r="F1352" i="12"/>
  <c r="D1352" i="12"/>
  <c r="C1352" i="12"/>
  <c r="B1352" i="12"/>
  <c r="G1352" i="12" s="1"/>
  <c r="A1352" i="12"/>
  <c r="F1351" i="12"/>
  <c r="D1351" i="12"/>
  <c r="C1351" i="12"/>
  <c r="B1351" i="12"/>
  <c r="G1351" i="12" s="1"/>
  <c r="A1351" i="12"/>
  <c r="F1350" i="12"/>
  <c r="D1350" i="12"/>
  <c r="C1350" i="12"/>
  <c r="B1350" i="12"/>
  <c r="G1350" i="12" s="1"/>
  <c r="A1350" i="12"/>
  <c r="F1349" i="12"/>
  <c r="D1349" i="12"/>
  <c r="C1349" i="12"/>
  <c r="B1349" i="12"/>
  <c r="G1349" i="12" s="1"/>
  <c r="A1349" i="12"/>
  <c r="F1348" i="12"/>
  <c r="D1348" i="12"/>
  <c r="C1348" i="12"/>
  <c r="B1348" i="12"/>
  <c r="G1348" i="12" s="1"/>
  <c r="A1348" i="12"/>
  <c r="F1347" i="12"/>
  <c r="D1347" i="12"/>
  <c r="C1347" i="12"/>
  <c r="B1347" i="12"/>
  <c r="G1347" i="12" s="1"/>
  <c r="A1347" i="12"/>
  <c r="F1346" i="12"/>
  <c r="D1346" i="12"/>
  <c r="C1346" i="12"/>
  <c r="B1346" i="12"/>
  <c r="G1346" i="12" s="1"/>
  <c r="A1346" i="12"/>
  <c r="F1345" i="12"/>
  <c r="D1345" i="12"/>
  <c r="C1345" i="12"/>
  <c r="B1345" i="12"/>
  <c r="G1345" i="12" s="1"/>
  <c r="A1345" i="12"/>
  <c r="F1344" i="12"/>
  <c r="D1344" i="12"/>
  <c r="C1344" i="12"/>
  <c r="B1344" i="12"/>
  <c r="G1344" i="12" s="1"/>
  <c r="A1344" i="12"/>
  <c r="F1343" i="12"/>
  <c r="D1343" i="12"/>
  <c r="C1343" i="12"/>
  <c r="B1343" i="12"/>
  <c r="G1343" i="12" s="1"/>
  <c r="A1343" i="12"/>
  <c r="F1342" i="12"/>
  <c r="D1342" i="12"/>
  <c r="C1342" i="12"/>
  <c r="B1342" i="12"/>
  <c r="G1342" i="12" s="1"/>
  <c r="A1342" i="12"/>
  <c r="F1341" i="12"/>
  <c r="D1341" i="12"/>
  <c r="C1341" i="12"/>
  <c r="B1341" i="12"/>
  <c r="G1341" i="12" s="1"/>
  <c r="A1341" i="12"/>
  <c r="F1340" i="12"/>
  <c r="D1340" i="12"/>
  <c r="C1340" i="12"/>
  <c r="B1340" i="12"/>
  <c r="G1340" i="12" s="1"/>
  <c r="A1340" i="12"/>
  <c r="F1339" i="12"/>
  <c r="D1339" i="12"/>
  <c r="C1339" i="12"/>
  <c r="B1339" i="12"/>
  <c r="G1339" i="12" s="1"/>
  <c r="A1339" i="12"/>
  <c r="F1338" i="12"/>
  <c r="D1338" i="12"/>
  <c r="C1338" i="12"/>
  <c r="B1338" i="12"/>
  <c r="G1338" i="12" s="1"/>
  <c r="A1338" i="12"/>
  <c r="F1337" i="12"/>
  <c r="D1337" i="12"/>
  <c r="C1337" i="12"/>
  <c r="B1337" i="12"/>
  <c r="G1337" i="12" s="1"/>
  <c r="A1337" i="12"/>
  <c r="F1336" i="12"/>
  <c r="D1336" i="12"/>
  <c r="C1336" i="12"/>
  <c r="B1336" i="12"/>
  <c r="G1336" i="12" s="1"/>
  <c r="A1336" i="12"/>
  <c r="F1335" i="12"/>
  <c r="D1335" i="12"/>
  <c r="C1335" i="12"/>
  <c r="B1335" i="12"/>
  <c r="G1335" i="12" s="1"/>
  <c r="A1335" i="12"/>
  <c r="F1334" i="12"/>
  <c r="D1334" i="12"/>
  <c r="C1334" i="12"/>
  <c r="B1334" i="12"/>
  <c r="G1334" i="12" s="1"/>
  <c r="A1334" i="12"/>
  <c r="F1333" i="12"/>
  <c r="D1333" i="12"/>
  <c r="C1333" i="12"/>
  <c r="B1333" i="12"/>
  <c r="G1333" i="12" s="1"/>
  <c r="A1333" i="12"/>
  <c r="F1332" i="12"/>
  <c r="D1332" i="12"/>
  <c r="C1332" i="12"/>
  <c r="B1332" i="12"/>
  <c r="G1332" i="12" s="1"/>
  <c r="A1332" i="12"/>
  <c r="F1331" i="12"/>
  <c r="D1331" i="12"/>
  <c r="C1331" i="12"/>
  <c r="B1331" i="12"/>
  <c r="G1331" i="12" s="1"/>
  <c r="A1331" i="12"/>
  <c r="F1330" i="12"/>
  <c r="D1330" i="12"/>
  <c r="C1330" i="12"/>
  <c r="B1330" i="12"/>
  <c r="G1330" i="12" s="1"/>
  <c r="A1330" i="12"/>
  <c r="F1329" i="12"/>
  <c r="D1329" i="12"/>
  <c r="C1329" i="12"/>
  <c r="B1329" i="12"/>
  <c r="G1329" i="12" s="1"/>
  <c r="A1329" i="12"/>
  <c r="F1328" i="12"/>
  <c r="D1328" i="12"/>
  <c r="C1328" i="12"/>
  <c r="B1328" i="12"/>
  <c r="G1328" i="12" s="1"/>
  <c r="A1328" i="12"/>
  <c r="F1327" i="12"/>
  <c r="D1327" i="12"/>
  <c r="C1327" i="12"/>
  <c r="B1327" i="12"/>
  <c r="G1327" i="12" s="1"/>
  <c r="A1327" i="12"/>
  <c r="F1326" i="12"/>
  <c r="D1326" i="12"/>
  <c r="C1326" i="12"/>
  <c r="B1326" i="12"/>
  <c r="G1326" i="12" s="1"/>
  <c r="A1326" i="12"/>
  <c r="F1325" i="12"/>
  <c r="D1325" i="12"/>
  <c r="C1325" i="12"/>
  <c r="B1325" i="12"/>
  <c r="G1325" i="12" s="1"/>
  <c r="A1325" i="12"/>
  <c r="F1324" i="12"/>
  <c r="D1324" i="12"/>
  <c r="C1324" i="12"/>
  <c r="B1324" i="12"/>
  <c r="G1324" i="12" s="1"/>
  <c r="A1324" i="12"/>
  <c r="F1323" i="12"/>
  <c r="D1323" i="12"/>
  <c r="C1323" i="12"/>
  <c r="B1323" i="12"/>
  <c r="G1323" i="12" s="1"/>
  <c r="A1323" i="12"/>
  <c r="F1322" i="12"/>
  <c r="D1322" i="12"/>
  <c r="C1322" i="12"/>
  <c r="B1322" i="12"/>
  <c r="G1322" i="12" s="1"/>
  <c r="A1322" i="12"/>
  <c r="F1321" i="12"/>
  <c r="D1321" i="12"/>
  <c r="C1321" i="12"/>
  <c r="B1321" i="12"/>
  <c r="G1321" i="12" s="1"/>
  <c r="A1321" i="12"/>
  <c r="F1320" i="12"/>
  <c r="D1320" i="12"/>
  <c r="C1320" i="12"/>
  <c r="B1320" i="12"/>
  <c r="G1320" i="12" s="1"/>
  <c r="A1320" i="12"/>
  <c r="F1319" i="12"/>
  <c r="D1319" i="12"/>
  <c r="C1319" i="12"/>
  <c r="B1319" i="12"/>
  <c r="G1319" i="12" s="1"/>
  <c r="A1319" i="12"/>
  <c r="F1318" i="12"/>
  <c r="D1318" i="12"/>
  <c r="C1318" i="12"/>
  <c r="B1318" i="12"/>
  <c r="G1318" i="12" s="1"/>
  <c r="A1318" i="12"/>
  <c r="F1317" i="12"/>
  <c r="D1317" i="12"/>
  <c r="C1317" i="12"/>
  <c r="B1317" i="12"/>
  <c r="G1317" i="12" s="1"/>
  <c r="A1317" i="12"/>
  <c r="F1316" i="12"/>
  <c r="D1316" i="12"/>
  <c r="C1316" i="12"/>
  <c r="B1316" i="12"/>
  <c r="G1316" i="12" s="1"/>
  <c r="A1316" i="12"/>
  <c r="F1315" i="12"/>
  <c r="D1315" i="12"/>
  <c r="C1315" i="12"/>
  <c r="B1315" i="12"/>
  <c r="G1315" i="12" s="1"/>
  <c r="A1315" i="12"/>
  <c r="F1314" i="12"/>
  <c r="D1314" i="12"/>
  <c r="C1314" i="12"/>
  <c r="B1314" i="12"/>
  <c r="G1314" i="12" s="1"/>
  <c r="A1314" i="12"/>
  <c r="F1313" i="12"/>
  <c r="D1313" i="12"/>
  <c r="C1313" i="12"/>
  <c r="B1313" i="12"/>
  <c r="G1313" i="12" s="1"/>
  <c r="A1313" i="12"/>
  <c r="F1312" i="12"/>
  <c r="D1312" i="12"/>
  <c r="C1312" i="12"/>
  <c r="B1312" i="12"/>
  <c r="G1312" i="12" s="1"/>
  <c r="A1312" i="12"/>
  <c r="F1311" i="12"/>
  <c r="D1311" i="12"/>
  <c r="C1311" i="12"/>
  <c r="B1311" i="12"/>
  <c r="G1311" i="12" s="1"/>
  <c r="A1311" i="12"/>
  <c r="F1310" i="12"/>
  <c r="D1310" i="12"/>
  <c r="C1310" i="12"/>
  <c r="B1310" i="12"/>
  <c r="G1310" i="12" s="1"/>
  <c r="A1310" i="12"/>
  <c r="F1309" i="12"/>
  <c r="D1309" i="12"/>
  <c r="C1309" i="12"/>
  <c r="B1309" i="12"/>
  <c r="G1309" i="12" s="1"/>
  <c r="A1309" i="12"/>
  <c r="F1308" i="12"/>
  <c r="D1308" i="12"/>
  <c r="C1308" i="12"/>
  <c r="B1308" i="12"/>
  <c r="G1308" i="12" s="1"/>
  <c r="A1308" i="12"/>
  <c r="F1307" i="12"/>
  <c r="D1307" i="12"/>
  <c r="C1307" i="12"/>
  <c r="B1307" i="12"/>
  <c r="G1307" i="12" s="1"/>
  <c r="A1307" i="12"/>
  <c r="F1306" i="12"/>
  <c r="D1306" i="12"/>
  <c r="C1306" i="12"/>
  <c r="B1306" i="12"/>
  <c r="G1306" i="12" s="1"/>
  <c r="A1306" i="12"/>
  <c r="F1305" i="12"/>
  <c r="D1305" i="12"/>
  <c r="C1305" i="12"/>
  <c r="B1305" i="12"/>
  <c r="G1305" i="12" s="1"/>
  <c r="A1305" i="12"/>
  <c r="F1304" i="12"/>
  <c r="D1304" i="12"/>
  <c r="C1304" i="12"/>
  <c r="B1304" i="12"/>
  <c r="G1304" i="12" s="1"/>
  <c r="A1304" i="12"/>
  <c r="F1303" i="12"/>
  <c r="D1303" i="12"/>
  <c r="C1303" i="12"/>
  <c r="B1303" i="12"/>
  <c r="G1303" i="12" s="1"/>
  <c r="A1303" i="12"/>
  <c r="F1302" i="12"/>
  <c r="D1302" i="12"/>
  <c r="C1302" i="12"/>
  <c r="B1302" i="12"/>
  <c r="G1302" i="12" s="1"/>
  <c r="A1302" i="12"/>
  <c r="F1301" i="12"/>
  <c r="D1301" i="12"/>
  <c r="C1301" i="12"/>
  <c r="B1301" i="12"/>
  <c r="G1301" i="12" s="1"/>
  <c r="A1301" i="12"/>
  <c r="F1300" i="12"/>
  <c r="D1300" i="12"/>
  <c r="C1300" i="12"/>
  <c r="B1300" i="12"/>
  <c r="G1300" i="12" s="1"/>
  <c r="A1300" i="12"/>
  <c r="F1299" i="12"/>
  <c r="D1299" i="12"/>
  <c r="C1299" i="12"/>
  <c r="B1299" i="12"/>
  <c r="G1299" i="12" s="1"/>
  <c r="A1299" i="12"/>
  <c r="F1298" i="12"/>
  <c r="D1298" i="12"/>
  <c r="C1298" i="12"/>
  <c r="B1298" i="12"/>
  <c r="G1298" i="12" s="1"/>
  <c r="A1298" i="12"/>
  <c r="F1297" i="12"/>
  <c r="D1297" i="12"/>
  <c r="C1297" i="12"/>
  <c r="B1297" i="12"/>
  <c r="G1297" i="12" s="1"/>
  <c r="A1297" i="12"/>
  <c r="F1296" i="12"/>
  <c r="D1296" i="12"/>
  <c r="C1296" i="12"/>
  <c r="B1296" i="12"/>
  <c r="G1296" i="12" s="1"/>
  <c r="A1296" i="12"/>
  <c r="F1295" i="12"/>
  <c r="D1295" i="12"/>
  <c r="C1295" i="12"/>
  <c r="B1295" i="12"/>
  <c r="G1295" i="12" s="1"/>
  <c r="A1295" i="12"/>
  <c r="F1294" i="12"/>
  <c r="D1294" i="12"/>
  <c r="C1294" i="12"/>
  <c r="B1294" i="12"/>
  <c r="G1294" i="12" s="1"/>
  <c r="A1294" i="12"/>
  <c r="F1293" i="12"/>
  <c r="D1293" i="12"/>
  <c r="C1293" i="12"/>
  <c r="B1293" i="12"/>
  <c r="G1293" i="12" s="1"/>
  <c r="A1293" i="12"/>
  <c r="F1292" i="12"/>
  <c r="D1292" i="12"/>
  <c r="C1292" i="12"/>
  <c r="B1292" i="12"/>
  <c r="G1292" i="12" s="1"/>
  <c r="A1292" i="12"/>
  <c r="F1291" i="12"/>
  <c r="D1291" i="12"/>
  <c r="C1291" i="12"/>
  <c r="B1291" i="12"/>
  <c r="G1291" i="12" s="1"/>
  <c r="A1291" i="12"/>
  <c r="F1290" i="12"/>
  <c r="D1290" i="12"/>
  <c r="C1290" i="12"/>
  <c r="B1290" i="12"/>
  <c r="G1290" i="12" s="1"/>
  <c r="A1290" i="12"/>
  <c r="F1289" i="12"/>
  <c r="D1289" i="12"/>
  <c r="C1289" i="12"/>
  <c r="B1289" i="12"/>
  <c r="G1289" i="12" s="1"/>
  <c r="A1289" i="12"/>
  <c r="F1288" i="12"/>
  <c r="D1288" i="12"/>
  <c r="C1288" i="12"/>
  <c r="B1288" i="12"/>
  <c r="G1288" i="12" s="1"/>
  <c r="A1288" i="12"/>
  <c r="F1287" i="12"/>
  <c r="D1287" i="12"/>
  <c r="C1287" i="12"/>
  <c r="B1287" i="12"/>
  <c r="G1287" i="12" s="1"/>
  <c r="A1287" i="12"/>
  <c r="F1286" i="12"/>
  <c r="D1286" i="12"/>
  <c r="C1286" i="12"/>
  <c r="B1286" i="12"/>
  <c r="G1286" i="12" s="1"/>
  <c r="A1286" i="12"/>
  <c r="F1285" i="12"/>
  <c r="D1285" i="12"/>
  <c r="C1285" i="12"/>
  <c r="B1285" i="12"/>
  <c r="G1285" i="12" s="1"/>
  <c r="A1285" i="12"/>
  <c r="F1284" i="12"/>
  <c r="D1284" i="12"/>
  <c r="C1284" i="12"/>
  <c r="B1284" i="12"/>
  <c r="G1284" i="12" s="1"/>
  <c r="A1284" i="12"/>
  <c r="F1283" i="12"/>
  <c r="D1283" i="12"/>
  <c r="C1283" i="12"/>
  <c r="B1283" i="12"/>
  <c r="G1283" i="12" s="1"/>
  <c r="A1283" i="12"/>
  <c r="F1282" i="12"/>
  <c r="D1282" i="12"/>
  <c r="C1282" i="12"/>
  <c r="B1282" i="12"/>
  <c r="G1282" i="12" s="1"/>
  <c r="A1282" i="12"/>
  <c r="F1281" i="12"/>
  <c r="D1281" i="12"/>
  <c r="C1281" i="12"/>
  <c r="B1281" i="12"/>
  <c r="G1281" i="12" s="1"/>
  <c r="A1281" i="12"/>
  <c r="F1280" i="12"/>
  <c r="D1280" i="12"/>
  <c r="C1280" i="12"/>
  <c r="B1280" i="12"/>
  <c r="G1280" i="12" s="1"/>
  <c r="A1280" i="12"/>
  <c r="F1279" i="12"/>
  <c r="D1279" i="12"/>
  <c r="C1279" i="12"/>
  <c r="B1279" i="12"/>
  <c r="G1279" i="12" s="1"/>
  <c r="A1279" i="12"/>
  <c r="F1278" i="12"/>
  <c r="D1278" i="12"/>
  <c r="C1278" i="12"/>
  <c r="B1278" i="12"/>
  <c r="G1278" i="12" s="1"/>
  <c r="A1278" i="12"/>
  <c r="F1277" i="12"/>
  <c r="D1277" i="12"/>
  <c r="C1277" i="12"/>
  <c r="B1277" i="12"/>
  <c r="G1277" i="12" s="1"/>
  <c r="A1277" i="12"/>
  <c r="F1276" i="12"/>
  <c r="D1276" i="12"/>
  <c r="C1276" i="12"/>
  <c r="B1276" i="12"/>
  <c r="G1276" i="12" s="1"/>
  <c r="A1276" i="12"/>
  <c r="F1275" i="12"/>
  <c r="D1275" i="12"/>
  <c r="C1275" i="12"/>
  <c r="B1275" i="12"/>
  <c r="G1275" i="12" s="1"/>
  <c r="A1275" i="12"/>
  <c r="F1274" i="12"/>
  <c r="D1274" i="12"/>
  <c r="C1274" i="12"/>
  <c r="B1274" i="12"/>
  <c r="G1274" i="12" s="1"/>
  <c r="A1274" i="12"/>
  <c r="F1273" i="12"/>
  <c r="D1273" i="12"/>
  <c r="C1273" i="12"/>
  <c r="B1273" i="12"/>
  <c r="G1273" i="12" s="1"/>
  <c r="A1273" i="12"/>
  <c r="F1272" i="12"/>
  <c r="D1272" i="12"/>
  <c r="C1272" i="12"/>
  <c r="B1272" i="12"/>
  <c r="G1272" i="12" s="1"/>
  <c r="A1272" i="12"/>
  <c r="F1271" i="12"/>
  <c r="D1271" i="12"/>
  <c r="C1271" i="12"/>
  <c r="B1271" i="12"/>
  <c r="G1271" i="12" s="1"/>
  <c r="A1271" i="12"/>
  <c r="F1270" i="12"/>
  <c r="D1270" i="12"/>
  <c r="C1270" i="12"/>
  <c r="B1270" i="12"/>
  <c r="G1270" i="12" s="1"/>
  <c r="A1270" i="12"/>
  <c r="F1269" i="12"/>
  <c r="D1269" i="12"/>
  <c r="C1269" i="12"/>
  <c r="B1269" i="12"/>
  <c r="G1269" i="12" s="1"/>
  <c r="A1269" i="12"/>
  <c r="F1268" i="12"/>
  <c r="D1268" i="12"/>
  <c r="C1268" i="12"/>
  <c r="B1268" i="12"/>
  <c r="G1268" i="12" s="1"/>
  <c r="A1268" i="12"/>
  <c r="F1267" i="12"/>
  <c r="D1267" i="12"/>
  <c r="C1267" i="12"/>
  <c r="B1267" i="12"/>
  <c r="G1267" i="12" s="1"/>
  <c r="A1267" i="12"/>
  <c r="F1266" i="12"/>
  <c r="D1266" i="12"/>
  <c r="C1266" i="12"/>
  <c r="B1266" i="12"/>
  <c r="G1266" i="12" s="1"/>
  <c r="A1266" i="12"/>
  <c r="F1265" i="12"/>
  <c r="D1265" i="12"/>
  <c r="C1265" i="12"/>
  <c r="B1265" i="12"/>
  <c r="G1265" i="12" s="1"/>
  <c r="A1265" i="12"/>
  <c r="F1264" i="12"/>
  <c r="D1264" i="12"/>
  <c r="C1264" i="12"/>
  <c r="B1264" i="12"/>
  <c r="G1264" i="12" s="1"/>
  <c r="A1264" i="12"/>
  <c r="F1263" i="12"/>
  <c r="D1263" i="12"/>
  <c r="C1263" i="12"/>
  <c r="B1263" i="12"/>
  <c r="G1263" i="12" s="1"/>
  <c r="A1263" i="12"/>
  <c r="F1262" i="12"/>
  <c r="D1262" i="12"/>
  <c r="C1262" i="12"/>
  <c r="B1262" i="12"/>
  <c r="G1262" i="12" s="1"/>
  <c r="A1262" i="12"/>
  <c r="F1261" i="12"/>
  <c r="D1261" i="12"/>
  <c r="C1261" i="12"/>
  <c r="B1261" i="12"/>
  <c r="G1261" i="12" s="1"/>
  <c r="A1261" i="12"/>
  <c r="F1260" i="12"/>
  <c r="D1260" i="12"/>
  <c r="C1260" i="12"/>
  <c r="B1260" i="12"/>
  <c r="G1260" i="12" s="1"/>
  <c r="A1260" i="12"/>
  <c r="F1259" i="12"/>
  <c r="D1259" i="12"/>
  <c r="C1259" i="12"/>
  <c r="B1259" i="12"/>
  <c r="G1259" i="12" s="1"/>
  <c r="A1259" i="12"/>
  <c r="F1258" i="12"/>
  <c r="D1258" i="12"/>
  <c r="C1258" i="12"/>
  <c r="B1258" i="12"/>
  <c r="G1258" i="12" s="1"/>
  <c r="A1258" i="12"/>
  <c r="F1257" i="12"/>
  <c r="D1257" i="12"/>
  <c r="C1257" i="12"/>
  <c r="B1257" i="12"/>
  <c r="G1257" i="12" s="1"/>
  <c r="A1257" i="12"/>
  <c r="F1256" i="12"/>
  <c r="D1256" i="12"/>
  <c r="C1256" i="12"/>
  <c r="B1256" i="12"/>
  <c r="G1256" i="12" s="1"/>
  <c r="A1256" i="12"/>
  <c r="F1255" i="12"/>
  <c r="D1255" i="12"/>
  <c r="C1255" i="12"/>
  <c r="B1255" i="12"/>
  <c r="G1255" i="12" s="1"/>
  <c r="A1255" i="12"/>
  <c r="F1254" i="12"/>
  <c r="D1254" i="12"/>
  <c r="C1254" i="12"/>
  <c r="B1254" i="12"/>
  <c r="G1254" i="12" s="1"/>
  <c r="A1254" i="12"/>
  <c r="F1253" i="12"/>
  <c r="D1253" i="12"/>
  <c r="C1253" i="12"/>
  <c r="B1253" i="12"/>
  <c r="G1253" i="12" s="1"/>
  <c r="A1253" i="12"/>
  <c r="F1252" i="12"/>
  <c r="D1252" i="12"/>
  <c r="C1252" i="12"/>
  <c r="B1252" i="12"/>
  <c r="G1252" i="12" s="1"/>
  <c r="A1252" i="12"/>
  <c r="F1251" i="12"/>
  <c r="D1251" i="12"/>
  <c r="C1251" i="12"/>
  <c r="B1251" i="12"/>
  <c r="G1251" i="12" s="1"/>
  <c r="A1251" i="12"/>
  <c r="F1250" i="12"/>
  <c r="D1250" i="12"/>
  <c r="C1250" i="12"/>
  <c r="B1250" i="12"/>
  <c r="G1250" i="12" s="1"/>
  <c r="A1250" i="12"/>
  <c r="F1249" i="12"/>
  <c r="D1249" i="12"/>
  <c r="C1249" i="12"/>
  <c r="B1249" i="12"/>
  <c r="G1249" i="12" s="1"/>
  <c r="A1249" i="12"/>
  <c r="F1248" i="12"/>
  <c r="D1248" i="12"/>
  <c r="C1248" i="12"/>
  <c r="B1248" i="12"/>
  <c r="G1248" i="12" s="1"/>
  <c r="A1248" i="12"/>
  <c r="F1247" i="12"/>
  <c r="D1247" i="12"/>
  <c r="C1247" i="12"/>
  <c r="B1247" i="12"/>
  <c r="G1247" i="12" s="1"/>
  <c r="A1247" i="12"/>
  <c r="F1246" i="12"/>
  <c r="D1246" i="12"/>
  <c r="C1246" i="12"/>
  <c r="B1246" i="12"/>
  <c r="G1246" i="12" s="1"/>
  <c r="A1246" i="12"/>
  <c r="F1245" i="12"/>
  <c r="D1245" i="12"/>
  <c r="C1245" i="12"/>
  <c r="B1245" i="12"/>
  <c r="G1245" i="12" s="1"/>
  <c r="A1245" i="12"/>
  <c r="F1244" i="12"/>
  <c r="D1244" i="12"/>
  <c r="C1244" i="12"/>
  <c r="B1244" i="12"/>
  <c r="G1244" i="12" s="1"/>
  <c r="A1244" i="12"/>
  <c r="F1243" i="12"/>
  <c r="D1243" i="12"/>
  <c r="C1243" i="12"/>
  <c r="B1243" i="12"/>
  <c r="G1243" i="12" s="1"/>
  <c r="A1243" i="12"/>
  <c r="F1242" i="12"/>
  <c r="D1242" i="12"/>
  <c r="C1242" i="12"/>
  <c r="B1242" i="12"/>
  <c r="G1242" i="12" s="1"/>
  <c r="A1242" i="12"/>
  <c r="F1241" i="12"/>
  <c r="D1241" i="12"/>
  <c r="C1241" i="12"/>
  <c r="B1241" i="12"/>
  <c r="G1241" i="12" s="1"/>
  <c r="A1241" i="12"/>
  <c r="F1240" i="12"/>
  <c r="D1240" i="12"/>
  <c r="C1240" i="12"/>
  <c r="B1240" i="12"/>
  <c r="G1240" i="12" s="1"/>
  <c r="A1240" i="12"/>
  <c r="F1239" i="12"/>
  <c r="D1239" i="12"/>
  <c r="C1239" i="12"/>
  <c r="B1239" i="12"/>
  <c r="G1239" i="12" s="1"/>
  <c r="A1239" i="12"/>
  <c r="F1238" i="12"/>
  <c r="D1238" i="12"/>
  <c r="C1238" i="12"/>
  <c r="B1238" i="12"/>
  <c r="G1238" i="12" s="1"/>
  <c r="A1238" i="12"/>
  <c r="F1237" i="12"/>
  <c r="D1237" i="12"/>
  <c r="C1237" i="12"/>
  <c r="B1237" i="12"/>
  <c r="G1237" i="12" s="1"/>
  <c r="A1237" i="12"/>
  <c r="F1236" i="12"/>
  <c r="D1236" i="12"/>
  <c r="C1236" i="12"/>
  <c r="B1236" i="12"/>
  <c r="G1236" i="12" s="1"/>
  <c r="A1236" i="12"/>
  <c r="F1235" i="12"/>
  <c r="D1235" i="12"/>
  <c r="C1235" i="12"/>
  <c r="B1235" i="12"/>
  <c r="G1235" i="12" s="1"/>
  <c r="A1235" i="12"/>
  <c r="F1234" i="12"/>
  <c r="D1234" i="12"/>
  <c r="C1234" i="12"/>
  <c r="B1234" i="12"/>
  <c r="G1234" i="12" s="1"/>
  <c r="A1234" i="12"/>
  <c r="F1233" i="12"/>
  <c r="D1233" i="12"/>
  <c r="C1233" i="12"/>
  <c r="B1233" i="12"/>
  <c r="G1233" i="12" s="1"/>
  <c r="A1233" i="12"/>
  <c r="F1232" i="12"/>
  <c r="D1232" i="12"/>
  <c r="C1232" i="12"/>
  <c r="B1232" i="12"/>
  <c r="G1232" i="12" s="1"/>
  <c r="A1232" i="12"/>
  <c r="F1231" i="12"/>
  <c r="D1231" i="12"/>
  <c r="C1231" i="12"/>
  <c r="B1231" i="12"/>
  <c r="G1231" i="12" s="1"/>
  <c r="A1231" i="12"/>
  <c r="F1230" i="12"/>
  <c r="D1230" i="12"/>
  <c r="C1230" i="12"/>
  <c r="B1230" i="12"/>
  <c r="G1230" i="12" s="1"/>
  <c r="A1230" i="12"/>
  <c r="F1229" i="12"/>
  <c r="D1229" i="12"/>
  <c r="C1229" i="12"/>
  <c r="B1229" i="12"/>
  <c r="G1229" i="12" s="1"/>
  <c r="A1229" i="12"/>
  <c r="F1228" i="12"/>
  <c r="D1228" i="12"/>
  <c r="C1228" i="12"/>
  <c r="B1228" i="12"/>
  <c r="G1228" i="12" s="1"/>
  <c r="A1228" i="12"/>
  <c r="F1227" i="12"/>
  <c r="D1227" i="12"/>
  <c r="C1227" i="12"/>
  <c r="B1227" i="12"/>
  <c r="G1227" i="12" s="1"/>
  <c r="A1227" i="12"/>
  <c r="F1226" i="12"/>
  <c r="D1226" i="12"/>
  <c r="C1226" i="12"/>
  <c r="B1226" i="12"/>
  <c r="G1226" i="12" s="1"/>
  <c r="A1226" i="12"/>
  <c r="F1225" i="12"/>
  <c r="D1225" i="12"/>
  <c r="C1225" i="12"/>
  <c r="B1225" i="12"/>
  <c r="G1225" i="12" s="1"/>
  <c r="A1225" i="12"/>
  <c r="F1224" i="12"/>
  <c r="D1224" i="12"/>
  <c r="C1224" i="12"/>
  <c r="B1224" i="12"/>
  <c r="G1224" i="12" s="1"/>
  <c r="A1224" i="12"/>
  <c r="F1223" i="12"/>
  <c r="D1223" i="12"/>
  <c r="C1223" i="12"/>
  <c r="B1223" i="12"/>
  <c r="G1223" i="12" s="1"/>
  <c r="A1223" i="12"/>
  <c r="F1222" i="12"/>
  <c r="D1222" i="12"/>
  <c r="C1222" i="12"/>
  <c r="B1222" i="12"/>
  <c r="G1222" i="12" s="1"/>
  <c r="A1222" i="12"/>
  <c r="F1221" i="12"/>
  <c r="D1221" i="12"/>
  <c r="C1221" i="12"/>
  <c r="B1221" i="12"/>
  <c r="G1221" i="12" s="1"/>
  <c r="A1221" i="12"/>
  <c r="F1220" i="12"/>
  <c r="D1220" i="12"/>
  <c r="C1220" i="12"/>
  <c r="B1220" i="12"/>
  <c r="G1220" i="12" s="1"/>
  <c r="A1220" i="12"/>
  <c r="F1219" i="12"/>
  <c r="D1219" i="12"/>
  <c r="C1219" i="12"/>
  <c r="B1219" i="12"/>
  <c r="G1219" i="12" s="1"/>
  <c r="A1219" i="12"/>
  <c r="F1218" i="12"/>
  <c r="D1218" i="12"/>
  <c r="C1218" i="12"/>
  <c r="B1218" i="12"/>
  <c r="G1218" i="12" s="1"/>
  <c r="A1218" i="12"/>
  <c r="F1217" i="12"/>
  <c r="D1217" i="12"/>
  <c r="C1217" i="12"/>
  <c r="B1217" i="12"/>
  <c r="G1217" i="12" s="1"/>
  <c r="A1217" i="12"/>
  <c r="F1216" i="12"/>
  <c r="D1216" i="12"/>
  <c r="C1216" i="12"/>
  <c r="B1216" i="12"/>
  <c r="G1216" i="12" s="1"/>
  <c r="A1216" i="12"/>
  <c r="F1215" i="12"/>
  <c r="D1215" i="12"/>
  <c r="C1215" i="12"/>
  <c r="B1215" i="12"/>
  <c r="G1215" i="12" s="1"/>
  <c r="A1215" i="12"/>
  <c r="F1214" i="12"/>
  <c r="D1214" i="12"/>
  <c r="C1214" i="12"/>
  <c r="B1214" i="12"/>
  <c r="G1214" i="12" s="1"/>
  <c r="A1214" i="12"/>
  <c r="F1213" i="12"/>
  <c r="D1213" i="12"/>
  <c r="C1213" i="12"/>
  <c r="B1213" i="12"/>
  <c r="G1213" i="12" s="1"/>
  <c r="A1213" i="12"/>
  <c r="F1212" i="12"/>
  <c r="D1212" i="12"/>
  <c r="C1212" i="12"/>
  <c r="B1212" i="12"/>
  <c r="G1212" i="12" s="1"/>
  <c r="A1212" i="12"/>
  <c r="F1211" i="12"/>
  <c r="D1211" i="12"/>
  <c r="C1211" i="12"/>
  <c r="B1211" i="12"/>
  <c r="G1211" i="12" s="1"/>
  <c r="A1211" i="12"/>
  <c r="F1210" i="12"/>
  <c r="D1210" i="12"/>
  <c r="C1210" i="12"/>
  <c r="B1210" i="12"/>
  <c r="G1210" i="12" s="1"/>
  <c r="A1210" i="12"/>
  <c r="F1209" i="12"/>
  <c r="D1209" i="12"/>
  <c r="C1209" i="12"/>
  <c r="B1209" i="12"/>
  <c r="G1209" i="12" s="1"/>
  <c r="A1209" i="12"/>
  <c r="F1208" i="12"/>
  <c r="D1208" i="12"/>
  <c r="C1208" i="12"/>
  <c r="B1208" i="12"/>
  <c r="G1208" i="12" s="1"/>
  <c r="A1208" i="12"/>
  <c r="F1207" i="12"/>
  <c r="D1207" i="12"/>
  <c r="C1207" i="12"/>
  <c r="B1207" i="12"/>
  <c r="G1207" i="12" s="1"/>
  <c r="A1207" i="12"/>
  <c r="F1206" i="12"/>
  <c r="D1206" i="12"/>
  <c r="C1206" i="12"/>
  <c r="B1206" i="12"/>
  <c r="G1206" i="12" s="1"/>
  <c r="A1206" i="12"/>
  <c r="F1205" i="12"/>
  <c r="D1205" i="12"/>
  <c r="C1205" i="12"/>
  <c r="B1205" i="12"/>
  <c r="G1205" i="12" s="1"/>
  <c r="A1205" i="12"/>
  <c r="F1204" i="12"/>
  <c r="D1204" i="12"/>
  <c r="C1204" i="12"/>
  <c r="B1204" i="12"/>
  <c r="G1204" i="12" s="1"/>
  <c r="A1204" i="12"/>
  <c r="F1203" i="12"/>
  <c r="D1203" i="12"/>
  <c r="C1203" i="12"/>
  <c r="B1203" i="12"/>
  <c r="G1203" i="12" s="1"/>
  <c r="A1203" i="12"/>
  <c r="F1202" i="12"/>
  <c r="D1202" i="12"/>
  <c r="C1202" i="12"/>
  <c r="B1202" i="12"/>
  <c r="G1202" i="12" s="1"/>
  <c r="A1202" i="12"/>
  <c r="F1201" i="12"/>
  <c r="D1201" i="12"/>
  <c r="C1201" i="12"/>
  <c r="B1201" i="12"/>
  <c r="G1201" i="12" s="1"/>
  <c r="A1201" i="12"/>
  <c r="F1200" i="12"/>
  <c r="D1200" i="12"/>
  <c r="C1200" i="12"/>
  <c r="B1200" i="12"/>
  <c r="G1200" i="12" s="1"/>
  <c r="A1200" i="12"/>
  <c r="F1199" i="12"/>
  <c r="D1199" i="12"/>
  <c r="C1199" i="12"/>
  <c r="B1199" i="12"/>
  <c r="G1199" i="12" s="1"/>
  <c r="A1199" i="12"/>
  <c r="F1198" i="12"/>
  <c r="D1198" i="12"/>
  <c r="C1198" i="12"/>
  <c r="B1198" i="12"/>
  <c r="G1198" i="12" s="1"/>
  <c r="A1198" i="12"/>
  <c r="F1197" i="12"/>
  <c r="D1197" i="12"/>
  <c r="C1197" i="12"/>
  <c r="B1197" i="12"/>
  <c r="G1197" i="12" s="1"/>
  <c r="A1197" i="12"/>
  <c r="F1196" i="12"/>
  <c r="D1196" i="12"/>
  <c r="C1196" i="12"/>
  <c r="B1196" i="12"/>
  <c r="G1196" i="12" s="1"/>
  <c r="A1196" i="12"/>
  <c r="F1195" i="12"/>
  <c r="D1195" i="12"/>
  <c r="C1195" i="12"/>
  <c r="B1195" i="12"/>
  <c r="G1195" i="12" s="1"/>
  <c r="A1195" i="12"/>
  <c r="F1194" i="12"/>
  <c r="D1194" i="12"/>
  <c r="C1194" i="12"/>
  <c r="B1194" i="12"/>
  <c r="G1194" i="12" s="1"/>
  <c r="A1194" i="12"/>
  <c r="F1193" i="12"/>
  <c r="D1193" i="12"/>
  <c r="C1193" i="12"/>
  <c r="B1193" i="12"/>
  <c r="G1193" i="12" s="1"/>
  <c r="A1193" i="12"/>
  <c r="F1192" i="12"/>
  <c r="D1192" i="12"/>
  <c r="C1192" i="12"/>
  <c r="B1192" i="12"/>
  <c r="G1192" i="12" s="1"/>
  <c r="A1192" i="12"/>
  <c r="F1191" i="12"/>
  <c r="D1191" i="12"/>
  <c r="C1191" i="12"/>
  <c r="B1191" i="12"/>
  <c r="G1191" i="12" s="1"/>
  <c r="A1191" i="12"/>
  <c r="F1190" i="12"/>
  <c r="D1190" i="12"/>
  <c r="C1190" i="12"/>
  <c r="B1190" i="12"/>
  <c r="G1190" i="12" s="1"/>
  <c r="A1190" i="12"/>
  <c r="F1189" i="12"/>
  <c r="D1189" i="12"/>
  <c r="C1189" i="12"/>
  <c r="B1189" i="12"/>
  <c r="G1189" i="12" s="1"/>
  <c r="A1189" i="12"/>
  <c r="F1188" i="12"/>
  <c r="D1188" i="12"/>
  <c r="C1188" i="12"/>
  <c r="B1188" i="12"/>
  <c r="G1188" i="12" s="1"/>
  <c r="A1188" i="12"/>
  <c r="F1187" i="12"/>
  <c r="D1187" i="12"/>
  <c r="C1187" i="12"/>
  <c r="B1187" i="12"/>
  <c r="G1187" i="12" s="1"/>
  <c r="A1187" i="12"/>
  <c r="F1186" i="12"/>
  <c r="D1186" i="12"/>
  <c r="C1186" i="12"/>
  <c r="B1186" i="12"/>
  <c r="G1186" i="12" s="1"/>
  <c r="A1186" i="12"/>
  <c r="F1185" i="12"/>
  <c r="D1185" i="12"/>
  <c r="C1185" i="12"/>
  <c r="B1185" i="12"/>
  <c r="G1185" i="12" s="1"/>
  <c r="A1185" i="12"/>
  <c r="F1184" i="12"/>
  <c r="D1184" i="12"/>
  <c r="C1184" i="12"/>
  <c r="B1184" i="12"/>
  <c r="G1184" i="12" s="1"/>
  <c r="A1184" i="12"/>
  <c r="F1183" i="12"/>
  <c r="D1183" i="12"/>
  <c r="C1183" i="12"/>
  <c r="B1183" i="12"/>
  <c r="G1183" i="12" s="1"/>
  <c r="A1183" i="12"/>
  <c r="F1182" i="12"/>
  <c r="D1182" i="12"/>
  <c r="C1182" i="12"/>
  <c r="B1182" i="12"/>
  <c r="G1182" i="12" s="1"/>
  <c r="A1182" i="12"/>
  <c r="F1181" i="12"/>
  <c r="D1181" i="12"/>
  <c r="C1181" i="12"/>
  <c r="B1181" i="12"/>
  <c r="G1181" i="12" s="1"/>
  <c r="A1181" i="12"/>
  <c r="F1180" i="12"/>
  <c r="D1180" i="12"/>
  <c r="C1180" i="12"/>
  <c r="B1180" i="12"/>
  <c r="G1180" i="12" s="1"/>
  <c r="A1180" i="12"/>
  <c r="F1179" i="12"/>
  <c r="D1179" i="12"/>
  <c r="C1179" i="12"/>
  <c r="B1179" i="12"/>
  <c r="G1179" i="12" s="1"/>
  <c r="A1179" i="12"/>
  <c r="F1178" i="12"/>
  <c r="D1178" i="12"/>
  <c r="C1178" i="12"/>
  <c r="B1178" i="12"/>
  <c r="G1178" i="12" s="1"/>
  <c r="A1178" i="12"/>
  <c r="F1177" i="12"/>
  <c r="D1177" i="12"/>
  <c r="C1177" i="12"/>
  <c r="B1177" i="12"/>
  <c r="G1177" i="12" s="1"/>
  <c r="A1177" i="12"/>
  <c r="F1176" i="12"/>
  <c r="D1176" i="12"/>
  <c r="C1176" i="12"/>
  <c r="B1176" i="12"/>
  <c r="G1176" i="12" s="1"/>
  <c r="A1176" i="12"/>
  <c r="F1175" i="12"/>
  <c r="D1175" i="12"/>
  <c r="C1175" i="12"/>
  <c r="B1175" i="12"/>
  <c r="G1175" i="12" s="1"/>
  <c r="A1175" i="12"/>
  <c r="F1174" i="12"/>
  <c r="D1174" i="12"/>
  <c r="C1174" i="12"/>
  <c r="B1174" i="12"/>
  <c r="G1174" i="12" s="1"/>
  <c r="A1174" i="12"/>
  <c r="F1173" i="12"/>
  <c r="D1173" i="12"/>
  <c r="C1173" i="12"/>
  <c r="B1173" i="12"/>
  <c r="G1173" i="12" s="1"/>
  <c r="A1173" i="12"/>
  <c r="F1172" i="12"/>
  <c r="D1172" i="12"/>
  <c r="C1172" i="12"/>
  <c r="B1172" i="12"/>
  <c r="G1172" i="12" s="1"/>
  <c r="A1172" i="12"/>
  <c r="F1171" i="12"/>
  <c r="D1171" i="12"/>
  <c r="C1171" i="12"/>
  <c r="B1171" i="12"/>
  <c r="G1171" i="12" s="1"/>
  <c r="A1171" i="12"/>
  <c r="F1170" i="12"/>
  <c r="D1170" i="12"/>
  <c r="C1170" i="12"/>
  <c r="B1170" i="12"/>
  <c r="G1170" i="12" s="1"/>
  <c r="A1170" i="12"/>
  <c r="F1169" i="12"/>
  <c r="D1169" i="12"/>
  <c r="C1169" i="12"/>
  <c r="B1169" i="12"/>
  <c r="G1169" i="12" s="1"/>
  <c r="A1169" i="12"/>
  <c r="F1168" i="12"/>
  <c r="D1168" i="12"/>
  <c r="C1168" i="12"/>
  <c r="B1168" i="12"/>
  <c r="G1168" i="12" s="1"/>
  <c r="A1168" i="12"/>
  <c r="F1167" i="12"/>
  <c r="D1167" i="12"/>
  <c r="C1167" i="12"/>
  <c r="B1167" i="12"/>
  <c r="G1167" i="12" s="1"/>
  <c r="A1167" i="12"/>
  <c r="F1166" i="12"/>
  <c r="D1166" i="12"/>
  <c r="C1166" i="12"/>
  <c r="B1166" i="12"/>
  <c r="G1166" i="12" s="1"/>
  <c r="A1166" i="12"/>
  <c r="F1165" i="12"/>
  <c r="D1165" i="12"/>
  <c r="C1165" i="12"/>
  <c r="B1165" i="12"/>
  <c r="G1165" i="12" s="1"/>
  <c r="A1165" i="12"/>
  <c r="F1164" i="12"/>
  <c r="D1164" i="12"/>
  <c r="C1164" i="12"/>
  <c r="B1164" i="12"/>
  <c r="G1164" i="12" s="1"/>
  <c r="A1164" i="12"/>
  <c r="F1163" i="12"/>
  <c r="D1163" i="12"/>
  <c r="C1163" i="12"/>
  <c r="B1163" i="12"/>
  <c r="G1163" i="12" s="1"/>
  <c r="A1163" i="12"/>
  <c r="F1162" i="12"/>
  <c r="D1162" i="12"/>
  <c r="C1162" i="12"/>
  <c r="B1162" i="12"/>
  <c r="G1162" i="12" s="1"/>
  <c r="A1162" i="12"/>
  <c r="F1161" i="12"/>
  <c r="D1161" i="12"/>
  <c r="C1161" i="12"/>
  <c r="B1161" i="12"/>
  <c r="G1161" i="12" s="1"/>
  <c r="A1161" i="12"/>
  <c r="F1160" i="12"/>
  <c r="D1160" i="12"/>
  <c r="C1160" i="12"/>
  <c r="B1160" i="12"/>
  <c r="G1160" i="12" s="1"/>
  <c r="A1160" i="12"/>
  <c r="F1159" i="12"/>
  <c r="D1159" i="12"/>
  <c r="C1159" i="12"/>
  <c r="B1159" i="12"/>
  <c r="G1159" i="12" s="1"/>
  <c r="A1159" i="12"/>
  <c r="F1158" i="12"/>
  <c r="D1158" i="12"/>
  <c r="C1158" i="12"/>
  <c r="B1158" i="12"/>
  <c r="G1158" i="12" s="1"/>
  <c r="A1158" i="12"/>
  <c r="F1157" i="12"/>
  <c r="D1157" i="12"/>
  <c r="C1157" i="12"/>
  <c r="B1157" i="12"/>
  <c r="G1157" i="12" s="1"/>
  <c r="A1157" i="12"/>
  <c r="F1156" i="12"/>
  <c r="D1156" i="12"/>
  <c r="C1156" i="12"/>
  <c r="B1156" i="12"/>
  <c r="G1156" i="12" s="1"/>
  <c r="A1156" i="12"/>
  <c r="F1155" i="12"/>
  <c r="D1155" i="12"/>
  <c r="C1155" i="12"/>
  <c r="B1155" i="12"/>
  <c r="G1155" i="12" s="1"/>
  <c r="A1155" i="12"/>
  <c r="F1154" i="12"/>
  <c r="D1154" i="12"/>
  <c r="C1154" i="12"/>
  <c r="B1154" i="12"/>
  <c r="G1154" i="12" s="1"/>
  <c r="A1154" i="12"/>
  <c r="F1153" i="12"/>
  <c r="D1153" i="12"/>
  <c r="C1153" i="12"/>
  <c r="B1153" i="12"/>
  <c r="G1153" i="12" s="1"/>
  <c r="A1153" i="12"/>
  <c r="F1152" i="12"/>
  <c r="D1152" i="12"/>
  <c r="C1152" i="12"/>
  <c r="B1152" i="12"/>
  <c r="G1152" i="12" s="1"/>
  <c r="A1152" i="12"/>
  <c r="F1151" i="12"/>
  <c r="D1151" i="12"/>
  <c r="C1151" i="12"/>
  <c r="B1151" i="12"/>
  <c r="G1151" i="12" s="1"/>
  <c r="A1151" i="12"/>
  <c r="F1150" i="12"/>
  <c r="D1150" i="12"/>
  <c r="C1150" i="12"/>
  <c r="B1150" i="12"/>
  <c r="G1150" i="12" s="1"/>
  <c r="A1150" i="12"/>
  <c r="F1149" i="12"/>
  <c r="D1149" i="12"/>
  <c r="C1149" i="12"/>
  <c r="B1149" i="12"/>
  <c r="G1149" i="12" s="1"/>
  <c r="A1149" i="12"/>
  <c r="F1148" i="12"/>
  <c r="D1148" i="12"/>
  <c r="C1148" i="12"/>
  <c r="B1148" i="12"/>
  <c r="G1148" i="12" s="1"/>
  <c r="A1148" i="12"/>
  <c r="F1147" i="12"/>
  <c r="D1147" i="12"/>
  <c r="C1147" i="12"/>
  <c r="B1147" i="12"/>
  <c r="G1147" i="12" s="1"/>
  <c r="A1147" i="12"/>
  <c r="F1146" i="12"/>
  <c r="D1146" i="12"/>
  <c r="C1146" i="12"/>
  <c r="B1146" i="12"/>
  <c r="G1146" i="12" s="1"/>
  <c r="A1146" i="12"/>
  <c r="F1145" i="12"/>
  <c r="D1145" i="12"/>
  <c r="C1145" i="12"/>
  <c r="B1145" i="12"/>
  <c r="G1145" i="12" s="1"/>
  <c r="A1145" i="12"/>
  <c r="F1144" i="12"/>
  <c r="D1144" i="12"/>
  <c r="C1144" i="12"/>
  <c r="B1144" i="12"/>
  <c r="G1144" i="12" s="1"/>
  <c r="A1144" i="12"/>
  <c r="F1143" i="12"/>
  <c r="D1143" i="12"/>
  <c r="C1143" i="12"/>
  <c r="B1143" i="12"/>
  <c r="G1143" i="12" s="1"/>
  <c r="A1143" i="12"/>
  <c r="F1142" i="12"/>
  <c r="D1142" i="12"/>
  <c r="C1142" i="12"/>
  <c r="B1142" i="12"/>
  <c r="G1142" i="12" s="1"/>
  <c r="A1142" i="12"/>
  <c r="F1141" i="12"/>
  <c r="D1141" i="12"/>
  <c r="C1141" i="12"/>
  <c r="B1141" i="12"/>
  <c r="G1141" i="12" s="1"/>
  <c r="A1141" i="12"/>
  <c r="F1140" i="12"/>
  <c r="D1140" i="12"/>
  <c r="C1140" i="12"/>
  <c r="B1140" i="12"/>
  <c r="G1140" i="12" s="1"/>
  <c r="A1140" i="12"/>
  <c r="F1139" i="12"/>
  <c r="D1139" i="12"/>
  <c r="C1139" i="12"/>
  <c r="B1139" i="12"/>
  <c r="G1139" i="12" s="1"/>
  <c r="A1139" i="12"/>
  <c r="F1138" i="12"/>
  <c r="D1138" i="12"/>
  <c r="C1138" i="12"/>
  <c r="B1138" i="12"/>
  <c r="G1138" i="12" s="1"/>
  <c r="A1138" i="12"/>
  <c r="F1137" i="12"/>
  <c r="D1137" i="12"/>
  <c r="C1137" i="12"/>
  <c r="B1137" i="12"/>
  <c r="G1137" i="12" s="1"/>
  <c r="A1137" i="12"/>
  <c r="F1136" i="12"/>
  <c r="D1136" i="12"/>
  <c r="C1136" i="12"/>
  <c r="B1136" i="12"/>
  <c r="G1136" i="12" s="1"/>
  <c r="A1136" i="12"/>
  <c r="F1135" i="12"/>
  <c r="D1135" i="12"/>
  <c r="C1135" i="12"/>
  <c r="B1135" i="12"/>
  <c r="G1135" i="12" s="1"/>
  <c r="A1135" i="12"/>
  <c r="F1134" i="12"/>
  <c r="D1134" i="12"/>
  <c r="C1134" i="12"/>
  <c r="B1134" i="12"/>
  <c r="G1134" i="12" s="1"/>
  <c r="A1134" i="12"/>
  <c r="F1133" i="12"/>
  <c r="D1133" i="12"/>
  <c r="C1133" i="12"/>
  <c r="B1133" i="12"/>
  <c r="G1133" i="12" s="1"/>
  <c r="A1133" i="12"/>
  <c r="F1132" i="12"/>
  <c r="D1132" i="12"/>
  <c r="C1132" i="12"/>
  <c r="B1132" i="12"/>
  <c r="G1132" i="12" s="1"/>
  <c r="A1132" i="12"/>
  <c r="F1131" i="12"/>
  <c r="D1131" i="12"/>
  <c r="C1131" i="12"/>
  <c r="B1131" i="12"/>
  <c r="G1131" i="12" s="1"/>
  <c r="A1131" i="12"/>
  <c r="F1130" i="12"/>
  <c r="D1130" i="12"/>
  <c r="C1130" i="12"/>
  <c r="B1130" i="12"/>
  <c r="G1130" i="12" s="1"/>
  <c r="A1130" i="12"/>
  <c r="F1129" i="12"/>
  <c r="D1129" i="12"/>
  <c r="C1129" i="12"/>
  <c r="B1129" i="12"/>
  <c r="G1129" i="12" s="1"/>
  <c r="A1129" i="12"/>
  <c r="F1128" i="12"/>
  <c r="D1128" i="12"/>
  <c r="C1128" i="12"/>
  <c r="B1128" i="12"/>
  <c r="G1128" i="12" s="1"/>
  <c r="A1128" i="12"/>
  <c r="F1127" i="12"/>
  <c r="D1127" i="12"/>
  <c r="C1127" i="12"/>
  <c r="B1127" i="12"/>
  <c r="G1127" i="12" s="1"/>
  <c r="A1127" i="12"/>
  <c r="F1126" i="12"/>
  <c r="D1126" i="12"/>
  <c r="C1126" i="12"/>
  <c r="B1126" i="12"/>
  <c r="G1126" i="12" s="1"/>
  <c r="A1126" i="12"/>
  <c r="F1125" i="12"/>
  <c r="D1125" i="12"/>
  <c r="C1125" i="12"/>
  <c r="B1125" i="12"/>
  <c r="G1125" i="12" s="1"/>
  <c r="A1125" i="12"/>
  <c r="F1124" i="12"/>
  <c r="D1124" i="12"/>
  <c r="C1124" i="12"/>
  <c r="B1124" i="12"/>
  <c r="G1124" i="12" s="1"/>
  <c r="A1124" i="12"/>
  <c r="F1123" i="12"/>
  <c r="D1123" i="12"/>
  <c r="C1123" i="12"/>
  <c r="B1123" i="12"/>
  <c r="G1123" i="12" s="1"/>
  <c r="A1123" i="12"/>
  <c r="F1122" i="12"/>
  <c r="D1122" i="12"/>
  <c r="C1122" i="12"/>
  <c r="B1122" i="12"/>
  <c r="G1122" i="12" s="1"/>
  <c r="A1122" i="12"/>
  <c r="F1121" i="12"/>
  <c r="D1121" i="12"/>
  <c r="C1121" i="12"/>
  <c r="B1121" i="12"/>
  <c r="G1121" i="12" s="1"/>
  <c r="A1121" i="12"/>
  <c r="F1120" i="12"/>
  <c r="D1120" i="12"/>
  <c r="C1120" i="12"/>
  <c r="B1120" i="12"/>
  <c r="G1120" i="12" s="1"/>
  <c r="A1120" i="12"/>
  <c r="F1119" i="12"/>
  <c r="D1119" i="12"/>
  <c r="C1119" i="12"/>
  <c r="B1119" i="12"/>
  <c r="G1119" i="12" s="1"/>
  <c r="A1119" i="12"/>
  <c r="F1118" i="12"/>
  <c r="D1118" i="12"/>
  <c r="C1118" i="12"/>
  <c r="B1118" i="12"/>
  <c r="G1118" i="12" s="1"/>
  <c r="A1118" i="12"/>
  <c r="F1117" i="12"/>
  <c r="D1117" i="12"/>
  <c r="C1117" i="12"/>
  <c r="B1117" i="12"/>
  <c r="G1117" i="12" s="1"/>
  <c r="A1117" i="12"/>
  <c r="F1116" i="12"/>
  <c r="D1116" i="12"/>
  <c r="C1116" i="12"/>
  <c r="B1116" i="12"/>
  <c r="G1116" i="12" s="1"/>
  <c r="A1116" i="12"/>
  <c r="F1115" i="12"/>
  <c r="D1115" i="12"/>
  <c r="C1115" i="12"/>
  <c r="B1115" i="12"/>
  <c r="G1115" i="12" s="1"/>
  <c r="A1115" i="12"/>
  <c r="F1114" i="12"/>
  <c r="D1114" i="12"/>
  <c r="C1114" i="12"/>
  <c r="B1114" i="12"/>
  <c r="G1114" i="12" s="1"/>
  <c r="A1114" i="12"/>
  <c r="F1113" i="12"/>
  <c r="D1113" i="12"/>
  <c r="C1113" i="12"/>
  <c r="B1113" i="12"/>
  <c r="G1113" i="12" s="1"/>
  <c r="A1113" i="12"/>
  <c r="F1112" i="12"/>
  <c r="D1112" i="12"/>
  <c r="C1112" i="12"/>
  <c r="B1112" i="12"/>
  <c r="G1112" i="12" s="1"/>
  <c r="A1112" i="12"/>
  <c r="F1111" i="12"/>
  <c r="D1111" i="12"/>
  <c r="C1111" i="12"/>
  <c r="B1111" i="12"/>
  <c r="G1111" i="12" s="1"/>
  <c r="A1111" i="12"/>
  <c r="F1110" i="12"/>
  <c r="D1110" i="12"/>
  <c r="C1110" i="12"/>
  <c r="B1110" i="12"/>
  <c r="G1110" i="12" s="1"/>
  <c r="A1110" i="12"/>
  <c r="F1109" i="12"/>
  <c r="D1109" i="12"/>
  <c r="C1109" i="12"/>
  <c r="B1109" i="12"/>
  <c r="G1109" i="12" s="1"/>
  <c r="A1109" i="12"/>
  <c r="F1108" i="12"/>
  <c r="D1108" i="12"/>
  <c r="C1108" i="12"/>
  <c r="B1108" i="12"/>
  <c r="G1108" i="12" s="1"/>
  <c r="A1108" i="12"/>
  <c r="F1107" i="12"/>
  <c r="D1107" i="12"/>
  <c r="C1107" i="12"/>
  <c r="B1107" i="12"/>
  <c r="G1107" i="12" s="1"/>
  <c r="A1107" i="12"/>
  <c r="F1106" i="12"/>
  <c r="D1106" i="12"/>
  <c r="C1106" i="12"/>
  <c r="B1106" i="12"/>
  <c r="G1106" i="12" s="1"/>
  <c r="A1106" i="12"/>
  <c r="F1105" i="12"/>
  <c r="D1105" i="12"/>
  <c r="C1105" i="12"/>
  <c r="B1105" i="12"/>
  <c r="G1105" i="12" s="1"/>
  <c r="A1105" i="12"/>
  <c r="F1104" i="12"/>
  <c r="D1104" i="12"/>
  <c r="C1104" i="12"/>
  <c r="B1104" i="12"/>
  <c r="G1104" i="12" s="1"/>
  <c r="A1104" i="12"/>
  <c r="F1103" i="12"/>
  <c r="D1103" i="12"/>
  <c r="C1103" i="12"/>
  <c r="B1103" i="12"/>
  <c r="G1103" i="12" s="1"/>
  <c r="A1103" i="12"/>
  <c r="F1102" i="12"/>
  <c r="D1102" i="12"/>
  <c r="C1102" i="12"/>
  <c r="B1102" i="12"/>
  <c r="G1102" i="12" s="1"/>
  <c r="A1102" i="12"/>
  <c r="F1101" i="12"/>
  <c r="D1101" i="12"/>
  <c r="C1101" i="12"/>
  <c r="B1101" i="12"/>
  <c r="G1101" i="12" s="1"/>
  <c r="A1101" i="12"/>
  <c r="F1100" i="12"/>
  <c r="D1100" i="12"/>
  <c r="C1100" i="12"/>
  <c r="B1100" i="12"/>
  <c r="G1100" i="12" s="1"/>
  <c r="A1100" i="12"/>
  <c r="F1099" i="12"/>
  <c r="D1099" i="12"/>
  <c r="C1099" i="12"/>
  <c r="B1099" i="12"/>
  <c r="G1099" i="12" s="1"/>
  <c r="A1099" i="12"/>
  <c r="F1098" i="12"/>
  <c r="D1098" i="12"/>
  <c r="C1098" i="12"/>
  <c r="B1098" i="12"/>
  <c r="G1098" i="12" s="1"/>
  <c r="A1098" i="12"/>
  <c r="F1097" i="12"/>
  <c r="D1097" i="12"/>
  <c r="C1097" i="12"/>
  <c r="B1097" i="12"/>
  <c r="G1097" i="12" s="1"/>
  <c r="A1097" i="12"/>
  <c r="F1096" i="12"/>
  <c r="D1096" i="12"/>
  <c r="C1096" i="12"/>
  <c r="B1096" i="12"/>
  <c r="G1096" i="12" s="1"/>
  <c r="A1096" i="12"/>
  <c r="F1095" i="12"/>
  <c r="D1095" i="12"/>
  <c r="C1095" i="12"/>
  <c r="B1095" i="12"/>
  <c r="G1095" i="12" s="1"/>
  <c r="A1095" i="12"/>
  <c r="F1094" i="12"/>
  <c r="D1094" i="12"/>
  <c r="C1094" i="12"/>
  <c r="B1094" i="12"/>
  <c r="G1094" i="12" s="1"/>
  <c r="A1094" i="12"/>
  <c r="F1093" i="12"/>
  <c r="D1093" i="12"/>
  <c r="C1093" i="12"/>
  <c r="B1093" i="12"/>
  <c r="G1093" i="12" s="1"/>
  <c r="A1093" i="12"/>
  <c r="F1092" i="12"/>
  <c r="D1092" i="12"/>
  <c r="C1092" i="12"/>
  <c r="B1092" i="12"/>
  <c r="G1092" i="12" s="1"/>
  <c r="A1092" i="12"/>
  <c r="F1091" i="12"/>
  <c r="D1091" i="12"/>
  <c r="C1091" i="12"/>
  <c r="B1091" i="12"/>
  <c r="G1091" i="12" s="1"/>
  <c r="A1091" i="12"/>
  <c r="F1090" i="12"/>
  <c r="D1090" i="12"/>
  <c r="C1090" i="12"/>
  <c r="B1090" i="12"/>
  <c r="G1090" i="12" s="1"/>
  <c r="A1090" i="12"/>
  <c r="F1089" i="12"/>
  <c r="D1089" i="12"/>
  <c r="C1089" i="12"/>
  <c r="B1089" i="12"/>
  <c r="G1089" i="12" s="1"/>
  <c r="A1089" i="12"/>
  <c r="F1088" i="12"/>
  <c r="D1088" i="12"/>
  <c r="C1088" i="12"/>
  <c r="B1088" i="12"/>
  <c r="G1088" i="12" s="1"/>
  <c r="A1088" i="12"/>
  <c r="F1087" i="12"/>
  <c r="D1087" i="12"/>
  <c r="C1087" i="12"/>
  <c r="B1087" i="12"/>
  <c r="G1087" i="12" s="1"/>
  <c r="A1087" i="12"/>
  <c r="F1086" i="12"/>
  <c r="D1086" i="12"/>
  <c r="C1086" i="12"/>
  <c r="B1086" i="12"/>
  <c r="G1086" i="12" s="1"/>
  <c r="A1086" i="12"/>
  <c r="F1085" i="12"/>
  <c r="D1085" i="12"/>
  <c r="C1085" i="12"/>
  <c r="B1085" i="12"/>
  <c r="G1085" i="12" s="1"/>
  <c r="A1085" i="12"/>
  <c r="F1084" i="12"/>
  <c r="D1084" i="12"/>
  <c r="C1084" i="12"/>
  <c r="B1084" i="12"/>
  <c r="G1084" i="12" s="1"/>
  <c r="A1084" i="12"/>
  <c r="F1083" i="12"/>
  <c r="D1083" i="12"/>
  <c r="C1083" i="12"/>
  <c r="B1083" i="12"/>
  <c r="G1083" i="12" s="1"/>
  <c r="A1083" i="12"/>
  <c r="F1082" i="12"/>
  <c r="D1082" i="12"/>
  <c r="C1082" i="12"/>
  <c r="B1082" i="12"/>
  <c r="G1082" i="12" s="1"/>
  <c r="A1082" i="12"/>
  <c r="F1081" i="12"/>
  <c r="D1081" i="12"/>
  <c r="C1081" i="12"/>
  <c r="B1081" i="12"/>
  <c r="G1081" i="12" s="1"/>
  <c r="A1081" i="12"/>
  <c r="F1080" i="12"/>
  <c r="D1080" i="12"/>
  <c r="C1080" i="12"/>
  <c r="B1080" i="12"/>
  <c r="G1080" i="12" s="1"/>
  <c r="A1080" i="12"/>
  <c r="F1079" i="12"/>
  <c r="D1079" i="12"/>
  <c r="C1079" i="12"/>
  <c r="B1079" i="12"/>
  <c r="G1079" i="12" s="1"/>
  <c r="A1079" i="12"/>
  <c r="F1078" i="12"/>
  <c r="D1078" i="12"/>
  <c r="C1078" i="12"/>
  <c r="B1078" i="12"/>
  <c r="G1078" i="12" s="1"/>
  <c r="A1078" i="12"/>
  <c r="F1077" i="12"/>
  <c r="D1077" i="12"/>
  <c r="C1077" i="12"/>
  <c r="B1077" i="12"/>
  <c r="G1077" i="12" s="1"/>
  <c r="A1077" i="12"/>
  <c r="F1076" i="12"/>
  <c r="D1076" i="12"/>
  <c r="C1076" i="12"/>
  <c r="B1076" i="12"/>
  <c r="G1076" i="12" s="1"/>
  <c r="A1076" i="12"/>
  <c r="F1075" i="12"/>
  <c r="D1075" i="12"/>
  <c r="C1075" i="12"/>
  <c r="B1075" i="12"/>
  <c r="G1075" i="12" s="1"/>
  <c r="A1075" i="12"/>
  <c r="F1074" i="12"/>
  <c r="D1074" i="12"/>
  <c r="C1074" i="12"/>
  <c r="B1074" i="12"/>
  <c r="G1074" i="12" s="1"/>
  <c r="A1074" i="12"/>
  <c r="F1073" i="12"/>
  <c r="D1073" i="12"/>
  <c r="C1073" i="12"/>
  <c r="B1073" i="12"/>
  <c r="G1073" i="12" s="1"/>
  <c r="A1073" i="12"/>
  <c r="F1072" i="12"/>
  <c r="D1072" i="12"/>
  <c r="C1072" i="12"/>
  <c r="B1072" i="12"/>
  <c r="G1072" i="12" s="1"/>
  <c r="A1072" i="12"/>
  <c r="F1071" i="12"/>
  <c r="D1071" i="12"/>
  <c r="C1071" i="12"/>
  <c r="B1071" i="12"/>
  <c r="G1071" i="12" s="1"/>
  <c r="A1071" i="12"/>
  <c r="F1070" i="12"/>
  <c r="D1070" i="12"/>
  <c r="C1070" i="12"/>
  <c r="B1070" i="12"/>
  <c r="G1070" i="12" s="1"/>
  <c r="A1070" i="12"/>
  <c r="F1069" i="12"/>
  <c r="D1069" i="12"/>
  <c r="C1069" i="12"/>
  <c r="B1069" i="12"/>
  <c r="G1069" i="12" s="1"/>
  <c r="A1069" i="12"/>
  <c r="F1068" i="12"/>
  <c r="D1068" i="12"/>
  <c r="C1068" i="12"/>
  <c r="B1068" i="12"/>
  <c r="G1068" i="12" s="1"/>
  <c r="A1068" i="12"/>
  <c r="F1067" i="12"/>
  <c r="D1067" i="12"/>
  <c r="C1067" i="12"/>
  <c r="B1067" i="12"/>
  <c r="G1067" i="12" s="1"/>
  <c r="A1067" i="12"/>
  <c r="F1066" i="12"/>
  <c r="D1066" i="12"/>
  <c r="C1066" i="12"/>
  <c r="B1066" i="12"/>
  <c r="G1066" i="12" s="1"/>
  <c r="A1066" i="12"/>
  <c r="F1065" i="12"/>
  <c r="D1065" i="12"/>
  <c r="C1065" i="12"/>
  <c r="B1065" i="12"/>
  <c r="G1065" i="12" s="1"/>
  <c r="A1065" i="12"/>
  <c r="F1064" i="12"/>
  <c r="D1064" i="12"/>
  <c r="C1064" i="12"/>
  <c r="B1064" i="12"/>
  <c r="G1064" i="12" s="1"/>
  <c r="A1064" i="12"/>
  <c r="F1063" i="12"/>
  <c r="D1063" i="12"/>
  <c r="C1063" i="12"/>
  <c r="B1063" i="12"/>
  <c r="G1063" i="12" s="1"/>
  <c r="A1063" i="12"/>
  <c r="F1062" i="12"/>
  <c r="D1062" i="12"/>
  <c r="C1062" i="12"/>
  <c r="B1062" i="12"/>
  <c r="G1062" i="12" s="1"/>
  <c r="A1062" i="12"/>
  <c r="F1061" i="12"/>
  <c r="D1061" i="12"/>
  <c r="C1061" i="12"/>
  <c r="B1061" i="12"/>
  <c r="G1061" i="12" s="1"/>
  <c r="A1061" i="12"/>
  <c r="F1060" i="12"/>
  <c r="D1060" i="12"/>
  <c r="C1060" i="12"/>
  <c r="B1060" i="12"/>
  <c r="G1060" i="12" s="1"/>
  <c r="A1060" i="12"/>
  <c r="F1059" i="12"/>
  <c r="D1059" i="12"/>
  <c r="C1059" i="12"/>
  <c r="B1059" i="12"/>
  <c r="G1059" i="12" s="1"/>
  <c r="A1059" i="12"/>
  <c r="F1058" i="12"/>
  <c r="D1058" i="12"/>
  <c r="C1058" i="12"/>
  <c r="B1058" i="12"/>
  <c r="G1058" i="12" s="1"/>
  <c r="A1058" i="12"/>
  <c r="F1057" i="12"/>
  <c r="D1057" i="12"/>
  <c r="C1057" i="12"/>
  <c r="B1057" i="12"/>
  <c r="G1057" i="12" s="1"/>
  <c r="A1057" i="12"/>
  <c r="F1056" i="12"/>
  <c r="D1056" i="12"/>
  <c r="C1056" i="12"/>
  <c r="B1056" i="12"/>
  <c r="G1056" i="12" s="1"/>
  <c r="A1056" i="12"/>
  <c r="F1055" i="12"/>
  <c r="D1055" i="12"/>
  <c r="C1055" i="12"/>
  <c r="B1055" i="12"/>
  <c r="G1055" i="12" s="1"/>
  <c r="A1055" i="12"/>
  <c r="F1054" i="12"/>
  <c r="D1054" i="12"/>
  <c r="C1054" i="12"/>
  <c r="B1054" i="12"/>
  <c r="G1054" i="12" s="1"/>
  <c r="A1054" i="12"/>
  <c r="F1053" i="12"/>
  <c r="D1053" i="12"/>
  <c r="C1053" i="12"/>
  <c r="B1053" i="12"/>
  <c r="G1053" i="12" s="1"/>
  <c r="A1053" i="12"/>
  <c r="F1052" i="12"/>
  <c r="D1052" i="12"/>
  <c r="C1052" i="12"/>
  <c r="B1052" i="12"/>
  <c r="G1052" i="12" s="1"/>
  <c r="A1052" i="12"/>
  <c r="F1051" i="12"/>
  <c r="D1051" i="12"/>
  <c r="C1051" i="12"/>
  <c r="B1051" i="12"/>
  <c r="G1051" i="12" s="1"/>
  <c r="A1051" i="12"/>
  <c r="F1050" i="12"/>
  <c r="D1050" i="12"/>
  <c r="C1050" i="12"/>
  <c r="B1050" i="12"/>
  <c r="G1050" i="12" s="1"/>
  <c r="A1050" i="12"/>
  <c r="F1049" i="12"/>
  <c r="D1049" i="12"/>
  <c r="C1049" i="12"/>
  <c r="B1049" i="12"/>
  <c r="G1049" i="12" s="1"/>
  <c r="A1049" i="12"/>
  <c r="F1048" i="12"/>
  <c r="D1048" i="12"/>
  <c r="C1048" i="12"/>
  <c r="B1048" i="12"/>
  <c r="G1048" i="12" s="1"/>
  <c r="A1048" i="12"/>
  <c r="F1047" i="12"/>
  <c r="D1047" i="12"/>
  <c r="C1047" i="12"/>
  <c r="B1047" i="12"/>
  <c r="G1047" i="12" s="1"/>
  <c r="A1047" i="12"/>
  <c r="F1046" i="12"/>
  <c r="D1046" i="12"/>
  <c r="C1046" i="12"/>
  <c r="B1046" i="12"/>
  <c r="G1046" i="12" s="1"/>
  <c r="A1046" i="12"/>
  <c r="F1045" i="12"/>
  <c r="D1045" i="12"/>
  <c r="C1045" i="12"/>
  <c r="B1045" i="12"/>
  <c r="G1045" i="12" s="1"/>
  <c r="A1045" i="12"/>
  <c r="F1044" i="12"/>
  <c r="D1044" i="12"/>
  <c r="C1044" i="12"/>
  <c r="B1044" i="12"/>
  <c r="G1044" i="12" s="1"/>
  <c r="A1044" i="12"/>
  <c r="F1043" i="12"/>
  <c r="D1043" i="12"/>
  <c r="C1043" i="12"/>
  <c r="B1043" i="12"/>
  <c r="G1043" i="12" s="1"/>
  <c r="A1043" i="12"/>
  <c r="F1042" i="12"/>
  <c r="D1042" i="12"/>
  <c r="C1042" i="12"/>
  <c r="B1042" i="12"/>
  <c r="G1042" i="12" s="1"/>
  <c r="A1042" i="12"/>
  <c r="F1041" i="12"/>
  <c r="D1041" i="12"/>
  <c r="C1041" i="12"/>
  <c r="B1041" i="12"/>
  <c r="G1041" i="12" s="1"/>
  <c r="A1041" i="12"/>
  <c r="F1040" i="12"/>
  <c r="D1040" i="12"/>
  <c r="C1040" i="12"/>
  <c r="B1040" i="12"/>
  <c r="G1040" i="12" s="1"/>
  <c r="A1040" i="12"/>
  <c r="F1039" i="12"/>
  <c r="D1039" i="12"/>
  <c r="C1039" i="12"/>
  <c r="B1039" i="12"/>
  <c r="G1039" i="12" s="1"/>
  <c r="A1039" i="12"/>
  <c r="F1038" i="12"/>
  <c r="D1038" i="12"/>
  <c r="C1038" i="12"/>
  <c r="B1038" i="12"/>
  <c r="G1038" i="12" s="1"/>
  <c r="A1038" i="12"/>
  <c r="F1037" i="12"/>
  <c r="D1037" i="12"/>
  <c r="C1037" i="12"/>
  <c r="B1037" i="12"/>
  <c r="G1037" i="12" s="1"/>
  <c r="A1037" i="12"/>
  <c r="F1036" i="12"/>
  <c r="D1036" i="12"/>
  <c r="C1036" i="12"/>
  <c r="B1036" i="12"/>
  <c r="G1036" i="12" s="1"/>
  <c r="A1036" i="12"/>
  <c r="F1035" i="12"/>
  <c r="D1035" i="12"/>
  <c r="C1035" i="12"/>
  <c r="B1035" i="12"/>
  <c r="G1035" i="12" s="1"/>
  <c r="A1035" i="12"/>
  <c r="F1034" i="12"/>
  <c r="D1034" i="12"/>
  <c r="C1034" i="12"/>
  <c r="B1034" i="12"/>
  <c r="G1034" i="12" s="1"/>
  <c r="A1034" i="12"/>
  <c r="F1033" i="12"/>
  <c r="D1033" i="12"/>
  <c r="C1033" i="12"/>
  <c r="B1033" i="12"/>
  <c r="G1033" i="12" s="1"/>
  <c r="A1033" i="12"/>
  <c r="F1032" i="12"/>
  <c r="D1032" i="12"/>
  <c r="C1032" i="12"/>
  <c r="B1032" i="12"/>
  <c r="G1032" i="12" s="1"/>
  <c r="A1032" i="12"/>
  <c r="F1031" i="12"/>
  <c r="D1031" i="12"/>
  <c r="C1031" i="12"/>
  <c r="B1031" i="12"/>
  <c r="G1031" i="12" s="1"/>
  <c r="A1031" i="12"/>
  <c r="F1030" i="12"/>
  <c r="D1030" i="12"/>
  <c r="C1030" i="12"/>
  <c r="B1030" i="12"/>
  <c r="G1030" i="12" s="1"/>
  <c r="A1030" i="12"/>
  <c r="F1029" i="12"/>
  <c r="D1029" i="12"/>
  <c r="C1029" i="12"/>
  <c r="B1029" i="12"/>
  <c r="G1029" i="12" s="1"/>
  <c r="A1029" i="12"/>
  <c r="F1028" i="12"/>
  <c r="D1028" i="12"/>
  <c r="C1028" i="12"/>
  <c r="B1028" i="12"/>
  <c r="G1028" i="12" s="1"/>
  <c r="A1028" i="12"/>
  <c r="F1027" i="12"/>
  <c r="D1027" i="12"/>
  <c r="C1027" i="12"/>
  <c r="B1027" i="12"/>
  <c r="G1027" i="12" s="1"/>
  <c r="A1027" i="12"/>
  <c r="F1026" i="12"/>
  <c r="D1026" i="12"/>
  <c r="C1026" i="12"/>
  <c r="B1026" i="12"/>
  <c r="G1026" i="12" s="1"/>
  <c r="A1026" i="12"/>
  <c r="F1025" i="12"/>
  <c r="D1025" i="12"/>
  <c r="C1025" i="12"/>
  <c r="B1025" i="12"/>
  <c r="G1025" i="12" s="1"/>
  <c r="A1025" i="12"/>
  <c r="F1024" i="12"/>
  <c r="D1024" i="12"/>
  <c r="C1024" i="12"/>
  <c r="B1024" i="12"/>
  <c r="G1024" i="12" s="1"/>
  <c r="A1024" i="12"/>
  <c r="F1023" i="12"/>
  <c r="D1023" i="12"/>
  <c r="C1023" i="12"/>
  <c r="B1023" i="12"/>
  <c r="G1023" i="12" s="1"/>
  <c r="A1023" i="12"/>
  <c r="F1022" i="12"/>
  <c r="D1022" i="12"/>
  <c r="C1022" i="12"/>
  <c r="B1022" i="12"/>
  <c r="G1022" i="12" s="1"/>
  <c r="A1022" i="12"/>
  <c r="F1021" i="12"/>
  <c r="D1021" i="12"/>
  <c r="C1021" i="12"/>
  <c r="B1021" i="12"/>
  <c r="G1021" i="12" s="1"/>
  <c r="A1021" i="12"/>
  <c r="F1020" i="12"/>
  <c r="D1020" i="12"/>
  <c r="C1020" i="12"/>
  <c r="B1020" i="12"/>
  <c r="G1020" i="12" s="1"/>
  <c r="A1020" i="12"/>
  <c r="F1019" i="12"/>
  <c r="D1019" i="12"/>
  <c r="C1019" i="12"/>
  <c r="B1019" i="12"/>
  <c r="G1019" i="12" s="1"/>
  <c r="A1019" i="12"/>
  <c r="F1018" i="12"/>
  <c r="D1018" i="12"/>
  <c r="C1018" i="12"/>
  <c r="B1018" i="12"/>
  <c r="G1018" i="12" s="1"/>
  <c r="A1018" i="12"/>
  <c r="F1017" i="12"/>
  <c r="D1017" i="12"/>
  <c r="C1017" i="12"/>
  <c r="B1017" i="12"/>
  <c r="G1017" i="12" s="1"/>
  <c r="A1017" i="12"/>
  <c r="F1016" i="12"/>
  <c r="D1016" i="12"/>
  <c r="C1016" i="12"/>
  <c r="B1016" i="12"/>
  <c r="G1016" i="12" s="1"/>
  <c r="A1016" i="12"/>
  <c r="F1015" i="12"/>
  <c r="D1015" i="12"/>
  <c r="C1015" i="12"/>
  <c r="B1015" i="12"/>
  <c r="G1015" i="12" s="1"/>
  <c r="A1015" i="12"/>
  <c r="F1014" i="12"/>
  <c r="D1014" i="12"/>
  <c r="C1014" i="12"/>
  <c r="B1014" i="12"/>
  <c r="G1014" i="12" s="1"/>
  <c r="A1014" i="12"/>
  <c r="F1013" i="12"/>
  <c r="D1013" i="12"/>
  <c r="C1013" i="12"/>
  <c r="B1013" i="12"/>
  <c r="G1013" i="12" s="1"/>
  <c r="A1013" i="12"/>
  <c r="F1012" i="12"/>
  <c r="D1012" i="12"/>
  <c r="C1012" i="12"/>
  <c r="B1012" i="12"/>
  <c r="G1012" i="12" s="1"/>
  <c r="A1012" i="12"/>
  <c r="F1011" i="12"/>
  <c r="D1011" i="12"/>
  <c r="C1011" i="12"/>
  <c r="B1011" i="12"/>
  <c r="G1011" i="12" s="1"/>
  <c r="A1011" i="12"/>
  <c r="F1010" i="12"/>
  <c r="D1010" i="12"/>
  <c r="C1010" i="12"/>
  <c r="B1010" i="12"/>
  <c r="G1010" i="12" s="1"/>
  <c r="A1010" i="12"/>
  <c r="F1009" i="12"/>
  <c r="D1009" i="12"/>
  <c r="C1009" i="12"/>
  <c r="B1009" i="12"/>
  <c r="G1009" i="12" s="1"/>
  <c r="A1009" i="12"/>
  <c r="F1008" i="12"/>
  <c r="D1008" i="12"/>
  <c r="C1008" i="12"/>
  <c r="B1008" i="12"/>
  <c r="G1008" i="12" s="1"/>
  <c r="A1008" i="12"/>
  <c r="F1007" i="12"/>
  <c r="D1007" i="12"/>
  <c r="C1007" i="12"/>
  <c r="B1007" i="12"/>
  <c r="G1007" i="12" s="1"/>
  <c r="A1007" i="12"/>
  <c r="F1006" i="12"/>
  <c r="D1006" i="12"/>
  <c r="C1006" i="12"/>
  <c r="B1006" i="12"/>
  <c r="G1006" i="12" s="1"/>
  <c r="A1006" i="12"/>
  <c r="F1005" i="12"/>
  <c r="D1005" i="12"/>
  <c r="C1005" i="12"/>
  <c r="B1005" i="12"/>
  <c r="G1005" i="12" s="1"/>
  <c r="A1005" i="12"/>
  <c r="F1004" i="12"/>
  <c r="D1004" i="12"/>
  <c r="C1004" i="12"/>
  <c r="B1004" i="12"/>
  <c r="G1004" i="12" s="1"/>
  <c r="A1004" i="12"/>
  <c r="F1003" i="12"/>
  <c r="D1003" i="12"/>
  <c r="C1003" i="12"/>
  <c r="B1003" i="12"/>
  <c r="G1003" i="12" s="1"/>
  <c r="A1003" i="12"/>
  <c r="F1002" i="12"/>
  <c r="D1002" i="12"/>
  <c r="C1002" i="12"/>
  <c r="B1002" i="12"/>
  <c r="A1002" i="12"/>
  <c r="G1001" i="12"/>
  <c r="F1001" i="12"/>
  <c r="E1001" i="12"/>
  <c r="D1001" i="12"/>
  <c r="C1001" i="12"/>
  <c r="B1001" i="12"/>
  <c r="A1001" i="12"/>
  <c r="G1000" i="12"/>
  <c r="F1000" i="12"/>
  <c r="E1000" i="12"/>
  <c r="D1000" i="12"/>
  <c r="C1000" i="12"/>
  <c r="B1000" i="12"/>
  <c r="A1000" i="12"/>
  <c r="F999" i="12"/>
  <c r="E999" i="12"/>
  <c r="D999" i="12"/>
  <c r="C999" i="12"/>
  <c r="B999" i="12"/>
  <c r="G999" i="12" s="1"/>
  <c r="A999" i="12"/>
  <c r="G998" i="12"/>
  <c r="F998" i="12"/>
  <c r="E998" i="12"/>
  <c r="D998" i="12"/>
  <c r="C998" i="12"/>
  <c r="B998" i="12"/>
  <c r="A998" i="12"/>
  <c r="G997" i="12"/>
  <c r="F997" i="12"/>
  <c r="E997" i="12"/>
  <c r="D997" i="12"/>
  <c r="C997" i="12"/>
  <c r="B997" i="12"/>
  <c r="A997" i="12"/>
  <c r="F996" i="12"/>
  <c r="E996" i="12"/>
  <c r="D996" i="12"/>
  <c r="C996" i="12"/>
  <c r="B996" i="12"/>
  <c r="G996" i="12" s="1"/>
  <c r="A996" i="12"/>
  <c r="F995" i="12"/>
  <c r="E995" i="12"/>
  <c r="D995" i="12"/>
  <c r="C995" i="12"/>
  <c r="B995" i="12"/>
  <c r="G995" i="12" s="1"/>
  <c r="A995" i="12"/>
  <c r="G994" i="12"/>
  <c r="F994" i="12"/>
  <c r="E994" i="12"/>
  <c r="D994" i="12"/>
  <c r="C994" i="12"/>
  <c r="B994" i="12"/>
  <c r="A994" i="12"/>
  <c r="F993" i="12"/>
  <c r="E993" i="12"/>
  <c r="D993" i="12"/>
  <c r="C993" i="12"/>
  <c r="B993" i="12"/>
  <c r="G993" i="12" s="1"/>
  <c r="A993" i="12"/>
  <c r="F992" i="12"/>
  <c r="E992" i="12"/>
  <c r="D992" i="12"/>
  <c r="C992" i="12"/>
  <c r="B992" i="12"/>
  <c r="G992" i="12" s="1"/>
  <c r="A992" i="12"/>
  <c r="F991" i="12"/>
  <c r="E991" i="12"/>
  <c r="D991" i="12"/>
  <c r="C991" i="12"/>
  <c r="B991" i="12"/>
  <c r="G991" i="12" s="1"/>
  <c r="A991" i="12"/>
  <c r="F990" i="12"/>
  <c r="E990" i="12"/>
  <c r="D990" i="12"/>
  <c r="C990" i="12"/>
  <c r="B990" i="12"/>
  <c r="G990" i="12" s="1"/>
  <c r="A990" i="12"/>
  <c r="F989" i="12"/>
  <c r="E989" i="12"/>
  <c r="D989" i="12"/>
  <c r="C989" i="12"/>
  <c r="B989" i="12"/>
  <c r="G989" i="12" s="1"/>
  <c r="A989" i="12"/>
  <c r="G988" i="12"/>
  <c r="F988" i="12"/>
  <c r="E988" i="12"/>
  <c r="D988" i="12"/>
  <c r="C988" i="12"/>
  <c r="B988" i="12"/>
  <c r="A988" i="12"/>
  <c r="G987" i="12"/>
  <c r="F987" i="12"/>
  <c r="E987" i="12"/>
  <c r="D987" i="12"/>
  <c r="C987" i="12"/>
  <c r="B987" i="12"/>
  <c r="A987" i="12"/>
  <c r="F986" i="12"/>
  <c r="E986" i="12"/>
  <c r="D986" i="12"/>
  <c r="C986" i="12"/>
  <c r="B986" i="12"/>
  <c r="G986" i="12" s="1"/>
  <c r="A986" i="12"/>
  <c r="F985" i="12"/>
  <c r="E985" i="12"/>
  <c r="D985" i="12"/>
  <c r="C985" i="12"/>
  <c r="B985" i="12"/>
  <c r="G985" i="12" s="1"/>
  <c r="A985" i="12"/>
  <c r="G984" i="12"/>
  <c r="F984" i="12"/>
  <c r="E984" i="12"/>
  <c r="D984" i="12"/>
  <c r="C984" i="12"/>
  <c r="B984" i="12"/>
  <c r="A984" i="12"/>
  <c r="G983" i="12"/>
  <c r="F983" i="12"/>
  <c r="E983" i="12"/>
  <c r="D983" i="12"/>
  <c r="C983" i="12"/>
  <c r="B983" i="12"/>
  <c r="A983" i="12"/>
  <c r="F982" i="12"/>
  <c r="E982" i="12"/>
  <c r="D982" i="12"/>
  <c r="C982" i="12"/>
  <c r="B982" i="12"/>
  <c r="G982" i="12" s="1"/>
  <c r="A982" i="12"/>
  <c r="F981" i="12"/>
  <c r="E981" i="12"/>
  <c r="D981" i="12"/>
  <c r="C981" i="12"/>
  <c r="B981" i="12"/>
  <c r="G981" i="12" s="1"/>
  <c r="A981" i="12"/>
  <c r="G980" i="12"/>
  <c r="F980" i="12"/>
  <c r="E980" i="12"/>
  <c r="D980" i="12"/>
  <c r="C980" i="12"/>
  <c r="B980" i="12"/>
  <c r="A980" i="12"/>
  <c r="G979" i="12"/>
  <c r="F979" i="12"/>
  <c r="E979" i="12"/>
  <c r="D979" i="12"/>
  <c r="C979" i="12"/>
  <c r="B979" i="12"/>
  <c r="A979" i="12"/>
  <c r="F978" i="12"/>
  <c r="E978" i="12"/>
  <c r="D978" i="12"/>
  <c r="C978" i="12"/>
  <c r="B978" i="12"/>
  <c r="G978" i="12" s="1"/>
  <c r="A978" i="12"/>
  <c r="F977" i="12"/>
  <c r="E977" i="12"/>
  <c r="D977" i="12"/>
  <c r="C977" i="12"/>
  <c r="B977" i="12"/>
  <c r="G977" i="12" s="1"/>
  <c r="A977" i="12"/>
  <c r="G976" i="12"/>
  <c r="F976" i="12"/>
  <c r="E976" i="12"/>
  <c r="D976" i="12"/>
  <c r="C976" i="12"/>
  <c r="B976" i="12"/>
  <c r="A976" i="12"/>
  <c r="G975" i="12"/>
  <c r="F975" i="12"/>
  <c r="E975" i="12"/>
  <c r="D975" i="12"/>
  <c r="C975" i="12"/>
  <c r="B975" i="12"/>
  <c r="A975" i="12"/>
  <c r="F974" i="12"/>
  <c r="E974" i="12"/>
  <c r="D974" i="12"/>
  <c r="C974" i="12"/>
  <c r="B974" i="12"/>
  <c r="G974" i="12" s="1"/>
  <c r="A974" i="12"/>
  <c r="F973" i="12"/>
  <c r="E973" i="12"/>
  <c r="D973" i="12"/>
  <c r="C973" i="12"/>
  <c r="B973" i="12"/>
  <c r="G973" i="12" s="1"/>
  <c r="A973" i="12"/>
  <c r="G972" i="12"/>
  <c r="F972" i="12"/>
  <c r="E972" i="12"/>
  <c r="D972" i="12"/>
  <c r="C972" i="12"/>
  <c r="B972" i="12"/>
  <c r="A972" i="12"/>
  <c r="G971" i="12"/>
  <c r="F971" i="12"/>
  <c r="E971" i="12"/>
  <c r="D971" i="12"/>
  <c r="C971" i="12"/>
  <c r="B971" i="12"/>
  <c r="A971" i="12"/>
  <c r="F970" i="12"/>
  <c r="E970" i="12"/>
  <c r="D970" i="12"/>
  <c r="C970" i="12"/>
  <c r="B970" i="12"/>
  <c r="G970" i="12" s="1"/>
  <c r="A970" i="12"/>
  <c r="F969" i="12"/>
  <c r="E969" i="12"/>
  <c r="D969" i="12"/>
  <c r="C969" i="12"/>
  <c r="B969" i="12"/>
  <c r="G969" i="12" s="1"/>
  <c r="A969" i="12"/>
  <c r="G968" i="12"/>
  <c r="F968" i="12"/>
  <c r="E968" i="12"/>
  <c r="D968" i="12"/>
  <c r="C968" i="12"/>
  <c r="B968" i="12"/>
  <c r="A968" i="12"/>
  <c r="G967" i="12"/>
  <c r="F967" i="12"/>
  <c r="E967" i="12"/>
  <c r="D967" i="12"/>
  <c r="C967" i="12"/>
  <c r="B967" i="12"/>
  <c r="A967" i="12"/>
  <c r="F966" i="12"/>
  <c r="E966" i="12"/>
  <c r="D966" i="12"/>
  <c r="C966" i="12"/>
  <c r="B966" i="12"/>
  <c r="G966" i="12" s="1"/>
  <c r="A966" i="12"/>
  <c r="F965" i="12"/>
  <c r="E965" i="12"/>
  <c r="D965" i="12"/>
  <c r="C965" i="12"/>
  <c r="B965" i="12"/>
  <c r="G965" i="12" s="1"/>
  <c r="A965" i="12"/>
  <c r="G964" i="12"/>
  <c r="F964" i="12"/>
  <c r="E964" i="12"/>
  <c r="D964" i="12"/>
  <c r="C964" i="12"/>
  <c r="B964" i="12"/>
  <c r="A964" i="12"/>
  <c r="G963" i="12"/>
  <c r="F963" i="12"/>
  <c r="E963" i="12"/>
  <c r="D963" i="12"/>
  <c r="C963" i="12"/>
  <c r="B963" i="12"/>
  <c r="A963" i="12"/>
  <c r="F962" i="12"/>
  <c r="E962" i="12"/>
  <c r="D962" i="12"/>
  <c r="C962" i="12"/>
  <c r="B962" i="12"/>
  <c r="G962" i="12" s="1"/>
  <c r="A962" i="12"/>
  <c r="F961" i="12"/>
  <c r="E961" i="12"/>
  <c r="D961" i="12"/>
  <c r="C961" i="12"/>
  <c r="B961" i="12"/>
  <c r="G961" i="12" s="1"/>
  <c r="A961" i="12"/>
  <c r="G960" i="12"/>
  <c r="F960" i="12"/>
  <c r="E960" i="12"/>
  <c r="D960" i="12"/>
  <c r="C960" i="12"/>
  <c r="B960" i="12"/>
  <c r="A960" i="12"/>
  <c r="G959" i="12"/>
  <c r="F959" i="12"/>
  <c r="E959" i="12"/>
  <c r="D959" i="12"/>
  <c r="C959" i="12"/>
  <c r="B959" i="12"/>
  <c r="A959" i="12"/>
  <c r="F958" i="12"/>
  <c r="E958" i="12"/>
  <c r="D958" i="12"/>
  <c r="C958" i="12"/>
  <c r="B958" i="12"/>
  <c r="G958" i="12" s="1"/>
  <c r="A958" i="12"/>
  <c r="F957" i="12"/>
  <c r="E957" i="12"/>
  <c r="D957" i="12"/>
  <c r="C957" i="12"/>
  <c r="B957" i="12"/>
  <c r="G957" i="12" s="1"/>
  <c r="A957" i="12"/>
  <c r="G956" i="12"/>
  <c r="F956" i="12"/>
  <c r="E956" i="12"/>
  <c r="D956" i="12"/>
  <c r="C956" i="12"/>
  <c r="B956" i="12"/>
  <c r="A956" i="12"/>
  <c r="G955" i="12"/>
  <c r="F955" i="12"/>
  <c r="E955" i="12"/>
  <c r="D955" i="12"/>
  <c r="C955" i="12"/>
  <c r="B955" i="12"/>
  <c r="A955" i="12"/>
  <c r="F954" i="12"/>
  <c r="E954" i="12"/>
  <c r="D954" i="12"/>
  <c r="C954" i="12"/>
  <c r="B954" i="12"/>
  <c r="G954" i="12" s="1"/>
  <c r="A954" i="12"/>
  <c r="F953" i="12"/>
  <c r="E953" i="12"/>
  <c r="D953" i="12"/>
  <c r="C953" i="12"/>
  <c r="B953" i="12"/>
  <c r="G953" i="12" s="1"/>
  <c r="A953" i="12"/>
  <c r="G952" i="12"/>
  <c r="F952" i="12"/>
  <c r="E952" i="12"/>
  <c r="D952" i="12"/>
  <c r="C952" i="12"/>
  <c r="B952" i="12"/>
  <c r="A952" i="12"/>
  <c r="G951" i="12"/>
  <c r="F951" i="12"/>
  <c r="E951" i="12"/>
  <c r="D951" i="12"/>
  <c r="C951" i="12"/>
  <c r="B951" i="12"/>
  <c r="A951" i="12"/>
  <c r="F950" i="12"/>
  <c r="E950" i="12"/>
  <c r="D950" i="12"/>
  <c r="C950" i="12"/>
  <c r="B950" i="12"/>
  <c r="G950" i="12" s="1"/>
  <c r="A950" i="12"/>
  <c r="F949" i="12"/>
  <c r="E949" i="12"/>
  <c r="D949" i="12"/>
  <c r="C949" i="12"/>
  <c r="B949" i="12"/>
  <c r="G949" i="12" s="1"/>
  <c r="A949" i="12"/>
  <c r="G948" i="12"/>
  <c r="F948" i="12"/>
  <c r="E948" i="12"/>
  <c r="D948" i="12"/>
  <c r="C948" i="12"/>
  <c r="B948" i="12"/>
  <c r="A948" i="12"/>
  <c r="G947" i="12"/>
  <c r="F947" i="12"/>
  <c r="E947" i="12"/>
  <c r="D947" i="12"/>
  <c r="C947" i="12"/>
  <c r="B947" i="12"/>
  <c r="A947" i="12"/>
  <c r="F946" i="12"/>
  <c r="E946" i="12"/>
  <c r="D946" i="12"/>
  <c r="C946" i="12"/>
  <c r="B946" i="12"/>
  <c r="G946" i="12" s="1"/>
  <c r="A946" i="12"/>
  <c r="F945" i="12"/>
  <c r="E945" i="12"/>
  <c r="D945" i="12"/>
  <c r="C945" i="12"/>
  <c r="B945" i="12"/>
  <c r="G945" i="12" s="1"/>
  <c r="A945" i="12"/>
  <c r="G944" i="12"/>
  <c r="F944" i="12"/>
  <c r="E944" i="12"/>
  <c r="D944" i="12"/>
  <c r="C944" i="12"/>
  <c r="B944" i="12"/>
  <c r="A944" i="12"/>
  <c r="G943" i="12"/>
  <c r="F943" i="12"/>
  <c r="E943" i="12"/>
  <c r="D943" i="12"/>
  <c r="C943" i="12"/>
  <c r="B943" i="12"/>
  <c r="A943" i="12"/>
  <c r="F942" i="12"/>
  <c r="E942" i="12"/>
  <c r="D942" i="12"/>
  <c r="C942" i="12"/>
  <c r="B942" i="12"/>
  <c r="G942" i="12" s="1"/>
  <c r="A942" i="12"/>
  <c r="F941" i="12"/>
  <c r="E941" i="12"/>
  <c r="D941" i="12"/>
  <c r="C941" i="12"/>
  <c r="B941" i="12"/>
  <c r="G941" i="12" s="1"/>
  <c r="A941" i="12"/>
  <c r="G940" i="12"/>
  <c r="F940" i="12"/>
  <c r="E940" i="12"/>
  <c r="D940" i="12"/>
  <c r="C940" i="12"/>
  <c r="B940" i="12"/>
  <c r="A940" i="12"/>
  <c r="G939" i="12"/>
  <c r="F939" i="12"/>
  <c r="E939" i="12"/>
  <c r="D939" i="12"/>
  <c r="C939" i="12"/>
  <c r="B939" i="12"/>
  <c r="A939" i="12"/>
  <c r="F938" i="12"/>
  <c r="E938" i="12"/>
  <c r="D938" i="12"/>
  <c r="C938" i="12"/>
  <c r="B938" i="12"/>
  <c r="G938" i="12" s="1"/>
  <c r="A938" i="12"/>
  <c r="F937" i="12"/>
  <c r="E937" i="12"/>
  <c r="D937" i="12"/>
  <c r="C937" i="12"/>
  <c r="B937" i="12"/>
  <c r="G937" i="12" s="1"/>
  <c r="A937" i="12"/>
  <c r="G936" i="12"/>
  <c r="F936" i="12"/>
  <c r="E936" i="12"/>
  <c r="D936" i="12"/>
  <c r="C936" i="12"/>
  <c r="B936" i="12"/>
  <c r="A936" i="12"/>
  <c r="G935" i="12"/>
  <c r="F935" i="12"/>
  <c r="E935" i="12"/>
  <c r="D935" i="12"/>
  <c r="C935" i="12"/>
  <c r="B935" i="12"/>
  <c r="A935" i="12"/>
  <c r="F934" i="12"/>
  <c r="E934" i="12"/>
  <c r="D934" i="12"/>
  <c r="C934" i="12"/>
  <c r="B934" i="12"/>
  <c r="G934" i="12" s="1"/>
  <c r="A934" i="12"/>
  <c r="F933" i="12"/>
  <c r="E933" i="12"/>
  <c r="D933" i="12"/>
  <c r="C933" i="12"/>
  <c r="B933" i="12"/>
  <c r="G933" i="12" s="1"/>
  <c r="A933" i="12"/>
  <c r="G932" i="12"/>
  <c r="F932" i="12"/>
  <c r="E932" i="12"/>
  <c r="D932" i="12"/>
  <c r="C932" i="12"/>
  <c r="B932" i="12"/>
  <c r="A932" i="12"/>
  <c r="G931" i="12"/>
  <c r="F931" i="12"/>
  <c r="E931" i="12"/>
  <c r="D931" i="12"/>
  <c r="C931" i="12"/>
  <c r="B931" i="12"/>
  <c r="A931" i="12"/>
  <c r="F930" i="12"/>
  <c r="E930" i="12"/>
  <c r="D930" i="12"/>
  <c r="C930" i="12"/>
  <c r="B930" i="12"/>
  <c r="G930" i="12" s="1"/>
  <c r="A930" i="12"/>
  <c r="F929" i="12"/>
  <c r="E929" i="12"/>
  <c r="D929" i="12"/>
  <c r="C929" i="12"/>
  <c r="B929" i="12"/>
  <c r="G929" i="12" s="1"/>
  <c r="A929" i="12"/>
  <c r="G928" i="12"/>
  <c r="F928" i="12"/>
  <c r="E928" i="12"/>
  <c r="D928" i="12"/>
  <c r="C928" i="12"/>
  <c r="B928" i="12"/>
  <c r="A928" i="12"/>
  <c r="G927" i="12"/>
  <c r="F927" i="12"/>
  <c r="E927" i="12"/>
  <c r="D927" i="12"/>
  <c r="C927" i="12"/>
  <c r="B927" i="12"/>
  <c r="A927" i="12"/>
  <c r="F926" i="12"/>
  <c r="E926" i="12"/>
  <c r="D926" i="12"/>
  <c r="C926" i="12"/>
  <c r="B926" i="12"/>
  <c r="G926" i="12" s="1"/>
  <c r="A926" i="12"/>
  <c r="F925" i="12"/>
  <c r="E925" i="12"/>
  <c r="D925" i="12"/>
  <c r="C925" i="12"/>
  <c r="B925" i="12"/>
  <c r="G925" i="12" s="1"/>
  <c r="A925" i="12"/>
  <c r="G924" i="12"/>
  <c r="F924" i="12"/>
  <c r="E924" i="12"/>
  <c r="D924" i="12"/>
  <c r="C924" i="12"/>
  <c r="B924" i="12"/>
  <c r="A924" i="12"/>
  <c r="G923" i="12"/>
  <c r="F923" i="12"/>
  <c r="E923" i="12"/>
  <c r="D923" i="12"/>
  <c r="C923" i="12"/>
  <c r="B923" i="12"/>
  <c r="A923" i="12"/>
  <c r="F922" i="12"/>
  <c r="E922" i="12"/>
  <c r="D922" i="12"/>
  <c r="C922" i="12"/>
  <c r="B922" i="12"/>
  <c r="G922" i="12" s="1"/>
  <c r="A922" i="12"/>
  <c r="F921" i="12"/>
  <c r="E921" i="12"/>
  <c r="D921" i="12"/>
  <c r="C921" i="12"/>
  <c r="B921" i="12"/>
  <c r="G921" i="12" s="1"/>
  <c r="A921" i="12"/>
  <c r="G920" i="12"/>
  <c r="F920" i="12"/>
  <c r="E920" i="12"/>
  <c r="D920" i="12"/>
  <c r="C920" i="12"/>
  <c r="B920" i="12"/>
  <c r="A920" i="12"/>
  <c r="G919" i="12"/>
  <c r="F919" i="12"/>
  <c r="E919" i="12"/>
  <c r="D919" i="12"/>
  <c r="C919" i="12"/>
  <c r="B919" i="12"/>
  <c r="A919" i="12"/>
  <c r="F918" i="12"/>
  <c r="E918" i="12"/>
  <c r="D918" i="12"/>
  <c r="C918" i="12"/>
  <c r="B918" i="12"/>
  <c r="G918" i="12" s="1"/>
  <c r="A918" i="12"/>
  <c r="F917" i="12"/>
  <c r="E917" i="12"/>
  <c r="D917" i="12"/>
  <c r="C917" i="12"/>
  <c r="B917" i="12"/>
  <c r="G917" i="12" s="1"/>
  <c r="A917" i="12"/>
  <c r="G916" i="12"/>
  <c r="F916" i="12"/>
  <c r="E916" i="12"/>
  <c r="D916" i="12"/>
  <c r="C916" i="12"/>
  <c r="B916" i="12"/>
  <c r="A916" i="12"/>
  <c r="G915" i="12"/>
  <c r="F915" i="12"/>
  <c r="E915" i="12"/>
  <c r="D915" i="12"/>
  <c r="C915" i="12"/>
  <c r="B915" i="12"/>
  <c r="A915" i="12"/>
  <c r="F914" i="12"/>
  <c r="E914" i="12"/>
  <c r="D914" i="12"/>
  <c r="C914" i="12"/>
  <c r="B914" i="12"/>
  <c r="G914" i="12" s="1"/>
  <c r="A914" i="12"/>
  <c r="F913" i="12"/>
  <c r="E913" i="12"/>
  <c r="D913" i="12"/>
  <c r="C913" i="12"/>
  <c r="B913" i="12"/>
  <c r="G913" i="12" s="1"/>
  <c r="A913" i="12"/>
  <c r="G912" i="12"/>
  <c r="F912" i="12"/>
  <c r="E912" i="12"/>
  <c r="D912" i="12"/>
  <c r="C912" i="12"/>
  <c r="B912" i="12"/>
  <c r="A912" i="12"/>
  <c r="G911" i="12"/>
  <c r="F911" i="12"/>
  <c r="E911" i="12"/>
  <c r="D911" i="12"/>
  <c r="C911" i="12"/>
  <c r="B911" i="12"/>
  <c r="A911" i="12"/>
  <c r="F910" i="12"/>
  <c r="E910" i="12"/>
  <c r="D910" i="12"/>
  <c r="C910" i="12"/>
  <c r="B910" i="12"/>
  <c r="G910" i="12" s="1"/>
  <c r="A910" i="12"/>
  <c r="F909" i="12"/>
  <c r="E909" i="12"/>
  <c r="D909" i="12"/>
  <c r="C909" i="12"/>
  <c r="B909" i="12"/>
  <c r="G909" i="12" s="1"/>
  <c r="A909" i="12"/>
  <c r="G908" i="12"/>
  <c r="F908" i="12"/>
  <c r="E908" i="12"/>
  <c r="D908" i="12"/>
  <c r="C908" i="12"/>
  <c r="B908" i="12"/>
  <c r="A908" i="12"/>
  <c r="G907" i="12"/>
  <c r="F907" i="12"/>
  <c r="E907" i="12"/>
  <c r="D907" i="12"/>
  <c r="C907" i="12"/>
  <c r="B907" i="12"/>
  <c r="A907" i="12"/>
  <c r="F906" i="12"/>
  <c r="E906" i="12"/>
  <c r="D906" i="12"/>
  <c r="C906" i="12"/>
  <c r="B906" i="12"/>
  <c r="G906" i="12" s="1"/>
  <c r="A906" i="12"/>
  <c r="F905" i="12"/>
  <c r="E905" i="12"/>
  <c r="D905" i="12"/>
  <c r="C905" i="12"/>
  <c r="B905" i="12"/>
  <c r="G905" i="12" s="1"/>
  <c r="A905" i="12"/>
  <c r="G904" i="12"/>
  <c r="F904" i="12"/>
  <c r="E904" i="12"/>
  <c r="D904" i="12"/>
  <c r="C904" i="12"/>
  <c r="B904" i="12"/>
  <c r="A904" i="12"/>
  <c r="G903" i="12"/>
  <c r="F903" i="12"/>
  <c r="E903" i="12"/>
  <c r="D903" i="12"/>
  <c r="C903" i="12"/>
  <c r="B903" i="12"/>
  <c r="A903" i="12"/>
  <c r="F902" i="12"/>
  <c r="E902" i="12"/>
  <c r="D902" i="12"/>
  <c r="C902" i="12"/>
  <c r="B902" i="12"/>
  <c r="G902" i="12" s="1"/>
  <c r="A902" i="12"/>
  <c r="F901" i="12"/>
  <c r="E901" i="12"/>
  <c r="D901" i="12"/>
  <c r="C901" i="12"/>
  <c r="B901" i="12"/>
  <c r="G901" i="12" s="1"/>
  <c r="A901" i="12"/>
  <c r="G900" i="12"/>
  <c r="F900" i="12"/>
  <c r="E900" i="12"/>
  <c r="D900" i="12"/>
  <c r="C900" i="12"/>
  <c r="B900" i="12"/>
  <c r="A900" i="12"/>
  <c r="G899" i="12"/>
  <c r="F899" i="12"/>
  <c r="E899" i="12"/>
  <c r="D899" i="12"/>
  <c r="C899" i="12"/>
  <c r="B899" i="12"/>
  <c r="A899" i="12"/>
  <c r="F898" i="12"/>
  <c r="E898" i="12"/>
  <c r="D898" i="12"/>
  <c r="C898" i="12"/>
  <c r="B898" i="12"/>
  <c r="G898" i="12" s="1"/>
  <c r="A898" i="12"/>
  <c r="F897" i="12"/>
  <c r="E897" i="12"/>
  <c r="D897" i="12"/>
  <c r="C897" i="12"/>
  <c r="B897" i="12"/>
  <c r="G897" i="12" s="1"/>
  <c r="A897" i="12"/>
  <c r="G896" i="12"/>
  <c r="F896" i="12"/>
  <c r="E896" i="12"/>
  <c r="D896" i="12"/>
  <c r="C896" i="12"/>
  <c r="B896" i="12"/>
  <c r="A896" i="12"/>
  <c r="G895" i="12"/>
  <c r="F895" i="12"/>
  <c r="E895" i="12"/>
  <c r="D895" i="12"/>
  <c r="C895" i="12"/>
  <c r="B895" i="12"/>
  <c r="A895" i="12"/>
  <c r="F894" i="12"/>
  <c r="E894" i="12"/>
  <c r="D894" i="12"/>
  <c r="C894" i="12"/>
  <c r="B894" i="12"/>
  <c r="G894" i="12" s="1"/>
  <c r="A894" i="12"/>
  <c r="F893" i="12"/>
  <c r="E893" i="12"/>
  <c r="D893" i="12"/>
  <c r="C893" i="12"/>
  <c r="B893" i="12"/>
  <c r="G893" i="12" s="1"/>
  <c r="A893" i="12"/>
  <c r="G892" i="12"/>
  <c r="F892" i="12"/>
  <c r="E892" i="12"/>
  <c r="D892" i="12"/>
  <c r="C892" i="12"/>
  <c r="B892" i="12"/>
  <c r="A892" i="12"/>
  <c r="G891" i="12"/>
  <c r="F891" i="12"/>
  <c r="E891" i="12"/>
  <c r="D891" i="12"/>
  <c r="C891" i="12"/>
  <c r="B891" i="12"/>
  <c r="A891" i="12"/>
  <c r="F890" i="12"/>
  <c r="E890" i="12"/>
  <c r="D890" i="12"/>
  <c r="C890" i="12"/>
  <c r="B890" i="12"/>
  <c r="G890" i="12" s="1"/>
  <c r="A890" i="12"/>
  <c r="F889" i="12"/>
  <c r="E889" i="12"/>
  <c r="D889" i="12"/>
  <c r="C889" i="12"/>
  <c r="B889" i="12"/>
  <c r="G889" i="12" s="1"/>
  <c r="A889" i="12"/>
  <c r="G888" i="12"/>
  <c r="F888" i="12"/>
  <c r="E888" i="12"/>
  <c r="D888" i="12"/>
  <c r="C888" i="12"/>
  <c r="B888" i="12"/>
  <c r="A888" i="12"/>
  <c r="G887" i="12"/>
  <c r="F887" i="12"/>
  <c r="E887" i="12"/>
  <c r="D887" i="12"/>
  <c r="C887" i="12"/>
  <c r="B887" i="12"/>
  <c r="A887" i="12"/>
  <c r="F886" i="12"/>
  <c r="E886" i="12"/>
  <c r="D886" i="12"/>
  <c r="C886" i="12"/>
  <c r="B886" i="12"/>
  <c r="G886" i="12" s="1"/>
  <c r="A886" i="12"/>
  <c r="F885" i="12"/>
  <c r="E885" i="12"/>
  <c r="D885" i="12"/>
  <c r="C885" i="12"/>
  <c r="B885" i="12"/>
  <c r="G885" i="12" s="1"/>
  <c r="A885" i="12"/>
  <c r="G884" i="12"/>
  <c r="F884" i="12"/>
  <c r="E884" i="12"/>
  <c r="D884" i="12"/>
  <c r="C884" i="12"/>
  <c r="B884" i="12"/>
  <c r="A884" i="12"/>
  <c r="G883" i="12"/>
  <c r="F883" i="12"/>
  <c r="E883" i="12"/>
  <c r="D883" i="12"/>
  <c r="C883" i="12"/>
  <c r="B883" i="12"/>
  <c r="A883" i="12"/>
  <c r="F882" i="12"/>
  <c r="E882" i="12"/>
  <c r="D882" i="12"/>
  <c r="C882" i="12"/>
  <c r="B882" i="12"/>
  <c r="G882" i="12" s="1"/>
  <c r="A882" i="12"/>
  <c r="F881" i="12"/>
  <c r="E881" i="12"/>
  <c r="D881" i="12"/>
  <c r="C881" i="12"/>
  <c r="B881" i="12"/>
  <c r="G881" i="12" s="1"/>
  <c r="A881" i="12"/>
  <c r="G880" i="12"/>
  <c r="F880" i="12"/>
  <c r="E880" i="12"/>
  <c r="D880" i="12"/>
  <c r="C880" i="12"/>
  <c r="B880" i="12"/>
  <c r="A880" i="12"/>
  <c r="G879" i="12"/>
  <c r="F879" i="12"/>
  <c r="E879" i="12"/>
  <c r="D879" i="12"/>
  <c r="C879" i="12"/>
  <c r="B879" i="12"/>
  <c r="A879" i="12"/>
  <c r="F878" i="12"/>
  <c r="E878" i="12"/>
  <c r="D878" i="12"/>
  <c r="C878" i="12"/>
  <c r="B878" i="12"/>
  <c r="G878" i="12" s="1"/>
  <c r="A878" i="12"/>
  <c r="F877" i="12"/>
  <c r="E877" i="12"/>
  <c r="D877" i="12"/>
  <c r="C877" i="12"/>
  <c r="B877" i="12"/>
  <c r="G877" i="12" s="1"/>
  <c r="A877" i="12"/>
  <c r="G876" i="12"/>
  <c r="F876" i="12"/>
  <c r="E876" i="12"/>
  <c r="D876" i="12"/>
  <c r="C876" i="12"/>
  <c r="B876" i="12"/>
  <c r="A876" i="12"/>
  <c r="G875" i="12"/>
  <c r="F875" i="12"/>
  <c r="E875" i="12"/>
  <c r="D875" i="12"/>
  <c r="C875" i="12"/>
  <c r="B875" i="12"/>
  <c r="A875" i="12"/>
  <c r="F874" i="12"/>
  <c r="E874" i="12"/>
  <c r="D874" i="12"/>
  <c r="C874" i="12"/>
  <c r="B874" i="12"/>
  <c r="G874" i="12" s="1"/>
  <c r="A874" i="12"/>
  <c r="F873" i="12"/>
  <c r="E873" i="12"/>
  <c r="D873" i="12"/>
  <c r="C873" i="12"/>
  <c r="B873" i="12"/>
  <c r="G873" i="12" s="1"/>
  <c r="A873" i="12"/>
  <c r="G872" i="12"/>
  <c r="F872" i="12"/>
  <c r="E872" i="12"/>
  <c r="D872" i="12"/>
  <c r="C872" i="12"/>
  <c r="B872" i="12"/>
  <c r="A872" i="12"/>
  <c r="G871" i="12"/>
  <c r="F871" i="12"/>
  <c r="E871" i="12"/>
  <c r="D871" i="12"/>
  <c r="C871" i="12"/>
  <c r="B871" i="12"/>
  <c r="A871" i="12"/>
  <c r="F870" i="12"/>
  <c r="E870" i="12"/>
  <c r="D870" i="12"/>
  <c r="C870" i="12"/>
  <c r="B870" i="12"/>
  <c r="G870" i="12" s="1"/>
  <c r="A870" i="12"/>
  <c r="F869" i="12"/>
  <c r="E869" i="12"/>
  <c r="D869" i="12"/>
  <c r="C869" i="12"/>
  <c r="B869" i="12"/>
  <c r="G869" i="12" s="1"/>
  <c r="A869" i="12"/>
  <c r="G868" i="12"/>
  <c r="F868" i="12"/>
  <c r="E868" i="12"/>
  <c r="D868" i="12"/>
  <c r="C868" i="12"/>
  <c r="B868" i="12"/>
  <c r="A868" i="12"/>
  <c r="G867" i="12"/>
  <c r="F867" i="12"/>
  <c r="E867" i="12"/>
  <c r="D867" i="12"/>
  <c r="C867" i="12"/>
  <c r="B867" i="12"/>
  <c r="A867" i="12"/>
  <c r="F866" i="12"/>
  <c r="E866" i="12"/>
  <c r="D866" i="12"/>
  <c r="C866" i="12"/>
  <c r="B866" i="12"/>
  <c r="G866" i="12" s="1"/>
  <c r="A866" i="12"/>
  <c r="F865" i="12"/>
  <c r="E865" i="12"/>
  <c r="D865" i="12"/>
  <c r="C865" i="12"/>
  <c r="B865" i="12"/>
  <c r="G865" i="12" s="1"/>
  <c r="A865" i="12"/>
  <c r="G864" i="12"/>
  <c r="F864" i="12"/>
  <c r="E864" i="12"/>
  <c r="D864" i="12"/>
  <c r="C864" i="12"/>
  <c r="B864" i="12"/>
  <c r="A864" i="12"/>
  <c r="G863" i="12"/>
  <c r="F863" i="12"/>
  <c r="E863" i="12"/>
  <c r="D863" i="12"/>
  <c r="C863" i="12"/>
  <c r="B863" i="12"/>
  <c r="A863" i="12"/>
  <c r="F862" i="12"/>
  <c r="E862" i="12"/>
  <c r="D862" i="12"/>
  <c r="C862" i="12"/>
  <c r="B862" i="12"/>
  <c r="G862" i="12" s="1"/>
  <c r="A862" i="12"/>
  <c r="F861" i="12"/>
  <c r="E861" i="12"/>
  <c r="D861" i="12"/>
  <c r="C861" i="12"/>
  <c r="B861" i="12"/>
  <c r="G861" i="12" s="1"/>
  <c r="A861" i="12"/>
  <c r="G860" i="12"/>
  <c r="F860" i="12"/>
  <c r="E860" i="12"/>
  <c r="D860" i="12"/>
  <c r="C860" i="12"/>
  <c r="B860" i="12"/>
  <c r="A860" i="12"/>
  <c r="G859" i="12"/>
  <c r="F859" i="12"/>
  <c r="E859" i="12"/>
  <c r="D859" i="12"/>
  <c r="C859" i="12"/>
  <c r="B859" i="12"/>
  <c r="A859" i="12"/>
  <c r="F858" i="12"/>
  <c r="E858" i="12"/>
  <c r="D858" i="12"/>
  <c r="C858" i="12"/>
  <c r="B858" i="12"/>
  <c r="G858" i="12" s="1"/>
  <c r="A858" i="12"/>
  <c r="F857" i="12"/>
  <c r="E857" i="12"/>
  <c r="D857" i="12"/>
  <c r="C857" i="12"/>
  <c r="B857" i="12"/>
  <c r="G857" i="12" s="1"/>
  <c r="A857" i="12"/>
  <c r="G856" i="12"/>
  <c r="F856" i="12"/>
  <c r="E856" i="12"/>
  <c r="D856" i="12"/>
  <c r="C856" i="12"/>
  <c r="B856" i="12"/>
  <c r="A856" i="12"/>
  <c r="G855" i="12"/>
  <c r="F855" i="12"/>
  <c r="E855" i="12"/>
  <c r="D855" i="12"/>
  <c r="C855" i="12"/>
  <c r="B855" i="12"/>
  <c r="A855" i="12"/>
  <c r="F854" i="12"/>
  <c r="E854" i="12"/>
  <c r="D854" i="12"/>
  <c r="C854" i="12"/>
  <c r="B854" i="12"/>
  <c r="G854" i="12" s="1"/>
  <c r="A854" i="12"/>
  <c r="F853" i="12"/>
  <c r="E853" i="12"/>
  <c r="D853" i="12"/>
  <c r="C853" i="12"/>
  <c r="B853" i="12"/>
  <c r="G853" i="12" s="1"/>
  <c r="A853" i="12"/>
  <c r="G852" i="12"/>
  <c r="F852" i="12"/>
  <c r="E852" i="12"/>
  <c r="D852" i="12"/>
  <c r="C852" i="12"/>
  <c r="B852" i="12"/>
  <c r="A852" i="12"/>
  <c r="G851" i="12"/>
  <c r="F851" i="12"/>
  <c r="E851" i="12"/>
  <c r="D851" i="12"/>
  <c r="C851" i="12"/>
  <c r="B851" i="12"/>
  <c r="A851" i="12"/>
  <c r="F850" i="12"/>
  <c r="E850" i="12"/>
  <c r="D850" i="12"/>
  <c r="C850" i="12"/>
  <c r="B850" i="12"/>
  <c r="G850" i="12" s="1"/>
  <c r="A850" i="12"/>
  <c r="F849" i="12"/>
  <c r="E849" i="12"/>
  <c r="D849" i="12"/>
  <c r="C849" i="12"/>
  <c r="B849" i="12"/>
  <c r="G849" i="12" s="1"/>
  <c r="A849" i="12"/>
  <c r="G848" i="12"/>
  <c r="F848" i="12"/>
  <c r="E848" i="12"/>
  <c r="D848" i="12"/>
  <c r="C848" i="12"/>
  <c r="B848" i="12"/>
  <c r="A848" i="12"/>
  <c r="G847" i="12"/>
  <c r="F847" i="12"/>
  <c r="E847" i="12"/>
  <c r="D847" i="12"/>
  <c r="C847" i="12"/>
  <c r="B847" i="12"/>
  <c r="A847" i="12"/>
  <c r="F846" i="12"/>
  <c r="E846" i="12"/>
  <c r="D846" i="12"/>
  <c r="C846" i="12"/>
  <c r="B846" i="12"/>
  <c r="G846" i="12" s="1"/>
  <c r="A846" i="12"/>
  <c r="F845" i="12"/>
  <c r="E845" i="12"/>
  <c r="D845" i="12"/>
  <c r="C845" i="12"/>
  <c r="B845" i="12"/>
  <c r="G845" i="12" s="1"/>
  <c r="A845" i="12"/>
  <c r="G844" i="12"/>
  <c r="F844" i="12"/>
  <c r="E844" i="12"/>
  <c r="D844" i="12"/>
  <c r="C844" i="12"/>
  <c r="B844" i="12"/>
  <c r="A844" i="12"/>
  <c r="G843" i="12"/>
  <c r="F843" i="12"/>
  <c r="E843" i="12"/>
  <c r="D843" i="12"/>
  <c r="C843" i="12"/>
  <c r="B843" i="12"/>
  <c r="A843" i="12"/>
  <c r="F842" i="12"/>
  <c r="E842" i="12"/>
  <c r="D842" i="12"/>
  <c r="C842" i="12"/>
  <c r="B842" i="12"/>
  <c r="G842" i="12" s="1"/>
  <c r="A842" i="12"/>
  <c r="F841" i="12"/>
  <c r="E841" i="12"/>
  <c r="D841" i="12"/>
  <c r="C841" i="12"/>
  <c r="B841" i="12"/>
  <c r="G841" i="12" s="1"/>
  <c r="A841" i="12"/>
  <c r="G840" i="12"/>
  <c r="F840" i="12"/>
  <c r="E840" i="12"/>
  <c r="D840" i="12"/>
  <c r="C840" i="12"/>
  <c r="B840" i="12"/>
  <c r="A840" i="12"/>
  <c r="G839" i="12"/>
  <c r="F839" i="12"/>
  <c r="E839" i="12"/>
  <c r="D839" i="12"/>
  <c r="C839" i="12"/>
  <c r="B839" i="12"/>
  <c r="A839" i="12"/>
  <c r="F838" i="12"/>
  <c r="E838" i="12"/>
  <c r="D838" i="12"/>
  <c r="C838" i="12"/>
  <c r="B838" i="12"/>
  <c r="G838" i="12" s="1"/>
  <c r="A838" i="12"/>
  <c r="F837" i="12"/>
  <c r="E837" i="12"/>
  <c r="D837" i="12"/>
  <c r="C837" i="12"/>
  <c r="B837" i="12"/>
  <c r="G837" i="12" s="1"/>
  <c r="A837" i="12"/>
  <c r="G836" i="12"/>
  <c r="F836" i="12"/>
  <c r="E836" i="12"/>
  <c r="D836" i="12"/>
  <c r="C836" i="12"/>
  <c r="B836" i="12"/>
  <c r="A836" i="12"/>
  <c r="G835" i="12"/>
  <c r="F835" i="12"/>
  <c r="E835" i="12"/>
  <c r="D835" i="12"/>
  <c r="C835" i="12"/>
  <c r="B835" i="12"/>
  <c r="A835" i="12"/>
  <c r="F834" i="12"/>
  <c r="E834" i="12"/>
  <c r="D834" i="12"/>
  <c r="C834" i="12"/>
  <c r="B834" i="12"/>
  <c r="G834" i="12" s="1"/>
  <c r="A834" i="12"/>
  <c r="F833" i="12"/>
  <c r="E833" i="12"/>
  <c r="D833" i="12"/>
  <c r="C833" i="12"/>
  <c r="B833" i="12"/>
  <c r="G833" i="12" s="1"/>
  <c r="A833" i="12"/>
  <c r="G832" i="12"/>
  <c r="F832" i="12"/>
  <c r="E832" i="12"/>
  <c r="D832" i="12"/>
  <c r="C832" i="12"/>
  <c r="B832" i="12"/>
  <c r="A832" i="12"/>
  <c r="G831" i="12"/>
  <c r="F831" i="12"/>
  <c r="E831" i="12"/>
  <c r="D831" i="12"/>
  <c r="C831" i="12"/>
  <c r="B831" i="12"/>
  <c r="A831" i="12"/>
  <c r="F830" i="12"/>
  <c r="E830" i="12"/>
  <c r="D830" i="12"/>
  <c r="C830" i="12"/>
  <c r="B830" i="12"/>
  <c r="G830" i="12" s="1"/>
  <c r="A830" i="12"/>
  <c r="F829" i="12"/>
  <c r="E829" i="12"/>
  <c r="D829" i="12"/>
  <c r="C829" i="12"/>
  <c r="B829" i="12"/>
  <c r="G829" i="12" s="1"/>
  <c r="A829" i="12"/>
  <c r="G828" i="12"/>
  <c r="F828" i="12"/>
  <c r="E828" i="12"/>
  <c r="D828" i="12"/>
  <c r="C828" i="12"/>
  <c r="B828" i="12"/>
  <c r="A828" i="12"/>
  <c r="G827" i="12"/>
  <c r="F827" i="12"/>
  <c r="E827" i="12"/>
  <c r="D827" i="12"/>
  <c r="C827" i="12"/>
  <c r="B827" i="12"/>
  <c r="A827" i="12"/>
  <c r="F826" i="12"/>
  <c r="E826" i="12"/>
  <c r="D826" i="12"/>
  <c r="C826" i="12"/>
  <c r="B826" i="12"/>
  <c r="G826" i="12" s="1"/>
  <c r="A826" i="12"/>
  <c r="F825" i="12"/>
  <c r="E825" i="12"/>
  <c r="D825" i="12"/>
  <c r="C825" i="12"/>
  <c r="B825" i="12"/>
  <c r="G825" i="12" s="1"/>
  <c r="A825" i="12"/>
  <c r="G824" i="12"/>
  <c r="F824" i="12"/>
  <c r="E824" i="12"/>
  <c r="D824" i="12"/>
  <c r="C824" i="12"/>
  <c r="B824" i="12"/>
  <c r="A824" i="12"/>
  <c r="G823" i="12"/>
  <c r="F823" i="12"/>
  <c r="E823" i="12"/>
  <c r="D823" i="12"/>
  <c r="C823" i="12"/>
  <c r="B823" i="12"/>
  <c r="A823" i="12"/>
  <c r="F822" i="12"/>
  <c r="E822" i="12"/>
  <c r="D822" i="12"/>
  <c r="C822" i="12"/>
  <c r="B822" i="12"/>
  <c r="G822" i="12" s="1"/>
  <c r="A822" i="12"/>
  <c r="F821" i="12"/>
  <c r="E821" i="12"/>
  <c r="D821" i="12"/>
  <c r="C821" i="12"/>
  <c r="B821" i="12"/>
  <c r="G821" i="12" s="1"/>
  <c r="A821" i="12"/>
  <c r="G820" i="12"/>
  <c r="F820" i="12"/>
  <c r="E820" i="12"/>
  <c r="D820" i="12"/>
  <c r="C820" i="12"/>
  <c r="B820" i="12"/>
  <c r="A820" i="12"/>
  <c r="G819" i="12"/>
  <c r="F819" i="12"/>
  <c r="E819" i="12"/>
  <c r="D819" i="12"/>
  <c r="C819" i="12"/>
  <c r="B819" i="12"/>
  <c r="A819" i="12"/>
  <c r="F818" i="12"/>
  <c r="E818" i="12"/>
  <c r="D818" i="12"/>
  <c r="C818" i="12"/>
  <c r="B818" i="12"/>
  <c r="G818" i="12" s="1"/>
  <c r="A818" i="12"/>
  <c r="F817" i="12"/>
  <c r="E817" i="12"/>
  <c r="D817" i="12"/>
  <c r="C817" i="12"/>
  <c r="B817" i="12"/>
  <c r="G817" i="12" s="1"/>
  <c r="A817" i="12"/>
  <c r="G816" i="12"/>
  <c r="F816" i="12"/>
  <c r="E816" i="12"/>
  <c r="D816" i="12"/>
  <c r="C816" i="12"/>
  <c r="B816" i="12"/>
  <c r="A816" i="12"/>
  <c r="G815" i="12"/>
  <c r="F815" i="12"/>
  <c r="E815" i="12"/>
  <c r="D815" i="12"/>
  <c r="C815" i="12"/>
  <c r="B815" i="12"/>
  <c r="A815" i="12"/>
  <c r="F814" i="12"/>
  <c r="E814" i="12"/>
  <c r="D814" i="12"/>
  <c r="C814" i="12"/>
  <c r="B814" i="12"/>
  <c r="G814" i="12" s="1"/>
  <c r="A814" i="12"/>
  <c r="F813" i="12"/>
  <c r="E813" i="12"/>
  <c r="D813" i="12"/>
  <c r="C813" i="12"/>
  <c r="B813" i="12"/>
  <c r="G813" i="12" s="1"/>
  <c r="A813" i="12"/>
  <c r="G812" i="12"/>
  <c r="F812" i="12"/>
  <c r="E812" i="12"/>
  <c r="D812" i="12"/>
  <c r="C812" i="12"/>
  <c r="B812" i="12"/>
  <c r="A812" i="12"/>
  <c r="G811" i="12"/>
  <c r="F811" i="12"/>
  <c r="E811" i="12"/>
  <c r="D811" i="12"/>
  <c r="C811" i="12"/>
  <c r="B811" i="12"/>
  <c r="A811" i="12"/>
  <c r="F810" i="12"/>
  <c r="E810" i="12"/>
  <c r="D810" i="12"/>
  <c r="C810" i="12"/>
  <c r="B810" i="12"/>
  <c r="G810" i="12" s="1"/>
  <c r="A810" i="12"/>
  <c r="F809" i="12"/>
  <c r="E809" i="12"/>
  <c r="D809" i="12"/>
  <c r="C809" i="12"/>
  <c r="B809" i="12"/>
  <c r="G809" i="12" s="1"/>
  <c r="A809" i="12"/>
  <c r="G808" i="12"/>
  <c r="F808" i="12"/>
  <c r="E808" i="12"/>
  <c r="D808" i="12"/>
  <c r="C808" i="12"/>
  <c r="B808" i="12"/>
  <c r="A808" i="12"/>
  <c r="G807" i="12"/>
  <c r="F807" i="12"/>
  <c r="E807" i="12"/>
  <c r="D807" i="12"/>
  <c r="C807" i="12"/>
  <c r="B807" i="12"/>
  <c r="A807" i="12"/>
  <c r="F806" i="12"/>
  <c r="E806" i="12"/>
  <c r="D806" i="12"/>
  <c r="C806" i="12"/>
  <c r="B806" i="12"/>
  <c r="G806" i="12" s="1"/>
  <c r="A806" i="12"/>
  <c r="F805" i="12"/>
  <c r="E805" i="12"/>
  <c r="D805" i="12"/>
  <c r="C805" i="12"/>
  <c r="B805" i="12"/>
  <c r="G805" i="12" s="1"/>
  <c r="A805" i="12"/>
  <c r="G804" i="12"/>
  <c r="F804" i="12"/>
  <c r="E804" i="12"/>
  <c r="D804" i="12"/>
  <c r="C804" i="12"/>
  <c r="B804" i="12"/>
  <c r="A804" i="12"/>
  <c r="G803" i="12"/>
  <c r="F803" i="12"/>
  <c r="E803" i="12"/>
  <c r="D803" i="12"/>
  <c r="C803" i="12"/>
  <c r="B803" i="12"/>
  <c r="A803" i="12"/>
  <c r="F802" i="12"/>
  <c r="E802" i="12"/>
  <c r="D802" i="12"/>
  <c r="C802" i="12"/>
  <c r="B802" i="12"/>
  <c r="G802" i="12" s="1"/>
  <c r="A802" i="12"/>
  <c r="F801" i="12"/>
  <c r="E801" i="12"/>
  <c r="D801" i="12"/>
  <c r="C801" i="12"/>
  <c r="B801" i="12"/>
  <c r="G801" i="12" s="1"/>
  <c r="A801" i="12"/>
  <c r="G800" i="12"/>
  <c r="F800" i="12"/>
  <c r="E800" i="12"/>
  <c r="D800" i="12"/>
  <c r="C800" i="12"/>
  <c r="B800" i="12"/>
  <c r="A800" i="12"/>
  <c r="G799" i="12"/>
  <c r="F799" i="12"/>
  <c r="E799" i="12"/>
  <c r="D799" i="12"/>
  <c r="C799" i="12"/>
  <c r="B799" i="12"/>
  <c r="A799" i="12"/>
  <c r="F798" i="12"/>
  <c r="E798" i="12"/>
  <c r="D798" i="12"/>
  <c r="C798" i="12"/>
  <c r="B798" i="12"/>
  <c r="G798" i="12" s="1"/>
  <c r="A798" i="12"/>
  <c r="F797" i="12"/>
  <c r="E797" i="12"/>
  <c r="D797" i="12"/>
  <c r="C797" i="12"/>
  <c r="B797" i="12"/>
  <c r="G797" i="12" s="1"/>
  <c r="A797" i="12"/>
  <c r="G796" i="12"/>
  <c r="F796" i="12"/>
  <c r="E796" i="12"/>
  <c r="D796" i="12"/>
  <c r="C796" i="12"/>
  <c r="B796" i="12"/>
  <c r="A796" i="12"/>
  <c r="G795" i="12"/>
  <c r="F795" i="12"/>
  <c r="E795" i="12"/>
  <c r="D795" i="12"/>
  <c r="C795" i="12"/>
  <c r="B795" i="12"/>
  <c r="A795" i="12"/>
  <c r="F794" i="12"/>
  <c r="E794" i="12"/>
  <c r="D794" i="12"/>
  <c r="C794" i="12"/>
  <c r="B794" i="12"/>
  <c r="G794" i="12" s="1"/>
  <c r="A794" i="12"/>
  <c r="F793" i="12"/>
  <c r="E793" i="12"/>
  <c r="D793" i="12"/>
  <c r="C793" i="12"/>
  <c r="B793" i="12"/>
  <c r="G793" i="12" s="1"/>
  <c r="A793" i="12"/>
  <c r="G792" i="12"/>
  <c r="F792" i="12"/>
  <c r="E792" i="12"/>
  <c r="D792" i="12"/>
  <c r="C792" i="12"/>
  <c r="B792" i="12"/>
  <c r="A792" i="12"/>
  <c r="G791" i="12"/>
  <c r="F791" i="12"/>
  <c r="E791" i="12"/>
  <c r="D791" i="12"/>
  <c r="C791" i="12"/>
  <c r="B791" i="12"/>
  <c r="A791" i="12"/>
  <c r="F790" i="12"/>
  <c r="E790" i="12"/>
  <c r="D790" i="12"/>
  <c r="C790" i="12"/>
  <c r="B790" i="12"/>
  <c r="G790" i="12" s="1"/>
  <c r="A790" i="12"/>
  <c r="F789" i="12"/>
  <c r="E789" i="12"/>
  <c r="D789" i="12"/>
  <c r="C789" i="12"/>
  <c r="B789" i="12"/>
  <c r="G789" i="12" s="1"/>
  <c r="A789" i="12"/>
  <c r="G788" i="12"/>
  <c r="F788" i="12"/>
  <c r="E788" i="12"/>
  <c r="D788" i="12"/>
  <c r="C788" i="12"/>
  <c r="B788" i="12"/>
  <c r="A788" i="12"/>
  <c r="G787" i="12"/>
  <c r="F787" i="12"/>
  <c r="E787" i="12"/>
  <c r="D787" i="12"/>
  <c r="C787" i="12"/>
  <c r="B787" i="12"/>
  <c r="A787" i="12"/>
  <c r="F786" i="12"/>
  <c r="E786" i="12"/>
  <c r="D786" i="12"/>
  <c r="C786" i="12"/>
  <c r="B786" i="12"/>
  <c r="G786" i="12" s="1"/>
  <c r="A786" i="12"/>
  <c r="F785" i="12"/>
  <c r="E785" i="12"/>
  <c r="D785" i="12"/>
  <c r="C785" i="12"/>
  <c r="B785" i="12"/>
  <c r="G785" i="12" s="1"/>
  <c r="A785" i="12"/>
  <c r="G784" i="12"/>
  <c r="F784" i="12"/>
  <c r="E784" i="12"/>
  <c r="D784" i="12"/>
  <c r="C784" i="12"/>
  <c r="B784" i="12"/>
  <c r="A784" i="12"/>
  <c r="G783" i="12"/>
  <c r="F783" i="12"/>
  <c r="E783" i="12"/>
  <c r="D783" i="12"/>
  <c r="C783" i="12"/>
  <c r="B783" i="12"/>
  <c r="A783" i="12"/>
  <c r="F782" i="12"/>
  <c r="E782" i="12"/>
  <c r="D782" i="12"/>
  <c r="C782" i="12"/>
  <c r="B782" i="12"/>
  <c r="G782" i="12" s="1"/>
  <c r="A782" i="12"/>
  <c r="F781" i="12"/>
  <c r="E781" i="12"/>
  <c r="D781" i="12"/>
  <c r="C781" i="12"/>
  <c r="B781" i="12"/>
  <c r="G781" i="12" s="1"/>
  <c r="A781" i="12"/>
  <c r="G780" i="12"/>
  <c r="F780" i="12"/>
  <c r="E780" i="12"/>
  <c r="D780" i="12"/>
  <c r="C780" i="12"/>
  <c r="B780" i="12"/>
  <c r="A780" i="12"/>
  <c r="G779" i="12"/>
  <c r="F779" i="12"/>
  <c r="E779" i="12"/>
  <c r="D779" i="12"/>
  <c r="C779" i="12"/>
  <c r="B779" i="12"/>
  <c r="A779" i="12"/>
  <c r="F778" i="12"/>
  <c r="E778" i="12"/>
  <c r="D778" i="12"/>
  <c r="C778" i="12"/>
  <c r="B778" i="12"/>
  <c r="G778" i="12" s="1"/>
  <c r="A778" i="12"/>
  <c r="F777" i="12"/>
  <c r="E777" i="12"/>
  <c r="D777" i="12"/>
  <c r="C777" i="12"/>
  <c r="B777" i="12"/>
  <c r="G777" i="12" s="1"/>
  <c r="A777" i="12"/>
  <c r="G776" i="12"/>
  <c r="F776" i="12"/>
  <c r="E776" i="12"/>
  <c r="D776" i="12"/>
  <c r="C776" i="12"/>
  <c r="B776" i="12"/>
  <c r="A776" i="12"/>
  <c r="G775" i="12"/>
  <c r="F775" i="12"/>
  <c r="E775" i="12"/>
  <c r="D775" i="12"/>
  <c r="C775" i="12"/>
  <c r="B775" i="12"/>
  <c r="A775" i="12"/>
  <c r="F774" i="12"/>
  <c r="E774" i="12"/>
  <c r="D774" i="12"/>
  <c r="C774" i="12"/>
  <c r="B774" i="12"/>
  <c r="G774" i="12" s="1"/>
  <c r="A774" i="12"/>
  <c r="F773" i="12"/>
  <c r="E773" i="12"/>
  <c r="D773" i="12"/>
  <c r="C773" i="12"/>
  <c r="B773" i="12"/>
  <c r="G773" i="12" s="1"/>
  <c r="A773" i="12"/>
  <c r="G772" i="12"/>
  <c r="F772" i="12"/>
  <c r="E772" i="12"/>
  <c r="D772" i="12"/>
  <c r="C772" i="12"/>
  <c r="B772" i="12"/>
  <c r="A772" i="12"/>
  <c r="G771" i="12"/>
  <c r="F771" i="12"/>
  <c r="E771" i="12"/>
  <c r="D771" i="12"/>
  <c r="C771" i="12"/>
  <c r="B771" i="12"/>
  <c r="A771" i="12"/>
  <c r="F770" i="12"/>
  <c r="E770" i="12"/>
  <c r="D770" i="12"/>
  <c r="C770" i="12"/>
  <c r="B770" i="12"/>
  <c r="G770" i="12" s="1"/>
  <c r="A770" i="12"/>
  <c r="F769" i="12"/>
  <c r="E769" i="12"/>
  <c r="D769" i="12"/>
  <c r="C769" i="12"/>
  <c r="B769" i="12"/>
  <c r="G769" i="12" s="1"/>
  <c r="A769" i="12"/>
  <c r="G768" i="12"/>
  <c r="F768" i="12"/>
  <c r="E768" i="12"/>
  <c r="D768" i="12"/>
  <c r="C768" i="12"/>
  <c r="B768" i="12"/>
  <c r="A768" i="12"/>
  <c r="G767" i="12"/>
  <c r="F767" i="12"/>
  <c r="E767" i="12"/>
  <c r="D767" i="12"/>
  <c r="C767" i="12"/>
  <c r="B767" i="12"/>
  <c r="A767" i="12"/>
  <c r="F766" i="12"/>
  <c r="E766" i="12"/>
  <c r="D766" i="12"/>
  <c r="C766" i="12"/>
  <c r="B766" i="12"/>
  <c r="G766" i="12" s="1"/>
  <c r="A766" i="12"/>
  <c r="F765" i="12"/>
  <c r="E765" i="12"/>
  <c r="D765" i="12"/>
  <c r="C765" i="12"/>
  <c r="B765" i="12"/>
  <c r="G765" i="12" s="1"/>
  <c r="A765" i="12"/>
  <c r="G764" i="12"/>
  <c r="F764" i="12"/>
  <c r="E764" i="12"/>
  <c r="D764" i="12"/>
  <c r="C764" i="12"/>
  <c r="B764" i="12"/>
  <c r="A764" i="12"/>
  <c r="G763" i="12"/>
  <c r="F763" i="12"/>
  <c r="E763" i="12"/>
  <c r="D763" i="12"/>
  <c r="C763" i="12"/>
  <c r="B763" i="12"/>
  <c r="A763" i="12"/>
  <c r="F762" i="12"/>
  <c r="E762" i="12"/>
  <c r="D762" i="12"/>
  <c r="C762" i="12"/>
  <c r="B762" i="12"/>
  <c r="G762" i="12" s="1"/>
  <c r="A762" i="12"/>
  <c r="F761" i="12"/>
  <c r="E761" i="12"/>
  <c r="D761" i="12"/>
  <c r="C761" i="12"/>
  <c r="B761" i="12"/>
  <c r="G761" i="12" s="1"/>
  <c r="A761" i="12"/>
  <c r="G760" i="12"/>
  <c r="F760" i="12"/>
  <c r="E760" i="12"/>
  <c r="D760" i="12"/>
  <c r="C760" i="12"/>
  <c r="B760" i="12"/>
  <c r="A760" i="12"/>
  <c r="G759" i="12"/>
  <c r="F759" i="12"/>
  <c r="E759" i="12"/>
  <c r="D759" i="12"/>
  <c r="C759" i="12"/>
  <c r="B759" i="12"/>
  <c r="A759" i="12"/>
  <c r="F758" i="12"/>
  <c r="E758" i="12"/>
  <c r="D758" i="12"/>
  <c r="C758" i="12"/>
  <c r="B758" i="12"/>
  <c r="G758" i="12" s="1"/>
  <c r="A758" i="12"/>
  <c r="F757" i="12"/>
  <c r="E757" i="12"/>
  <c r="D757" i="12"/>
  <c r="C757" i="12"/>
  <c r="B757" i="12"/>
  <c r="G757" i="12" s="1"/>
  <c r="A757" i="12"/>
  <c r="G756" i="12"/>
  <c r="F756" i="12"/>
  <c r="E756" i="12"/>
  <c r="D756" i="12"/>
  <c r="C756" i="12"/>
  <c r="B756" i="12"/>
  <c r="A756" i="12"/>
  <c r="G755" i="12"/>
  <c r="F755" i="12"/>
  <c r="E755" i="12"/>
  <c r="D755" i="12"/>
  <c r="C755" i="12"/>
  <c r="B755" i="12"/>
  <c r="A755" i="12"/>
  <c r="F754" i="12"/>
  <c r="E754" i="12"/>
  <c r="D754" i="12"/>
  <c r="C754" i="12"/>
  <c r="B754" i="12"/>
  <c r="G754" i="12" s="1"/>
  <c r="A754" i="12"/>
  <c r="F753" i="12"/>
  <c r="E753" i="12"/>
  <c r="D753" i="12"/>
  <c r="C753" i="12"/>
  <c r="B753" i="12"/>
  <c r="G753" i="12" s="1"/>
  <c r="A753" i="12"/>
  <c r="G752" i="12"/>
  <c r="F752" i="12"/>
  <c r="E752" i="12"/>
  <c r="D752" i="12"/>
  <c r="C752" i="12"/>
  <c r="B752" i="12"/>
  <c r="A752" i="12"/>
  <c r="G751" i="12"/>
  <c r="F751" i="12"/>
  <c r="E751" i="12"/>
  <c r="D751" i="12"/>
  <c r="C751" i="12"/>
  <c r="B751" i="12"/>
  <c r="A751" i="12"/>
  <c r="F750" i="12"/>
  <c r="E750" i="12"/>
  <c r="D750" i="12"/>
  <c r="C750" i="12"/>
  <c r="B750" i="12"/>
  <c r="G750" i="12" s="1"/>
  <c r="A750" i="12"/>
  <c r="F749" i="12"/>
  <c r="E749" i="12"/>
  <c r="D749" i="12"/>
  <c r="C749" i="12"/>
  <c r="B749" i="12"/>
  <c r="G749" i="12" s="1"/>
  <c r="A749" i="12"/>
  <c r="G748" i="12"/>
  <c r="F748" i="12"/>
  <c r="E748" i="12"/>
  <c r="D748" i="12"/>
  <c r="C748" i="12"/>
  <c r="B748" i="12"/>
  <c r="A748" i="12"/>
  <c r="G747" i="12"/>
  <c r="F747" i="12"/>
  <c r="E747" i="12"/>
  <c r="D747" i="12"/>
  <c r="C747" i="12"/>
  <c r="B747" i="12"/>
  <c r="A747" i="12"/>
  <c r="F746" i="12"/>
  <c r="E746" i="12"/>
  <c r="D746" i="12"/>
  <c r="C746" i="12"/>
  <c r="B746" i="12"/>
  <c r="G746" i="12" s="1"/>
  <c r="A746" i="12"/>
  <c r="F745" i="12"/>
  <c r="E745" i="12"/>
  <c r="D745" i="12"/>
  <c r="C745" i="12"/>
  <c r="B745" i="12"/>
  <c r="G745" i="12" s="1"/>
  <c r="A745" i="12"/>
  <c r="G744" i="12"/>
  <c r="F744" i="12"/>
  <c r="E744" i="12"/>
  <c r="D744" i="12"/>
  <c r="C744" i="12"/>
  <c r="B744" i="12"/>
  <c r="A744" i="12"/>
  <c r="G743" i="12"/>
  <c r="F743" i="12"/>
  <c r="E743" i="12"/>
  <c r="D743" i="12"/>
  <c r="C743" i="12"/>
  <c r="B743" i="12"/>
  <c r="A743" i="12"/>
  <c r="F742" i="12"/>
  <c r="E742" i="12"/>
  <c r="D742" i="12"/>
  <c r="C742" i="12"/>
  <c r="B742" i="12"/>
  <c r="G742" i="12" s="1"/>
  <c r="A742" i="12"/>
  <c r="F741" i="12"/>
  <c r="E741" i="12"/>
  <c r="D741" i="12"/>
  <c r="C741" i="12"/>
  <c r="B741" i="12"/>
  <c r="G741" i="12" s="1"/>
  <c r="A741" i="12"/>
  <c r="G740" i="12"/>
  <c r="F740" i="12"/>
  <c r="E740" i="12"/>
  <c r="D740" i="12"/>
  <c r="C740" i="12"/>
  <c r="B740" i="12"/>
  <c r="A740" i="12"/>
  <c r="G739" i="12"/>
  <c r="F739" i="12"/>
  <c r="E739" i="12"/>
  <c r="D739" i="12"/>
  <c r="C739" i="12"/>
  <c r="B739" i="12"/>
  <c r="A739" i="12"/>
  <c r="F738" i="12"/>
  <c r="E738" i="12"/>
  <c r="D738" i="12"/>
  <c r="C738" i="12"/>
  <c r="B738" i="12"/>
  <c r="G738" i="12" s="1"/>
  <c r="A738" i="12"/>
  <c r="F737" i="12"/>
  <c r="E737" i="12"/>
  <c r="D737" i="12"/>
  <c r="C737" i="12"/>
  <c r="B737" i="12"/>
  <c r="G737" i="12" s="1"/>
  <c r="A737" i="12"/>
  <c r="G736" i="12"/>
  <c r="F736" i="12"/>
  <c r="E736" i="12"/>
  <c r="D736" i="12"/>
  <c r="C736" i="12"/>
  <c r="B736" i="12"/>
  <c r="A736" i="12"/>
  <c r="G735" i="12"/>
  <c r="F735" i="12"/>
  <c r="E735" i="12"/>
  <c r="D735" i="12"/>
  <c r="C735" i="12"/>
  <c r="B735" i="12"/>
  <c r="A735" i="12"/>
  <c r="F734" i="12"/>
  <c r="E734" i="12"/>
  <c r="D734" i="12"/>
  <c r="C734" i="12"/>
  <c r="B734" i="12"/>
  <c r="G734" i="12" s="1"/>
  <c r="A734" i="12"/>
  <c r="F733" i="12"/>
  <c r="E733" i="12"/>
  <c r="D733" i="12"/>
  <c r="C733" i="12"/>
  <c r="B733" i="12"/>
  <c r="G733" i="12" s="1"/>
  <c r="A733" i="12"/>
  <c r="G732" i="12"/>
  <c r="F732" i="12"/>
  <c r="E732" i="12"/>
  <c r="D732" i="12"/>
  <c r="C732" i="12"/>
  <c r="B732" i="12"/>
  <c r="A732" i="12"/>
  <c r="G731" i="12"/>
  <c r="F731" i="12"/>
  <c r="E731" i="12"/>
  <c r="D731" i="12"/>
  <c r="C731" i="12"/>
  <c r="B731" i="12"/>
  <c r="A731" i="12"/>
  <c r="F730" i="12"/>
  <c r="E730" i="12"/>
  <c r="D730" i="12"/>
  <c r="C730" i="12"/>
  <c r="B730" i="12"/>
  <c r="G730" i="12" s="1"/>
  <c r="A730" i="12"/>
  <c r="F729" i="12"/>
  <c r="E729" i="12"/>
  <c r="D729" i="12"/>
  <c r="C729" i="12"/>
  <c r="B729" i="12"/>
  <c r="G729" i="12" s="1"/>
  <c r="A729" i="12"/>
  <c r="G728" i="12"/>
  <c r="F728" i="12"/>
  <c r="E728" i="12"/>
  <c r="D728" i="12"/>
  <c r="C728" i="12"/>
  <c r="B728" i="12"/>
  <c r="A728" i="12"/>
  <c r="G727" i="12"/>
  <c r="F727" i="12"/>
  <c r="E727" i="12"/>
  <c r="D727" i="12"/>
  <c r="C727" i="12"/>
  <c r="B727" i="12"/>
  <c r="A727" i="12"/>
  <c r="F726" i="12"/>
  <c r="E726" i="12"/>
  <c r="D726" i="12"/>
  <c r="C726" i="12"/>
  <c r="B726" i="12"/>
  <c r="G726" i="12" s="1"/>
  <c r="A726" i="12"/>
  <c r="F725" i="12"/>
  <c r="E725" i="12"/>
  <c r="D725" i="12"/>
  <c r="C725" i="12"/>
  <c r="B725" i="12"/>
  <c r="G725" i="12" s="1"/>
  <c r="A725" i="12"/>
  <c r="G724" i="12"/>
  <c r="F724" i="12"/>
  <c r="E724" i="12"/>
  <c r="D724" i="12"/>
  <c r="C724" i="12"/>
  <c r="B724" i="12"/>
  <c r="A724" i="12"/>
  <c r="G723" i="12"/>
  <c r="F723" i="12"/>
  <c r="E723" i="12"/>
  <c r="D723" i="12"/>
  <c r="C723" i="12"/>
  <c r="B723" i="12"/>
  <c r="A723" i="12"/>
  <c r="F722" i="12"/>
  <c r="E722" i="12"/>
  <c r="D722" i="12"/>
  <c r="C722" i="12"/>
  <c r="B722" i="12"/>
  <c r="G722" i="12" s="1"/>
  <c r="A722" i="12"/>
  <c r="F721" i="12"/>
  <c r="E721" i="12"/>
  <c r="D721" i="12"/>
  <c r="C721" i="12"/>
  <c r="B721" i="12"/>
  <c r="G721" i="12" s="1"/>
  <c r="A721" i="12"/>
  <c r="G720" i="12"/>
  <c r="F720" i="12"/>
  <c r="E720" i="12"/>
  <c r="D720" i="12"/>
  <c r="C720" i="12"/>
  <c r="B720" i="12"/>
  <c r="A720" i="12"/>
  <c r="G719" i="12"/>
  <c r="F719" i="12"/>
  <c r="E719" i="12"/>
  <c r="D719" i="12"/>
  <c r="C719" i="12"/>
  <c r="B719" i="12"/>
  <c r="A719" i="12"/>
  <c r="F718" i="12"/>
  <c r="E718" i="12"/>
  <c r="D718" i="12"/>
  <c r="C718" i="12"/>
  <c r="B718" i="12"/>
  <c r="G718" i="12" s="1"/>
  <c r="A718" i="12"/>
  <c r="F717" i="12"/>
  <c r="E717" i="12"/>
  <c r="D717" i="12"/>
  <c r="C717" i="12"/>
  <c r="B717" i="12"/>
  <c r="G717" i="12" s="1"/>
  <c r="A717" i="12"/>
  <c r="G716" i="12"/>
  <c r="F716" i="12"/>
  <c r="E716" i="12"/>
  <c r="D716" i="12"/>
  <c r="C716" i="12"/>
  <c r="B716" i="12"/>
  <c r="A716" i="12"/>
  <c r="G715" i="12"/>
  <c r="F715" i="12"/>
  <c r="E715" i="12"/>
  <c r="D715" i="12"/>
  <c r="C715" i="12"/>
  <c r="B715" i="12"/>
  <c r="A715" i="12"/>
  <c r="F714" i="12"/>
  <c r="E714" i="12"/>
  <c r="D714" i="12"/>
  <c r="C714" i="12"/>
  <c r="B714" i="12"/>
  <c r="G714" i="12" s="1"/>
  <c r="A714" i="12"/>
  <c r="F713" i="12"/>
  <c r="E713" i="12"/>
  <c r="D713" i="12"/>
  <c r="C713" i="12"/>
  <c r="B713" i="12"/>
  <c r="G713" i="12" s="1"/>
  <c r="A713" i="12"/>
  <c r="G712" i="12"/>
  <c r="F712" i="12"/>
  <c r="E712" i="12"/>
  <c r="D712" i="12"/>
  <c r="C712" i="12"/>
  <c r="B712" i="12"/>
  <c r="A712" i="12"/>
  <c r="G711" i="12"/>
  <c r="F711" i="12"/>
  <c r="E711" i="12"/>
  <c r="D711" i="12"/>
  <c r="C711" i="12"/>
  <c r="B711" i="12"/>
  <c r="A711" i="12"/>
  <c r="F710" i="12"/>
  <c r="E710" i="12"/>
  <c r="D710" i="12"/>
  <c r="C710" i="12"/>
  <c r="B710" i="12"/>
  <c r="G710" i="12" s="1"/>
  <c r="A710" i="12"/>
  <c r="F709" i="12"/>
  <c r="E709" i="12"/>
  <c r="D709" i="12"/>
  <c r="C709" i="12"/>
  <c r="B709" i="12"/>
  <c r="G709" i="12" s="1"/>
  <c r="A709" i="12"/>
  <c r="G708" i="12"/>
  <c r="F708" i="12"/>
  <c r="E708" i="12"/>
  <c r="D708" i="12"/>
  <c r="C708" i="12"/>
  <c r="B708" i="12"/>
  <c r="A708" i="12"/>
  <c r="G707" i="12"/>
  <c r="F707" i="12"/>
  <c r="E707" i="12"/>
  <c r="D707" i="12"/>
  <c r="C707" i="12"/>
  <c r="B707" i="12"/>
  <c r="A707" i="12"/>
  <c r="F706" i="12"/>
  <c r="E706" i="12"/>
  <c r="D706" i="12"/>
  <c r="C706" i="12"/>
  <c r="B706" i="12"/>
  <c r="G706" i="12" s="1"/>
  <c r="A706" i="12"/>
  <c r="F705" i="12"/>
  <c r="E705" i="12"/>
  <c r="D705" i="12"/>
  <c r="C705" i="12"/>
  <c r="B705" i="12"/>
  <c r="G705" i="12" s="1"/>
  <c r="A705" i="12"/>
  <c r="G704" i="12"/>
  <c r="F704" i="12"/>
  <c r="E704" i="12"/>
  <c r="D704" i="12"/>
  <c r="C704" i="12"/>
  <c r="B704" i="12"/>
  <c r="A704" i="12"/>
  <c r="G703" i="12"/>
  <c r="F703" i="12"/>
  <c r="E703" i="12"/>
  <c r="D703" i="12"/>
  <c r="C703" i="12"/>
  <c r="B703" i="12"/>
  <c r="A703" i="12"/>
  <c r="F702" i="12"/>
  <c r="E702" i="12"/>
  <c r="D702" i="12"/>
  <c r="C702" i="12"/>
  <c r="B702" i="12"/>
  <c r="G702" i="12" s="1"/>
  <c r="A702" i="12"/>
  <c r="F701" i="12"/>
  <c r="E701" i="12"/>
  <c r="D701" i="12"/>
  <c r="C701" i="12"/>
  <c r="B701" i="12"/>
  <c r="G701" i="12" s="1"/>
  <c r="A701" i="12"/>
  <c r="G700" i="12"/>
  <c r="F700" i="12"/>
  <c r="E700" i="12"/>
  <c r="D700" i="12"/>
  <c r="C700" i="12"/>
  <c r="B700" i="12"/>
  <c r="A700" i="12"/>
  <c r="G699" i="12"/>
  <c r="F699" i="12"/>
  <c r="E699" i="12"/>
  <c r="D699" i="12"/>
  <c r="C699" i="12"/>
  <c r="B699" i="12"/>
  <c r="A699" i="12"/>
  <c r="F698" i="12"/>
  <c r="E698" i="12"/>
  <c r="D698" i="12"/>
  <c r="C698" i="12"/>
  <c r="B698" i="12"/>
  <c r="G698" i="12" s="1"/>
  <c r="A698" i="12"/>
  <c r="F697" i="12"/>
  <c r="E697" i="12"/>
  <c r="D697" i="12"/>
  <c r="C697" i="12"/>
  <c r="B697" i="12"/>
  <c r="G697" i="12" s="1"/>
  <c r="A697" i="12"/>
  <c r="G696" i="12"/>
  <c r="F696" i="12"/>
  <c r="E696" i="12"/>
  <c r="D696" i="12"/>
  <c r="C696" i="12"/>
  <c r="B696" i="12"/>
  <c r="A696" i="12"/>
  <c r="G695" i="12"/>
  <c r="F695" i="12"/>
  <c r="E695" i="12"/>
  <c r="D695" i="12"/>
  <c r="C695" i="12"/>
  <c r="B695" i="12"/>
  <c r="A695" i="12"/>
  <c r="F694" i="12"/>
  <c r="E694" i="12"/>
  <c r="D694" i="12"/>
  <c r="C694" i="12"/>
  <c r="B694" i="12"/>
  <c r="G694" i="12" s="1"/>
  <c r="A694" i="12"/>
  <c r="F693" i="12"/>
  <c r="E693" i="12"/>
  <c r="D693" i="12"/>
  <c r="C693" i="12"/>
  <c r="B693" i="12"/>
  <c r="G693" i="12" s="1"/>
  <c r="A693" i="12"/>
  <c r="G692" i="12"/>
  <c r="F692" i="12"/>
  <c r="E692" i="12"/>
  <c r="D692" i="12"/>
  <c r="C692" i="12"/>
  <c r="B692" i="12"/>
  <c r="A692" i="12"/>
  <c r="G691" i="12"/>
  <c r="F691" i="12"/>
  <c r="E691" i="12"/>
  <c r="D691" i="12"/>
  <c r="C691" i="12"/>
  <c r="B691" i="12"/>
  <c r="A691" i="12"/>
  <c r="F690" i="12"/>
  <c r="E690" i="12"/>
  <c r="D690" i="12"/>
  <c r="C690" i="12"/>
  <c r="B690" i="12"/>
  <c r="G690" i="12" s="1"/>
  <c r="A690" i="12"/>
  <c r="F689" i="12"/>
  <c r="E689" i="12"/>
  <c r="D689" i="12"/>
  <c r="C689" i="12"/>
  <c r="B689" i="12"/>
  <c r="G689" i="12" s="1"/>
  <c r="A689" i="12"/>
  <c r="G688" i="12"/>
  <c r="F688" i="12"/>
  <c r="E688" i="12"/>
  <c r="D688" i="12"/>
  <c r="C688" i="12"/>
  <c r="B688" i="12"/>
  <c r="A688" i="12"/>
  <c r="G687" i="12"/>
  <c r="F687" i="12"/>
  <c r="E687" i="12"/>
  <c r="D687" i="12"/>
  <c r="C687" i="12"/>
  <c r="B687" i="12"/>
  <c r="A687" i="12"/>
  <c r="F686" i="12"/>
  <c r="E686" i="12"/>
  <c r="D686" i="12"/>
  <c r="C686" i="12"/>
  <c r="B686" i="12"/>
  <c r="G686" i="12" s="1"/>
  <c r="A686" i="12"/>
  <c r="F685" i="12"/>
  <c r="E685" i="12"/>
  <c r="D685" i="12"/>
  <c r="C685" i="12"/>
  <c r="B685" i="12"/>
  <c r="G685" i="12" s="1"/>
  <c r="A685" i="12"/>
  <c r="G684" i="12"/>
  <c r="F684" i="12"/>
  <c r="E684" i="12"/>
  <c r="D684" i="12"/>
  <c r="C684" i="12"/>
  <c r="B684" i="12"/>
  <c r="A684" i="12"/>
  <c r="G683" i="12"/>
  <c r="F683" i="12"/>
  <c r="E683" i="12"/>
  <c r="D683" i="12"/>
  <c r="C683" i="12"/>
  <c r="B683" i="12"/>
  <c r="A683" i="12"/>
  <c r="F682" i="12"/>
  <c r="E682" i="12"/>
  <c r="D682" i="12"/>
  <c r="C682" i="12"/>
  <c r="B682" i="12"/>
  <c r="G682" i="12" s="1"/>
  <c r="A682" i="12"/>
  <c r="F681" i="12"/>
  <c r="E681" i="12"/>
  <c r="D681" i="12"/>
  <c r="C681" i="12"/>
  <c r="B681" i="12"/>
  <c r="G681" i="12" s="1"/>
  <c r="A681" i="12"/>
  <c r="G680" i="12"/>
  <c r="F680" i="12"/>
  <c r="E680" i="12"/>
  <c r="D680" i="12"/>
  <c r="C680" i="12"/>
  <c r="B680" i="12"/>
  <c r="A680" i="12"/>
  <c r="G679" i="12"/>
  <c r="F679" i="12"/>
  <c r="E679" i="12"/>
  <c r="D679" i="12"/>
  <c r="C679" i="12"/>
  <c r="B679" i="12"/>
  <c r="A679" i="12"/>
  <c r="F678" i="12"/>
  <c r="E678" i="12"/>
  <c r="D678" i="12"/>
  <c r="C678" i="12"/>
  <c r="B678" i="12"/>
  <c r="G678" i="12" s="1"/>
  <c r="A678" i="12"/>
  <c r="F677" i="12"/>
  <c r="E677" i="12"/>
  <c r="D677" i="12"/>
  <c r="C677" i="12"/>
  <c r="B677" i="12"/>
  <c r="G677" i="12" s="1"/>
  <c r="A677" i="12"/>
  <c r="G676" i="12"/>
  <c r="F676" i="12"/>
  <c r="E676" i="12"/>
  <c r="D676" i="12"/>
  <c r="C676" i="12"/>
  <c r="B676" i="12"/>
  <c r="A676" i="12"/>
  <c r="G675" i="12"/>
  <c r="F675" i="12"/>
  <c r="E675" i="12"/>
  <c r="D675" i="12"/>
  <c r="C675" i="12"/>
  <c r="B675" i="12"/>
  <c r="A675" i="12"/>
  <c r="F674" i="12"/>
  <c r="E674" i="12"/>
  <c r="D674" i="12"/>
  <c r="C674" i="12"/>
  <c r="B674" i="12"/>
  <c r="G674" i="12" s="1"/>
  <c r="A674" i="12"/>
  <c r="F673" i="12"/>
  <c r="E673" i="12"/>
  <c r="D673" i="12"/>
  <c r="C673" i="12"/>
  <c r="B673" i="12"/>
  <c r="G673" i="12" s="1"/>
  <c r="A673" i="12"/>
  <c r="G672" i="12"/>
  <c r="F672" i="12"/>
  <c r="E672" i="12"/>
  <c r="D672" i="12"/>
  <c r="C672" i="12"/>
  <c r="B672" i="12"/>
  <c r="A672" i="12"/>
  <c r="G671" i="12"/>
  <c r="F671" i="12"/>
  <c r="E671" i="12"/>
  <c r="D671" i="12"/>
  <c r="C671" i="12"/>
  <c r="B671" i="12"/>
  <c r="A671" i="12"/>
  <c r="F670" i="12"/>
  <c r="E670" i="12"/>
  <c r="D670" i="12"/>
  <c r="C670" i="12"/>
  <c r="B670" i="12"/>
  <c r="G670" i="12" s="1"/>
  <c r="A670" i="12"/>
  <c r="F669" i="12"/>
  <c r="E669" i="12"/>
  <c r="D669" i="12"/>
  <c r="C669" i="12"/>
  <c r="B669" i="12"/>
  <c r="G669" i="12" s="1"/>
  <c r="A669" i="12"/>
  <c r="G668" i="12"/>
  <c r="F668" i="12"/>
  <c r="E668" i="12"/>
  <c r="D668" i="12"/>
  <c r="C668" i="12"/>
  <c r="B668" i="12"/>
  <c r="A668" i="12"/>
  <c r="G667" i="12"/>
  <c r="F667" i="12"/>
  <c r="E667" i="12"/>
  <c r="D667" i="12"/>
  <c r="C667" i="12"/>
  <c r="B667" i="12"/>
  <c r="A667" i="12"/>
  <c r="F666" i="12"/>
  <c r="E666" i="12"/>
  <c r="D666" i="12"/>
  <c r="C666" i="12"/>
  <c r="B666" i="12"/>
  <c r="G666" i="12" s="1"/>
  <c r="A666" i="12"/>
  <c r="F665" i="12"/>
  <c r="E665" i="12"/>
  <c r="D665" i="12"/>
  <c r="C665" i="12"/>
  <c r="B665" i="12"/>
  <c r="G665" i="12" s="1"/>
  <c r="A665" i="12"/>
  <c r="G664" i="12"/>
  <c r="F664" i="12"/>
  <c r="E664" i="12"/>
  <c r="D664" i="12"/>
  <c r="C664" i="12"/>
  <c r="B664" i="12"/>
  <c r="A664" i="12"/>
  <c r="G663" i="12"/>
  <c r="F663" i="12"/>
  <c r="E663" i="12"/>
  <c r="D663" i="12"/>
  <c r="C663" i="12"/>
  <c r="B663" i="12"/>
  <c r="A663" i="12"/>
  <c r="F662" i="12"/>
  <c r="E662" i="12"/>
  <c r="D662" i="12"/>
  <c r="C662" i="12"/>
  <c r="B662" i="12"/>
  <c r="G662" i="12" s="1"/>
  <c r="A662" i="12"/>
  <c r="F661" i="12"/>
  <c r="E661" i="12"/>
  <c r="D661" i="12"/>
  <c r="C661" i="12"/>
  <c r="B661" i="12"/>
  <c r="G661" i="12" s="1"/>
  <c r="A661" i="12"/>
  <c r="G660" i="12"/>
  <c r="F660" i="12"/>
  <c r="E660" i="12"/>
  <c r="D660" i="12"/>
  <c r="C660" i="12"/>
  <c r="B660" i="12"/>
  <c r="A660" i="12"/>
  <c r="G659" i="12"/>
  <c r="F659" i="12"/>
  <c r="E659" i="12"/>
  <c r="D659" i="12"/>
  <c r="C659" i="12"/>
  <c r="B659" i="12"/>
  <c r="A659" i="12"/>
  <c r="F658" i="12"/>
  <c r="E658" i="12"/>
  <c r="D658" i="12"/>
  <c r="C658" i="12"/>
  <c r="B658" i="12"/>
  <c r="G658" i="12" s="1"/>
  <c r="A658" i="12"/>
  <c r="F657" i="12"/>
  <c r="E657" i="12"/>
  <c r="D657" i="12"/>
  <c r="C657" i="12"/>
  <c r="B657" i="12"/>
  <c r="G657" i="12" s="1"/>
  <c r="A657" i="12"/>
  <c r="G656" i="12"/>
  <c r="F656" i="12"/>
  <c r="E656" i="12"/>
  <c r="D656" i="12"/>
  <c r="C656" i="12"/>
  <c r="B656" i="12"/>
  <c r="A656" i="12"/>
  <c r="G655" i="12"/>
  <c r="F655" i="12"/>
  <c r="E655" i="12"/>
  <c r="D655" i="12"/>
  <c r="C655" i="12"/>
  <c r="B655" i="12"/>
  <c r="A655" i="12"/>
  <c r="F654" i="12"/>
  <c r="E654" i="12"/>
  <c r="D654" i="12"/>
  <c r="C654" i="12"/>
  <c r="B654" i="12"/>
  <c r="G654" i="12" s="1"/>
  <c r="A654" i="12"/>
  <c r="F653" i="12"/>
  <c r="E653" i="12"/>
  <c r="D653" i="12"/>
  <c r="C653" i="12"/>
  <c r="B653" i="12"/>
  <c r="G653" i="12" s="1"/>
  <c r="A653" i="12"/>
  <c r="G652" i="12"/>
  <c r="F652" i="12"/>
  <c r="E652" i="12"/>
  <c r="D652" i="12"/>
  <c r="C652" i="12"/>
  <c r="B652" i="12"/>
  <c r="A652" i="12"/>
  <c r="G651" i="12"/>
  <c r="F651" i="12"/>
  <c r="E651" i="12"/>
  <c r="D651" i="12"/>
  <c r="C651" i="12"/>
  <c r="B651" i="12"/>
  <c r="A651" i="12"/>
  <c r="F650" i="12"/>
  <c r="E650" i="12"/>
  <c r="D650" i="12"/>
  <c r="C650" i="12"/>
  <c r="B650" i="12"/>
  <c r="G650" i="12" s="1"/>
  <c r="A650" i="12"/>
  <c r="F649" i="12"/>
  <c r="E649" i="12"/>
  <c r="D649" i="12"/>
  <c r="C649" i="12"/>
  <c r="B649" i="12"/>
  <c r="G649" i="12" s="1"/>
  <c r="A649" i="12"/>
  <c r="G648" i="12"/>
  <c r="F648" i="12"/>
  <c r="E648" i="12"/>
  <c r="D648" i="12"/>
  <c r="C648" i="12"/>
  <c r="B648" i="12"/>
  <c r="A648" i="12"/>
  <c r="G647" i="12"/>
  <c r="F647" i="12"/>
  <c r="E647" i="12"/>
  <c r="D647" i="12"/>
  <c r="C647" i="12"/>
  <c r="B647" i="12"/>
  <c r="A647" i="12"/>
  <c r="F646" i="12"/>
  <c r="E646" i="12"/>
  <c r="D646" i="12"/>
  <c r="C646" i="12"/>
  <c r="B646" i="12"/>
  <c r="G646" i="12" s="1"/>
  <c r="A646" i="12"/>
  <c r="F645" i="12"/>
  <c r="E645" i="12"/>
  <c r="D645" i="12"/>
  <c r="C645" i="12"/>
  <c r="B645" i="12"/>
  <c r="G645" i="12" s="1"/>
  <c r="A645" i="12"/>
  <c r="G644" i="12"/>
  <c r="F644" i="12"/>
  <c r="E644" i="12"/>
  <c r="D644" i="12"/>
  <c r="C644" i="12"/>
  <c r="B644" i="12"/>
  <c r="A644" i="12"/>
  <c r="G643" i="12"/>
  <c r="F643" i="12"/>
  <c r="E643" i="12"/>
  <c r="D643" i="12"/>
  <c r="C643" i="12"/>
  <c r="B643" i="12"/>
  <c r="A643" i="12"/>
  <c r="F642" i="12"/>
  <c r="E642" i="12"/>
  <c r="D642" i="12"/>
  <c r="C642" i="12"/>
  <c r="B642" i="12"/>
  <c r="G642" i="12" s="1"/>
  <c r="A642" i="12"/>
  <c r="F641" i="12"/>
  <c r="E641" i="12"/>
  <c r="D641" i="12"/>
  <c r="C641" i="12"/>
  <c r="B641" i="12"/>
  <c r="G641" i="12" s="1"/>
  <c r="A641" i="12"/>
  <c r="G640" i="12"/>
  <c r="F640" i="12"/>
  <c r="E640" i="12"/>
  <c r="D640" i="12"/>
  <c r="C640" i="12"/>
  <c r="B640" i="12"/>
  <c r="A640" i="12"/>
  <c r="G639" i="12"/>
  <c r="F639" i="12"/>
  <c r="E639" i="12"/>
  <c r="D639" i="12"/>
  <c r="C639" i="12"/>
  <c r="B639" i="12"/>
  <c r="A639" i="12"/>
  <c r="F638" i="12"/>
  <c r="E638" i="12"/>
  <c r="D638" i="12"/>
  <c r="C638" i="12"/>
  <c r="B638" i="12"/>
  <c r="G638" i="12" s="1"/>
  <c r="A638" i="12"/>
  <c r="F637" i="12"/>
  <c r="E637" i="12"/>
  <c r="D637" i="12"/>
  <c r="C637" i="12"/>
  <c r="B637" i="12"/>
  <c r="G637" i="12" s="1"/>
  <c r="A637" i="12"/>
  <c r="G636" i="12"/>
  <c r="F636" i="12"/>
  <c r="E636" i="12"/>
  <c r="D636" i="12"/>
  <c r="C636" i="12"/>
  <c r="B636" i="12"/>
  <c r="A636" i="12"/>
  <c r="G635" i="12"/>
  <c r="F635" i="12"/>
  <c r="E635" i="12"/>
  <c r="D635" i="12"/>
  <c r="C635" i="12"/>
  <c r="B635" i="12"/>
  <c r="A635" i="12"/>
  <c r="F634" i="12"/>
  <c r="E634" i="12"/>
  <c r="D634" i="12"/>
  <c r="C634" i="12"/>
  <c r="B634" i="12"/>
  <c r="G634" i="12" s="1"/>
  <c r="A634" i="12"/>
  <c r="F633" i="12"/>
  <c r="E633" i="12"/>
  <c r="D633" i="12"/>
  <c r="C633" i="12"/>
  <c r="B633" i="12"/>
  <c r="G633" i="12" s="1"/>
  <c r="A633" i="12"/>
  <c r="G632" i="12"/>
  <c r="F632" i="12"/>
  <c r="E632" i="12"/>
  <c r="D632" i="12"/>
  <c r="C632" i="12"/>
  <c r="B632" i="12"/>
  <c r="A632" i="12"/>
  <c r="G631" i="12"/>
  <c r="F631" i="12"/>
  <c r="E631" i="12"/>
  <c r="D631" i="12"/>
  <c r="C631" i="12"/>
  <c r="B631" i="12"/>
  <c r="A631" i="12"/>
  <c r="F630" i="12"/>
  <c r="E630" i="12"/>
  <c r="D630" i="12"/>
  <c r="C630" i="12"/>
  <c r="B630" i="12"/>
  <c r="G630" i="12" s="1"/>
  <c r="A630" i="12"/>
  <c r="F629" i="12"/>
  <c r="E629" i="12"/>
  <c r="D629" i="12"/>
  <c r="C629" i="12"/>
  <c r="B629" i="12"/>
  <c r="G629" i="12" s="1"/>
  <c r="A629" i="12"/>
  <c r="G628" i="12"/>
  <c r="F628" i="12"/>
  <c r="E628" i="12"/>
  <c r="D628" i="12"/>
  <c r="C628" i="12"/>
  <c r="B628" i="12"/>
  <c r="A628" i="12"/>
  <c r="G627" i="12"/>
  <c r="F627" i="12"/>
  <c r="E627" i="12"/>
  <c r="D627" i="12"/>
  <c r="C627" i="12"/>
  <c r="B627" i="12"/>
  <c r="A627" i="12"/>
  <c r="F626" i="12"/>
  <c r="E626" i="12"/>
  <c r="D626" i="12"/>
  <c r="C626" i="12"/>
  <c r="B626" i="12"/>
  <c r="G626" i="12" s="1"/>
  <c r="A626" i="12"/>
  <c r="F625" i="12"/>
  <c r="E625" i="12"/>
  <c r="D625" i="12"/>
  <c r="C625" i="12"/>
  <c r="B625" i="12"/>
  <c r="G625" i="12" s="1"/>
  <c r="A625" i="12"/>
  <c r="G624" i="12"/>
  <c r="F624" i="12"/>
  <c r="E624" i="12"/>
  <c r="D624" i="12"/>
  <c r="C624" i="12"/>
  <c r="B624" i="12"/>
  <c r="A624" i="12"/>
  <c r="G623" i="12"/>
  <c r="F623" i="12"/>
  <c r="E623" i="12"/>
  <c r="D623" i="12"/>
  <c r="C623" i="12"/>
  <c r="B623" i="12"/>
  <c r="A623" i="12"/>
  <c r="F622" i="12"/>
  <c r="E622" i="12"/>
  <c r="D622" i="12"/>
  <c r="C622" i="12"/>
  <c r="B622" i="12"/>
  <c r="G622" i="12" s="1"/>
  <c r="A622" i="12"/>
  <c r="F621" i="12"/>
  <c r="E621" i="12"/>
  <c r="D621" i="12"/>
  <c r="C621" i="12"/>
  <c r="B621" i="12"/>
  <c r="G621" i="12" s="1"/>
  <c r="A621" i="12"/>
  <c r="G620" i="12"/>
  <c r="F620" i="12"/>
  <c r="E620" i="12"/>
  <c r="D620" i="12"/>
  <c r="C620" i="12"/>
  <c r="B620" i="12"/>
  <c r="A620" i="12"/>
  <c r="G619" i="12"/>
  <c r="F619" i="12"/>
  <c r="E619" i="12"/>
  <c r="D619" i="12"/>
  <c r="C619" i="12"/>
  <c r="B619" i="12"/>
  <c r="A619" i="12"/>
  <c r="F618" i="12"/>
  <c r="E618" i="12"/>
  <c r="D618" i="12"/>
  <c r="C618" i="12"/>
  <c r="B618" i="12"/>
  <c r="G618" i="12" s="1"/>
  <c r="A618" i="12"/>
  <c r="F617" i="12"/>
  <c r="E617" i="12"/>
  <c r="D617" i="12"/>
  <c r="C617" i="12"/>
  <c r="B617" i="12"/>
  <c r="G617" i="12" s="1"/>
  <c r="A617" i="12"/>
  <c r="G616" i="12"/>
  <c r="F616" i="12"/>
  <c r="E616" i="12"/>
  <c r="D616" i="12"/>
  <c r="C616" i="12"/>
  <c r="B616" i="12"/>
  <c r="A616" i="12"/>
  <c r="G615" i="12"/>
  <c r="F615" i="12"/>
  <c r="E615" i="12"/>
  <c r="D615" i="12"/>
  <c r="C615" i="12"/>
  <c r="B615" i="12"/>
  <c r="A615" i="12"/>
  <c r="F614" i="12"/>
  <c r="E614" i="12"/>
  <c r="D614" i="12"/>
  <c r="C614" i="12"/>
  <c r="B614" i="12"/>
  <c r="G614" i="12" s="1"/>
  <c r="A614" i="12"/>
  <c r="F613" i="12"/>
  <c r="E613" i="12"/>
  <c r="D613" i="12"/>
  <c r="C613" i="12"/>
  <c r="B613" i="12"/>
  <c r="G613" i="12" s="1"/>
  <c r="A613" i="12"/>
  <c r="G612" i="12"/>
  <c r="F612" i="12"/>
  <c r="E612" i="12"/>
  <c r="D612" i="12"/>
  <c r="C612" i="12"/>
  <c r="B612" i="12"/>
  <c r="A612" i="12"/>
  <c r="G611" i="12"/>
  <c r="F611" i="12"/>
  <c r="E611" i="12"/>
  <c r="D611" i="12"/>
  <c r="C611" i="12"/>
  <c r="B611" i="12"/>
  <c r="A611" i="12"/>
  <c r="F610" i="12"/>
  <c r="E610" i="12"/>
  <c r="D610" i="12"/>
  <c r="C610" i="12"/>
  <c r="B610" i="12"/>
  <c r="G610" i="12" s="1"/>
  <c r="A610" i="12"/>
  <c r="F609" i="12"/>
  <c r="E609" i="12"/>
  <c r="D609" i="12"/>
  <c r="C609" i="12"/>
  <c r="B609" i="12"/>
  <c r="G609" i="12" s="1"/>
  <c r="A609" i="12"/>
  <c r="G608" i="12"/>
  <c r="F608" i="12"/>
  <c r="E608" i="12"/>
  <c r="D608" i="12"/>
  <c r="C608" i="12"/>
  <c r="B608" i="12"/>
  <c r="A608" i="12"/>
  <c r="G607" i="12"/>
  <c r="F607" i="12"/>
  <c r="E607" i="12"/>
  <c r="D607" i="12"/>
  <c r="C607" i="12"/>
  <c r="B607" i="12"/>
  <c r="A607" i="12"/>
  <c r="F606" i="12"/>
  <c r="E606" i="12"/>
  <c r="D606" i="12"/>
  <c r="C606" i="12"/>
  <c r="B606" i="12"/>
  <c r="G606" i="12" s="1"/>
  <c r="A606" i="12"/>
  <c r="F605" i="12"/>
  <c r="E605" i="12"/>
  <c r="D605" i="12"/>
  <c r="C605" i="12"/>
  <c r="B605" i="12"/>
  <c r="G605" i="12" s="1"/>
  <c r="A605" i="12"/>
  <c r="G604" i="12"/>
  <c r="F604" i="12"/>
  <c r="E604" i="12"/>
  <c r="D604" i="12"/>
  <c r="C604" i="12"/>
  <c r="B604" i="12"/>
  <c r="A604" i="12"/>
  <c r="G603" i="12"/>
  <c r="F603" i="12"/>
  <c r="E603" i="12"/>
  <c r="D603" i="12"/>
  <c r="C603" i="12"/>
  <c r="B603" i="12"/>
  <c r="A603" i="12"/>
  <c r="F602" i="12"/>
  <c r="E602" i="12"/>
  <c r="D602" i="12"/>
  <c r="C602" i="12"/>
  <c r="B602" i="12"/>
  <c r="G602" i="12" s="1"/>
  <c r="A602" i="12"/>
  <c r="F601" i="12"/>
  <c r="E601" i="12"/>
  <c r="D601" i="12"/>
  <c r="C601" i="12"/>
  <c r="B601" i="12"/>
  <c r="G601" i="12" s="1"/>
  <c r="A601" i="12"/>
  <c r="G600" i="12"/>
  <c r="F600" i="12"/>
  <c r="E600" i="12"/>
  <c r="D600" i="12"/>
  <c r="C600" i="12"/>
  <c r="B600" i="12"/>
  <c r="A600" i="12"/>
  <c r="G599" i="12"/>
  <c r="F599" i="12"/>
  <c r="E599" i="12"/>
  <c r="D599" i="12"/>
  <c r="C599" i="12"/>
  <c r="B599" i="12"/>
  <c r="A599" i="12"/>
  <c r="F598" i="12"/>
  <c r="E598" i="12"/>
  <c r="D598" i="12"/>
  <c r="C598" i="12"/>
  <c r="B598" i="12"/>
  <c r="G598" i="12" s="1"/>
  <c r="A598" i="12"/>
  <c r="F597" i="12"/>
  <c r="E597" i="12"/>
  <c r="D597" i="12"/>
  <c r="C597" i="12"/>
  <c r="B597" i="12"/>
  <c r="G597" i="12" s="1"/>
  <c r="A597" i="12"/>
  <c r="G596" i="12"/>
  <c r="F596" i="12"/>
  <c r="E596" i="12"/>
  <c r="D596" i="12"/>
  <c r="C596" i="12"/>
  <c r="B596" i="12"/>
  <c r="A596" i="12"/>
  <c r="G595" i="12"/>
  <c r="F595" i="12"/>
  <c r="E595" i="12"/>
  <c r="D595" i="12"/>
  <c r="C595" i="12"/>
  <c r="B595" i="12"/>
  <c r="A595" i="12"/>
  <c r="F594" i="12"/>
  <c r="E594" i="12"/>
  <c r="D594" i="12"/>
  <c r="C594" i="12"/>
  <c r="B594" i="12"/>
  <c r="G594" i="12" s="1"/>
  <c r="A594" i="12"/>
  <c r="F593" i="12"/>
  <c r="E593" i="12"/>
  <c r="D593" i="12"/>
  <c r="C593" i="12"/>
  <c r="B593" i="12"/>
  <c r="G593" i="12" s="1"/>
  <c r="A593" i="12"/>
  <c r="G592" i="12"/>
  <c r="F592" i="12"/>
  <c r="E592" i="12"/>
  <c r="D592" i="12"/>
  <c r="C592" i="12"/>
  <c r="B592" i="12"/>
  <c r="A592" i="12"/>
  <c r="G591" i="12"/>
  <c r="F591" i="12"/>
  <c r="E591" i="12"/>
  <c r="D591" i="12"/>
  <c r="C591" i="12"/>
  <c r="B591" i="12"/>
  <c r="A591" i="12"/>
  <c r="F590" i="12"/>
  <c r="E590" i="12"/>
  <c r="D590" i="12"/>
  <c r="C590" i="12"/>
  <c r="B590" i="12"/>
  <c r="G590" i="12" s="1"/>
  <c r="A590" i="12"/>
  <c r="F589" i="12"/>
  <c r="E589" i="12"/>
  <c r="D589" i="12"/>
  <c r="C589" i="12"/>
  <c r="B589" i="12"/>
  <c r="G589" i="12" s="1"/>
  <c r="A589" i="12"/>
  <c r="G588" i="12"/>
  <c r="F588" i="12"/>
  <c r="E588" i="12"/>
  <c r="D588" i="12"/>
  <c r="C588" i="12"/>
  <c r="B588" i="12"/>
  <c r="A588" i="12"/>
  <c r="G587" i="12"/>
  <c r="F587" i="12"/>
  <c r="E587" i="12"/>
  <c r="D587" i="12"/>
  <c r="C587" i="12"/>
  <c r="B587" i="12"/>
  <c r="A587" i="12"/>
  <c r="F586" i="12"/>
  <c r="E586" i="12"/>
  <c r="D586" i="12"/>
  <c r="C586" i="12"/>
  <c r="B586" i="12"/>
  <c r="G586" i="12" s="1"/>
  <c r="A586" i="12"/>
  <c r="F585" i="12"/>
  <c r="E585" i="12"/>
  <c r="D585" i="12"/>
  <c r="C585" i="12"/>
  <c r="B585" i="12"/>
  <c r="G585" i="12" s="1"/>
  <c r="A585" i="12"/>
  <c r="G584" i="12"/>
  <c r="F584" i="12"/>
  <c r="E584" i="12"/>
  <c r="D584" i="12"/>
  <c r="C584" i="12"/>
  <c r="B584" i="12"/>
  <c r="A584" i="12"/>
  <c r="G583" i="12"/>
  <c r="F583" i="12"/>
  <c r="E583" i="12"/>
  <c r="D583" i="12"/>
  <c r="C583" i="12"/>
  <c r="B583" i="12"/>
  <c r="A583" i="12"/>
  <c r="F582" i="12"/>
  <c r="E582" i="12"/>
  <c r="D582" i="12"/>
  <c r="C582" i="12"/>
  <c r="B582" i="12"/>
  <c r="G582" i="12" s="1"/>
  <c r="A582" i="12"/>
  <c r="F581" i="12"/>
  <c r="E581" i="12"/>
  <c r="D581" i="12"/>
  <c r="C581" i="12"/>
  <c r="B581" i="12"/>
  <c r="G581" i="12" s="1"/>
  <c r="A581" i="12"/>
  <c r="G580" i="12"/>
  <c r="F580" i="12"/>
  <c r="E580" i="12"/>
  <c r="D580" i="12"/>
  <c r="C580" i="12"/>
  <c r="B580" i="12"/>
  <c r="A580" i="12"/>
  <c r="G579" i="12"/>
  <c r="F579" i="12"/>
  <c r="E579" i="12"/>
  <c r="D579" i="12"/>
  <c r="C579" i="12"/>
  <c r="B579" i="12"/>
  <c r="A579" i="12"/>
  <c r="F578" i="12"/>
  <c r="E578" i="12"/>
  <c r="D578" i="12"/>
  <c r="C578" i="12"/>
  <c r="B578" i="12"/>
  <c r="G578" i="12" s="1"/>
  <c r="A578" i="12"/>
  <c r="F577" i="12"/>
  <c r="E577" i="12"/>
  <c r="D577" i="12"/>
  <c r="C577" i="12"/>
  <c r="B577" i="12"/>
  <c r="G577" i="12" s="1"/>
  <c r="A577" i="12"/>
  <c r="G576" i="12"/>
  <c r="F576" i="12"/>
  <c r="E576" i="12"/>
  <c r="D576" i="12"/>
  <c r="C576" i="12"/>
  <c r="B576" i="12"/>
  <c r="A576" i="12"/>
  <c r="G575" i="12"/>
  <c r="F575" i="12"/>
  <c r="E575" i="12"/>
  <c r="D575" i="12"/>
  <c r="C575" i="12"/>
  <c r="B575" i="12"/>
  <c r="A575" i="12"/>
  <c r="F574" i="12"/>
  <c r="E574" i="12"/>
  <c r="D574" i="12"/>
  <c r="C574" i="12"/>
  <c r="B574" i="12"/>
  <c r="G574" i="12" s="1"/>
  <c r="A574" i="12"/>
  <c r="F573" i="12"/>
  <c r="E573" i="12"/>
  <c r="D573" i="12"/>
  <c r="C573" i="12"/>
  <c r="B573" i="12"/>
  <c r="G573" i="12" s="1"/>
  <c r="A573" i="12"/>
  <c r="G572" i="12"/>
  <c r="F572" i="12"/>
  <c r="E572" i="12"/>
  <c r="D572" i="12"/>
  <c r="C572" i="12"/>
  <c r="B572" i="12"/>
  <c r="A572" i="12"/>
  <c r="G571" i="12"/>
  <c r="F571" i="12"/>
  <c r="E571" i="12"/>
  <c r="D571" i="12"/>
  <c r="C571" i="12"/>
  <c r="B571" i="12"/>
  <c r="A571" i="12"/>
  <c r="F570" i="12"/>
  <c r="E570" i="12"/>
  <c r="D570" i="12"/>
  <c r="C570" i="12"/>
  <c r="B570" i="12"/>
  <c r="G570" i="12" s="1"/>
  <c r="A570" i="12"/>
  <c r="F569" i="12"/>
  <c r="E569" i="12"/>
  <c r="D569" i="12"/>
  <c r="C569" i="12"/>
  <c r="B569" i="12"/>
  <c r="G569" i="12" s="1"/>
  <c r="A569" i="12"/>
  <c r="G568" i="12"/>
  <c r="F568" i="12"/>
  <c r="E568" i="12"/>
  <c r="D568" i="12"/>
  <c r="C568" i="12"/>
  <c r="B568" i="12"/>
  <c r="A568" i="12"/>
  <c r="G567" i="12"/>
  <c r="F567" i="12"/>
  <c r="E567" i="12"/>
  <c r="D567" i="12"/>
  <c r="C567" i="12"/>
  <c r="B567" i="12"/>
  <c r="A567" i="12"/>
  <c r="F566" i="12"/>
  <c r="E566" i="12"/>
  <c r="D566" i="12"/>
  <c r="C566" i="12"/>
  <c r="B566" i="12"/>
  <c r="G566" i="12" s="1"/>
  <c r="A566" i="12"/>
  <c r="F565" i="12"/>
  <c r="E565" i="12"/>
  <c r="D565" i="12"/>
  <c r="C565" i="12"/>
  <c r="B565" i="12"/>
  <c r="G565" i="12" s="1"/>
  <c r="A565" i="12"/>
  <c r="G564" i="12"/>
  <c r="F564" i="12"/>
  <c r="E564" i="12"/>
  <c r="D564" i="12"/>
  <c r="C564" i="12"/>
  <c r="B564" i="12"/>
  <c r="A564" i="12"/>
  <c r="G563" i="12"/>
  <c r="F563" i="12"/>
  <c r="E563" i="12"/>
  <c r="D563" i="12"/>
  <c r="C563" i="12"/>
  <c r="B563" i="12"/>
  <c r="A563" i="12"/>
  <c r="F562" i="12"/>
  <c r="E562" i="12"/>
  <c r="D562" i="12"/>
  <c r="C562" i="12"/>
  <c r="B562" i="12"/>
  <c r="G562" i="12" s="1"/>
  <c r="A562" i="12"/>
  <c r="F561" i="12"/>
  <c r="E561" i="12"/>
  <c r="D561" i="12"/>
  <c r="C561" i="12"/>
  <c r="B561" i="12"/>
  <c r="G561" i="12" s="1"/>
  <c r="A561" i="12"/>
  <c r="G560" i="12"/>
  <c r="F560" i="12"/>
  <c r="E560" i="12"/>
  <c r="D560" i="12"/>
  <c r="C560" i="12"/>
  <c r="B560" i="12"/>
  <c r="A560" i="12"/>
  <c r="G559" i="12"/>
  <c r="F559" i="12"/>
  <c r="E559" i="12"/>
  <c r="D559" i="12"/>
  <c r="C559" i="12"/>
  <c r="B559" i="12"/>
  <c r="A559" i="12"/>
  <c r="F558" i="12"/>
  <c r="E558" i="12"/>
  <c r="D558" i="12"/>
  <c r="C558" i="12"/>
  <c r="B558" i="12"/>
  <c r="G558" i="12" s="1"/>
  <c r="A558" i="12"/>
  <c r="F557" i="12"/>
  <c r="E557" i="12"/>
  <c r="D557" i="12"/>
  <c r="C557" i="12"/>
  <c r="B557" i="12"/>
  <c r="G557" i="12" s="1"/>
  <c r="A557" i="12"/>
  <c r="G556" i="12"/>
  <c r="F556" i="12"/>
  <c r="E556" i="12"/>
  <c r="D556" i="12"/>
  <c r="C556" i="12"/>
  <c r="B556" i="12"/>
  <c r="A556" i="12"/>
  <c r="G555" i="12"/>
  <c r="F555" i="12"/>
  <c r="E555" i="12"/>
  <c r="D555" i="12"/>
  <c r="C555" i="12"/>
  <c r="B555" i="12"/>
  <c r="A555" i="12"/>
  <c r="F554" i="12"/>
  <c r="E554" i="12"/>
  <c r="D554" i="12"/>
  <c r="C554" i="12"/>
  <c r="B554" i="12"/>
  <c r="G554" i="12" s="1"/>
  <c r="A554" i="12"/>
  <c r="F553" i="12"/>
  <c r="E553" i="12"/>
  <c r="D553" i="12"/>
  <c r="C553" i="12"/>
  <c r="B553" i="12"/>
  <c r="G553" i="12" s="1"/>
  <c r="A553" i="12"/>
  <c r="G552" i="12"/>
  <c r="F552" i="12"/>
  <c r="E552" i="12"/>
  <c r="D552" i="12"/>
  <c r="C552" i="12"/>
  <c r="B552" i="12"/>
  <c r="A552" i="12"/>
  <c r="G551" i="12"/>
  <c r="F551" i="12"/>
  <c r="E551" i="12"/>
  <c r="D551" i="12"/>
  <c r="C551" i="12"/>
  <c r="B551" i="12"/>
  <c r="A551" i="12"/>
  <c r="F550" i="12"/>
  <c r="E550" i="12"/>
  <c r="D550" i="12"/>
  <c r="C550" i="12"/>
  <c r="B550" i="12"/>
  <c r="G550" i="12" s="1"/>
  <c r="A550" i="12"/>
  <c r="F549" i="12"/>
  <c r="E549" i="12"/>
  <c r="D549" i="12"/>
  <c r="C549" i="12"/>
  <c r="B549" i="12"/>
  <c r="G549" i="12" s="1"/>
  <c r="A549" i="12"/>
  <c r="G548" i="12"/>
  <c r="F548" i="12"/>
  <c r="E548" i="12"/>
  <c r="D548" i="12"/>
  <c r="C548" i="12"/>
  <c r="B548" i="12"/>
  <c r="A548" i="12"/>
  <c r="G547" i="12"/>
  <c r="F547" i="12"/>
  <c r="E547" i="12"/>
  <c r="D547" i="12"/>
  <c r="C547" i="12"/>
  <c r="B547" i="12"/>
  <c r="A547" i="12"/>
  <c r="F546" i="12"/>
  <c r="E546" i="12"/>
  <c r="D546" i="12"/>
  <c r="C546" i="12"/>
  <c r="B546" i="12"/>
  <c r="G546" i="12" s="1"/>
  <c r="A546" i="12"/>
  <c r="F545" i="12"/>
  <c r="E545" i="12"/>
  <c r="D545" i="12"/>
  <c r="C545" i="12"/>
  <c r="B545" i="12"/>
  <c r="G545" i="12" s="1"/>
  <c r="A545" i="12"/>
  <c r="G544" i="12"/>
  <c r="F544" i="12"/>
  <c r="E544" i="12"/>
  <c r="D544" i="12"/>
  <c r="C544" i="12"/>
  <c r="B544" i="12"/>
  <c r="A544" i="12"/>
  <c r="G543" i="12"/>
  <c r="F543" i="12"/>
  <c r="E543" i="12"/>
  <c r="D543" i="12"/>
  <c r="C543" i="12"/>
  <c r="B543" i="12"/>
  <c r="A543" i="12"/>
  <c r="F542" i="12"/>
  <c r="E542" i="12"/>
  <c r="D542" i="12"/>
  <c r="C542" i="12"/>
  <c r="B542" i="12"/>
  <c r="G542" i="12" s="1"/>
  <c r="A542" i="12"/>
  <c r="F541" i="12"/>
  <c r="E541" i="12"/>
  <c r="D541" i="12"/>
  <c r="C541" i="12"/>
  <c r="B541" i="12"/>
  <c r="G541" i="12" s="1"/>
  <c r="A541" i="12"/>
  <c r="G540" i="12"/>
  <c r="F540" i="12"/>
  <c r="E540" i="12"/>
  <c r="D540" i="12"/>
  <c r="C540" i="12"/>
  <c r="B540" i="12"/>
  <c r="A540" i="12"/>
  <c r="G539" i="12"/>
  <c r="F539" i="12"/>
  <c r="E539" i="12"/>
  <c r="D539" i="12"/>
  <c r="C539" i="12"/>
  <c r="B539" i="12"/>
  <c r="A539" i="12"/>
  <c r="F538" i="12"/>
  <c r="E538" i="12"/>
  <c r="D538" i="12"/>
  <c r="C538" i="12"/>
  <c r="B538" i="12"/>
  <c r="G538" i="12" s="1"/>
  <c r="A538" i="12"/>
  <c r="F537" i="12"/>
  <c r="E537" i="12"/>
  <c r="D537" i="12"/>
  <c r="C537" i="12"/>
  <c r="B537" i="12"/>
  <c r="G537" i="12" s="1"/>
  <c r="A537" i="12"/>
  <c r="G536" i="12"/>
  <c r="F536" i="12"/>
  <c r="E536" i="12"/>
  <c r="D536" i="12"/>
  <c r="C536" i="12"/>
  <c r="B536" i="12"/>
  <c r="A536" i="12"/>
  <c r="G535" i="12"/>
  <c r="F535" i="12"/>
  <c r="E535" i="12"/>
  <c r="D535" i="12"/>
  <c r="C535" i="12"/>
  <c r="B535" i="12"/>
  <c r="A535" i="12"/>
  <c r="F534" i="12"/>
  <c r="E534" i="12"/>
  <c r="D534" i="12"/>
  <c r="C534" i="12"/>
  <c r="B534" i="12"/>
  <c r="G534" i="12" s="1"/>
  <c r="A534" i="12"/>
  <c r="F533" i="12"/>
  <c r="E533" i="12"/>
  <c r="D533" i="12"/>
  <c r="C533" i="12"/>
  <c r="B533" i="12"/>
  <c r="G533" i="12" s="1"/>
  <c r="A533" i="12"/>
  <c r="G532" i="12"/>
  <c r="F532" i="12"/>
  <c r="E532" i="12"/>
  <c r="D532" i="12"/>
  <c r="C532" i="12"/>
  <c r="B532" i="12"/>
  <c r="A532" i="12"/>
  <c r="G531" i="12"/>
  <c r="F531" i="12"/>
  <c r="E531" i="12"/>
  <c r="D531" i="12"/>
  <c r="C531" i="12"/>
  <c r="B531" i="12"/>
  <c r="A531" i="12"/>
  <c r="F530" i="12"/>
  <c r="E530" i="12"/>
  <c r="D530" i="12"/>
  <c r="C530" i="12"/>
  <c r="B530" i="12"/>
  <c r="G530" i="12" s="1"/>
  <c r="A530" i="12"/>
  <c r="F529" i="12"/>
  <c r="E529" i="12"/>
  <c r="D529" i="12"/>
  <c r="C529" i="12"/>
  <c r="B529" i="12"/>
  <c r="G529" i="12" s="1"/>
  <c r="A529" i="12"/>
  <c r="G528" i="12"/>
  <c r="F528" i="12"/>
  <c r="E528" i="12"/>
  <c r="D528" i="12"/>
  <c r="C528" i="12"/>
  <c r="B528" i="12"/>
  <c r="A528" i="12"/>
  <c r="G527" i="12"/>
  <c r="F527" i="12"/>
  <c r="E527" i="12"/>
  <c r="D527" i="12"/>
  <c r="C527" i="12"/>
  <c r="B527" i="12"/>
  <c r="A527" i="12"/>
  <c r="F526" i="12"/>
  <c r="E526" i="12"/>
  <c r="D526" i="12"/>
  <c r="C526" i="12"/>
  <c r="B526" i="12"/>
  <c r="G526" i="12" s="1"/>
  <c r="A526" i="12"/>
  <c r="F525" i="12"/>
  <c r="E525" i="12"/>
  <c r="D525" i="12"/>
  <c r="C525" i="12"/>
  <c r="B525" i="12"/>
  <c r="G525" i="12" s="1"/>
  <c r="A525" i="12"/>
  <c r="G524" i="12"/>
  <c r="F524" i="12"/>
  <c r="E524" i="12"/>
  <c r="D524" i="12"/>
  <c r="C524" i="12"/>
  <c r="B524" i="12"/>
  <c r="A524" i="12"/>
  <c r="G523" i="12"/>
  <c r="F523" i="12"/>
  <c r="E523" i="12"/>
  <c r="D523" i="12"/>
  <c r="C523" i="12"/>
  <c r="B523" i="12"/>
  <c r="A523" i="12"/>
  <c r="F522" i="12"/>
  <c r="E522" i="12"/>
  <c r="D522" i="12"/>
  <c r="C522" i="12"/>
  <c r="B522" i="12"/>
  <c r="G522" i="12" s="1"/>
  <c r="A522" i="12"/>
  <c r="F521" i="12"/>
  <c r="E521" i="12"/>
  <c r="D521" i="12"/>
  <c r="C521" i="12"/>
  <c r="B521" i="12"/>
  <c r="G521" i="12" s="1"/>
  <c r="A521" i="12"/>
  <c r="G520" i="12"/>
  <c r="F520" i="12"/>
  <c r="E520" i="12"/>
  <c r="D520" i="12"/>
  <c r="C520" i="12"/>
  <c r="B520" i="12"/>
  <c r="A520" i="12"/>
  <c r="G519" i="12"/>
  <c r="F519" i="12"/>
  <c r="E519" i="12"/>
  <c r="D519" i="12"/>
  <c r="C519" i="12"/>
  <c r="B519" i="12"/>
  <c r="A519" i="12"/>
  <c r="F518" i="12"/>
  <c r="E518" i="12"/>
  <c r="D518" i="12"/>
  <c r="C518" i="12"/>
  <c r="B518" i="12"/>
  <c r="G518" i="12" s="1"/>
  <c r="A518" i="12"/>
  <c r="F517" i="12"/>
  <c r="E517" i="12"/>
  <c r="D517" i="12"/>
  <c r="C517" i="12"/>
  <c r="B517" i="12"/>
  <c r="G517" i="12" s="1"/>
  <c r="A517" i="12"/>
  <c r="G516" i="12"/>
  <c r="F516" i="12"/>
  <c r="E516" i="12"/>
  <c r="D516" i="12"/>
  <c r="C516" i="12"/>
  <c r="B516" i="12"/>
  <c r="A516" i="12"/>
  <c r="G515" i="12"/>
  <c r="F515" i="12"/>
  <c r="E515" i="12"/>
  <c r="D515" i="12"/>
  <c r="C515" i="12"/>
  <c r="B515" i="12"/>
  <c r="A515" i="12"/>
  <c r="F514" i="12"/>
  <c r="E514" i="12"/>
  <c r="D514" i="12"/>
  <c r="C514" i="12"/>
  <c r="B514" i="12"/>
  <c r="G514" i="12" s="1"/>
  <c r="A514" i="12"/>
  <c r="F513" i="12"/>
  <c r="E513" i="12"/>
  <c r="D513" i="12"/>
  <c r="C513" i="12"/>
  <c r="B513" i="12"/>
  <c r="G513" i="12" s="1"/>
  <c r="A513" i="12"/>
  <c r="G512" i="12"/>
  <c r="F512" i="12"/>
  <c r="E512" i="12"/>
  <c r="D512" i="12"/>
  <c r="C512" i="12"/>
  <c r="B512" i="12"/>
  <c r="A512" i="12"/>
  <c r="G511" i="12"/>
  <c r="F511" i="12"/>
  <c r="E511" i="12"/>
  <c r="D511" i="12"/>
  <c r="C511" i="12"/>
  <c r="B511" i="12"/>
  <c r="A511" i="12"/>
  <c r="F510" i="12"/>
  <c r="E510" i="12"/>
  <c r="D510" i="12"/>
  <c r="C510" i="12"/>
  <c r="B510" i="12"/>
  <c r="G510" i="12" s="1"/>
  <c r="A510" i="12"/>
  <c r="F509" i="12"/>
  <c r="E509" i="12"/>
  <c r="D509" i="12"/>
  <c r="C509" i="12"/>
  <c r="B509" i="12"/>
  <c r="G509" i="12" s="1"/>
  <c r="A509" i="12"/>
  <c r="G508" i="12"/>
  <c r="F508" i="12"/>
  <c r="E508" i="12"/>
  <c r="D508" i="12"/>
  <c r="C508" i="12"/>
  <c r="B508" i="12"/>
  <c r="A508" i="12"/>
  <c r="G507" i="12"/>
  <c r="F507" i="12"/>
  <c r="E507" i="12"/>
  <c r="D507" i="12"/>
  <c r="C507" i="12"/>
  <c r="B507" i="12"/>
  <c r="A507" i="12"/>
  <c r="F506" i="12"/>
  <c r="E506" i="12"/>
  <c r="D506" i="12"/>
  <c r="C506" i="12"/>
  <c r="B506" i="12"/>
  <c r="G506" i="12" s="1"/>
  <c r="A506" i="12"/>
  <c r="F505" i="12"/>
  <c r="E505" i="12"/>
  <c r="D505" i="12"/>
  <c r="C505" i="12"/>
  <c r="B505" i="12"/>
  <c r="G505" i="12" s="1"/>
  <c r="A505" i="12"/>
  <c r="G504" i="12"/>
  <c r="F504" i="12"/>
  <c r="E504" i="12"/>
  <c r="D504" i="12"/>
  <c r="C504" i="12"/>
  <c r="B504" i="12"/>
  <c r="A504" i="12"/>
  <c r="F503" i="12"/>
  <c r="E503" i="12"/>
  <c r="D503" i="12"/>
  <c r="C503" i="12"/>
  <c r="B503" i="12"/>
  <c r="A503" i="12"/>
  <c r="F502" i="12"/>
  <c r="E502" i="12"/>
  <c r="D502" i="12"/>
  <c r="C502" i="12"/>
  <c r="B502" i="12"/>
  <c r="A502" i="12"/>
  <c r="F501" i="12"/>
  <c r="E501" i="12"/>
  <c r="D501" i="12"/>
  <c r="C501" i="12"/>
  <c r="B501" i="12"/>
  <c r="G501" i="12" s="1"/>
  <c r="A501" i="12"/>
  <c r="G500" i="12"/>
  <c r="F500" i="12"/>
  <c r="E500" i="12"/>
  <c r="D500" i="12"/>
  <c r="C500" i="12"/>
  <c r="B500" i="12"/>
  <c r="A500" i="12"/>
  <c r="G499" i="12"/>
  <c r="F499" i="12"/>
  <c r="E499" i="12"/>
  <c r="D499" i="12"/>
  <c r="C499" i="12"/>
  <c r="B499" i="12"/>
  <c r="A499" i="12"/>
  <c r="F498" i="12"/>
  <c r="E498" i="12"/>
  <c r="D498" i="12"/>
  <c r="C498" i="12"/>
  <c r="B498" i="12"/>
  <c r="G498" i="12" s="1"/>
  <c r="A498" i="12"/>
  <c r="F497" i="12"/>
  <c r="E497" i="12"/>
  <c r="D497" i="12"/>
  <c r="C497" i="12"/>
  <c r="B497" i="12"/>
  <c r="G497" i="12" s="1"/>
  <c r="A497" i="12"/>
  <c r="G496" i="12"/>
  <c r="F496" i="12"/>
  <c r="E496" i="12"/>
  <c r="D496" i="12"/>
  <c r="C496" i="12"/>
  <c r="B496" i="12"/>
  <c r="A496" i="12"/>
  <c r="G495" i="12"/>
  <c r="F495" i="12"/>
  <c r="E495" i="12"/>
  <c r="D495" i="12"/>
  <c r="C495" i="12"/>
  <c r="B495" i="12"/>
  <c r="A495" i="12"/>
  <c r="F494" i="12"/>
  <c r="E494" i="12"/>
  <c r="D494" i="12"/>
  <c r="C494" i="12"/>
  <c r="B494" i="12"/>
  <c r="G494" i="12" s="1"/>
  <c r="A494" i="12"/>
  <c r="F493" i="12"/>
  <c r="E493" i="12"/>
  <c r="D493" i="12"/>
  <c r="C493" i="12"/>
  <c r="B493" i="12"/>
  <c r="G493" i="12" s="1"/>
  <c r="A493" i="12"/>
  <c r="G492" i="12"/>
  <c r="F492" i="12"/>
  <c r="E492" i="12"/>
  <c r="D492" i="12"/>
  <c r="C492" i="12"/>
  <c r="B492" i="12"/>
  <c r="A492" i="12"/>
  <c r="G491" i="12"/>
  <c r="F491" i="12"/>
  <c r="E491" i="12"/>
  <c r="D491" i="12"/>
  <c r="C491" i="12"/>
  <c r="B491" i="12"/>
  <c r="A491" i="12"/>
  <c r="F490" i="12"/>
  <c r="E490" i="12"/>
  <c r="D490" i="12"/>
  <c r="C490" i="12"/>
  <c r="B490" i="12"/>
  <c r="G490" i="12" s="1"/>
  <c r="A490" i="12"/>
  <c r="F489" i="12"/>
  <c r="E489" i="12"/>
  <c r="D489" i="12"/>
  <c r="C489" i="12"/>
  <c r="B489" i="12"/>
  <c r="G489" i="12" s="1"/>
  <c r="A489" i="12"/>
  <c r="G488" i="12"/>
  <c r="F488" i="12"/>
  <c r="E488" i="12"/>
  <c r="D488" i="12"/>
  <c r="C488" i="12"/>
  <c r="B488" i="12"/>
  <c r="A488" i="12"/>
  <c r="G487" i="12"/>
  <c r="F487" i="12"/>
  <c r="E487" i="12"/>
  <c r="D487" i="12"/>
  <c r="C487" i="12"/>
  <c r="B487" i="12"/>
  <c r="A487" i="12"/>
  <c r="F486" i="12"/>
  <c r="E486" i="12"/>
  <c r="D486" i="12"/>
  <c r="C486" i="12"/>
  <c r="B486" i="12"/>
  <c r="G486" i="12" s="1"/>
  <c r="A486" i="12"/>
  <c r="F485" i="12"/>
  <c r="E485" i="12"/>
  <c r="D485" i="12"/>
  <c r="C485" i="12"/>
  <c r="B485" i="12"/>
  <c r="G485" i="12" s="1"/>
  <c r="A485" i="12"/>
  <c r="G484" i="12"/>
  <c r="F484" i="12"/>
  <c r="E484" i="12"/>
  <c r="D484" i="12"/>
  <c r="C484" i="12"/>
  <c r="B484" i="12"/>
  <c r="A484" i="12"/>
  <c r="G483" i="12"/>
  <c r="F483" i="12"/>
  <c r="E483" i="12"/>
  <c r="D483" i="12"/>
  <c r="C483" i="12"/>
  <c r="B483" i="12"/>
  <c r="A483" i="12"/>
  <c r="F482" i="12"/>
  <c r="E482" i="12"/>
  <c r="D482" i="12"/>
  <c r="C482" i="12"/>
  <c r="B482" i="12"/>
  <c r="G482" i="12" s="1"/>
  <c r="A482" i="12"/>
  <c r="F481" i="12"/>
  <c r="E481" i="12"/>
  <c r="D481" i="12"/>
  <c r="C481" i="12"/>
  <c r="B481" i="12"/>
  <c r="G481" i="12" s="1"/>
  <c r="A481" i="12"/>
  <c r="G480" i="12"/>
  <c r="F480" i="12"/>
  <c r="E480" i="12"/>
  <c r="D480" i="12"/>
  <c r="C480" i="12"/>
  <c r="B480" i="12"/>
  <c r="A480" i="12"/>
  <c r="G479" i="12"/>
  <c r="F479" i="12"/>
  <c r="E479" i="12"/>
  <c r="D479" i="12"/>
  <c r="C479" i="12"/>
  <c r="B479" i="12"/>
  <c r="A479" i="12"/>
  <c r="F478" i="12"/>
  <c r="E478" i="12"/>
  <c r="D478" i="12"/>
  <c r="C478" i="12"/>
  <c r="B478" i="12"/>
  <c r="G478" i="12" s="1"/>
  <c r="A478" i="12"/>
  <c r="F477" i="12"/>
  <c r="E477" i="12"/>
  <c r="D477" i="12"/>
  <c r="C477" i="12"/>
  <c r="B477" i="12"/>
  <c r="G477" i="12" s="1"/>
  <c r="A477" i="12"/>
  <c r="G476" i="12"/>
  <c r="F476" i="12"/>
  <c r="E476" i="12"/>
  <c r="D476" i="12"/>
  <c r="C476" i="12"/>
  <c r="B476" i="12"/>
  <c r="A476" i="12"/>
  <c r="G475" i="12"/>
  <c r="F475" i="12"/>
  <c r="E475" i="12"/>
  <c r="D475" i="12"/>
  <c r="C475" i="12"/>
  <c r="B475" i="12"/>
  <c r="A475" i="12"/>
  <c r="F474" i="12"/>
  <c r="E474" i="12"/>
  <c r="D474" i="12"/>
  <c r="C474" i="12"/>
  <c r="B474" i="12"/>
  <c r="G474" i="12" s="1"/>
  <c r="A474" i="12"/>
  <c r="F473" i="12"/>
  <c r="E473" i="12"/>
  <c r="D473" i="12"/>
  <c r="C473" i="12"/>
  <c r="B473" i="12"/>
  <c r="G473" i="12" s="1"/>
  <c r="A473" i="12"/>
  <c r="G472" i="12"/>
  <c r="F472" i="12"/>
  <c r="E472" i="12"/>
  <c r="D472" i="12"/>
  <c r="C472" i="12"/>
  <c r="B472" i="12"/>
  <c r="A472" i="12"/>
  <c r="G471" i="12"/>
  <c r="F471" i="12"/>
  <c r="E471" i="12"/>
  <c r="D471" i="12"/>
  <c r="C471" i="12"/>
  <c r="B471" i="12"/>
  <c r="A471" i="12"/>
  <c r="F470" i="12"/>
  <c r="E470" i="12"/>
  <c r="D470" i="12"/>
  <c r="C470" i="12"/>
  <c r="B470" i="12"/>
  <c r="G470" i="12" s="1"/>
  <c r="A470" i="12"/>
  <c r="F469" i="12"/>
  <c r="E469" i="12"/>
  <c r="D469" i="12"/>
  <c r="C469" i="12"/>
  <c r="B469" i="12"/>
  <c r="G469" i="12" s="1"/>
  <c r="A469" i="12"/>
  <c r="G468" i="12"/>
  <c r="F468" i="12"/>
  <c r="E468" i="12"/>
  <c r="D468" i="12"/>
  <c r="C468" i="12"/>
  <c r="B468" i="12"/>
  <c r="A468" i="12"/>
  <c r="G467" i="12"/>
  <c r="F467" i="12"/>
  <c r="E467" i="12"/>
  <c r="D467" i="12"/>
  <c r="C467" i="12"/>
  <c r="B467" i="12"/>
  <c r="A467" i="12"/>
  <c r="F466" i="12"/>
  <c r="E466" i="12"/>
  <c r="D466" i="12"/>
  <c r="C466" i="12"/>
  <c r="B466" i="12"/>
  <c r="G466" i="12" s="1"/>
  <c r="A466" i="12"/>
  <c r="F465" i="12"/>
  <c r="E465" i="12"/>
  <c r="D465" i="12"/>
  <c r="C465" i="12"/>
  <c r="B465" i="12"/>
  <c r="G465" i="12" s="1"/>
  <c r="A465" i="12"/>
  <c r="G464" i="12"/>
  <c r="F464" i="12"/>
  <c r="E464" i="12"/>
  <c r="D464" i="12"/>
  <c r="C464" i="12"/>
  <c r="B464" i="12"/>
  <c r="A464" i="12"/>
  <c r="G463" i="12"/>
  <c r="F463" i="12"/>
  <c r="E463" i="12"/>
  <c r="D463" i="12"/>
  <c r="C463" i="12"/>
  <c r="B463" i="12"/>
  <c r="A463" i="12"/>
  <c r="F462" i="12"/>
  <c r="E462" i="12"/>
  <c r="D462" i="12"/>
  <c r="C462" i="12"/>
  <c r="B462" i="12"/>
  <c r="G462" i="12" s="1"/>
  <c r="A462" i="12"/>
  <c r="F461" i="12"/>
  <c r="E461" i="12"/>
  <c r="D461" i="12"/>
  <c r="C461" i="12"/>
  <c r="B461" i="12"/>
  <c r="G461" i="12" s="1"/>
  <c r="A461" i="12"/>
  <c r="G460" i="12"/>
  <c r="F460" i="12"/>
  <c r="E460" i="12"/>
  <c r="D460" i="12"/>
  <c r="C460" i="12"/>
  <c r="B460" i="12"/>
  <c r="A460" i="12"/>
  <c r="G459" i="12"/>
  <c r="F459" i="12"/>
  <c r="E459" i="12"/>
  <c r="D459" i="12"/>
  <c r="C459" i="12"/>
  <c r="B459" i="12"/>
  <c r="A459" i="12"/>
  <c r="F458" i="12"/>
  <c r="E458" i="12"/>
  <c r="D458" i="12"/>
  <c r="C458" i="12"/>
  <c r="B458" i="12"/>
  <c r="G458" i="12" s="1"/>
  <c r="A458" i="12"/>
  <c r="F457" i="12"/>
  <c r="E457" i="12"/>
  <c r="D457" i="12"/>
  <c r="C457" i="12"/>
  <c r="B457" i="12"/>
  <c r="G457" i="12" s="1"/>
  <c r="A457" i="12"/>
  <c r="G456" i="12"/>
  <c r="F456" i="12"/>
  <c r="E456" i="12"/>
  <c r="D456" i="12"/>
  <c r="C456" i="12"/>
  <c r="B456" i="12"/>
  <c r="A456" i="12"/>
  <c r="G455" i="12"/>
  <c r="F455" i="12"/>
  <c r="E455" i="12"/>
  <c r="D455" i="12"/>
  <c r="C455" i="12"/>
  <c r="B455" i="12"/>
  <c r="A455" i="12"/>
  <c r="F454" i="12"/>
  <c r="E454" i="12"/>
  <c r="D454" i="12"/>
  <c r="C454" i="12"/>
  <c r="B454" i="12"/>
  <c r="G454" i="12" s="1"/>
  <c r="A454" i="12"/>
  <c r="F453" i="12"/>
  <c r="E453" i="12"/>
  <c r="D453" i="12"/>
  <c r="C453" i="12"/>
  <c r="B453" i="12"/>
  <c r="G453" i="12" s="1"/>
  <c r="A453" i="12"/>
  <c r="G452" i="12"/>
  <c r="F452" i="12"/>
  <c r="E452" i="12"/>
  <c r="D452" i="12"/>
  <c r="C452" i="12"/>
  <c r="B452" i="12"/>
  <c r="A452" i="12"/>
  <c r="G451" i="12"/>
  <c r="F451" i="12"/>
  <c r="E451" i="12"/>
  <c r="D451" i="12"/>
  <c r="C451" i="12"/>
  <c r="B451" i="12"/>
  <c r="A451" i="12"/>
  <c r="F450" i="12"/>
  <c r="E450" i="12"/>
  <c r="D450" i="12"/>
  <c r="C450" i="12"/>
  <c r="B450" i="12"/>
  <c r="G450" i="12" s="1"/>
  <c r="A450" i="12"/>
  <c r="F449" i="12"/>
  <c r="E449" i="12"/>
  <c r="D449" i="12"/>
  <c r="C449" i="12"/>
  <c r="B449" i="12"/>
  <c r="G449" i="12" s="1"/>
  <c r="A449" i="12"/>
  <c r="G448" i="12"/>
  <c r="F448" i="12"/>
  <c r="E448" i="12"/>
  <c r="D448" i="12"/>
  <c r="C448" i="12"/>
  <c r="B448" i="12"/>
  <c r="A448" i="12"/>
  <c r="G447" i="12"/>
  <c r="F447" i="12"/>
  <c r="E447" i="12"/>
  <c r="D447" i="12"/>
  <c r="C447" i="12"/>
  <c r="B447" i="12"/>
  <c r="A447" i="12"/>
  <c r="F446" i="12"/>
  <c r="E446" i="12"/>
  <c r="D446" i="12"/>
  <c r="C446" i="12"/>
  <c r="B446" i="12"/>
  <c r="G446" i="12" s="1"/>
  <c r="A446" i="12"/>
  <c r="F445" i="12"/>
  <c r="E445" i="12"/>
  <c r="D445" i="12"/>
  <c r="C445" i="12"/>
  <c r="B445" i="12"/>
  <c r="G445" i="12" s="1"/>
  <c r="A445" i="12"/>
  <c r="G444" i="12"/>
  <c r="F444" i="12"/>
  <c r="E444" i="12"/>
  <c r="D444" i="12"/>
  <c r="C444" i="12"/>
  <c r="B444" i="12"/>
  <c r="A444" i="12"/>
  <c r="G443" i="12"/>
  <c r="F443" i="12"/>
  <c r="E443" i="12"/>
  <c r="D443" i="12"/>
  <c r="C443" i="12"/>
  <c r="B443" i="12"/>
  <c r="A443" i="12"/>
  <c r="F442" i="12"/>
  <c r="E442" i="12"/>
  <c r="D442" i="12"/>
  <c r="C442" i="12"/>
  <c r="B442" i="12"/>
  <c r="G442" i="12" s="1"/>
  <c r="A442" i="12"/>
  <c r="F441" i="12"/>
  <c r="E441" i="12"/>
  <c r="D441" i="12"/>
  <c r="C441" i="12"/>
  <c r="B441" i="12"/>
  <c r="G441" i="12" s="1"/>
  <c r="A441" i="12"/>
  <c r="G440" i="12"/>
  <c r="F440" i="12"/>
  <c r="E440" i="12"/>
  <c r="D440" i="12"/>
  <c r="C440" i="12"/>
  <c r="B440" i="12"/>
  <c r="A440" i="12"/>
  <c r="G439" i="12"/>
  <c r="F439" i="12"/>
  <c r="E439" i="12"/>
  <c r="D439" i="12"/>
  <c r="C439" i="12"/>
  <c r="B439" i="12"/>
  <c r="A439" i="12"/>
  <c r="F438" i="12"/>
  <c r="E438" i="12"/>
  <c r="D438" i="12"/>
  <c r="C438" i="12"/>
  <c r="B438" i="12"/>
  <c r="G438" i="12" s="1"/>
  <c r="A438" i="12"/>
  <c r="F437" i="12"/>
  <c r="E437" i="12"/>
  <c r="D437" i="12"/>
  <c r="C437" i="12"/>
  <c r="B437" i="12"/>
  <c r="G437" i="12" s="1"/>
  <c r="A437" i="12"/>
  <c r="G436" i="12"/>
  <c r="F436" i="12"/>
  <c r="E436" i="12"/>
  <c r="D436" i="12"/>
  <c r="C436" i="12"/>
  <c r="B436" i="12"/>
  <c r="A436" i="12"/>
  <c r="G435" i="12"/>
  <c r="F435" i="12"/>
  <c r="E435" i="12"/>
  <c r="D435" i="12"/>
  <c r="C435" i="12"/>
  <c r="B435" i="12"/>
  <c r="A435" i="12"/>
  <c r="F434" i="12"/>
  <c r="E434" i="12"/>
  <c r="D434" i="12"/>
  <c r="C434" i="12"/>
  <c r="B434" i="12"/>
  <c r="G434" i="12" s="1"/>
  <c r="A434" i="12"/>
  <c r="F433" i="12"/>
  <c r="E433" i="12"/>
  <c r="D433" i="12"/>
  <c r="C433" i="12"/>
  <c r="B433" i="12"/>
  <c r="G433" i="12" s="1"/>
  <c r="A433" i="12"/>
  <c r="G432" i="12"/>
  <c r="F432" i="12"/>
  <c r="E432" i="12"/>
  <c r="D432" i="12"/>
  <c r="C432" i="12"/>
  <c r="B432" i="12"/>
  <c r="A432" i="12"/>
  <c r="G431" i="12"/>
  <c r="F431" i="12"/>
  <c r="E431" i="12"/>
  <c r="D431" i="12"/>
  <c r="C431" i="12"/>
  <c r="B431" i="12"/>
  <c r="A431" i="12"/>
  <c r="F430" i="12"/>
  <c r="E430" i="12"/>
  <c r="D430" i="12"/>
  <c r="C430" i="12"/>
  <c r="B430" i="12"/>
  <c r="G430" i="12" s="1"/>
  <c r="A430" i="12"/>
  <c r="F429" i="12"/>
  <c r="E429" i="12"/>
  <c r="D429" i="12"/>
  <c r="C429" i="12"/>
  <c r="B429" i="12"/>
  <c r="G429" i="12" s="1"/>
  <c r="A429" i="12"/>
  <c r="G428" i="12"/>
  <c r="F428" i="12"/>
  <c r="E428" i="12"/>
  <c r="D428" i="12"/>
  <c r="C428" i="12"/>
  <c r="B428" i="12"/>
  <c r="A428" i="12"/>
  <c r="G427" i="12"/>
  <c r="F427" i="12"/>
  <c r="E427" i="12"/>
  <c r="D427" i="12"/>
  <c r="C427" i="12"/>
  <c r="B427" i="12"/>
  <c r="A427" i="12"/>
  <c r="F426" i="12"/>
  <c r="E426" i="12"/>
  <c r="D426" i="12"/>
  <c r="C426" i="12"/>
  <c r="B426" i="12"/>
  <c r="G426" i="12" s="1"/>
  <c r="A426" i="12"/>
  <c r="F425" i="12"/>
  <c r="E425" i="12"/>
  <c r="D425" i="12"/>
  <c r="C425" i="12"/>
  <c r="B425" i="12"/>
  <c r="G425" i="12" s="1"/>
  <c r="A425" i="12"/>
  <c r="G424" i="12"/>
  <c r="F424" i="12"/>
  <c r="E424" i="12"/>
  <c r="D424" i="12"/>
  <c r="C424" i="12"/>
  <c r="B424" i="12"/>
  <c r="A424" i="12"/>
  <c r="G423" i="12"/>
  <c r="F423" i="12"/>
  <c r="E423" i="12"/>
  <c r="D423" i="12"/>
  <c r="C423" i="12"/>
  <c r="B423" i="12"/>
  <c r="A423" i="12"/>
  <c r="F422" i="12"/>
  <c r="E422" i="12"/>
  <c r="D422" i="12"/>
  <c r="C422" i="12"/>
  <c r="B422" i="12"/>
  <c r="G422" i="12" s="1"/>
  <c r="A422" i="12"/>
  <c r="F421" i="12"/>
  <c r="E421" i="12"/>
  <c r="D421" i="12"/>
  <c r="C421" i="12"/>
  <c r="B421" i="12"/>
  <c r="G421" i="12" s="1"/>
  <c r="A421" i="12"/>
  <c r="G420" i="12"/>
  <c r="F420" i="12"/>
  <c r="E420" i="12"/>
  <c r="D420" i="12"/>
  <c r="C420" i="12"/>
  <c r="B420" i="12"/>
  <c r="A420" i="12"/>
  <c r="G419" i="12"/>
  <c r="F419" i="12"/>
  <c r="E419" i="12"/>
  <c r="D419" i="12"/>
  <c r="C419" i="12"/>
  <c r="B419" i="12"/>
  <c r="A419" i="12"/>
  <c r="F418" i="12"/>
  <c r="E418" i="12"/>
  <c r="D418" i="12"/>
  <c r="C418" i="12"/>
  <c r="B418" i="12"/>
  <c r="G418" i="12" s="1"/>
  <c r="A418" i="12"/>
  <c r="F417" i="12"/>
  <c r="E417" i="12"/>
  <c r="D417" i="12"/>
  <c r="C417" i="12"/>
  <c r="B417" i="12"/>
  <c r="G417" i="12" s="1"/>
  <c r="A417" i="12"/>
  <c r="G416" i="12"/>
  <c r="F416" i="12"/>
  <c r="E416" i="12"/>
  <c r="D416" i="12"/>
  <c r="C416" i="12"/>
  <c r="B416" i="12"/>
  <c r="A416" i="12"/>
  <c r="G415" i="12"/>
  <c r="F415" i="12"/>
  <c r="E415" i="12"/>
  <c r="D415" i="12"/>
  <c r="C415" i="12"/>
  <c r="B415" i="12"/>
  <c r="A415" i="12"/>
  <c r="F414" i="12"/>
  <c r="E414" i="12"/>
  <c r="D414" i="12"/>
  <c r="C414" i="12"/>
  <c r="B414" i="12"/>
  <c r="G414" i="12" s="1"/>
  <c r="A414" i="12"/>
  <c r="F413" i="12"/>
  <c r="E413" i="12"/>
  <c r="D413" i="12"/>
  <c r="C413" i="12"/>
  <c r="B413" i="12"/>
  <c r="G413" i="12" s="1"/>
  <c r="A413" i="12"/>
  <c r="G412" i="12"/>
  <c r="F412" i="12"/>
  <c r="E412" i="12"/>
  <c r="D412" i="12"/>
  <c r="C412" i="12"/>
  <c r="B412" i="12"/>
  <c r="A412" i="12"/>
  <c r="G411" i="12"/>
  <c r="F411" i="12"/>
  <c r="E411" i="12"/>
  <c r="D411" i="12"/>
  <c r="C411" i="12"/>
  <c r="B411" i="12"/>
  <c r="A411" i="12"/>
  <c r="F410" i="12"/>
  <c r="E410" i="12"/>
  <c r="D410" i="12"/>
  <c r="C410" i="12"/>
  <c r="B410" i="12"/>
  <c r="G410" i="12" s="1"/>
  <c r="A410" i="12"/>
  <c r="F409" i="12"/>
  <c r="E409" i="12"/>
  <c r="D409" i="12"/>
  <c r="C409" i="12"/>
  <c r="B409" i="12"/>
  <c r="G409" i="12" s="1"/>
  <c r="A409" i="12"/>
  <c r="G408" i="12"/>
  <c r="F408" i="12"/>
  <c r="E408" i="12"/>
  <c r="D408" i="12"/>
  <c r="C408" i="12"/>
  <c r="B408" i="12"/>
  <c r="A408" i="12"/>
  <c r="G407" i="12"/>
  <c r="F407" i="12"/>
  <c r="E407" i="12"/>
  <c r="D407" i="12"/>
  <c r="C407" i="12"/>
  <c r="B407" i="12"/>
  <c r="A407" i="12"/>
  <c r="F406" i="12"/>
  <c r="E406" i="12"/>
  <c r="D406" i="12"/>
  <c r="C406" i="12"/>
  <c r="B406" i="12"/>
  <c r="G406" i="12" s="1"/>
  <c r="A406" i="12"/>
  <c r="F405" i="12"/>
  <c r="E405" i="12"/>
  <c r="D405" i="12"/>
  <c r="C405" i="12"/>
  <c r="B405" i="12"/>
  <c r="G405" i="12" s="1"/>
  <c r="A405" i="12"/>
  <c r="G404" i="12"/>
  <c r="F404" i="12"/>
  <c r="E404" i="12"/>
  <c r="D404" i="12"/>
  <c r="C404" i="12"/>
  <c r="B404" i="12"/>
  <c r="A404" i="12"/>
  <c r="G403" i="12"/>
  <c r="F403" i="12"/>
  <c r="E403" i="12"/>
  <c r="D403" i="12"/>
  <c r="C403" i="12"/>
  <c r="B403" i="12"/>
  <c r="A403" i="12"/>
  <c r="F402" i="12"/>
  <c r="E402" i="12"/>
  <c r="D402" i="12"/>
  <c r="C402" i="12"/>
  <c r="B402" i="12"/>
  <c r="G402" i="12" s="1"/>
  <c r="A402" i="12"/>
  <c r="F401" i="12"/>
  <c r="E401" i="12"/>
  <c r="D401" i="12"/>
  <c r="C401" i="12"/>
  <c r="B401" i="12"/>
  <c r="G401" i="12" s="1"/>
  <c r="A401" i="12"/>
  <c r="G400" i="12"/>
  <c r="F400" i="12"/>
  <c r="E400" i="12"/>
  <c r="D400" i="12"/>
  <c r="C400" i="12"/>
  <c r="B400" i="12"/>
  <c r="A400" i="12"/>
  <c r="G399" i="12"/>
  <c r="F399" i="12"/>
  <c r="E399" i="12"/>
  <c r="D399" i="12"/>
  <c r="C399" i="12"/>
  <c r="B399" i="12"/>
  <c r="A399" i="12"/>
  <c r="F398" i="12"/>
  <c r="E398" i="12"/>
  <c r="D398" i="12"/>
  <c r="C398" i="12"/>
  <c r="B398" i="12"/>
  <c r="G398" i="12" s="1"/>
  <c r="A398" i="12"/>
  <c r="F397" i="12"/>
  <c r="E397" i="12"/>
  <c r="D397" i="12"/>
  <c r="C397" i="12"/>
  <c r="B397" i="12"/>
  <c r="G397" i="12" s="1"/>
  <c r="A397" i="12"/>
  <c r="G396" i="12"/>
  <c r="F396" i="12"/>
  <c r="E396" i="12"/>
  <c r="D396" i="12"/>
  <c r="C396" i="12"/>
  <c r="B396" i="12"/>
  <c r="A396" i="12"/>
  <c r="G395" i="12"/>
  <c r="F395" i="12"/>
  <c r="E395" i="12"/>
  <c r="D395" i="12"/>
  <c r="C395" i="12"/>
  <c r="B395" i="12"/>
  <c r="A395" i="12"/>
  <c r="F394" i="12"/>
  <c r="E394" i="12"/>
  <c r="D394" i="12"/>
  <c r="C394" i="12"/>
  <c r="B394" i="12"/>
  <c r="G394" i="12" s="1"/>
  <c r="A394" i="12"/>
  <c r="F393" i="12"/>
  <c r="E393" i="12"/>
  <c r="D393" i="12"/>
  <c r="C393" i="12"/>
  <c r="B393" i="12"/>
  <c r="G393" i="12" s="1"/>
  <c r="A393" i="12"/>
  <c r="G392" i="12"/>
  <c r="F392" i="12"/>
  <c r="E392" i="12"/>
  <c r="D392" i="12"/>
  <c r="C392" i="12"/>
  <c r="B392" i="12"/>
  <c r="A392" i="12"/>
  <c r="G391" i="12"/>
  <c r="F391" i="12"/>
  <c r="E391" i="12"/>
  <c r="D391" i="12"/>
  <c r="C391" i="12"/>
  <c r="B391" i="12"/>
  <c r="A391" i="12"/>
  <c r="F390" i="12"/>
  <c r="E390" i="12"/>
  <c r="D390" i="12"/>
  <c r="C390" i="12"/>
  <c r="B390" i="12"/>
  <c r="G390" i="12" s="1"/>
  <c r="A390" i="12"/>
  <c r="F389" i="12"/>
  <c r="E389" i="12"/>
  <c r="D389" i="12"/>
  <c r="C389" i="12"/>
  <c r="B389" i="12"/>
  <c r="G389" i="12" s="1"/>
  <c r="A389" i="12"/>
  <c r="G388" i="12"/>
  <c r="F388" i="12"/>
  <c r="E388" i="12"/>
  <c r="D388" i="12"/>
  <c r="C388" i="12"/>
  <c r="B388" i="12"/>
  <c r="A388" i="12"/>
  <c r="G387" i="12"/>
  <c r="F387" i="12"/>
  <c r="E387" i="12"/>
  <c r="D387" i="12"/>
  <c r="C387" i="12"/>
  <c r="B387" i="12"/>
  <c r="A387" i="12"/>
  <c r="F386" i="12"/>
  <c r="E386" i="12"/>
  <c r="D386" i="12"/>
  <c r="C386" i="12"/>
  <c r="B386" i="12"/>
  <c r="G386" i="12" s="1"/>
  <c r="A386" i="12"/>
  <c r="F385" i="12"/>
  <c r="E385" i="12"/>
  <c r="D385" i="12"/>
  <c r="C385" i="12"/>
  <c r="B385" i="12"/>
  <c r="G385" i="12" s="1"/>
  <c r="A385" i="12"/>
  <c r="G384" i="12"/>
  <c r="F384" i="12"/>
  <c r="E384" i="12"/>
  <c r="D384" i="12"/>
  <c r="C384" i="12"/>
  <c r="B384" i="12"/>
  <c r="A384" i="12"/>
  <c r="G383" i="12"/>
  <c r="F383" i="12"/>
  <c r="E383" i="12"/>
  <c r="D383" i="12"/>
  <c r="C383" i="12"/>
  <c r="B383" i="12"/>
  <c r="A383" i="12"/>
  <c r="F382" i="12"/>
  <c r="E382" i="12"/>
  <c r="D382" i="12"/>
  <c r="C382" i="12"/>
  <c r="B382" i="12"/>
  <c r="G382" i="12" s="1"/>
  <c r="A382" i="12"/>
  <c r="F381" i="12"/>
  <c r="E381" i="12"/>
  <c r="D381" i="12"/>
  <c r="C381" i="12"/>
  <c r="B381" i="12"/>
  <c r="G381" i="12" s="1"/>
  <c r="A381" i="12"/>
  <c r="G380" i="12"/>
  <c r="F380" i="12"/>
  <c r="E380" i="12"/>
  <c r="D380" i="12"/>
  <c r="C380" i="12"/>
  <c r="B380" i="12"/>
  <c r="A380" i="12"/>
  <c r="F379" i="12"/>
  <c r="E379" i="12"/>
  <c r="D379" i="12"/>
  <c r="C379" i="12"/>
  <c r="B379" i="12"/>
  <c r="G379" i="12" s="1"/>
  <c r="A379" i="12"/>
  <c r="F378" i="12"/>
  <c r="E378" i="12"/>
  <c r="D378" i="12"/>
  <c r="C378" i="12"/>
  <c r="B378" i="12"/>
  <c r="G378" i="12" s="1"/>
  <c r="A378" i="12"/>
  <c r="F377" i="12"/>
  <c r="E377" i="12"/>
  <c r="D377" i="12"/>
  <c r="C377" i="12"/>
  <c r="B377" i="12"/>
  <c r="G377" i="12" s="1"/>
  <c r="A377" i="12"/>
  <c r="G376" i="12"/>
  <c r="F376" i="12"/>
  <c r="E376" i="12"/>
  <c r="D376" i="12"/>
  <c r="C376" i="12"/>
  <c r="B376" i="12"/>
  <c r="A376" i="12"/>
  <c r="G375" i="12"/>
  <c r="F375" i="12"/>
  <c r="E375" i="12"/>
  <c r="D375" i="12"/>
  <c r="C375" i="12"/>
  <c r="B375" i="12"/>
  <c r="A375" i="12"/>
  <c r="F374" i="12"/>
  <c r="E374" i="12"/>
  <c r="D374" i="12"/>
  <c r="C374" i="12"/>
  <c r="B374" i="12"/>
  <c r="G374" i="12" s="1"/>
  <c r="A374" i="12"/>
  <c r="F373" i="12"/>
  <c r="E373" i="12"/>
  <c r="D373" i="12"/>
  <c r="C373" i="12"/>
  <c r="B373" i="12"/>
  <c r="G373" i="12" s="1"/>
  <c r="A373" i="12"/>
  <c r="G372" i="12"/>
  <c r="F372" i="12"/>
  <c r="E372" i="12"/>
  <c r="D372" i="12"/>
  <c r="C372" i="12"/>
  <c r="B372" i="12"/>
  <c r="A372" i="12"/>
  <c r="F371" i="12"/>
  <c r="E371" i="12"/>
  <c r="D371" i="12"/>
  <c r="C371" i="12"/>
  <c r="B371" i="12"/>
  <c r="G371" i="12" s="1"/>
  <c r="A371" i="12"/>
  <c r="F370" i="12"/>
  <c r="E370" i="12"/>
  <c r="D370" i="12"/>
  <c r="C370" i="12"/>
  <c r="B370" i="12"/>
  <c r="G370" i="12" s="1"/>
  <c r="A370" i="12"/>
  <c r="F369" i="12"/>
  <c r="E369" i="12"/>
  <c r="D369" i="12"/>
  <c r="C369" i="12"/>
  <c r="B369" i="12"/>
  <c r="G369" i="12" s="1"/>
  <c r="A369" i="12"/>
  <c r="G368" i="12"/>
  <c r="F368" i="12"/>
  <c r="E368" i="12"/>
  <c r="D368" i="12"/>
  <c r="C368" i="12"/>
  <c r="B368" i="12"/>
  <c r="A368" i="12"/>
  <c r="G367" i="12"/>
  <c r="F367" i="12"/>
  <c r="E367" i="12"/>
  <c r="D367" i="12"/>
  <c r="C367" i="12"/>
  <c r="B367" i="12"/>
  <c r="A367" i="12"/>
  <c r="F366" i="12"/>
  <c r="E366" i="12"/>
  <c r="D366" i="12"/>
  <c r="C366" i="12"/>
  <c r="B366" i="12"/>
  <c r="G366" i="12" s="1"/>
  <c r="A366" i="12"/>
  <c r="F365" i="12"/>
  <c r="E365" i="12"/>
  <c r="D365" i="12"/>
  <c r="C365" i="12"/>
  <c r="B365" i="12"/>
  <c r="G365" i="12" s="1"/>
  <c r="A365" i="12"/>
  <c r="G364" i="12"/>
  <c r="F364" i="12"/>
  <c r="E364" i="12"/>
  <c r="D364" i="12"/>
  <c r="C364" i="12"/>
  <c r="B364" i="12"/>
  <c r="A364" i="12"/>
  <c r="F363" i="12"/>
  <c r="E363" i="12"/>
  <c r="D363" i="12"/>
  <c r="C363" i="12"/>
  <c r="B363" i="12"/>
  <c r="G363" i="12" s="1"/>
  <c r="A363" i="12"/>
  <c r="F362" i="12"/>
  <c r="E362" i="12"/>
  <c r="D362" i="12"/>
  <c r="C362" i="12"/>
  <c r="B362" i="12"/>
  <c r="G362" i="12" s="1"/>
  <c r="A362" i="12"/>
  <c r="F361" i="12"/>
  <c r="E361" i="12"/>
  <c r="D361" i="12"/>
  <c r="C361" i="12"/>
  <c r="B361" i="12"/>
  <c r="G361" i="12" s="1"/>
  <c r="A361" i="12"/>
  <c r="G360" i="12"/>
  <c r="F360" i="12"/>
  <c r="E360" i="12"/>
  <c r="D360" i="12"/>
  <c r="C360" i="12"/>
  <c r="B360" i="12"/>
  <c r="A360" i="12"/>
  <c r="G359" i="12"/>
  <c r="F359" i="12"/>
  <c r="E359" i="12"/>
  <c r="D359" i="12"/>
  <c r="C359" i="12"/>
  <c r="B359" i="12"/>
  <c r="A359" i="12"/>
  <c r="F358" i="12"/>
  <c r="E358" i="12"/>
  <c r="D358" i="12"/>
  <c r="C358" i="12"/>
  <c r="B358" i="12"/>
  <c r="G358" i="12" s="1"/>
  <c r="A358" i="12"/>
  <c r="F357" i="12"/>
  <c r="E357" i="12"/>
  <c r="D357" i="12"/>
  <c r="C357" i="12"/>
  <c r="B357" i="12"/>
  <c r="G357" i="12" s="1"/>
  <c r="A357" i="12"/>
  <c r="G356" i="12"/>
  <c r="F356" i="12"/>
  <c r="E356" i="12"/>
  <c r="D356" i="12"/>
  <c r="C356" i="12"/>
  <c r="B356" i="12"/>
  <c r="A356" i="12"/>
  <c r="F355" i="12"/>
  <c r="E355" i="12"/>
  <c r="D355" i="12"/>
  <c r="C355" i="12"/>
  <c r="B355" i="12"/>
  <c r="G355" i="12" s="1"/>
  <c r="A355" i="12"/>
  <c r="F354" i="12"/>
  <c r="E354" i="12"/>
  <c r="D354" i="12"/>
  <c r="C354" i="12"/>
  <c r="B354" i="12"/>
  <c r="G354" i="12" s="1"/>
  <c r="A354" i="12"/>
  <c r="F353" i="12"/>
  <c r="E353" i="12"/>
  <c r="D353" i="12"/>
  <c r="C353" i="12"/>
  <c r="B353" i="12"/>
  <c r="G353" i="12" s="1"/>
  <c r="A353" i="12"/>
  <c r="G352" i="12"/>
  <c r="F352" i="12"/>
  <c r="E352" i="12"/>
  <c r="D352" i="12"/>
  <c r="C352" i="12"/>
  <c r="B352" i="12"/>
  <c r="A352" i="12"/>
  <c r="G351" i="12"/>
  <c r="F351" i="12"/>
  <c r="E351" i="12"/>
  <c r="D351" i="12"/>
  <c r="C351" i="12"/>
  <c r="B351" i="12"/>
  <c r="A351" i="12"/>
  <c r="F350" i="12"/>
  <c r="E350" i="12"/>
  <c r="D350" i="12"/>
  <c r="C350" i="12"/>
  <c r="B350" i="12"/>
  <c r="G350" i="12" s="1"/>
  <c r="A350" i="12"/>
  <c r="F349" i="12"/>
  <c r="E349" i="12"/>
  <c r="D349" i="12"/>
  <c r="C349" i="12"/>
  <c r="B349" i="12"/>
  <c r="G349" i="12" s="1"/>
  <c r="A349" i="12"/>
  <c r="G348" i="12"/>
  <c r="F348" i="12"/>
  <c r="E348" i="12"/>
  <c r="D348" i="12"/>
  <c r="C348" i="12"/>
  <c r="B348" i="12"/>
  <c r="A348" i="12"/>
  <c r="F347" i="12"/>
  <c r="E347" i="12"/>
  <c r="D347" i="12"/>
  <c r="C347" i="12"/>
  <c r="B347" i="12"/>
  <c r="G347" i="12" s="1"/>
  <c r="A347" i="12"/>
  <c r="F346" i="12"/>
  <c r="E346" i="12"/>
  <c r="D346" i="12"/>
  <c r="C346" i="12"/>
  <c r="B346" i="12"/>
  <c r="G346" i="12" s="1"/>
  <c r="A346" i="12"/>
  <c r="F345" i="12"/>
  <c r="E345" i="12"/>
  <c r="D345" i="12"/>
  <c r="C345" i="12"/>
  <c r="B345" i="12"/>
  <c r="G345" i="12" s="1"/>
  <c r="A345" i="12"/>
  <c r="G344" i="12"/>
  <c r="F344" i="12"/>
  <c r="E344" i="12"/>
  <c r="D344" i="12"/>
  <c r="C344" i="12"/>
  <c r="B344" i="12"/>
  <c r="A344" i="12"/>
  <c r="F343" i="12"/>
  <c r="E343" i="12"/>
  <c r="D343" i="12"/>
  <c r="C343" i="12"/>
  <c r="B343" i="12"/>
  <c r="G343" i="12" s="1"/>
  <c r="A343" i="12"/>
  <c r="F342" i="12"/>
  <c r="E342" i="12"/>
  <c r="D342" i="12"/>
  <c r="C342" i="12"/>
  <c r="B342" i="12"/>
  <c r="G342" i="12" s="1"/>
  <c r="A342" i="12"/>
  <c r="F341" i="12"/>
  <c r="E341" i="12"/>
  <c r="D341" i="12"/>
  <c r="C341" i="12"/>
  <c r="B341" i="12"/>
  <c r="G341" i="12" s="1"/>
  <c r="A341" i="12"/>
  <c r="G340" i="12"/>
  <c r="F340" i="12"/>
  <c r="E340" i="12"/>
  <c r="D340" i="12"/>
  <c r="C340" i="12"/>
  <c r="B340" i="12"/>
  <c r="A340" i="12"/>
  <c r="F339" i="12"/>
  <c r="E339" i="12"/>
  <c r="D339" i="12"/>
  <c r="C339" i="12"/>
  <c r="B339" i="12"/>
  <c r="G339" i="12" s="1"/>
  <c r="A339" i="12"/>
  <c r="G338" i="12"/>
  <c r="F338" i="12"/>
  <c r="E338" i="12"/>
  <c r="D338" i="12"/>
  <c r="C338" i="12"/>
  <c r="B338" i="12"/>
  <c r="A338" i="12"/>
  <c r="F337" i="12"/>
  <c r="E337" i="12"/>
  <c r="D337" i="12"/>
  <c r="C337" i="12"/>
  <c r="B337" i="12"/>
  <c r="G337" i="12" s="1"/>
  <c r="A337" i="12"/>
  <c r="G336" i="12"/>
  <c r="F336" i="12"/>
  <c r="E336" i="12"/>
  <c r="D336" i="12"/>
  <c r="C336" i="12"/>
  <c r="B336" i="12"/>
  <c r="A336" i="12"/>
  <c r="G335" i="12"/>
  <c r="F335" i="12"/>
  <c r="E335" i="12"/>
  <c r="D335" i="12"/>
  <c r="C335" i="12"/>
  <c r="B335" i="12"/>
  <c r="A335" i="12"/>
  <c r="F334" i="12"/>
  <c r="E334" i="12"/>
  <c r="D334" i="12"/>
  <c r="C334" i="12"/>
  <c r="B334" i="12"/>
  <c r="G334" i="12" s="1"/>
  <c r="A334" i="12"/>
  <c r="F333" i="12"/>
  <c r="E333" i="12"/>
  <c r="D333" i="12"/>
  <c r="C333" i="12"/>
  <c r="B333" i="12"/>
  <c r="G333" i="12" s="1"/>
  <c r="A333" i="12"/>
  <c r="G332" i="12"/>
  <c r="F332" i="12"/>
  <c r="E332" i="12"/>
  <c r="D332" i="12"/>
  <c r="C332" i="12"/>
  <c r="B332" i="12"/>
  <c r="A332" i="12"/>
  <c r="F331" i="12"/>
  <c r="E331" i="12"/>
  <c r="D331" i="12"/>
  <c r="C331" i="12"/>
  <c r="B331" i="12"/>
  <c r="G331" i="12" s="1"/>
  <c r="A331" i="12"/>
  <c r="F330" i="12"/>
  <c r="E330" i="12"/>
  <c r="D330" i="12"/>
  <c r="C330" i="12"/>
  <c r="B330" i="12"/>
  <c r="G330" i="12" s="1"/>
  <c r="A330" i="12"/>
  <c r="F329" i="12"/>
  <c r="E329" i="12"/>
  <c r="D329" i="12"/>
  <c r="C329" i="12"/>
  <c r="B329" i="12"/>
  <c r="G329" i="12" s="1"/>
  <c r="A329" i="12"/>
  <c r="G328" i="12"/>
  <c r="F328" i="12"/>
  <c r="E328" i="12"/>
  <c r="D328" i="12"/>
  <c r="C328" i="12"/>
  <c r="B328" i="12"/>
  <c r="A328" i="12"/>
  <c r="F327" i="12"/>
  <c r="E327" i="12"/>
  <c r="D327" i="12"/>
  <c r="C327" i="12"/>
  <c r="B327" i="12"/>
  <c r="G327" i="12" s="1"/>
  <c r="A327" i="12"/>
  <c r="F326" i="12"/>
  <c r="E326" i="12"/>
  <c r="D326" i="12"/>
  <c r="C326" i="12"/>
  <c r="B326" i="12"/>
  <c r="G326" i="12" s="1"/>
  <c r="A326" i="12"/>
  <c r="F325" i="12"/>
  <c r="E325" i="12"/>
  <c r="D325" i="12"/>
  <c r="C325" i="12"/>
  <c r="B325" i="12"/>
  <c r="G325" i="12" s="1"/>
  <c r="A325" i="12"/>
  <c r="G324" i="12"/>
  <c r="F324" i="12"/>
  <c r="E324" i="12"/>
  <c r="D324" i="12"/>
  <c r="C324" i="12"/>
  <c r="B324" i="12"/>
  <c r="A324" i="12"/>
  <c r="F323" i="12"/>
  <c r="E323" i="12"/>
  <c r="D323" i="12"/>
  <c r="C323" i="12"/>
  <c r="B323" i="12"/>
  <c r="G323" i="12" s="1"/>
  <c r="A323" i="12"/>
  <c r="G322" i="12"/>
  <c r="F322" i="12"/>
  <c r="E322" i="12"/>
  <c r="D322" i="12"/>
  <c r="C322" i="12"/>
  <c r="B322" i="12"/>
  <c r="A322" i="12"/>
  <c r="F321" i="12"/>
  <c r="E321" i="12"/>
  <c r="D321" i="12"/>
  <c r="C321" i="12"/>
  <c r="B321" i="12"/>
  <c r="G321" i="12" s="1"/>
  <c r="A321" i="12"/>
  <c r="G320" i="12"/>
  <c r="F320" i="12"/>
  <c r="E320" i="12"/>
  <c r="D320" i="12"/>
  <c r="C320" i="12"/>
  <c r="B320" i="12"/>
  <c r="A320" i="12"/>
  <c r="G319" i="12"/>
  <c r="F319" i="12"/>
  <c r="E319" i="12"/>
  <c r="D319" i="12"/>
  <c r="C319" i="12"/>
  <c r="B319" i="12"/>
  <c r="A319" i="12"/>
  <c r="F318" i="12"/>
  <c r="E318" i="12"/>
  <c r="D318" i="12"/>
  <c r="C318" i="12"/>
  <c r="B318" i="12"/>
  <c r="G318" i="12" s="1"/>
  <c r="A318" i="12"/>
  <c r="F317" i="12"/>
  <c r="E317" i="12"/>
  <c r="D317" i="12"/>
  <c r="C317" i="12"/>
  <c r="B317" i="12"/>
  <c r="G317" i="12" s="1"/>
  <c r="A317" i="12"/>
  <c r="G316" i="12"/>
  <c r="F316" i="12"/>
  <c r="E316" i="12"/>
  <c r="D316" i="12"/>
  <c r="C316" i="12"/>
  <c r="B316" i="12"/>
  <c r="A316" i="12"/>
  <c r="F315" i="12"/>
  <c r="E315" i="12"/>
  <c r="D315" i="12"/>
  <c r="C315" i="12"/>
  <c r="B315" i="12"/>
  <c r="G315" i="12" s="1"/>
  <c r="A315" i="12"/>
  <c r="F314" i="12"/>
  <c r="E314" i="12"/>
  <c r="D314" i="12"/>
  <c r="C314" i="12"/>
  <c r="B314" i="12"/>
  <c r="G314" i="12" s="1"/>
  <c r="A314" i="12"/>
  <c r="F313" i="12"/>
  <c r="E313" i="12"/>
  <c r="D313" i="12"/>
  <c r="C313" i="12"/>
  <c r="B313" i="12"/>
  <c r="G313" i="12" s="1"/>
  <c r="A313" i="12"/>
  <c r="G312" i="12"/>
  <c r="F312" i="12"/>
  <c r="E312" i="12"/>
  <c r="D312" i="12"/>
  <c r="C312" i="12"/>
  <c r="B312" i="12"/>
  <c r="A312" i="12"/>
  <c r="F311" i="12"/>
  <c r="E311" i="12"/>
  <c r="D311" i="12"/>
  <c r="C311" i="12"/>
  <c r="B311" i="12"/>
  <c r="G311" i="12" s="1"/>
  <c r="A311" i="12"/>
  <c r="F310" i="12"/>
  <c r="E310" i="12"/>
  <c r="D310" i="12"/>
  <c r="C310" i="12"/>
  <c r="B310" i="12"/>
  <c r="G310" i="12" s="1"/>
  <c r="A310" i="12"/>
  <c r="F309" i="12"/>
  <c r="E309" i="12"/>
  <c r="D309" i="12"/>
  <c r="C309" i="12"/>
  <c r="B309" i="12"/>
  <c r="G309" i="12" s="1"/>
  <c r="A309" i="12"/>
  <c r="G308" i="12"/>
  <c r="F308" i="12"/>
  <c r="E308" i="12"/>
  <c r="D308" i="12"/>
  <c r="C308" i="12"/>
  <c r="B308" i="12"/>
  <c r="A308" i="12"/>
  <c r="F307" i="12"/>
  <c r="E307" i="12"/>
  <c r="D307" i="12"/>
  <c r="C307" i="12"/>
  <c r="B307" i="12"/>
  <c r="G307" i="12" s="1"/>
  <c r="A307" i="12"/>
  <c r="G306" i="12"/>
  <c r="F306" i="12"/>
  <c r="E306" i="12"/>
  <c r="D306" i="12"/>
  <c r="C306" i="12"/>
  <c r="B306" i="12"/>
  <c r="A306" i="12"/>
  <c r="F305" i="12"/>
  <c r="E305" i="12"/>
  <c r="D305" i="12"/>
  <c r="C305" i="12"/>
  <c r="B305" i="12"/>
  <c r="G305" i="12" s="1"/>
  <c r="A305" i="12"/>
  <c r="G304" i="12"/>
  <c r="F304" i="12"/>
  <c r="E304" i="12"/>
  <c r="D304" i="12"/>
  <c r="C304" i="12"/>
  <c r="B304" i="12"/>
  <c r="A304" i="12"/>
  <c r="G303" i="12"/>
  <c r="F303" i="12"/>
  <c r="E303" i="12"/>
  <c r="D303" i="12"/>
  <c r="C303" i="12"/>
  <c r="B303" i="12"/>
  <c r="A303" i="12"/>
  <c r="F302" i="12"/>
  <c r="E302" i="12"/>
  <c r="D302" i="12"/>
  <c r="C302" i="12"/>
  <c r="B302" i="12"/>
  <c r="G302" i="12" s="1"/>
  <c r="A302" i="12"/>
  <c r="F301" i="12"/>
  <c r="E301" i="12"/>
  <c r="D301" i="12"/>
  <c r="C301" i="12"/>
  <c r="B301" i="12"/>
  <c r="G301" i="12" s="1"/>
  <c r="A301" i="12"/>
  <c r="G300" i="12"/>
  <c r="F300" i="12"/>
  <c r="E300" i="12"/>
  <c r="D300" i="12"/>
  <c r="C300" i="12"/>
  <c r="B300" i="12"/>
  <c r="A300" i="12"/>
  <c r="F299" i="12"/>
  <c r="E299" i="12"/>
  <c r="D299" i="12"/>
  <c r="C299" i="12"/>
  <c r="B299" i="12"/>
  <c r="G299" i="12" s="1"/>
  <c r="A299" i="12"/>
  <c r="F298" i="12"/>
  <c r="E298" i="12"/>
  <c r="D298" i="12"/>
  <c r="C298" i="12"/>
  <c r="B298" i="12"/>
  <c r="G298" i="12" s="1"/>
  <c r="A298" i="12"/>
  <c r="F297" i="12"/>
  <c r="E297" i="12"/>
  <c r="D297" i="12"/>
  <c r="C297" i="12"/>
  <c r="B297" i="12"/>
  <c r="G297" i="12" s="1"/>
  <c r="A297" i="12"/>
  <c r="G296" i="12"/>
  <c r="F296" i="12"/>
  <c r="E296" i="12"/>
  <c r="D296" i="12"/>
  <c r="C296" i="12"/>
  <c r="B296" i="12"/>
  <c r="A296" i="12"/>
  <c r="F295" i="12"/>
  <c r="E295" i="12"/>
  <c r="D295" i="12"/>
  <c r="C295" i="12"/>
  <c r="B295" i="12"/>
  <c r="G295" i="12" s="1"/>
  <c r="A295" i="12"/>
  <c r="F294" i="12"/>
  <c r="E294" i="12"/>
  <c r="D294" i="12"/>
  <c r="C294" i="12"/>
  <c r="B294" i="12"/>
  <c r="G294" i="12" s="1"/>
  <c r="A294" i="12"/>
  <c r="F293" i="12"/>
  <c r="E293" i="12"/>
  <c r="D293" i="12"/>
  <c r="C293" i="12"/>
  <c r="B293" i="12"/>
  <c r="G293" i="12" s="1"/>
  <c r="A293" i="12"/>
  <c r="G292" i="12"/>
  <c r="F292" i="12"/>
  <c r="E292" i="12"/>
  <c r="D292" i="12"/>
  <c r="C292" i="12"/>
  <c r="B292" i="12"/>
  <c r="A292" i="12"/>
  <c r="F291" i="12"/>
  <c r="E291" i="12"/>
  <c r="D291" i="12"/>
  <c r="C291" i="12"/>
  <c r="B291" i="12"/>
  <c r="G291" i="12" s="1"/>
  <c r="A291" i="12"/>
  <c r="G290" i="12"/>
  <c r="F290" i="12"/>
  <c r="E290" i="12"/>
  <c r="D290" i="12"/>
  <c r="C290" i="12"/>
  <c r="B290" i="12"/>
  <c r="A290" i="12"/>
  <c r="F289" i="12"/>
  <c r="E289" i="12"/>
  <c r="D289" i="12"/>
  <c r="C289" i="12"/>
  <c r="B289" i="12"/>
  <c r="G289" i="12" s="1"/>
  <c r="A289" i="12"/>
  <c r="G288" i="12"/>
  <c r="F288" i="12"/>
  <c r="E288" i="12"/>
  <c r="D288" i="12"/>
  <c r="C288" i="12"/>
  <c r="B288" i="12"/>
  <c r="A288" i="12"/>
  <c r="G287" i="12"/>
  <c r="F287" i="12"/>
  <c r="E287" i="12"/>
  <c r="D287" i="12"/>
  <c r="C287" i="12"/>
  <c r="B287" i="12"/>
  <c r="A287" i="12"/>
  <c r="F286" i="12"/>
  <c r="E286" i="12"/>
  <c r="D286" i="12"/>
  <c r="C286" i="12"/>
  <c r="B286" i="12"/>
  <c r="G286" i="12" s="1"/>
  <c r="A286" i="12"/>
  <c r="F285" i="12"/>
  <c r="E285" i="12"/>
  <c r="D285" i="12"/>
  <c r="C285" i="12"/>
  <c r="B285" i="12"/>
  <c r="G285" i="12" s="1"/>
  <c r="A285" i="12"/>
  <c r="G284" i="12"/>
  <c r="F284" i="12"/>
  <c r="E284" i="12"/>
  <c r="D284" i="12"/>
  <c r="C284" i="12"/>
  <c r="B284" i="12"/>
  <c r="A284" i="12"/>
  <c r="F283" i="12"/>
  <c r="E283" i="12"/>
  <c r="D283" i="12"/>
  <c r="C283" i="12"/>
  <c r="B283" i="12"/>
  <c r="G283" i="12" s="1"/>
  <c r="A283" i="12"/>
  <c r="F282" i="12"/>
  <c r="E282" i="12"/>
  <c r="D282" i="12"/>
  <c r="C282" i="12"/>
  <c r="B282" i="12"/>
  <c r="G282" i="12" s="1"/>
  <c r="A282" i="12"/>
  <c r="F281" i="12"/>
  <c r="E281" i="12"/>
  <c r="D281" i="12"/>
  <c r="C281" i="12"/>
  <c r="B281" i="12"/>
  <c r="G281" i="12" s="1"/>
  <c r="A281" i="12"/>
  <c r="G280" i="12"/>
  <c r="F280" i="12"/>
  <c r="E280" i="12"/>
  <c r="D280" i="12"/>
  <c r="C280" i="12"/>
  <c r="B280" i="12"/>
  <c r="A280" i="12"/>
  <c r="F279" i="12"/>
  <c r="E279" i="12"/>
  <c r="D279" i="12"/>
  <c r="C279" i="12"/>
  <c r="B279" i="12"/>
  <c r="G279" i="12" s="1"/>
  <c r="A279" i="12"/>
  <c r="F278" i="12"/>
  <c r="E278" i="12"/>
  <c r="D278" i="12"/>
  <c r="C278" i="12"/>
  <c r="B278" i="12"/>
  <c r="G278" i="12" s="1"/>
  <c r="A278" i="12"/>
  <c r="F277" i="12"/>
  <c r="E277" i="12"/>
  <c r="D277" i="12"/>
  <c r="C277" i="12"/>
  <c r="B277" i="12"/>
  <c r="G277" i="12" s="1"/>
  <c r="A277" i="12"/>
  <c r="G276" i="12"/>
  <c r="F276" i="12"/>
  <c r="E276" i="12"/>
  <c r="D276" i="12"/>
  <c r="C276" i="12"/>
  <c r="B276" i="12"/>
  <c r="A276" i="12"/>
  <c r="F275" i="12"/>
  <c r="E275" i="12"/>
  <c r="D275" i="12"/>
  <c r="C275" i="12"/>
  <c r="B275" i="12"/>
  <c r="G275" i="12" s="1"/>
  <c r="A275" i="12"/>
  <c r="G274" i="12"/>
  <c r="F274" i="12"/>
  <c r="E274" i="12"/>
  <c r="D274" i="12"/>
  <c r="C274" i="12"/>
  <c r="B274" i="12"/>
  <c r="A274" i="12"/>
  <c r="F273" i="12"/>
  <c r="E273" i="12"/>
  <c r="D273" i="12"/>
  <c r="C273" i="12"/>
  <c r="B273" i="12"/>
  <c r="G273" i="12" s="1"/>
  <c r="A273" i="12"/>
  <c r="G272" i="12"/>
  <c r="F272" i="12"/>
  <c r="E272" i="12"/>
  <c r="D272" i="12"/>
  <c r="C272" i="12"/>
  <c r="B272" i="12"/>
  <c r="A272" i="12"/>
  <c r="G271" i="12"/>
  <c r="F271" i="12"/>
  <c r="E271" i="12"/>
  <c r="D271" i="12"/>
  <c r="C271" i="12"/>
  <c r="B271" i="12"/>
  <c r="A271" i="12"/>
  <c r="F270" i="12"/>
  <c r="E270" i="12"/>
  <c r="D270" i="12"/>
  <c r="C270" i="12"/>
  <c r="B270" i="12"/>
  <c r="G270" i="12" s="1"/>
  <c r="A270" i="12"/>
  <c r="F269" i="12"/>
  <c r="E269" i="12"/>
  <c r="D269" i="12"/>
  <c r="C269" i="12"/>
  <c r="B269" i="12"/>
  <c r="G269" i="12" s="1"/>
  <c r="A269" i="12"/>
  <c r="G268" i="12"/>
  <c r="F268" i="12"/>
  <c r="E268" i="12"/>
  <c r="D268" i="12"/>
  <c r="C268" i="12"/>
  <c r="B268" i="12"/>
  <c r="A268" i="12"/>
  <c r="F267" i="12"/>
  <c r="E267" i="12"/>
  <c r="D267" i="12"/>
  <c r="C267" i="12"/>
  <c r="B267" i="12"/>
  <c r="G267" i="12" s="1"/>
  <c r="A267" i="12"/>
  <c r="F266" i="12"/>
  <c r="E266" i="12"/>
  <c r="D266" i="12"/>
  <c r="C266" i="12"/>
  <c r="B266" i="12"/>
  <c r="G266" i="12" s="1"/>
  <c r="A266" i="12"/>
  <c r="F265" i="12"/>
  <c r="E265" i="12"/>
  <c r="D265" i="12"/>
  <c r="C265" i="12"/>
  <c r="B265" i="12"/>
  <c r="G265" i="12" s="1"/>
  <c r="A265" i="12"/>
  <c r="G264" i="12"/>
  <c r="F264" i="12"/>
  <c r="E264" i="12"/>
  <c r="D264" i="12"/>
  <c r="C264" i="12"/>
  <c r="B264" i="12"/>
  <c r="A264" i="12"/>
  <c r="F263" i="12"/>
  <c r="E263" i="12"/>
  <c r="D263" i="12"/>
  <c r="C263" i="12"/>
  <c r="B263" i="12"/>
  <c r="G263" i="12" s="1"/>
  <c r="A263" i="12"/>
  <c r="F262" i="12"/>
  <c r="E262" i="12"/>
  <c r="D262" i="12"/>
  <c r="C262" i="12"/>
  <c r="B262" i="12"/>
  <c r="G262" i="12" s="1"/>
  <c r="A262" i="12"/>
  <c r="F261" i="12"/>
  <c r="E261" i="12"/>
  <c r="D261" i="12"/>
  <c r="C261" i="12"/>
  <c r="B261" i="12"/>
  <c r="G261" i="12" s="1"/>
  <c r="A261" i="12"/>
  <c r="G260" i="12"/>
  <c r="F260" i="12"/>
  <c r="E260" i="12"/>
  <c r="D260" i="12"/>
  <c r="C260" i="12"/>
  <c r="B260" i="12"/>
  <c r="A260" i="12"/>
  <c r="F259" i="12"/>
  <c r="E259" i="12"/>
  <c r="D259" i="12"/>
  <c r="C259" i="12"/>
  <c r="B259" i="12"/>
  <c r="G259" i="12" s="1"/>
  <c r="A259" i="12"/>
  <c r="G258" i="12"/>
  <c r="F258" i="12"/>
  <c r="E258" i="12"/>
  <c r="D258" i="12"/>
  <c r="C258" i="12"/>
  <c r="B258" i="12"/>
  <c r="A258" i="12"/>
  <c r="F257" i="12"/>
  <c r="E257" i="12"/>
  <c r="D257" i="12"/>
  <c r="C257" i="12"/>
  <c r="B257" i="12"/>
  <c r="G257" i="12" s="1"/>
  <c r="A257" i="12"/>
  <c r="G256" i="12"/>
  <c r="F256" i="12"/>
  <c r="E256" i="12"/>
  <c r="D256" i="12"/>
  <c r="C256" i="12"/>
  <c r="B256" i="12"/>
  <c r="A256" i="12"/>
  <c r="G255" i="12"/>
  <c r="F255" i="12"/>
  <c r="E255" i="12"/>
  <c r="D255" i="12"/>
  <c r="C255" i="12"/>
  <c r="B255" i="12"/>
  <c r="A255" i="12"/>
  <c r="F254" i="12"/>
  <c r="E254" i="12"/>
  <c r="D254" i="12"/>
  <c r="C254" i="12"/>
  <c r="B254" i="12"/>
  <c r="G254" i="12" s="1"/>
  <c r="A254" i="12"/>
  <c r="F253" i="12"/>
  <c r="E253" i="12"/>
  <c r="D253" i="12"/>
  <c r="C253" i="12"/>
  <c r="B253" i="12"/>
  <c r="G253" i="12" s="1"/>
  <c r="A253" i="12"/>
  <c r="G252" i="12"/>
  <c r="F252" i="12"/>
  <c r="E252" i="12"/>
  <c r="D252" i="12"/>
  <c r="C252" i="12"/>
  <c r="B252" i="12"/>
  <c r="A252" i="12"/>
  <c r="F251" i="12"/>
  <c r="E251" i="12"/>
  <c r="D251" i="12"/>
  <c r="C251" i="12"/>
  <c r="B251" i="12"/>
  <c r="G251" i="12" s="1"/>
  <c r="A251" i="12"/>
  <c r="F250" i="12"/>
  <c r="E250" i="12"/>
  <c r="D250" i="12"/>
  <c r="C250" i="12"/>
  <c r="B250" i="12"/>
  <c r="G250" i="12" s="1"/>
  <c r="A250" i="12"/>
  <c r="F249" i="12"/>
  <c r="E249" i="12"/>
  <c r="D249" i="12"/>
  <c r="C249" i="12"/>
  <c r="B249" i="12"/>
  <c r="G249" i="12" s="1"/>
  <c r="A249" i="12"/>
  <c r="G248" i="12"/>
  <c r="F248" i="12"/>
  <c r="E248" i="12"/>
  <c r="D248" i="12"/>
  <c r="C248" i="12"/>
  <c r="B248" i="12"/>
  <c r="A248" i="12"/>
  <c r="F247" i="12"/>
  <c r="E247" i="12"/>
  <c r="D247" i="12"/>
  <c r="C247" i="12"/>
  <c r="B247" i="12"/>
  <c r="G247" i="12" s="1"/>
  <c r="A247" i="12"/>
  <c r="F246" i="12"/>
  <c r="E246" i="12"/>
  <c r="D246" i="12"/>
  <c r="C246" i="12"/>
  <c r="B246" i="12"/>
  <c r="G246" i="12" s="1"/>
  <c r="A246" i="12"/>
  <c r="F245" i="12"/>
  <c r="E245" i="12"/>
  <c r="D245" i="12"/>
  <c r="C245" i="12"/>
  <c r="B245" i="12"/>
  <c r="G245" i="12" s="1"/>
  <c r="A245" i="12"/>
  <c r="G244" i="12"/>
  <c r="F244" i="12"/>
  <c r="E244" i="12"/>
  <c r="D244" i="12"/>
  <c r="C244" i="12"/>
  <c r="B244" i="12"/>
  <c r="A244" i="12"/>
  <c r="F243" i="12"/>
  <c r="E243" i="12"/>
  <c r="D243" i="12"/>
  <c r="C243" i="12"/>
  <c r="B243" i="12"/>
  <c r="G243" i="12" s="1"/>
  <c r="A243" i="12"/>
  <c r="G242" i="12"/>
  <c r="F242" i="12"/>
  <c r="E242" i="12"/>
  <c r="D242" i="12"/>
  <c r="C242" i="12"/>
  <c r="B242" i="12"/>
  <c r="A242" i="12"/>
  <c r="F241" i="12"/>
  <c r="E241" i="12"/>
  <c r="D241" i="12"/>
  <c r="C241" i="12"/>
  <c r="B241" i="12"/>
  <c r="G241" i="12" s="1"/>
  <c r="A241" i="12"/>
  <c r="G240" i="12"/>
  <c r="F240" i="12"/>
  <c r="E240" i="12"/>
  <c r="D240" i="12"/>
  <c r="C240" i="12"/>
  <c r="B240" i="12"/>
  <c r="A240" i="12"/>
  <c r="G239" i="12"/>
  <c r="F239" i="12"/>
  <c r="E239" i="12"/>
  <c r="D239" i="12"/>
  <c r="C239" i="12"/>
  <c r="B239" i="12"/>
  <c r="A239" i="12"/>
  <c r="F238" i="12"/>
  <c r="E238" i="12"/>
  <c r="D238" i="12"/>
  <c r="C238" i="12"/>
  <c r="B238" i="12"/>
  <c r="G238" i="12" s="1"/>
  <c r="A238" i="12"/>
  <c r="F237" i="12"/>
  <c r="E237" i="12"/>
  <c r="D237" i="12"/>
  <c r="C237" i="12"/>
  <c r="B237" i="12"/>
  <c r="G237" i="12" s="1"/>
  <c r="A237" i="12"/>
  <c r="G236" i="12"/>
  <c r="F236" i="12"/>
  <c r="E236" i="12"/>
  <c r="D236" i="12"/>
  <c r="C236" i="12"/>
  <c r="B236" i="12"/>
  <c r="A236" i="12"/>
  <c r="F235" i="12"/>
  <c r="E235" i="12"/>
  <c r="D235" i="12"/>
  <c r="C235" i="12"/>
  <c r="B235" i="12"/>
  <c r="G235" i="12" s="1"/>
  <c r="A235" i="12"/>
  <c r="F234" i="12"/>
  <c r="E234" i="12"/>
  <c r="D234" i="12"/>
  <c r="C234" i="12"/>
  <c r="B234" i="12"/>
  <c r="G234" i="12" s="1"/>
  <c r="A234" i="12"/>
  <c r="F233" i="12"/>
  <c r="E233" i="12"/>
  <c r="D233" i="12"/>
  <c r="C233" i="12"/>
  <c r="B233" i="12"/>
  <c r="G233" i="12" s="1"/>
  <c r="A233" i="12"/>
  <c r="G232" i="12"/>
  <c r="F232" i="12"/>
  <c r="E232" i="12"/>
  <c r="D232" i="12"/>
  <c r="C232" i="12"/>
  <c r="B232" i="12"/>
  <c r="A232" i="12"/>
  <c r="F231" i="12"/>
  <c r="E231" i="12"/>
  <c r="D231" i="12"/>
  <c r="C231" i="12"/>
  <c r="B231" i="12"/>
  <c r="G231" i="12" s="1"/>
  <c r="A231" i="12"/>
  <c r="F230" i="12"/>
  <c r="E230" i="12"/>
  <c r="D230" i="12"/>
  <c r="C230" i="12"/>
  <c r="B230" i="12"/>
  <c r="G230" i="12" s="1"/>
  <c r="A230" i="12"/>
  <c r="F229" i="12"/>
  <c r="E229" i="12"/>
  <c r="D229" i="12"/>
  <c r="C229" i="12"/>
  <c r="B229" i="12"/>
  <c r="G229" i="12" s="1"/>
  <c r="A229" i="12"/>
  <c r="G228" i="12"/>
  <c r="F228" i="12"/>
  <c r="E228" i="12"/>
  <c r="D228" i="12"/>
  <c r="C228" i="12"/>
  <c r="B228" i="12"/>
  <c r="A228" i="12"/>
  <c r="F227" i="12"/>
  <c r="E227" i="12"/>
  <c r="D227" i="12"/>
  <c r="C227" i="12"/>
  <c r="B227" i="12"/>
  <c r="G227" i="12" s="1"/>
  <c r="A227" i="12"/>
  <c r="G226" i="12"/>
  <c r="F226" i="12"/>
  <c r="E226" i="12"/>
  <c r="D226" i="12"/>
  <c r="C226" i="12"/>
  <c r="B226" i="12"/>
  <c r="A226" i="12"/>
  <c r="F225" i="12"/>
  <c r="E225" i="12"/>
  <c r="D225" i="12"/>
  <c r="C225" i="12"/>
  <c r="B225" i="12"/>
  <c r="G225" i="12" s="1"/>
  <c r="A225" i="12"/>
  <c r="G224" i="12"/>
  <c r="F224" i="12"/>
  <c r="E224" i="12"/>
  <c r="D224" i="12"/>
  <c r="C224" i="12"/>
  <c r="B224" i="12"/>
  <c r="A224" i="12"/>
  <c r="G223" i="12"/>
  <c r="F223" i="12"/>
  <c r="E223" i="12"/>
  <c r="D223" i="12"/>
  <c r="C223" i="12"/>
  <c r="B223" i="12"/>
  <c r="A223" i="12"/>
  <c r="F222" i="12"/>
  <c r="E222" i="12"/>
  <c r="D222" i="12"/>
  <c r="C222" i="12"/>
  <c r="B222" i="12"/>
  <c r="G222" i="12" s="1"/>
  <c r="A222" i="12"/>
  <c r="F221" i="12"/>
  <c r="E221" i="12"/>
  <c r="D221" i="12"/>
  <c r="C221" i="12"/>
  <c r="B221" i="12"/>
  <c r="G221" i="12" s="1"/>
  <c r="A221" i="12"/>
  <c r="G220" i="12"/>
  <c r="F220" i="12"/>
  <c r="E220" i="12"/>
  <c r="D220" i="12"/>
  <c r="C220" i="12"/>
  <c r="B220" i="12"/>
  <c r="A220" i="12"/>
  <c r="F219" i="12"/>
  <c r="E219" i="12"/>
  <c r="D219" i="12"/>
  <c r="C219" i="12"/>
  <c r="B219" i="12"/>
  <c r="G219" i="12" s="1"/>
  <c r="A219" i="12"/>
  <c r="F218" i="12"/>
  <c r="E218" i="12"/>
  <c r="D218" i="12"/>
  <c r="C218" i="12"/>
  <c r="B218" i="12"/>
  <c r="G218" i="12" s="1"/>
  <c r="A218" i="12"/>
  <c r="F217" i="12"/>
  <c r="E217" i="12"/>
  <c r="D217" i="12"/>
  <c r="C217" i="12"/>
  <c r="B217" i="12"/>
  <c r="G217" i="12" s="1"/>
  <c r="A217" i="12"/>
  <c r="G216" i="12"/>
  <c r="F216" i="12"/>
  <c r="E216" i="12"/>
  <c r="D216" i="12"/>
  <c r="C216" i="12"/>
  <c r="B216" i="12"/>
  <c r="A216" i="12"/>
  <c r="F215" i="12"/>
  <c r="E215" i="12"/>
  <c r="D215" i="12"/>
  <c r="C215" i="12"/>
  <c r="B215" i="12"/>
  <c r="G215" i="12" s="1"/>
  <c r="A215" i="12"/>
  <c r="F214" i="12"/>
  <c r="E214" i="12"/>
  <c r="D214" i="12"/>
  <c r="C214" i="12"/>
  <c r="B214" i="12"/>
  <c r="G214" i="12" s="1"/>
  <c r="A214" i="12"/>
  <c r="F213" i="12"/>
  <c r="E213" i="12"/>
  <c r="D213" i="12"/>
  <c r="C213" i="12"/>
  <c r="B213" i="12"/>
  <c r="G213" i="12" s="1"/>
  <c r="A213" i="12"/>
  <c r="G212" i="12"/>
  <c r="F212" i="12"/>
  <c r="E212" i="12"/>
  <c r="D212" i="12"/>
  <c r="C212" i="12"/>
  <c r="B212" i="12"/>
  <c r="A212" i="12"/>
  <c r="F211" i="12"/>
  <c r="E211" i="12"/>
  <c r="D211" i="12"/>
  <c r="C211" i="12"/>
  <c r="B211" i="12"/>
  <c r="G211" i="12" s="1"/>
  <c r="A211" i="12"/>
  <c r="G210" i="12"/>
  <c r="F210" i="12"/>
  <c r="E210" i="12"/>
  <c r="D210" i="12"/>
  <c r="C210" i="12"/>
  <c r="B210" i="12"/>
  <c r="A210" i="12"/>
  <c r="F209" i="12"/>
  <c r="E209" i="12"/>
  <c r="D209" i="12"/>
  <c r="C209" i="12"/>
  <c r="B209" i="12"/>
  <c r="G209" i="12" s="1"/>
  <c r="A209" i="12"/>
  <c r="G208" i="12"/>
  <c r="F208" i="12"/>
  <c r="E208" i="12"/>
  <c r="D208" i="12"/>
  <c r="C208" i="12"/>
  <c r="B208" i="12"/>
  <c r="A208" i="12"/>
  <c r="G207" i="12"/>
  <c r="F207" i="12"/>
  <c r="E207" i="12"/>
  <c r="D207" i="12"/>
  <c r="C207" i="12"/>
  <c r="B207" i="12"/>
  <c r="A207" i="12"/>
  <c r="F206" i="12"/>
  <c r="E206" i="12"/>
  <c r="D206" i="12"/>
  <c r="C206" i="12"/>
  <c r="B206" i="12"/>
  <c r="G206" i="12" s="1"/>
  <c r="A206" i="12"/>
  <c r="F205" i="12"/>
  <c r="E205" i="12"/>
  <c r="D205" i="12"/>
  <c r="C205" i="12"/>
  <c r="B205" i="12"/>
  <c r="G205" i="12" s="1"/>
  <c r="A205" i="12"/>
  <c r="G204" i="12"/>
  <c r="F204" i="12"/>
  <c r="E204" i="12"/>
  <c r="D204" i="12"/>
  <c r="C204" i="12"/>
  <c r="B204" i="12"/>
  <c r="A204" i="12"/>
  <c r="F203" i="12"/>
  <c r="E203" i="12"/>
  <c r="D203" i="12"/>
  <c r="C203" i="12"/>
  <c r="B203" i="12"/>
  <c r="G203" i="12" s="1"/>
  <c r="A203" i="12"/>
  <c r="F202" i="12"/>
  <c r="E202" i="12"/>
  <c r="D202" i="12"/>
  <c r="C202" i="12"/>
  <c r="B202" i="12"/>
  <c r="G202" i="12" s="1"/>
  <c r="A202" i="12"/>
  <c r="F201" i="12"/>
  <c r="E201" i="12"/>
  <c r="D201" i="12"/>
  <c r="C201" i="12"/>
  <c r="B201" i="12"/>
  <c r="G201" i="12" s="1"/>
  <c r="A201" i="12"/>
  <c r="G200" i="12"/>
  <c r="F200" i="12"/>
  <c r="E200" i="12"/>
  <c r="D200" i="12"/>
  <c r="C200" i="12"/>
  <c r="B200" i="12"/>
  <c r="A200" i="12"/>
  <c r="F199" i="12"/>
  <c r="E199" i="12"/>
  <c r="D199" i="12"/>
  <c r="C199" i="12"/>
  <c r="B199" i="12"/>
  <c r="G199" i="12" s="1"/>
  <c r="A199" i="12"/>
  <c r="F198" i="12"/>
  <c r="E198" i="12"/>
  <c r="D198" i="12"/>
  <c r="C198" i="12"/>
  <c r="B198" i="12"/>
  <c r="G198" i="12" s="1"/>
  <c r="A198" i="12"/>
  <c r="F197" i="12"/>
  <c r="E197" i="12"/>
  <c r="D197" i="12"/>
  <c r="C197" i="12"/>
  <c r="B197" i="12"/>
  <c r="G197" i="12" s="1"/>
  <c r="A197" i="12"/>
  <c r="G196" i="12"/>
  <c r="F196" i="12"/>
  <c r="E196" i="12"/>
  <c r="D196" i="12"/>
  <c r="C196" i="12"/>
  <c r="B196" i="12"/>
  <c r="A196" i="12"/>
  <c r="F195" i="12"/>
  <c r="E195" i="12"/>
  <c r="D195" i="12"/>
  <c r="C195" i="12"/>
  <c r="B195" i="12"/>
  <c r="G195" i="12" s="1"/>
  <c r="A195" i="12"/>
  <c r="G194" i="12"/>
  <c r="F194" i="12"/>
  <c r="E194" i="12"/>
  <c r="D194" i="12"/>
  <c r="C194" i="12"/>
  <c r="B194" i="12"/>
  <c r="A194" i="12"/>
  <c r="F193" i="12"/>
  <c r="E193" i="12"/>
  <c r="D193" i="12"/>
  <c r="C193" i="12"/>
  <c r="B193" i="12"/>
  <c r="G193" i="12" s="1"/>
  <c r="A193" i="12"/>
  <c r="G192" i="12"/>
  <c r="F192" i="12"/>
  <c r="E192" i="12"/>
  <c r="D192" i="12"/>
  <c r="C192" i="12"/>
  <c r="B192" i="12"/>
  <c r="A192" i="12"/>
  <c r="G191" i="12"/>
  <c r="F191" i="12"/>
  <c r="E191" i="12"/>
  <c r="D191" i="12"/>
  <c r="C191" i="12"/>
  <c r="B191" i="12"/>
  <c r="A191" i="12"/>
  <c r="F190" i="12"/>
  <c r="E190" i="12"/>
  <c r="D190" i="12"/>
  <c r="C190" i="12"/>
  <c r="B190" i="12"/>
  <c r="G190" i="12" s="1"/>
  <c r="A190" i="12"/>
  <c r="F189" i="12"/>
  <c r="E189" i="12"/>
  <c r="D189" i="12"/>
  <c r="C189" i="12"/>
  <c r="B189" i="12"/>
  <c r="G189" i="12" s="1"/>
  <c r="A189" i="12"/>
  <c r="G188" i="12"/>
  <c r="F188" i="12"/>
  <c r="E188" i="12"/>
  <c r="D188" i="12"/>
  <c r="C188" i="12"/>
  <c r="B188" i="12"/>
  <c r="A188" i="12"/>
  <c r="F187" i="12"/>
  <c r="E187" i="12"/>
  <c r="D187" i="12"/>
  <c r="C187" i="12"/>
  <c r="B187" i="12"/>
  <c r="G187" i="12" s="1"/>
  <c r="A187" i="12"/>
  <c r="F186" i="12"/>
  <c r="E186" i="12"/>
  <c r="D186" i="12"/>
  <c r="C186" i="12"/>
  <c r="B186" i="12"/>
  <c r="G186" i="12" s="1"/>
  <c r="A186" i="12"/>
  <c r="F185" i="12"/>
  <c r="E185" i="12"/>
  <c r="D185" i="12"/>
  <c r="C185" i="12"/>
  <c r="B185" i="12"/>
  <c r="G185" i="12" s="1"/>
  <c r="A185" i="12"/>
  <c r="G184" i="12"/>
  <c r="F184" i="12"/>
  <c r="E184" i="12"/>
  <c r="D184" i="12"/>
  <c r="C184" i="12"/>
  <c r="B184" i="12"/>
  <c r="A184" i="12"/>
  <c r="F183" i="12"/>
  <c r="E183" i="12"/>
  <c r="D183" i="12"/>
  <c r="C183" i="12"/>
  <c r="B183" i="12"/>
  <c r="G183" i="12" s="1"/>
  <c r="A183" i="12"/>
  <c r="F182" i="12"/>
  <c r="E182" i="12"/>
  <c r="D182" i="12"/>
  <c r="C182" i="12"/>
  <c r="B182" i="12"/>
  <c r="G182" i="12" s="1"/>
  <c r="A182" i="12"/>
  <c r="F181" i="12"/>
  <c r="E181" i="12"/>
  <c r="D181" i="12"/>
  <c r="C181" i="12"/>
  <c r="B181" i="12"/>
  <c r="G181" i="12" s="1"/>
  <c r="A181" i="12"/>
  <c r="G180" i="12"/>
  <c r="F180" i="12"/>
  <c r="E180" i="12"/>
  <c r="D180" i="12"/>
  <c r="C180" i="12"/>
  <c r="B180" i="12"/>
  <c r="A180" i="12"/>
  <c r="F179" i="12"/>
  <c r="E179" i="12"/>
  <c r="D179" i="12"/>
  <c r="C179" i="12"/>
  <c r="B179" i="12"/>
  <c r="G179" i="12" s="1"/>
  <c r="A179" i="12"/>
  <c r="G178" i="12"/>
  <c r="F178" i="12"/>
  <c r="E178" i="12"/>
  <c r="D178" i="12"/>
  <c r="C178" i="12"/>
  <c r="B178" i="12"/>
  <c r="A178" i="12"/>
  <c r="F177" i="12"/>
  <c r="E177" i="12"/>
  <c r="D177" i="12"/>
  <c r="C177" i="12"/>
  <c r="B177" i="12"/>
  <c r="A177" i="12"/>
  <c r="F176" i="12"/>
  <c r="E176" i="12"/>
  <c r="D176" i="12"/>
  <c r="C176" i="12"/>
  <c r="B176" i="12"/>
  <c r="A176" i="12"/>
  <c r="F175" i="12"/>
  <c r="E175" i="12"/>
  <c r="D175" i="12"/>
  <c r="C175" i="12"/>
  <c r="B175" i="12"/>
  <c r="A175" i="12"/>
  <c r="F174" i="12"/>
  <c r="E174" i="12"/>
  <c r="D174" i="12"/>
  <c r="C174" i="12"/>
  <c r="B174" i="12"/>
  <c r="A174" i="12"/>
  <c r="F173" i="12"/>
  <c r="E173" i="12"/>
  <c r="D173" i="12"/>
  <c r="C173" i="12"/>
  <c r="B173" i="12"/>
  <c r="A173" i="12"/>
  <c r="F172" i="12"/>
  <c r="E172" i="12"/>
  <c r="D172" i="12"/>
  <c r="C172" i="12"/>
  <c r="B172" i="12"/>
  <c r="A172" i="12"/>
  <c r="F171" i="12"/>
  <c r="E171" i="12"/>
  <c r="D171" i="12"/>
  <c r="C171" i="12"/>
  <c r="B171" i="12"/>
  <c r="A171" i="12"/>
  <c r="F170" i="12"/>
  <c r="E170" i="12"/>
  <c r="D170" i="12"/>
  <c r="C170" i="12"/>
  <c r="B170" i="12"/>
  <c r="A170" i="12"/>
  <c r="F169" i="12"/>
  <c r="E169" i="12"/>
  <c r="D169" i="12"/>
  <c r="C169" i="12"/>
  <c r="B169" i="12"/>
  <c r="A169" i="12"/>
  <c r="F168" i="12"/>
  <c r="E168" i="12"/>
  <c r="D168" i="12"/>
  <c r="C168" i="12"/>
  <c r="B168" i="12"/>
  <c r="A168" i="12"/>
  <c r="F167" i="12"/>
  <c r="E167" i="12"/>
  <c r="D167" i="12"/>
  <c r="C167" i="12"/>
  <c r="B167" i="12"/>
  <c r="A167" i="12"/>
  <c r="F166" i="12"/>
  <c r="E166" i="12"/>
  <c r="D166" i="12"/>
  <c r="C166" i="12"/>
  <c r="B166" i="12"/>
  <c r="A166" i="12"/>
  <c r="F165" i="12"/>
  <c r="E165" i="12"/>
  <c r="D165" i="12"/>
  <c r="C165" i="12"/>
  <c r="B165" i="12"/>
  <c r="A165" i="12"/>
  <c r="F164" i="12"/>
  <c r="E164" i="12"/>
  <c r="D164" i="12"/>
  <c r="C164" i="12"/>
  <c r="B164" i="12"/>
  <c r="A164" i="12"/>
  <c r="F163" i="12"/>
  <c r="E163" i="12"/>
  <c r="D163" i="12"/>
  <c r="C163" i="12"/>
  <c r="B163" i="12"/>
  <c r="A163" i="12"/>
  <c r="F162" i="12"/>
  <c r="E162" i="12"/>
  <c r="D162" i="12"/>
  <c r="C162" i="12"/>
  <c r="B162" i="12"/>
  <c r="A162" i="12"/>
  <c r="F161" i="12"/>
  <c r="E161" i="12"/>
  <c r="D161" i="12"/>
  <c r="C161" i="12"/>
  <c r="B161" i="12"/>
  <c r="A161" i="12"/>
  <c r="F160" i="12"/>
  <c r="E160" i="12"/>
  <c r="D160" i="12"/>
  <c r="C160" i="12"/>
  <c r="B160" i="12"/>
  <c r="A160" i="12"/>
  <c r="F159" i="12"/>
  <c r="E159" i="12"/>
  <c r="D159" i="12"/>
  <c r="C159" i="12"/>
  <c r="B159" i="12"/>
  <c r="A159" i="12"/>
  <c r="F158" i="12"/>
  <c r="E158" i="12"/>
  <c r="D158" i="12"/>
  <c r="C158" i="12"/>
  <c r="B158" i="12"/>
  <c r="A158" i="12"/>
  <c r="F157" i="12"/>
  <c r="E157" i="12"/>
  <c r="D157" i="12"/>
  <c r="C157" i="12"/>
  <c r="B157" i="12"/>
  <c r="A157" i="12"/>
  <c r="F156" i="12"/>
  <c r="E156" i="12"/>
  <c r="D156" i="12"/>
  <c r="C156" i="12"/>
  <c r="B156" i="12"/>
  <c r="A156" i="12"/>
  <c r="F155" i="12"/>
  <c r="E155" i="12"/>
  <c r="D155" i="12"/>
  <c r="C155" i="12"/>
  <c r="B155" i="12"/>
  <c r="A155" i="12"/>
  <c r="F154" i="12"/>
  <c r="E154" i="12"/>
  <c r="D154" i="12"/>
  <c r="C154" i="12"/>
  <c r="B154" i="12"/>
  <c r="A154" i="12"/>
  <c r="F153" i="12"/>
  <c r="E153" i="12"/>
  <c r="D153" i="12"/>
  <c r="C153" i="12"/>
  <c r="B153" i="12"/>
  <c r="A153" i="12"/>
  <c r="F152" i="12"/>
  <c r="E152" i="12"/>
  <c r="D152" i="12"/>
  <c r="C152" i="12"/>
  <c r="B152" i="12"/>
  <c r="A152" i="12"/>
  <c r="F151" i="12"/>
  <c r="E151" i="12"/>
  <c r="D151" i="12"/>
  <c r="C151" i="12"/>
  <c r="B151" i="12"/>
  <c r="A151" i="12"/>
  <c r="F150" i="12"/>
  <c r="E150" i="12"/>
  <c r="D150" i="12"/>
  <c r="C150" i="12"/>
  <c r="B150" i="12"/>
  <c r="A150" i="12"/>
  <c r="F149" i="12"/>
  <c r="E149" i="12"/>
  <c r="D149" i="12"/>
  <c r="C149" i="12"/>
  <c r="B149" i="12"/>
  <c r="A149" i="12"/>
  <c r="F148" i="12"/>
  <c r="E148" i="12"/>
  <c r="D148" i="12"/>
  <c r="C148" i="12"/>
  <c r="B148" i="12"/>
  <c r="A148" i="12"/>
  <c r="F147" i="12"/>
  <c r="E147" i="12"/>
  <c r="D147" i="12"/>
  <c r="C147" i="12"/>
  <c r="B147" i="12"/>
  <c r="A147" i="12"/>
  <c r="F146" i="12"/>
  <c r="E146" i="12"/>
  <c r="D146" i="12"/>
  <c r="C146" i="12"/>
  <c r="B146" i="12"/>
  <c r="A146" i="12"/>
  <c r="F145" i="12"/>
  <c r="E145" i="12"/>
  <c r="D145" i="12"/>
  <c r="C145" i="12"/>
  <c r="B145" i="12"/>
  <c r="A145" i="12"/>
  <c r="F144" i="12"/>
  <c r="E144" i="12"/>
  <c r="D144" i="12"/>
  <c r="C144" i="12"/>
  <c r="B144" i="12"/>
  <c r="A144" i="12"/>
  <c r="F143" i="12"/>
  <c r="E143" i="12"/>
  <c r="D143" i="12"/>
  <c r="C143" i="12"/>
  <c r="B143" i="12"/>
  <c r="A143" i="12"/>
  <c r="F142" i="12"/>
  <c r="E142" i="12"/>
  <c r="D142" i="12"/>
  <c r="C142" i="12"/>
  <c r="B142" i="12"/>
  <c r="A142" i="12"/>
  <c r="F141" i="12"/>
  <c r="E141" i="12"/>
  <c r="D141" i="12"/>
  <c r="C141" i="12"/>
  <c r="B141" i="12"/>
  <c r="A141" i="12"/>
  <c r="F140" i="12"/>
  <c r="E140" i="12"/>
  <c r="D140" i="12"/>
  <c r="C140" i="12"/>
  <c r="B140" i="12"/>
  <c r="A140" i="12"/>
  <c r="F139" i="12"/>
  <c r="E139" i="12"/>
  <c r="D139" i="12"/>
  <c r="C139" i="12"/>
  <c r="B139" i="12"/>
  <c r="A139" i="12"/>
  <c r="F138" i="12"/>
  <c r="E138" i="12"/>
  <c r="D138" i="12"/>
  <c r="C138" i="12"/>
  <c r="B138" i="12"/>
  <c r="A138" i="12"/>
  <c r="F137" i="12"/>
  <c r="E137" i="12"/>
  <c r="D137" i="12"/>
  <c r="C137" i="12"/>
  <c r="B137" i="12"/>
  <c r="A137" i="12"/>
  <c r="F136" i="12"/>
  <c r="E136" i="12"/>
  <c r="D136" i="12"/>
  <c r="C136" i="12"/>
  <c r="B136" i="12"/>
  <c r="A136" i="12"/>
  <c r="F135" i="12"/>
  <c r="E135" i="12"/>
  <c r="D135" i="12"/>
  <c r="C135" i="12"/>
  <c r="B135" i="12"/>
  <c r="A135" i="12"/>
  <c r="F134" i="12"/>
  <c r="E134" i="12"/>
  <c r="D134" i="12"/>
  <c r="C134" i="12"/>
  <c r="B134" i="12"/>
  <c r="A134" i="12"/>
  <c r="F133" i="12"/>
  <c r="E133" i="12"/>
  <c r="D133" i="12"/>
  <c r="C133" i="12"/>
  <c r="B133" i="12"/>
  <c r="A133" i="12"/>
  <c r="F132" i="12"/>
  <c r="E132" i="12"/>
  <c r="D132" i="12"/>
  <c r="C132" i="12"/>
  <c r="B132" i="12"/>
  <c r="A132" i="12"/>
  <c r="F131" i="12"/>
  <c r="E131" i="12"/>
  <c r="D131" i="12"/>
  <c r="C131" i="12"/>
  <c r="B131" i="12"/>
  <c r="A131" i="12"/>
  <c r="F130" i="12"/>
  <c r="E130" i="12"/>
  <c r="D130" i="12"/>
  <c r="C130" i="12"/>
  <c r="B130" i="12"/>
  <c r="A130" i="12"/>
  <c r="F129" i="12"/>
  <c r="E129" i="12"/>
  <c r="D129" i="12"/>
  <c r="C129" i="12"/>
  <c r="B129" i="12"/>
  <c r="A129" i="12"/>
  <c r="F128" i="12"/>
  <c r="E128" i="12"/>
  <c r="D128" i="12"/>
  <c r="C128" i="12"/>
  <c r="B128" i="12"/>
  <c r="A128" i="12"/>
  <c r="F127" i="12"/>
  <c r="E127" i="12"/>
  <c r="D127" i="12"/>
  <c r="C127" i="12"/>
  <c r="B127" i="12"/>
  <c r="A127" i="12"/>
  <c r="F126" i="12"/>
  <c r="E126" i="12"/>
  <c r="D126" i="12"/>
  <c r="C126" i="12"/>
  <c r="B126" i="12"/>
  <c r="A126" i="12"/>
  <c r="F125" i="12"/>
  <c r="E125" i="12"/>
  <c r="D125" i="12"/>
  <c r="C125" i="12"/>
  <c r="B125" i="12"/>
  <c r="A125" i="12"/>
  <c r="F124" i="12"/>
  <c r="E124" i="12"/>
  <c r="D124" i="12"/>
  <c r="C124" i="12"/>
  <c r="B124" i="12"/>
  <c r="A124" i="12"/>
  <c r="F123" i="12"/>
  <c r="E123" i="12"/>
  <c r="D123" i="12"/>
  <c r="C123" i="12"/>
  <c r="B123" i="12"/>
  <c r="A123" i="12"/>
  <c r="F122" i="12"/>
  <c r="E122" i="12"/>
  <c r="D122" i="12"/>
  <c r="C122" i="12"/>
  <c r="B122" i="12"/>
  <c r="A122" i="12"/>
  <c r="F121" i="12"/>
  <c r="E121" i="12"/>
  <c r="D121" i="12"/>
  <c r="C121" i="12"/>
  <c r="B121" i="12"/>
  <c r="A121" i="12"/>
  <c r="F120" i="12"/>
  <c r="E120" i="12"/>
  <c r="D120" i="12"/>
  <c r="C120" i="12"/>
  <c r="B120" i="12"/>
  <c r="A120" i="12"/>
  <c r="F119" i="12"/>
  <c r="E119" i="12"/>
  <c r="D119" i="12"/>
  <c r="C119" i="12"/>
  <c r="B119" i="12"/>
  <c r="A119" i="12"/>
  <c r="F118" i="12"/>
  <c r="E118" i="12"/>
  <c r="D118" i="12"/>
  <c r="C118" i="12"/>
  <c r="B118" i="12"/>
  <c r="A118" i="12"/>
  <c r="F117" i="12"/>
  <c r="E117" i="12"/>
  <c r="D117" i="12"/>
  <c r="C117" i="12"/>
  <c r="B117" i="12"/>
  <c r="A117" i="12"/>
  <c r="F116" i="12"/>
  <c r="E116" i="12"/>
  <c r="D116" i="12"/>
  <c r="C116" i="12"/>
  <c r="B116" i="12"/>
  <c r="A116" i="12"/>
  <c r="F115" i="12"/>
  <c r="E115" i="12"/>
  <c r="D115" i="12"/>
  <c r="C115" i="12"/>
  <c r="B115" i="12"/>
  <c r="A115" i="12"/>
  <c r="F114" i="12"/>
  <c r="E114" i="12"/>
  <c r="D114" i="12"/>
  <c r="C114" i="12"/>
  <c r="B114" i="12"/>
  <c r="A114" i="12"/>
  <c r="F113" i="12"/>
  <c r="E113" i="12"/>
  <c r="D113" i="12"/>
  <c r="C113" i="12"/>
  <c r="B113" i="12"/>
  <c r="A113" i="12"/>
  <c r="F112" i="12"/>
  <c r="E112" i="12"/>
  <c r="D112" i="12"/>
  <c r="C112" i="12"/>
  <c r="B112" i="12"/>
  <c r="A112" i="12"/>
  <c r="F111" i="12"/>
  <c r="E111" i="12"/>
  <c r="D111" i="12"/>
  <c r="C111" i="12"/>
  <c r="B111" i="12"/>
  <c r="A111" i="12"/>
  <c r="F110" i="12"/>
  <c r="E110" i="12"/>
  <c r="D110" i="12"/>
  <c r="C110" i="12"/>
  <c r="B110" i="12"/>
  <c r="A110" i="12"/>
  <c r="F109" i="12"/>
  <c r="E109" i="12"/>
  <c r="D109" i="12"/>
  <c r="C109" i="12"/>
  <c r="B109" i="12"/>
  <c r="A109" i="12"/>
  <c r="F108" i="12"/>
  <c r="E108" i="12"/>
  <c r="D108" i="12"/>
  <c r="C108" i="12"/>
  <c r="B108" i="12"/>
  <c r="A108" i="12"/>
  <c r="F107" i="12"/>
  <c r="E107" i="12"/>
  <c r="D107" i="12"/>
  <c r="C107" i="12"/>
  <c r="B107" i="12"/>
  <c r="A107" i="12"/>
  <c r="F106" i="12"/>
  <c r="E106" i="12"/>
  <c r="D106" i="12"/>
  <c r="C106" i="12"/>
  <c r="B106" i="12"/>
  <c r="A106" i="12"/>
  <c r="F105" i="12"/>
  <c r="E105" i="12"/>
  <c r="D105" i="12"/>
  <c r="C105" i="12"/>
  <c r="B105" i="12"/>
  <c r="A105" i="12"/>
  <c r="F104" i="12"/>
  <c r="E104" i="12"/>
  <c r="D104" i="12"/>
  <c r="C104" i="12"/>
  <c r="B104" i="12"/>
  <c r="A104" i="12"/>
  <c r="F103" i="12"/>
  <c r="E103" i="12"/>
  <c r="D103" i="12"/>
  <c r="C103" i="12"/>
  <c r="B103" i="12"/>
  <c r="A103" i="12"/>
  <c r="F102" i="12"/>
  <c r="E102" i="12"/>
  <c r="D102" i="12"/>
  <c r="C102" i="12"/>
  <c r="B102" i="12"/>
  <c r="A102" i="12"/>
  <c r="F101" i="12"/>
  <c r="E101" i="12"/>
  <c r="D101" i="12"/>
  <c r="C101" i="12"/>
  <c r="B101" i="12"/>
  <c r="A101" i="12"/>
  <c r="F100" i="12"/>
  <c r="E100" i="12"/>
  <c r="D100" i="12"/>
  <c r="C100" i="12"/>
  <c r="B100" i="12"/>
  <c r="A100" i="12"/>
  <c r="F99" i="12"/>
  <c r="E99" i="12"/>
  <c r="D99" i="12"/>
  <c r="C99" i="12"/>
  <c r="B99" i="12"/>
  <c r="A99" i="12"/>
  <c r="F98" i="12"/>
  <c r="E98" i="12"/>
  <c r="D98" i="12"/>
  <c r="C98" i="12"/>
  <c r="B98" i="12"/>
  <c r="A98" i="12"/>
  <c r="F97" i="12"/>
  <c r="E97" i="12"/>
  <c r="D97" i="12"/>
  <c r="C97" i="12"/>
  <c r="B97" i="12"/>
  <c r="A97" i="12"/>
  <c r="F96" i="12"/>
  <c r="E96" i="12"/>
  <c r="D96" i="12"/>
  <c r="C96" i="12"/>
  <c r="B96" i="12"/>
  <c r="A96" i="12"/>
  <c r="F95" i="12"/>
  <c r="E95" i="12"/>
  <c r="D95" i="12"/>
  <c r="C95" i="12"/>
  <c r="B95" i="12"/>
  <c r="A95" i="12"/>
  <c r="F94" i="12"/>
  <c r="E94" i="12"/>
  <c r="D94" i="12"/>
  <c r="C94" i="12"/>
  <c r="B94" i="12"/>
  <c r="A94" i="12"/>
  <c r="F93" i="12"/>
  <c r="E93" i="12"/>
  <c r="D93" i="12"/>
  <c r="C93" i="12"/>
  <c r="B93" i="12"/>
  <c r="A93" i="12"/>
  <c r="F92" i="12"/>
  <c r="E92" i="12"/>
  <c r="D92" i="12"/>
  <c r="C92" i="12"/>
  <c r="B92" i="12"/>
  <c r="A92" i="12"/>
  <c r="F91" i="12"/>
  <c r="E91" i="12"/>
  <c r="D91" i="12"/>
  <c r="C91" i="12"/>
  <c r="B91" i="12"/>
  <c r="A91" i="12"/>
  <c r="F90" i="12"/>
  <c r="E90" i="12"/>
  <c r="D90" i="12"/>
  <c r="C90" i="12"/>
  <c r="B90" i="12"/>
  <c r="A90" i="12"/>
  <c r="F89" i="12"/>
  <c r="E89" i="12"/>
  <c r="D89" i="12"/>
  <c r="C89" i="12"/>
  <c r="B89" i="12"/>
  <c r="A89" i="12"/>
  <c r="F88" i="12"/>
  <c r="E88" i="12"/>
  <c r="D88" i="12"/>
  <c r="C88" i="12"/>
  <c r="B88" i="12"/>
  <c r="A88" i="12"/>
  <c r="F87" i="12"/>
  <c r="E87" i="12"/>
  <c r="D87" i="12"/>
  <c r="C87" i="12"/>
  <c r="B87" i="12"/>
  <c r="A87" i="12"/>
  <c r="F86" i="12"/>
  <c r="E86" i="12"/>
  <c r="D86" i="12"/>
  <c r="C86" i="12"/>
  <c r="B86" i="12"/>
  <c r="A86" i="12"/>
  <c r="F85" i="12"/>
  <c r="E85" i="12"/>
  <c r="D85" i="12"/>
  <c r="C85" i="12"/>
  <c r="B85" i="12"/>
  <c r="A85" i="12"/>
  <c r="F84" i="12"/>
  <c r="E84" i="12"/>
  <c r="D84" i="12"/>
  <c r="C84" i="12"/>
  <c r="B84" i="12"/>
  <c r="A84" i="12"/>
  <c r="F83" i="12"/>
  <c r="E83" i="12"/>
  <c r="D83" i="12"/>
  <c r="C83" i="12"/>
  <c r="B83" i="12"/>
  <c r="A83" i="12"/>
  <c r="F82" i="12"/>
  <c r="E82" i="12"/>
  <c r="D82" i="12"/>
  <c r="C82" i="12"/>
  <c r="B82" i="12"/>
  <c r="A82" i="12"/>
  <c r="F81" i="12"/>
  <c r="E81" i="12"/>
  <c r="D81" i="12"/>
  <c r="C81" i="12"/>
  <c r="B81" i="12"/>
  <c r="A81" i="12"/>
  <c r="F80" i="12"/>
  <c r="E80" i="12"/>
  <c r="D80" i="12"/>
  <c r="C80" i="12"/>
  <c r="B80" i="12"/>
  <c r="A80" i="12"/>
  <c r="F79" i="12"/>
  <c r="E79" i="12"/>
  <c r="D79" i="12"/>
  <c r="C79" i="12"/>
  <c r="B79" i="12"/>
  <c r="A79" i="12"/>
  <c r="F78" i="12"/>
  <c r="E78" i="12"/>
  <c r="D78" i="12"/>
  <c r="C78" i="12"/>
  <c r="B78" i="12"/>
  <c r="A78" i="12"/>
  <c r="F77" i="12"/>
  <c r="E77" i="12"/>
  <c r="D77" i="12"/>
  <c r="C77" i="12"/>
  <c r="B77" i="12"/>
  <c r="A77" i="12"/>
  <c r="F76" i="12"/>
  <c r="E76" i="12"/>
  <c r="D76" i="12"/>
  <c r="C76" i="12"/>
  <c r="B76" i="12"/>
  <c r="A76" i="12"/>
  <c r="F75" i="12"/>
  <c r="E75" i="12"/>
  <c r="D75" i="12"/>
  <c r="C75" i="12"/>
  <c r="B75" i="12"/>
  <c r="A75" i="12"/>
  <c r="F74" i="12"/>
  <c r="E74" i="12"/>
  <c r="D74" i="12"/>
  <c r="C74" i="12"/>
  <c r="B74" i="12"/>
  <c r="A74" i="12"/>
  <c r="F73" i="12"/>
  <c r="E73" i="12"/>
  <c r="D73" i="12"/>
  <c r="C73" i="12"/>
  <c r="B73" i="12"/>
  <c r="A73" i="12"/>
  <c r="F72" i="12"/>
  <c r="E72" i="12"/>
  <c r="D72" i="12"/>
  <c r="C72" i="12"/>
  <c r="B72" i="12"/>
  <c r="A72" i="12"/>
  <c r="F71" i="12"/>
  <c r="E71" i="12"/>
  <c r="D71" i="12"/>
  <c r="C71" i="12"/>
  <c r="B71" i="12"/>
  <c r="A71" i="12"/>
  <c r="F70" i="12"/>
  <c r="E70" i="12"/>
  <c r="D70" i="12"/>
  <c r="C70" i="12"/>
  <c r="B70" i="12"/>
  <c r="A70" i="12"/>
  <c r="F69" i="12"/>
  <c r="E69" i="12"/>
  <c r="D69" i="12"/>
  <c r="C69" i="12"/>
  <c r="B69" i="12"/>
  <c r="A69" i="12"/>
  <c r="F68" i="12"/>
  <c r="E68" i="12"/>
  <c r="D68" i="12"/>
  <c r="C68" i="12"/>
  <c r="B68" i="12"/>
  <c r="A68" i="12"/>
  <c r="F67" i="12"/>
  <c r="E67" i="12"/>
  <c r="D67" i="12"/>
  <c r="C67" i="12"/>
  <c r="B67" i="12"/>
  <c r="A67" i="12"/>
  <c r="F66" i="12"/>
  <c r="E66" i="12"/>
  <c r="D66" i="12"/>
  <c r="C66" i="12"/>
  <c r="B66" i="12"/>
  <c r="A66" i="12"/>
  <c r="F65" i="12"/>
  <c r="E65" i="12"/>
  <c r="D65" i="12"/>
  <c r="C65" i="12"/>
  <c r="B65" i="12"/>
  <c r="A65" i="12"/>
  <c r="F64" i="12"/>
  <c r="E64" i="12"/>
  <c r="D64" i="12"/>
  <c r="C64" i="12"/>
  <c r="B64" i="12"/>
  <c r="A64" i="12"/>
  <c r="F63" i="12"/>
  <c r="E63" i="12"/>
  <c r="D63" i="12"/>
  <c r="C63" i="12"/>
  <c r="B63" i="12"/>
  <c r="A63" i="12"/>
  <c r="F62" i="12"/>
  <c r="E62" i="12"/>
  <c r="D62" i="12"/>
  <c r="C62" i="12"/>
  <c r="B62" i="12"/>
  <c r="A62" i="12"/>
  <c r="F61" i="12"/>
  <c r="E61" i="12"/>
  <c r="D61" i="12"/>
  <c r="C61" i="12"/>
  <c r="B61" i="12"/>
  <c r="A61" i="12"/>
  <c r="F60" i="12"/>
  <c r="E60" i="12"/>
  <c r="D60" i="12"/>
  <c r="C60" i="12"/>
  <c r="B60" i="12"/>
  <c r="A60" i="12"/>
  <c r="F59" i="12"/>
  <c r="E59" i="12"/>
  <c r="D59" i="12"/>
  <c r="C59" i="12"/>
  <c r="B59" i="12"/>
  <c r="A59" i="12"/>
  <c r="F58" i="12"/>
  <c r="E58" i="12"/>
  <c r="D58" i="12"/>
  <c r="C58" i="12"/>
  <c r="B58" i="12"/>
  <c r="A58" i="12"/>
  <c r="F57" i="12"/>
  <c r="E57" i="12"/>
  <c r="D57" i="12"/>
  <c r="C57" i="12"/>
  <c r="B57" i="12"/>
  <c r="A57" i="12"/>
  <c r="F56" i="12"/>
  <c r="E56" i="12"/>
  <c r="D56" i="12"/>
  <c r="C56" i="12"/>
  <c r="B56" i="12"/>
  <c r="A56" i="12"/>
  <c r="F55" i="12"/>
  <c r="E55" i="12"/>
  <c r="D55" i="12"/>
  <c r="C55" i="12"/>
  <c r="B55" i="12"/>
  <c r="A55" i="12"/>
  <c r="F54" i="12"/>
  <c r="E54" i="12"/>
  <c r="D54" i="12"/>
  <c r="C54" i="12"/>
  <c r="B54" i="12"/>
  <c r="A54" i="12"/>
  <c r="F53" i="12"/>
  <c r="E53" i="12"/>
  <c r="D53" i="12"/>
  <c r="C53" i="12"/>
  <c r="B53" i="12"/>
  <c r="A53" i="12"/>
  <c r="F52" i="12"/>
  <c r="E52" i="12"/>
  <c r="D52" i="12"/>
  <c r="C52" i="12"/>
  <c r="B52" i="12"/>
  <c r="A52" i="12"/>
  <c r="F51" i="12"/>
  <c r="E51" i="12"/>
  <c r="D51" i="12"/>
  <c r="C51" i="12"/>
  <c r="B51" i="12"/>
  <c r="A51" i="12"/>
  <c r="F50" i="12"/>
  <c r="E50" i="12"/>
  <c r="D50" i="12"/>
  <c r="C50" i="12"/>
  <c r="B50" i="12"/>
  <c r="A50" i="12"/>
  <c r="F49" i="12"/>
  <c r="E49" i="12"/>
  <c r="D49" i="12"/>
  <c r="C49" i="12"/>
  <c r="B49" i="12"/>
  <c r="A49" i="12"/>
  <c r="F48" i="12"/>
  <c r="E48" i="12"/>
  <c r="D48" i="12"/>
  <c r="C48" i="12"/>
  <c r="B48" i="12"/>
  <c r="A48" i="12"/>
  <c r="F47" i="12"/>
  <c r="E47" i="12"/>
  <c r="D47" i="12"/>
  <c r="C47" i="12"/>
  <c r="B47" i="12"/>
  <c r="A47" i="12"/>
  <c r="F46" i="12"/>
  <c r="E46" i="12"/>
  <c r="D46" i="12"/>
  <c r="C46" i="12"/>
  <c r="B46" i="12"/>
  <c r="A46" i="12"/>
  <c r="F45" i="12"/>
  <c r="E45" i="12"/>
  <c r="D45" i="12"/>
  <c r="C45" i="12"/>
  <c r="B45" i="12"/>
  <c r="A45" i="12"/>
  <c r="F44" i="12"/>
  <c r="E44" i="12"/>
  <c r="D44" i="12"/>
  <c r="C44" i="12"/>
  <c r="B44" i="12"/>
  <c r="A44" i="12"/>
  <c r="F43" i="12"/>
  <c r="E43" i="12"/>
  <c r="D43" i="12"/>
  <c r="C43" i="12"/>
  <c r="B43" i="12"/>
  <c r="A43" i="12"/>
  <c r="F42" i="12"/>
  <c r="E42" i="12"/>
  <c r="D42" i="12"/>
  <c r="C42" i="12"/>
  <c r="B42" i="12"/>
  <c r="A42" i="12"/>
  <c r="F41" i="12"/>
  <c r="E41" i="12"/>
  <c r="D41" i="12"/>
  <c r="C41" i="12"/>
  <c r="B41" i="12"/>
  <c r="A41" i="12"/>
  <c r="F40" i="12"/>
  <c r="E40" i="12"/>
  <c r="D40" i="12"/>
  <c r="C40" i="12"/>
  <c r="B40" i="12"/>
  <c r="A40" i="12"/>
  <c r="F39" i="12"/>
  <c r="E39" i="12"/>
  <c r="D39" i="12"/>
  <c r="C39" i="12"/>
  <c r="B39" i="12"/>
  <c r="A39" i="12"/>
  <c r="F38" i="12"/>
  <c r="E38" i="12"/>
  <c r="D38" i="12"/>
  <c r="C38" i="12"/>
  <c r="B38" i="12"/>
  <c r="A38" i="12"/>
  <c r="F37" i="12"/>
  <c r="E37" i="12"/>
  <c r="D37" i="12"/>
  <c r="C37" i="12"/>
  <c r="B37" i="12"/>
  <c r="A37" i="12"/>
  <c r="F36" i="12"/>
  <c r="E36" i="12"/>
  <c r="D36" i="12"/>
  <c r="C36" i="12"/>
  <c r="B36" i="12"/>
  <c r="A36" i="12"/>
  <c r="F35" i="12"/>
  <c r="E35" i="12"/>
  <c r="D35" i="12"/>
  <c r="C35" i="12"/>
  <c r="B35" i="12"/>
  <c r="A35" i="12"/>
  <c r="F34" i="12"/>
  <c r="E34" i="12"/>
  <c r="D34" i="12"/>
  <c r="C34" i="12"/>
  <c r="B34" i="12"/>
  <c r="A34" i="12"/>
  <c r="F33" i="12"/>
  <c r="E33" i="12"/>
  <c r="D33" i="12"/>
  <c r="C33" i="12"/>
  <c r="B33" i="12"/>
  <c r="A33" i="12"/>
  <c r="F32" i="12"/>
  <c r="E32" i="12"/>
  <c r="D32" i="12"/>
  <c r="C32" i="12"/>
  <c r="B32" i="12"/>
  <c r="A32" i="12"/>
  <c r="F31" i="12"/>
  <c r="E31" i="12"/>
  <c r="D31" i="12"/>
  <c r="C31" i="12"/>
  <c r="B31" i="12"/>
  <c r="A31" i="12"/>
  <c r="F30" i="12"/>
  <c r="E30" i="12"/>
  <c r="D30" i="12"/>
  <c r="C30" i="12"/>
  <c r="B30" i="12"/>
  <c r="A30" i="12"/>
  <c r="F29" i="12"/>
  <c r="E29" i="12"/>
  <c r="D29" i="12"/>
  <c r="C29" i="12"/>
  <c r="B29" i="12"/>
  <c r="A29" i="12"/>
  <c r="F28" i="12"/>
  <c r="E28" i="12"/>
  <c r="D28" i="12"/>
  <c r="C28" i="12"/>
  <c r="B28" i="12"/>
  <c r="A28" i="12"/>
  <c r="F27" i="12"/>
  <c r="E27" i="12"/>
  <c r="D27" i="12"/>
  <c r="C27" i="12"/>
  <c r="B27" i="12"/>
  <c r="A27" i="12"/>
  <c r="F26" i="12"/>
  <c r="E26" i="12"/>
  <c r="D26" i="12"/>
  <c r="C26" i="12"/>
  <c r="B26" i="12"/>
  <c r="A26" i="12"/>
  <c r="F25" i="12"/>
  <c r="E25" i="12"/>
  <c r="D25" i="12"/>
  <c r="C25" i="12"/>
  <c r="B25" i="12"/>
  <c r="A25" i="12"/>
  <c r="F24" i="12"/>
  <c r="E24" i="12"/>
  <c r="D24" i="12"/>
  <c r="C24" i="12"/>
  <c r="B24" i="12"/>
  <c r="A24" i="12"/>
  <c r="F23" i="12"/>
  <c r="E23" i="12"/>
  <c r="D23" i="12"/>
  <c r="C23" i="12"/>
  <c r="B23" i="12"/>
  <c r="A23" i="12"/>
  <c r="F22" i="12"/>
  <c r="E22" i="12"/>
  <c r="D22" i="12"/>
  <c r="C22" i="12"/>
  <c r="B22" i="12"/>
  <c r="A22" i="12"/>
  <c r="F21" i="12"/>
  <c r="E21" i="12"/>
  <c r="D21" i="12"/>
  <c r="C21" i="12"/>
  <c r="B21" i="12"/>
  <c r="A21" i="12"/>
  <c r="F20" i="12"/>
  <c r="E20" i="12"/>
  <c r="D20" i="12"/>
  <c r="C20" i="12"/>
  <c r="B20" i="12"/>
  <c r="A20" i="12"/>
  <c r="F19" i="12"/>
  <c r="E19" i="12"/>
  <c r="D19" i="12"/>
  <c r="C19" i="12"/>
  <c r="B19" i="12"/>
  <c r="A19" i="12"/>
  <c r="F18" i="12"/>
  <c r="E18" i="12"/>
  <c r="D18" i="12"/>
  <c r="C18" i="12"/>
  <c r="B18" i="12"/>
  <c r="A18" i="12"/>
  <c r="F17" i="12"/>
  <c r="E17" i="12"/>
  <c r="D17" i="12"/>
  <c r="C17" i="12"/>
  <c r="B17" i="12"/>
  <c r="A17" i="12"/>
  <c r="F16" i="12"/>
  <c r="E16" i="12"/>
  <c r="D16" i="12"/>
  <c r="C16" i="12"/>
  <c r="B16" i="12"/>
  <c r="A16" i="12"/>
  <c r="F15" i="12"/>
  <c r="E15" i="12"/>
  <c r="D15" i="12"/>
  <c r="C15" i="12"/>
  <c r="B15" i="12"/>
  <c r="A15" i="12"/>
  <c r="F14" i="12"/>
  <c r="E14" i="12"/>
  <c r="D14" i="12"/>
  <c r="C14" i="12"/>
  <c r="B14" i="12"/>
  <c r="A14" i="12"/>
  <c r="F13" i="12"/>
  <c r="E13" i="12"/>
  <c r="D13" i="12"/>
  <c r="C13" i="12"/>
  <c r="B13" i="12"/>
  <c r="A13" i="12"/>
  <c r="F12" i="12"/>
  <c r="E12" i="12"/>
  <c r="D12" i="12"/>
  <c r="C12" i="12"/>
  <c r="B12" i="12"/>
  <c r="A12" i="12"/>
  <c r="F11" i="12"/>
  <c r="E11" i="12"/>
  <c r="D11" i="12"/>
  <c r="C11" i="12"/>
  <c r="B11" i="12"/>
  <c r="A11" i="12"/>
  <c r="F10" i="12"/>
  <c r="E10" i="12"/>
  <c r="D10" i="12"/>
  <c r="C10" i="12"/>
  <c r="B10" i="12"/>
  <c r="A10" i="12"/>
  <c r="F9" i="12"/>
  <c r="E9" i="12"/>
  <c r="D9" i="12"/>
  <c r="C9" i="12"/>
  <c r="B9" i="12"/>
  <c r="A9" i="12"/>
  <c r="F8" i="12"/>
  <c r="E8" i="12"/>
  <c r="D8" i="12"/>
  <c r="C8" i="12"/>
  <c r="B8" i="12"/>
  <c r="A8" i="12"/>
  <c r="F7" i="12"/>
  <c r="E7" i="12"/>
  <c r="D7" i="12"/>
  <c r="C7" i="12"/>
  <c r="B7" i="12"/>
  <c r="A7" i="12"/>
  <c r="F6" i="12"/>
  <c r="E6" i="12"/>
  <c r="D6" i="12"/>
  <c r="C6" i="12"/>
  <c r="B6" i="12"/>
  <c r="A6" i="12"/>
  <c r="F5" i="12"/>
  <c r="E5" i="12"/>
  <c r="D5" i="12"/>
  <c r="C5" i="12"/>
  <c r="B5" i="12"/>
  <c r="A5" i="12"/>
  <c r="F4" i="12"/>
  <c r="E4" i="12"/>
  <c r="D4" i="12"/>
  <c r="C4" i="12"/>
  <c r="B4" i="12"/>
  <c r="A4" i="12"/>
  <c r="F3" i="12"/>
  <c r="E3" i="12"/>
  <c r="D3" i="12"/>
  <c r="C3" i="12"/>
  <c r="B3" i="12"/>
  <c r="A3" i="12"/>
  <c r="F2" i="12"/>
  <c r="E2" i="12"/>
  <c r="D2" i="12"/>
  <c r="C2" i="12"/>
  <c r="B2" i="12"/>
  <c r="A2" i="12"/>
  <c r="A320" i="11"/>
  <c r="F320" i="11" s="1"/>
  <c r="A319" i="11"/>
  <c r="F319" i="11" s="1"/>
  <c r="A318" i="11"/>
  <c r="F318" i="11" s="1"/>
  <c r="A317" i="11"/>
  <c r="F317" i="11" s="1"/>
  <c r="A316" i="11"/>
  <c r="F316" i="11" s="1"/>
  <c r="A315" i="11"/>
  <c r="F315" i="11" s="1"/>
  <c r="A314" i="11"/>
  <c r="F314" i="11" s="1"/>
  <c r="A313" i="11"/>
  <c r="F313" i="11" s="1"/>
  <c r="A312" i="11"/>
  <c r="F312" i="11" s="1"/>
  <c r="A311" i="11"/>
  <c r="F311" i="11" s="1"/>
  <c r="A310" i="11"/>
  <c r="F310" i="11" s="1"/>
  <c r="A309" i="11"/>
  <c r="F309" i="11" s="1"/>
  <c r="A308" i="11"/>
  <c r="F308" i="11" s="1"/>
  <c r="A307" i="11"/>
  <c r="F307" i="11" s="1"/>
  <c r="A306" i="11"/>
  <c r="F306" i="11" s="1"/>
  <c r="F305" i="11"/>
  <c r="A305" i="11"/>
  <c r="A304" i="11"/>
  <c r="F304" i="11" s="1"/>
  <c r="A303" i="11"/>
  <c r="F303" i="11" s="1"/>
  <c r="A302" i="11"/>
  <c r="F302" i="11" s="1"/>
  <c r="A301" i="11"/>
  <c r="F301" i="11" s="1"/>
  <c r="A300" i="11"/>
  <c r="F300" i="11" s="1"/>
  <c r="A299" i="11"/>
  <c r="F299" i="11" s="1"/>
  <c r="A298" i="11"/>
  <c r="F298" i="11" s="1"/>
  <c r="A297" i="11"/>
  <c r="F297" i="11" s="1"/>
  <c r="A296" i="11"/>
  <c r="F296" i="11" s="1"/>
  <c r="A295" i="11"/>
  <c r="F295" i="11" s="1"/>
  <c r="A294" i="11"/>
  <c r="F294" i="11" s="1"/>
  <c r="A293" i="11"/>
  <c r="F293" i="11" s="1"/>
  <c r="A292" i="11"/>
  <c r="F292" i="11" s="1"/>
  <c r="A291" i="11"/>
  <c r="F291" i="11" s="1"/>
  <c r="A290" i="11"/>
  <c r="F290" i="11" s="1"/>
  <c r="A289" i="11"/>
  <c r="F289" i="11" s="1"/>
  <c r="A288" i="11"/>
  <c r="F288" i="11" s="1"/>
  <c r="A287" i="11"/>
  <c r="F287" i="11" s="1"/>
  <c r="A286" i="11"/>
  <c r="F286" i="11" s="1"/>
  <c r="A285" i="11"/>
  <c r="F285" i="11" s="1"/>
  <c r="A284" i="11"/>
  <c r="F284" i="11" s="1"/>
  <c r="A283" i="11"/>
  <c r="F283" i="11" s="1"/>
  <c r="A282" i="11"/>
  <c r="F282" i="11" s="1"/>
  <c r="A281" i="11"/>
  <c r="F281" i="11" s="1"/>
  <c r="A280" i="11"/>
  <c r="F280" i="11" s="1"/>
  <c r="A279" i="11"/>
  <c r="F279" i="11" s="1"/>
  <c r="A278" i="11"/>
  <c r="F278" i="11" s="1"/>
  <c r="A277" i="11"/>
  <c r="F277" i="11" s="1"/>
  <c r="A276" i="11"/>
  <c r="F276" i="11" s="1"/>
  <c r="A275" i="11"/>
  <c r="F275" i="11" s="1"/>
  <c r="A274" i="11"/>
  <c r="F274" i="11" s="1"/>
  <c r="A273" i="11"/>
  <c r="F273" i="11" s="1"/>
  <c r="A272" i="11"/>
  <c r="F272" i="11" s="1"/>
  <c r="A271" i="11"/>
  <c r="F271" i="11" s="1"/>
  <c r="A270" i="11"/>
  <c r="F270" i="11" s="1"/>
  <c r="A269" i="11"/>
  <c r="F269" i="11" s="1"/>
  <c r="A268" i="11"/>
  <c r="F268" i="11" s="1"/>
  <c r="A267" i="11"/>
  <c r="F267" i="11" s="1"/>
  <c r="A266" i="11"/>
  <c r="F266" i="11" s="1"/>
  <c r="A265" i="11"/>
  <c r="F265" i="11" s="1"/>
  <c r="A264" i="11"/>
  <c r="F264" i="11" s="1"/>
  <c r="A263" i="11"/>
  <c r="F263" i="11" s="1"/>
  <c r="A262" i="11"/>
  <c r="F262" i="11" s="1"/>
  <c r="A261" i="11"/>
  <c r="F261" i="11" s="1"/>
  <c r="A260" i="11"/>
  <c r="F260" i="11" s="1"/>
  <c r="A259" i="11"/>
  <c r="F259" i="11" s="1"/>
  <c r="A258" i="11"/>
  <c r="F258" i="11" s="1"/>
  <c r="A257" i="11"/>
  <c r="F257" i="11" s="1"/>
  <c r="A256" i="11"/>
  <c r="F256" i="11" s="1"/>
  <c r="A255" i="11"/>
  <c r="F255" i="11" s="1"/>
  <c r="A254" i="11"/>
  <c r="F254" i="11" s="1"/>
  <c r="A253" i="11"/>
  <c r="F253" i="11" s="1"/>
  <c r="A252" i="11"/>
  <c r="F252" i="11" s="1"/>
  <c r="A251" i="11"/>
  <c r="F251" i="11" s="1"/>
  <c r="A250" i="11"/>
  <c r="F250" i="11" s="1"/>
  <c r="A249" i="11"/>
  <c r="F249" i="11" s="1"/>
  <c r="A248" i="11"/>
  <c r="F248" i="11" s="1"/>
  <c r="A247" i="11"/>
  <c r="F247" i="11" s="1"/>
  <c r="A246" i="11"/>
  <c r="F246" i="11" s="1"/>
  <c r="A245" i="11"/>
  <c r="F245" i="11" s="1"/>
  <c r="A244" i="11"/>
  <c r="F244" i="11" s="1"/>
  <c r="A243" i="11"/>
  <c r="F243" i="11" s="1"/>
  <c r="A242" i="11"/>
  <c r="F242" i="11" s="1"/>
  <c r="A241" i="11"/>
  <c r="F241" i="11" s="1"/>
  <c r="A240" i="11"/>
  <c r="F240" i="11" s="1"/>
  <c r="A239" i="11"/>
  <c r="F239" i="11" s="1"/>
  <c r="A238" i="11"/>
  <c r="F238" i="11" s="1"/>
  <c r="A237" i="11"/>
  <c r="F237" i="11" s="1"/>
  <c r="A236" i="11"/>
  <c r="F236" i="11" s="1"/>
  <c r="A235" i="11"/>
  <c r="F235" i="11" s="1"/>
  <c r="A234" i="11"/>
  <c r="F234" i="11" s="1"/>
  <c r="A233" i="11"/>
  <c r="F233" i="11" s="1"/>
  <c r="A232" i="11"/>
  <c r="F232" i="11" s="1"/>
  <c r="A231" i="11"/>
  <c r="F231" i="11" s="1"/>
  <c r="A230" i="11"/>
  <c r="F230" i="11" s="1"/>
  <c r="A229" i="11"/>
  <c r="F229" i="11" s="1"/>
  <c r="A228" i="11"/>
  <c r="F228" i="11" s="1"/>
  <c r="A227" i="11"/>
  <c r="F227" i="11" s="1"/>
  <c r="A226" i="11"/>
  <c r="F226" i="11" s="1"/>
  <c r="A225" i="11"/>
  <c r="F225" i="11" s="1"/>
  <c r="A224" i="11"/>
  <c r="F224" i="11" s="1"/>
  <c r="A223" i="11"/>
  <c r="F223" i="11" s="1"/>
  <c r="A222" i="11"/>
  <c r="F222" i="11" s="1"/>
  <c r="A221" i="11"/>
  <c r="F221" i="11" s="1"/>
  <c r="A220" i="11"/>
  <c r="F220" i="11" s="1"/>
  <c r="A219" i="11"/>
  <c r="F219" i="11" s="1"/>
  <c r="A218" i="11"/>
  <c r="F218" i="11" s="1"/>
  <c r="A217" i="11"/>
  <c r="F217" i="11" s="1"/>
  <c r="A216" i="11"/>
  <c r="F216" i="11" s="1"/>
  <c r="A215" i="11"/>
  <c r="F215" i="11" s="1"/>
  <c r="A214" i="11"/>
  <c r="F214" i="11" s="1"/>
  <c r="A213" i="11"/>
  <c r="F213" i="11" s="1"/>
  <c r="A212" i="11"/>
  <c r="F212" i="11" s="1"/>
  <c r="A211" i="11"/>
  <c r="F211" i="11" s="1"/>
  <c r="A210" i="11"/>
  <c r="F210" i="11" s="1"/>
  <c r="A209" i="11"/>
  <c r="F209" i="11" s="1"/>
  <c r="A208" i="11"/>
  <c r="F208" i="11" s="1"/>
  <c r="A207" i="11"/>
  <c r="F207" i="11" s="1"/>
  <c r="A206" i="11"/>
  <c r="F206" i="11" s="1"/>
  <c r="A205" i="11"/>
  <c r="F205" i="11" s="1"/>
  <c r="A204" i="11"/>
  <c r="F204" i="11" s="1"/>
  <c r="A203" i="11"/>
  <c r="F203" i="11" s="1"/>
  <c r="A202" i="11"/>
  <c r="F202" i="11" s="1"/>
  <c r="A201" i="11"/>
  <c r="F201" i="11" s="1"/>
  <c r="A200" i="11"/>
  <c r="F200" i="11" s="1"/>
  <c r="A199" i="11"/>
  <c r="F199" i="11" s="1"/>
  <c r="A198" i="11"/>
  <c r="F198" i="11" s="1"/>
  <c r="A197" i="11"/>
  <c r="F197" i="11" s="1"/>
  <c r="A196" i="11"/>
  <c r="F196" i="11" s="1"/>
  <c r="A195" i="11"/>
  <c r="F195" i="11" s="1"/>
  <c r="A194" i="11"/>
  <c r="F194" i="11" s="1"/>
  <c r="A193" i="11"/>
  <c r="F193" i="11" s="1"/>
  <c r="A192" i="11"/>
  <c r="F192" i="11" s="1"/>
  <c r="A191" i="11"/>
  <c r="F191" i="11" s="1"/>
  <c r="A190" i="11"/>
  <c r="F190" i="11" s="1"/>
  <c r="A189" i="11"/>
  <c r="F189" i="11" s="1"/>
  <c r="A188" i="11"/>
  <c r="F188" i="11" s="1"/>
  <c r="A187" i="11"/>
  <c r="F187" i="11" s="1"/>
  <c r="A186" i="11"/>
  <c r="F186" i="11" s="1"/>
  <c r="A185" i="11"/>
  <c r="F185" i="11" s="1"/>
  <c r="A184" i="11"/>
  <c r="F184" i="11" s="1"/>
  <c r="A183" i="11"/>
  <c r="F183" i="11" s="1"/>
  <c r="A182" i="11"/>
  <c r="F182" i="11" s="1"/>
  <c r="A181" i="11"/>
  <c r="F181" i="11" s="1"/>
  <c r="A180" i="11"/>
  <c r="F180" i="11" s="1"/>
  <c r="A179" i="11"/>
  <c r="F179" i="11" s="1"/>
  <c r="A178" i="11"/>
  <c r="F178" i="11" s="1"/>
  <c r="A177" i="11"/>
  <c r="F177" i="11" s="1"/>
  <c r="A176" i="11"/>
  <c r="F176" i="11" s="1"/>
  <c r="A175" i="11"/>
  <c r="F175" i="11" s="1"/>
  <c r="A174" i="11"/>
  <c r="F174" i="11" s="1"/>
  <c r="A173" i="11"/>
  <c r="F173" i="11" s="1"/>
  <c r="A172" i="11"/>
  <c r="F172" i="11" s="1"/>
  <c r="A171" i="11"/>
  <c r="F171" i="11" s="1"/>
  <c r="A170" i="11"/>
  <c r="F170" i="11" s="1"/>
  <c r="A169" i="11"/>
  <c r="F169" i="11" s="1"/>
  <c r="A168" i="11"/>
  <c r="F168" i="11" s="1"/>
  <c r="A167" i="11"/>
  <c r="F167" i="11" s="1"/>
  <c r="A166" i="11"/>
  <c r="F166" i="11" s="1"/>
  <c r="A165" i="11"/>
  <c r="F165" i="11" s="1"/>
  <c r="A164" i="11"/>
  <c r="F164" i="11" s="1"/>
  <c r="A163" i="11"/>
  <c r="F163" i="11" s="1"/>
  <c r="A162" i="11"/>
  <c r="F162" i="11" s="1"/>
  <c r="A161" i="11"/>
  <c r="F161" i="11" s="1"/>
  <c r="A160" i="11"/>
  <c r="F160" i="11" s="1"/>
  <c r="A159" i="11"/>
  <c r="F159" i="11" s="1"/>
  <c r="A158" i="11"/>
  <c r="F158" i="11" s="1"/>
  <c r="A157" i="11"/>
  <c r="F157" i="11" s="1"/>
  <c r="A156" i="11"/>
  <c r="F156" i="11" s="1"/>
  <c r="A155" i="11"/>
  <c r="F155" i="11" s="1"/>
  <c r="A154" i="11"/>
  <c r="F154" i="11" s="1"/>
  <c r="A153" i="11"/>
  <c r="F153" i="11" s="1"/>
  <c r="A152" i="11"/>
  <c r="F152" i="11" s="1"/>
  <c r="A151" i="11"/>
  <c r="F151" i="11" s="1"/>
  <c r="A150" i="11"/>
  <c r="F150" i="11" s="1"/>
  <c r="A149" i="11"/>
  <c r="F149" i="11" s="1"/>
  <c r="A148" i="11"/>
  <c r="F148" i="11" s="1"/>
  <c r="A147" i="11"/>
  <c r="F147" i="11" s="1"/>
  <c r="A146" i="11"/>
  <c r="F146" i="11" s="1"/>
  <c r="A145" i="11"/>
  <c r="F145" i="11" s="1"/>
  <c r="A144" i="11"/>
  <c r="F144" i="11" s="1"/>
  <c r="A143" i="11"/>
  <c r="F143" i="11" s="1"/>
  <c r="A142" i="11"/>
  <c r="F142" i="11" s="1"/>
  <c r="A141" i="11"/>
  <c r="F141" i="11" s="1"/>
  <c r="A140" i="11"/>
  <c r="F140" i="11" s="1"/>
  <c r="A139" i="11"/>
  <c r="F139" i="11" s="1"/>
  <c r="A138" i="11"/>
  <c r="F138" i="11" s="1"/>
  <c r="A137" i="11"/>
  <c r="F137" i="11" s="1"/>
  <c r="A136" i="11"/>
  <c r="F136" i="11" s="1"/>
  <c r="A135" i="11"/>
  <c r="F135" i="11" s="1"/>
  <c r="A134" i="11"/>
  <c r="F134" i="11" s="1"/>
  <c r="A133" i="11"/>
  <c r="F133" i="11" s="1"/>
  <c r="A132" i="11"/>
  <c r="F132" i="11" s="1"/>
  <c r="A131" i="11"/>
  <c r="F131" i="11" s="1"/>
  <c r="A130" i="11"/>
  <c r="F130" i="11" s="1"/>
  <c r="A129" i="11"/>
  <c r="F129" i="11" s="1"/>
  <c r="A128" i="11"/>
  <c r="F128" i="11" s="1"/>
  <c r="A127" i="11"/>
  <c r="F127" i="11" s="1"/>
  <c r="A126" i="11"/>
  <c r="F126" i="11" s="1"/>
  <c r="A125" i="11"/>
  <c r="F125" i="11" s="1"/>
  <c r="A124" i="11"/>
  <c r="F124" i="11" s="1"/>
  <c r="A123" i="11"/>
  <c r="F123" i="11" s="1"/>
  <c r="A122" i="11"/>
  <c r="F122" i="11" s="1"/>
  <c r="A121" i="11"/>
  <c r="F121" i="11" s="1"/>
  <c r="A120" i="11"/>
  <c r="F120" i="11" s="1"/>
  <c r="A119" i="11"/>
  <c r="F119" i="11" s="1"/>
  <c r="A118" i="11"/>
  <c r="F118" i="11" s="1"/>
  <c r="A117" i="11"/>
  <c r="F117" i="11" s="1"/>
  <c r="A116" i="11"/>
  <c r="F116" i="11" s="1"/>
  <c r="A115" i="11"/>
  <c r="F115" i="11" s="1"/>
  <c r="A114" i="11"/>
  <c r="F114" i="11" s="1"/>
  <c r="A113" i="11"/>
  <c r="F113" i="11" s="1"/>
  <c r="A112" i="11"/>
  <c r="F112" i="11" s="1"/>
  <c r="A111" i="11"/>
  <c r="F111" i="11" s="1"/>
  <c r="A110" i="11"/>
  <c r="F110" i="11" s="1"/>
  <c r="A109" i="11"/>
  <c r="F109" i="11" s="1"/>
  <c r="A108" i="11"/>
  <c r="F108" i="11" s="1"/>
  <c r="A107" i="11"/>
  <c r="F107" i="11" s="1"/>
  <c r="A106" i="11"/>
  <c r="F106" i="11" s="1"/>
  <c r="A105" i="11"/>
  <c r="F105" i="11" s="1"/>
  <c r="A104" i="11"/>
  <c r="F104" i="11" s="1"/>
  <c r="A103" i="11"/>
  <c r="F103" i="11" s="1"/>
  <c r="A102" i="11"/>
  <c r="F102" i="11" s="1"/>
  <c r="A101" i="11"/>
  <c r="F101" i="11" s="1"/>
  <c r="A100" i="11"/>
  <c r="F100" i="11" s="1"/>
  <c r="A99" i="11"/>
  <c r="F99" i="11" s="1"/>
  <c r="A98" i="11"/>
  <c r="F98" i="11" s="1"/>
  <c r="A97" i="11"/>
  <c r="F97" i="11" s="1"/>
  <c r="A96" i="11"/>
  <c r="F96" i="11" s="1"/>
  <c r="A95" i="11"/>
  <c r="F95" i="11" s="1"/>
  <c r="A94" i="11"/>
  <c r="F94" i="11" s="1"/>
  <c r="A93" i="11"/>
  <c r="F93" i="11" s="1"/>
  <c r="A92" i="11"/>
  <c r="F92" i="11" s="1"/>
  <c r="A91" i="11"/>
  <c r="F91" i="11" s="1"/>
  <c r="A90" i="11"/>
  <c r="F90" i="11" s="1"/>
  <c r="A89" i="11"/>
  <c r="F89" i="11" s="1"/>
  <c r="A88" i="11"/>
  <c r="F88" i="11" s="1"/>
  <c r="A87" i="11"/>
  <c r="F87" i="11" s="1"/>
  <c r="A86" i="11"/>
  <c r="F86" i="11" s="1"/>
  <c r="A85" i="11"/>
  <c r="F85" i="11" s="1"/>
  <c r="A84" i="11"/>
  <c r="F84" i="11" s="1"/>
  <c r="A83" i="11"/>
  <c r="F83" i="11" s="1"/>
  <c r="A82" i="11"/>
  <c r="F82" i="11" s="1"/>
  <c r="A81" i="11"/>
  <c r="F81" i="11" s="1"/>
  <c r="A80" i="11"/>
  <c r="F80" i="11" s="1"/>
  <c r="A79" i="11"/>
  <c r="F79" i="11" s="1"/>
  <c r="A78" i="11"/>
  <c r="F78" i="11" s="1"/>
  <c r="A77" i="11"/>
  <c r="F77" i="11" s="1"/>
  <c r="A76" i="11"/>
  <c r="F76" i="11" s="1"/>
  <c r="A75" i="11"/>
  <c r="F75" i="11" s="1"/>
  <c r="A74" i="11"/>
  <c r="F74" i="11" s="1"/>
  <c r="A73" i="11"/>
  <c r="F73" i="11" s="1"/>
  <c r="A72" i="11"/>
  <c r="F72" i="11" s="1"/>
  <c r="A71" i="11"/>
  <c r="F71" i="11" s="1"/>
  <c r="A70" i="11"/>
  <c r="F70" i="11" s="1"/>
  <c r="A69" i="11"/>
  <c r="F69" i="11" s="1"/>
  <c r="A68" i="11"/>
  <c r="F68" i="11" s="1"/>
  <c r="A67" i="11"/>
  <c r="F67" i="11" s="1"/>
  <c r="A66" i="11"/>
  <c r="F66" i="11" s="1"/>
  <c r="A65" i="11"/>
  <c r="F65" i="11" s="1"/>
  <c r="A64" i="11"/>
  <c r="F64" i="11" s="1"/>
  <c r="A63" i="11"/>
  <c r="F63" i="11" s="1"/>
  <c r="A62" i="11"/>
  <c r="F62" i="11" s="1"/>
  <c r="A61" i="11"/>
  <c r="F61" i="11" s="1"/>
  <c r="A60" i="11"/>
  <c r="F60" i="11" s="1"/>
  <c r="A59" i="11"/>
  <c r="F59" i="11" s="1"/>
  <c r="A58" i="11"/>
  <c r="F58" i="11" s="1"/>
  <c r="A57" i="11"/>
  <c r="F57" i="11" s="1"/>
  <c r="A56" i="11"/>
  <c r="F56" i="11" s="1"/>
  <c r="A55" i="11"/>
  <c r="F55" i="11" s="1"/>
  <c r="A54" i="11"/>
  <c r="F54" i="11" s="1"/>
  <c r="A53" i="11"/>
  <c r="F53" i="11" s="1"/>
  <c r="A52" i="11"/>
  <c r="F52" i="11" s="1"/>
  <c r="A51" i="11"/>
  <c r="F51" i="11" s="1"/>
  <c r="A50" i="11"/>
  <c r="F50" i="11" s="1"/>
  <c r="A49" i="11"/>
  <c r="F49" i="11" s="1"/>
  <c r="A48" i="11"/>
  <c r="F48" i="11" s="1"/>
  <c r="A47" i="11"/>
  <c r="F47" i="11" s="1"/>
  <c r="A46" i="11"/>
  <c r="F46" i="11" s="1"/>
  <c r="A45" i="11"/>
  <c r="F45" i="11" s="1"/>
  <c r="A44" i="11"/>
  <c r="F44" i="11" s="1"/>
  <c r="A43" i="11"/>
  <c r="F43" i="11" s="1"/>
  <c r="A42" i="11"/>
  <c r="F42" i="11" s="1"/>
  <c r="A41" i="11"/>
  <c r="F41" i="11" s="1"/>
  <c r="A40" i="11"/>
  <c r="F40" i="11" s="1"/>
  <c r="A39" i="11"/>
  <c r="F39" i="11" s="1"/>
  <c r="A38" i="11"/>
  <c r="F38" i="11" s="1"/>
  <c r="A37" i="11"/>
  <c r="F37" i="11" s="1"/>
  <c r="A36" i="11"/>
  <c r="F36" i="11" s="1"/>
  <c r="A35" i="11"/>
  <c r="F35" i="11" s="1"/>
  <c r="A34" i="11"/>
  <c r="F34" i="11" s="1"/>
  <c r="A33" i="11"/>
  <c r="F33" i="11" s="1"/>
  <c r="A32" i="11"/>
  <c r="F32" i="11" s="1"/>
  <c r="A31" i="11"/>
  <c r="F31" i="11" s="1"/>
  <c r="A30" i="11"/>
  <c r="F30" i="11" s="1"/>
  <c r="A29" i="11"/>
  <c r="F29" i="11" s="1"/>
  <c r="A28" i="11"/>
  <c r="F28" i="11" s="1"/>
  <c r="A27" i="11"/>
  <c r="F27" i="11" s="1"/>
  <c r="A26" i="11"/>
  <c r="F26" i="11" s="1"/>
  <c r="A25" i="11"/>
  <c r="F25" i="11" s="1"/>
  <c r="A24" i="11"/>
  <c r="F24" i="11" s="1"/>
  <c r="A23" i="11"/>
  <c r="F23" i="11" s="1"/>
  <c r="A22" i="11"/>
  <c r="F22" i="11" s="1"/>
  <c r="A21" i="11"/>
  <c r="F21" i="11" s="1"/>
  <c r="A20" i="11"/>
  <c r="F20" i="11" s="1"/>
  <c r="A19" i="11"/>
  <c r="F19" i="11" s="1"/>
  <c r="A18" i="11"/>
  <c r="F18" i="11" s="1"/>
  <c r="A17" i="11"/>
  <c r="F17" i="11" s="1"/>
  <c r="A16" i="11"/>
  <c r="F16" i="11" s="1"/>
  <c r="A15" i="11"/>
  <c r="F15" i="11" s="1"/>
  <c r="A14" i="11"/>
  <c r="F14" i="11" s="1"/>
  <c r="A13" i="11"/>
  <c r="F13" i="11" s="1"/>
  <c r="A12" i="11"/>
  <c r="F12" i="11" s="1"/>
  <c r="A11" i="11"/>
  <c r="F11" i="11" s="1"/>
  <c r="A10" i="11"/>
  <c r="F10" i="11" s="1"/>
  <c r="A9" i="11"/>
  <c r="F9" i="11" s="1"/>
  <c r="A8" i="11"/>
  <c r="F8" i="11" s="1"/>
  <c r="A7" i="11"/>
  <c r="F7" i="11" s="1"/>
  <c r="A6" i="11"/>
  <c r="F6" i="11" s="1"/>
  <c r="A5" i="11"/>
  <c r="F5" i="11" s="1"/>
  <c r="A4" i="11"/>
  <c r="F4" i="11" s="1"/>
  <c r="A3" i="11"/>
  <c r="F3" i="11" s="1"/>
  <c r="A2" i="11"/>
  <c r="F2" i="11" s="1"/>
  <c r="B320" i="8"/>
  <c r="A320" i="8"/>
  <c r="C320" i="8" s="1"/>
  <c r="B319" i="8"/>
  <c r="A319" i="8"/>
  <c r="C319" i="8" s="1"/>
  <c r="B318" i="8"/>
  <c r="A318" i="8"/>
  <c r="D318" i="8" s="1"/>
  <c r="B317" i="8"/>
  <c r="A317" i="8"/>
  <c r="C317" i="8" s="1"/>
  <c r="B316" i="8"/>
  <c r="A316" i="8"/>
  <c r="D316" i="8" s="1"/>
  <c r="B315" i="8"/>
  <c r="A315" i="8"/>
  <c r="C315" i="8" s="1"/>
  <c r="B314" i="8"/>
  <c r="A314" i="8"/>
  <c r="D314" i="8" s="1"/>
  <c r="B313" i="8"/>
  <c r="A313" i="8"/>
  <c r="D313" i="8" s="1"/>
  <c r="B312" i="8"/>
  <c r="A312" i="8"/>
  <c r="D312" i="8" s="1"/>
  <c r="B311" i="8"/>
  <c r="A311" i="8"/>
  <c r="C311" i="8" s="1"/>
  <c r="B310" i="8"/>
  <c r="A310" i="8"/>
  <c r="D310" i="8" s="1"/>
  <c r="D309" i="8"/>
  <c r="B309" i="8"/>
  <c r="A309" i="8"/>
  <c r="C309" i="8" s="1"/>
  <c r="B308" i="8"/>
  <c r="A308" i="8"/>
  <c r="D308" i="8" s="1"/>
  <c r="B307" i="8"/>
  <c r="A307" i="8"/>
  <c r="C307" i="8" s="1"/>
  <c r="B306" i="8"/>
  <c r="A306" i="8"/>
  <c r="D306" i="8" s="1"/>
  <c r="B305" i="8"/>
  <c r="A305" i="8"/>
  <c r="D305" i="8" s="1"/>
  <c r="B304" i="8"/>
  <c r="A304" i="8"/>
  <c r="D304" i="8" s="1"/>
  <c r="D303" i="8"/>
  <c r="B303" i="8"/>
  <c r="A303" i="8"/>
  <c r="C303" i="8" s="1"/>
  <c r="B302" i="8"/>
  <c r="A302" i="8"/>
  <c r="D302" i="8" s="1"/>
  <c r="B301" i="8"/>
  <c r="A301" i="8"/>
  <c r="C301" i="8" s="1"/>
  <c r="B300" i="8"/>
  <c r="A300" i="8"/>
  <c r="D300" i="8" s="1"/>
  <c r="B299" i="8"/>
  <c r="A299" i="8"/>
  <c r="C299" i="8" s="1"/>
  <c r="B298" i="8"/>
  <c r="A298" i="8"/>
  <c r="D298" i="8" s="1"/>
  <c r="B297" i="8"/>
  <c r="A297" i="8"/>
  <c r="D297" i="8" s="1"/>
  <c r="B296" i="8"/>
  <c r="A296" i="8"/>
  <c r="D296" i="8" s="1"/>
  <c r="B295" i="8"/>
  <c r="A295" i="8"/>
  <c r="C295" i="8" s="1"/>
  <c r="B294" i="8"/>
  <c r="A294" i="8"/>
  <c r="D294" i="8" s="1"/>
  <c r="B293" i="8"/>
  <c r="A293" i="8"/>
  <c r="D293" i="8" s="1"/>
  <c r="B292" i="8"/>
  <c r="A292" i="8"/>
  <c r="D292" i="8" s="1"/>
  <c r="D291" i="8"/>
  <c r="B291" i="8"/>
  <c r="A291" i="8"/>
  <c r="C291" i="8" s="1"/>
  <c r="B290" i="8"/>
  <c r="A290" i="8"/>
  <c r="D290" i="8" s="1"/>
  <c r="B289" i="8"/>
  <c r="A289" i="8"/>
  <c r="D289" i="8" s="1"/>
  <c r="B288" i="8"/>
  <c r="A288" i="8"/>
  <c r="D288" i="8" s="1"/>
  <c r="B287" i="8"/>
  <c r="A287" i="8"/>
  <c r="C287" i="8" s="1"/>
  <c r="B286" i="8"/>
  <c r="A286" i="8"/>
  <c r="D286" i="8" s="1"/>
  <c r="B285" i="8"/>
  <c r="A285" i="8"/>
  <c r="C285" i="8" s="1"/>
  <c r="B284" i="8"/>
  <c r="A284" i="8"/>
  <c r="D284" i="8" s="1"/>
  <c r="B283" i="8"/>
  <c r="A283" i="8"/>
  <c r="C283" i="8" s="1"/>
  <c r="B282" i="8"/>
  <c r="A282" i="8"/>
  <c r="D282" i="8" s="1"/>
  <c r="C281" i="8"/>
  <c r="B281" i="8"/>
  <c r="A281" i="8"/>
  <c r="D281" i="8" s="1"/>
  <c r="B280" i="8"/>
  <c r="A280" i="8"/>
  <c r="D280" i="8" s="1"/>
  <c r="B279" i="8"/>
  <c r="A279" i="8"/>
  <c r="D279" i="8" s="1"/>
  <c r="B278" i="8"/>
  <c r="A278" i="8"/>
  <c r="D278" i="8" s="1"/>
  <c r="B277" i="8"/>
  <c r="A277" i="8"/>
  <c r="D277" i="8" s="1"/>
  <c r="B276" i="8"/>
  <c r="A276" i="8"/>
  <c r="D276" i="8" s="1"/>
  <c r="B275" i="8"/>
  <c r="A275" i="8"/>
  <c r="D275" i="8" s="1"/>
  <c r="B274" i="8"/>
  <c r="A274" i="8"/>
  <c r="D274" i="8" s="1"/>
  <c r="B273" i="8"/>
  <c r="A273" i="8"/>
  <c r="D273" i="8" s="1"/>
  <c r="B272" i="8"/>
  <c r="A272" i="8"/>
  <c r="D272" i="8" s="1"/>
  <c r="B271" i="8"/>
  <c r="A271" i="8"/>
  <c r="D271" i="8" s="1"/>
  <c r="B270" i="8"/>
  <c r="A270" i="8"/>
  <c r="D270" i="8" s="1"/>
  <c r="B269" i="8"/>
  <c r="A269" i="8"/>
  <c r="D269" i="8" s="1"/>
  <c r="B268" i="8"/>
  <c r="A268" i="8"/>
  <c r="D268" i="8" s="1"/>
  <c r="B267" i="8"/>
  <c r="A267" i="8"/>
  <c r="D267" i="8" s="1"/>
  <c r="B266" i="8"/>
  <c r="A266" i="8"/>
  <c r="D266" i="8" s="1"/>
  <c r="B265" i="8"/>
  <c r="A265" i="8"/>
  <c r="D265" i="8" s="1"/>
  <c r="B264" i="8"/>
  <c r="A264" i="8"/>
  <c r="D264" i="8" s="1"/>
  <c r="B263" i="8"/>
  <c r="A263" i="8"/>
  <c r="D263" i="8" s="1"/>
  <c r="B262" i="8"/>
  <c r="A262" i="8"/>
  <c r="D262" i="8" s="1"/>
  <c r="B261" i="8"/>
  <c r="A261" i="8"/>
  <c r="D261" i="8" s="1"/>
  <c r="B260" i="8"/>
  <c r="A260" i="8"/>
  <c r="D260" i="8" s="1"/>
  <c r="B259" i="8"/>
  <c r="A259" i="8"/>
  <c r="D259" i="8" s="1"/>
  <c r="B258" i="8"/>
  <c r="A258" i="8"/>
  <c r="D258" i="8" s="1"/>
  <c r="B257" i="8"/>
  <c r="A257" i="8"/>
  <c r="D257" i="8" s="1"/>
  <c r="B256" i="8"/>
  <c r="A256" i="8"/>
  <c r="D256" i="8" s="1"/>
  <c r="B255" i="8"/>
  <c r="A255" i="8"/>
  <c r="D255" i="8" s="1"/>
  <c r="B254" i="8"/>
  <c r="A254" i="8"/>
  <c r="D254" i="8" s="1"/>
  <c r="B253" i="8"/>
  <c r="A253" i="8"/>
  <c r="D253" i="8" s="1"/>
  <c r="B252" i="8"/>
  <c r="A252" i="8"/>
  <c r="D252" i="8" s="1"/>
  <c r="B251" i="8"/>
  <c r="A251" i="8"/>
  <c r="D251" i="8" s="1"/>
  <c r="B250" i="8"/>
  <c r="A250" i="8"/>
  <c r="D250" i="8" s="1"/>
  <c r="B249" i="8"/>
  <c r="A249" i="8"/>
  <c r="D249" i="8" s="1"/>
  <c r="B248" i="8"/>
  <c r="A248" i="8"/>
  <c r="D248" i="8" s="1"/>
  <c r="B247" i="8"/>
  <c r="A247" i="8"/>
  <c r="D247" i="8" s="1"/>
  <c r="B246" i="8"/>
  <c r="A246" i="8"/>
  <c r="D246" i="8" s="1"/>
  <c r="B245" i="8"/>
  <c r="A245" i="8"/>
  <c r="D245" i="8" s="1"/>
  <c r="B244" i="8"/>
  <c r="A244" i="8"/>
  <c r="D244" i="8" s="1"/>
  <c r="B243" i="8"/>
  <c r="A243" i="8"/>
  <c r="D243" i="8" s="1"/>
  <c r="B242" i="8"/>
  <c r="A242" i="8"/>
  <c r="D242" i="8" s="1"/>
  <c r="C241" i="8"/>
  <c r="B241" i="8"/>
  <c r="A241" i="8"/>
  <c r="D241" i="8" s="1"/>
  <c r="B240" i="8"/>
  <c r="A240" i="8"/>
  <c r="D240" i="8" s="1"/>
  <c r="B239" i="8"/>
  <c r="A239" i="8"/>
  <c r="D239" i="8" s="1"/>
  <c r="B238" i="8"/>
  <c r="A238" i="8"/>
  <c r="D238" i="8" s="1"/>
  <c r="B237" i="8"/>
  <c r="A237" i="8"/>
  <c r="D237" i="8" s="1"/>
  <c r="B236" i="8"/>
  <c r="A236" i="8"/>
  <c r="D236" i="8" s="1"/>
  <c r="B235" i="8"/>
  <c r="A235" i="8"/>
  <c r="D235" i="8" s="1"/>
  <c r="B234" i="8"/>
  <c r="A234" i="8"/>
  <c r="D234" i="8" s="1"/>
  <c r="B233" i="8"/>
  <c r="A233" i="8"/>
  <c r="D233" i="8" s="1"/>
  <c r="B232" i="8"/>
  <c r="A232" i="8"/>
  <c r="D232" i="8" s="1"/>
  <c r="B231" i="8"/>
  <c r="A231" i="8"/>
  <c r="D231" i="8" s="1"/>
  <c r="B230" i="8"/>
  <c r="A230" i="8"/>
  <c r="D230" i="8" s="1"/>
  <c r="B229" i="8"/>
  <c r="A229" i="8"/>
  <c r="D229" i="8" s="1"/>
  <c r="B228" i="8"/>
  <c r="A228" i="8"/>
  <c r="D228" i="8" s="1"/>
  <c r="B227" i="8"/>
  <c r="A227" i="8"/>
  <c r="D227" i="8" s="1"/>
  <c r="B226" i="8"/>
  <c r="A226" i="8"/>
  <c r="D226" i="8" s="1"/>
  <c r="B225" i="8"/>
  <c r="A225" i="8"/>
  <c r="D225" i="8" s="1"/>
  <c r="B224" i="8"/>
  <c r="A224" i="8"/>
  <c r="D224" i="8" s="1"/>
  <c r="B223" i="8"/>
  <c r="A223" i="8"/>
  <c r="D223" i="8" s="1"/>
  <c r="B222" i="8"/>
  <c r="A222" i="8"/>
  <c r="D222" i="8" s="1"/>
  <c r="B221" i="8"/>
  <c r="A221" i="8"/>
  <c r="D221" i="8" s="1"/>
  <c r="B220" i="8"/>
  <c r="A220" i="8"/>
  <c r="D220" i="8" s="1"/>
  <c r="B219" i="8"/>
  <c r="A219" i="8"/>
  <c r="D219" i="8" s="1"/>
  <c r="B218" i="8"/>
  <c r="A218" i="8"/>
  <c r="D218" i="8" s="1"/>
  <c r="C217" i="8"/>
  <c r="B217" i="8"/>
  <c r="A217" i="8"/>
  <c r="D217" i="8" s="1"/>
  <c r="B216" i="8"/>
  <c r="A216" i="8"/>
  <c r="D216" i="8" s="1"/>
  <c r="B215" i="8"/>
  <c r="A215" i="8"/>
  <c r="D215" i="8" s="1"/>
  <c r="B214" i="8"/>
  <c r="A214" i="8"/>
  <c r="D214" i="8" s="1"/>
  <c r="B213" i="8"/>
  <c r="A213" i="8"/>
  <c r="D213" i="8" s="1"/>
  <c r="B212" i="8"/>
  <c r="A212" i="8"/>
  <c r="D212" i="8" s="1"/>
  <c r="B211" i="8"/>
  <c r="A211" i="8"/>
  <c r="D211" i="8" s="1"/>
  <c r="B210" i="8"/>
  <c r="A210" i="8"/>
  <c r="D210" i="8" s="1"/>
  <c r="B209" i="8"/>
  <c r="A209" i="8"/>
  <c r="D209" i="8" s="1"/>
  <c r="B208" i="8"/>
  <c r="A208" i="8"/>
  <c r="D208" i="8" s="1"/>
  <c r="B207" i="8"/>
  <c r="A207" i="8"/>
  <c r="D207" i="8" s="1"/>
  <c r="B206" i="8"/>
  <c r="A206" i="8"/>
  <c r="D206" i="8" s="1"/>
  <c r="B205" i="8"/>
  <c r="A205" i="8"/>
  <c r="D205" i="8" s="1"/>
  <c r="B204" i="8"/>
  <c r="A204" i="8"/>
  <c r="D204" i="8" s="1"/>
  <c r="B203" i="8"/>
  <c r="A203" i="8"/>
  <c r="D203" i="8" s="1"/>
  <c r="B202" i="8"/>
  <c r="A202" i="8"/>
  <c r="D202" i="8" s="1"/>
  <c r="B201" i="8"/>
  <c r="A201" i="8"/>
  <c r="D201" i="8" s="1"/>
  <c r="B200" i="8"/>
  <c r="A200" i="8"/>
  <c r="D200" i="8" s="1"/>
  <c r="B199" i="8"/>
  <c r="A199" i="8"/>
  <c r="D199" i="8" s="1"/>
  <c r="B198" i="8"/>
  <c r="A198" i="8"/>
  <c r="D198" i="8" s="1"/>
  <c r="B197" i="8"/>
  <c r="A197" i="8"/>
  <c r="D197" i="8" s="1"/>
  <c r="B196" i="8"/>
  <c r="A196" i="8"/>
  <c r="D196" i="8" s="1"/>
  <c r="B195" i="8"/>
  <c r="A195" i="8"/>
  <c r="D195" i="8" s="1"/>
  <c r="B194" i="8"/>
  <c r="A194" i="8"/>
  <c r="D194" i="8" s="1"/>
  <c r="B193" i="8"/>
  <c r="A193" i="8"/>
  <c r="D193" i="8" s="1"/>
  <c r="B192" i="8"/>
  <c r="A192" i="8"/>
  <c r="D192" i="8" s="1"/>
  <c r="B191" i="8"/>
  <c r="A191" i="8"/>
  <c r="D191" i="8" s="1"/>
  <c r="B190" i="8"/>
  <c r="A190" i="8"/>
  <c r="D190" i="8" s="1"/>
  <c r="B189" i="8"/>
  <c r="A189" i="8"/>
  <c r="D189" i="8" s="1"/>
  <c r="B188" i="8"/>
  <c r="A188" i="8"/>
  <c r="D188" i="8" s="1"/>
  <c r="B187" i="8"/>
  <c r="A187" i="8"/>
  <c r="D187" i="8" s="1"/>
  <c r="B186" i="8"/>
  <c r="A186" i="8"/>
  <c r="D186" i="8" s="1"/>
  <c r="B185" i="8"/>
  <c r="A185" i="8"/>
  <c r="D185" i="8" s="1"/>
  <c r="B184" i="8"/>
  <c r="A184" i="8"/>
  <c r="D184" i="8" s="1"/>
  <c r="B183" i="8"/>
  <c r="A183" i="8"/>
  <c r="D183" i="8" s="1"/>
  <c r="B182" i="8"/>
  <c r="A182" i="8"/>
  <c r="D182" i="8" s="1"/>
  <c r="B181" i="8"/>
  <c r="A181" i="8"/>
  <c r="D181" i="8" s="1"/>
  <c r="B180" i="8"/>
  <c r="A180" i="8"/>
  <c r="D180" i="8" s="1"/>
  <c r="B179" i="8"/>
  <c r="A179" i="8"/>
  <c r="D179" i="8" s="1"/>
  <c r="B178" i="8"/>
  <c r="A178" i="8"/>
  <c r="D178" i="8" s="1"/>
  <c r="B177" i="8"/>
  <c r="A177" i="8"/>
  <c r="D177" i="8" s="1"/>
  <c r="B176" i="8"/>
  <c r="A176" i="8"/>
  <c r="D176" i="8" s="1"/>
  <c r="B175" i="8"/>
  <c r="A175" i="8"/>
  <c r="D175" i="8" s="1"/>
  <c r="B174" i="8"/>
  <c r="A174" i="8"/>
  <c r="D174" i="8" s="1"/>
  <c r="B173" i="8"/>
  <c r="A173" i="8"/>
  <c r="D173" i="8" s="1"/>
  <c r="B172" i="8"/>
  <c r="A172" i="8"/>
  <c r="D172" i="8" s="1"/>
  <c r="B171" i="8"/>
  <c r="A171" i="8"/>
  <c r="D171" i="8" s="1"/>
  <c r="B170" i="8"/>
  <c r="A170" i="8"/>
  <c r="D170" i="8" s="1"/>
  <c r="B169" i="8"/>
  <c r="A169" i="8"/>
  <c r="D169" i="8" s="1"/>
  <c r="B168" i="8"/>
  <c r="A168" i="8"/>
  <c r="D168" i="8" s="1"/>
  <c r="B167" i="8"/>
  <c r="A167" i="8"/>
  <c r="D167" i="8" s="1"/>
  <c r="B166" i="8"/>
  <c r="A166" i="8"/>
  <c r="D166" i="8" s="1"/>
  <c r="B165" i="8"/>
  <c r="A165" i="8"/>
  <c r="D165" i="8" s="1"/>
  <c r="B164" i="8"/>
  <c r="A164" i="8"/>
  <c r="D164" i="8" s="1"/>
  <c r="B163" i="8"/>
  <c r="A163" i="8"/>
  <c r="D163" i="8" s="1"/>
  <c r="B162" i="8"/>
  <c r="A162" i="8"/>
  <c r="D162" i="8" s="1"/>
  <c r="B161" i="8"/>
  <c r="A161" i="8"/>
  <c r="D161" i="8" s="1"/>
  <c r="B160" i="8"/>
  <c r="A160" i="8"/>
  <c r="D160" i="8" s="1"/>
  <c r="B159" i="8"/>
  <c r="A159" i="8"/>
  <c r="D159" i="8" s="1"/>
  <c r="B158" i="8"/>
  <c r="A158" i="8"/>
  <c r="D158" i="8" s="1"/>
  <c r="B157" i="8"/>
  <c r="A157" i="8"/>
  <c r="D157" i="8" s="1"/>
  <c r="B156" i="8"/>
  <c r="A156" i="8"/>
  <c r="D156" i="8" s="1"/>
  <c r="B155" i="8"/>
  <c r="A155" i="8"/>
  <c r="D155" i="8" s="1"/>
  <c r="B154" i="8"/>
  <c r="A154" i="8"/>
  <c r="D154" i="8" s="1"/>
  <c r="B153" i="8"/>
  <c r="A153" i="8"/>
  <c r="D153" i="8" s="1"/>
  <c r="B152" i="8"/>
  <c r="A152" i="8"/>
  <c r="D152" i="8" s="1"/>
  <c r="B151" i="8"/>
  <c r="A151" i="8"/>
  <c r="D151" i="8" s="1"/>
  <c r="B150" i="8"/>
  <c r="A150" i="8"/>
  <c r="D150" i="8" s="1"/>
  <c r="B149" i="8"/>
  <c r="A149" i="8"/>
  <c r="D149" i="8" s="1"/>
  <c r="B148" i="8"/>
  <c r="A148" i="8"/>
  <c r="D148" i="8" s="1"/>
  <c r="B147" i="8"/>
  <c r="A147" i="8"/>
  <c r="D147" i="8" s="1"/>
  <c r="B146" i="8"/>
  <c r="A146" i="8"/>
  <c r="D146" i="8" s="1"/>
  <c r="B145" i="8"/>
  <c r="A145" i="8"/>
  <c r="D145" i="8" s="1"/>
  <c r="B144" i="8"/>
  <c r="A144" i="8"/>
  <c r="D144" i="8" s="1"/>
  <c r="B143" i="8"/>
  <c r="A143" i="8"/>
  <c r="D143" i="8" s="1"/>
  <c r="B142" i="8"/>
  <c r="A142" i="8"/>
  <c r="D142" i="8" s="1"/>
  <c r="B141" i="8"/>
  <c r="A141" i="8"/>
  <c r="D141" i="8" s="1"/>
  <c r="B140" i="8"/>
  <c r="A140" i="8"/>
  <c r="D140" i="8" s="1"/>
  <c r="B139" i="8"/>
  <c r="A139" i="8"/>
  <c r="D139" i="8" s="1"/>
  <c r="B138" i="8"/>
  <c r="A138" i="8"/>
  <c r="D138" i="8" s="1"/>
  <c r="B137" i="8"/>
  <c r="A137" i="8"/>
  <c r="D137" i="8" s="1"/>
  <c r="B136" i="8"/>
  <c r="A136" i="8"/>
  <c r="D136" i="8" s="1"/>
  <c r="B135" i="8"/>
  <c r="A135" i="8"/>
  <c r="D135" i="8" s="1"/>
  <c r="B134" i="8"/>
  <c r="A134" i="8"/>
  <c r="D134" i="8" s="1"/>
  <c r="B133" i="8"/>
  <c r="A133" i="8"/>
  <c r="D133" i="8" s="1"/>
  <c r="B132" i="8"/>
  <c r="A132" i="8"/>
  <c r="D132" i="8" s="1"/>
  <c r="B131" i="8"/>
  <c r="A131" i="8"/>
  <c r="D131" i="8" s="1"/>
  <c r="B130" i="8"/>
  <c r="A130" i="8"/>
  <c r="D130" i="8" s="1"/>
  <c r="B129" i="8"/>
  <c r="A129" i="8"/>
  <c r="D129" i="8" s="1"/>
  <c r="B128" i="8"/>
  <c r="A128" i="8"/>
  <c r="D128" i="8" s="1"/>
  <c r="B127" i="8"/>
  <c r="A127" i="8"/>
  <c r="D127" i="8" s="1"/>
  <c r="B126" i="8"/>
  <c r="A126" i="8"/>
  <c r="D126" i="8" s="1"/>
  <c r="B125" i="8"/>
  <c r="A125" i="8"/>
  <c r="D125" i="8" s="1"/>
  <c r="B124" i="8"/>
  <c r="A124" i="8"/>
  <c r="D124" i="8" s="1"/>
  <c r="B123" i="8"/>
  <c r="A123" i="8"/>
  <c r="D123" i="8" s="1"/>
  <c r="B122" i="8"/>
  <c r="A122" i="8"/>
  <c r="D122" i="8" s="1"/>
  <c r="B121" i="8"/>
  <c r="A121" i="8"/>
  <c r="D121" i="8" s="1"/>
  <c r="B120" i="8"/>
  <c r="A120" i="8"/>
  <c r="D120" i="8" s="1"/>
  <c r="B119" i="8"/>
  <c r="A119" i="8"/>
  <c r="D119" i="8" s="1"/>
  <c r="B118" i="8"/>
  <c r="A118" i="8"/>
  <c r="D118" i="8" s="1"/>
  <c r="B117" i="8"/>
  <c r="A117" i="8"/>
  <c r="D117" i="8" s="1"/>
  <c r="B116" i="8"/>
  <c r="A116" i="8"/>
  <c r="D116" i="8" s="1"/>
  <c r="B115" i="8"/>
  <c r="A115" i="8"/>
  <c r="D115" i="8" s="1"/>
  <c r="B114" i="8"/>
  <c r="A114" i="8"/>
  <c r="D114" i="8" s="1"/>
  <c r="B113" i="8"/>
  <c r="A113" i="8"/>
  <c r="D113" i="8" s="1"/>
  <c r="B112" i="8"/>
  <c r="A112" i="8"/>
  <c r="D112" i="8" s="1"/>
  <c r="B111" i="8"/>
  <c r="A111" i="8"/>
  <c r="D111" i="8" s="1"/>
  <c r="B110" i="8"/>
  <c r="A110" i="8"/>
  <c r="D110" i="8" s="1"/>
  <c r="B109" i="8"/>
  <c r="A109" i="8"/>
  <c r="D109" i="8" s="1"/>
  <c r="B108" i="8"/>
  <c r="A108" i="8"/>
  <c r="D108" i="8" s="1"/>
  <c r="B107" i="8"/>
  <c r="A107" i="8"/>
  <c r="D107" i="8" s="1"/>
  <c r="B106" i="8"/>
  <c r="A106" i="8"/>
  <c r="D106" i="8" s="1"/>
  <c r="B105" i="8"/>
  <c r="A105" i="8"/>
  <c r="D105" i="8" s="1"/>
  <c r="B104" i="8"/>
  <c r="A104" i="8"/>
  <c r="D104" i="8" s="1"/>
  <c r="B103" i="8"/>
  <c r="A103" i="8"/>
  <c r="D103" i="8" s="1"/>
  <c r="B102" i="8"/>
  <c r="A102" i="8"/>
  <c r="D102" i="8" s="1"/>
  <c r="B101" i="8"/>
  <c r="A101" i="8"/>
  <c r="D101" i="8" s="1"/>
  <c r="B100" i="8"/>
  <c r="A100" i="8"/>
  <c r="D100" i="8" s="1"/>
  <c r="B99" i="8"/>
  <c r="A99" i="8"/>
  <c r="D99" i="8" s="1"/>
  <c r="B98" i="8"/>
  <c r="A98" i="8"/>
  <c r="D98" i="8" s="1"/>
  <c r="B97" i="8"/>
  <c r="A97" i="8"/>
  <c r="C97" i="8" s="1"/>
  <c r="B96" i="8"/>
  <c r="A96" i="8"/>
  <c r="D96" i="8" s="1"/>
  <c r="B95" i="8"/>
  <c r="A95" i="8"/>
  <c r="D95" i="8" s="1"/>
  <c r="B94" i="8"/>
  <c r="A94" i="8"/>
  <c r="D94" i="8" s="1"/>
  <c r="B93" i="8"/>
  <c r="A93" i="8"/>
  <c r="D93" i="8" s="1"/>
  <c r="B92" i="8"/>
  <c r="A92" i="8"/>
  <c r="D92" i="8" s="1"/>
  <c r="B91" i="8"/>
  <c r="A91" i="8"/>
  <c r="C91" i="8" s="1"/>
  <c r="B90" i="8"/>
  <c r="A90" i="8"/>
  <c r="D90" i="8" s="1"/>
  <c r="B89" i="8"/>
  <c r="A89" i="8"/>
  <c r="D89" i="8" s="1"/>
  <c r="B88" i="8"/>
  <c r="A88" i="8"/>
  <c r="D88" i="8" s="1"/>
  <c r="B87" i="8"/>
  <c r="A87" i="8"/>
  <c r="D87" i="8" s="1"/>
  <c r="B86" i="8"/>
  <c r="A86" i="8"/>
  <c r="D86" i="8" s="1"/>
  <c r="B85" i="8"/>
  <c r="A85" i="8"/>
  <c r="D85" i="8" s="1"/>
  <c r="B84" i="8"/>
  <c r="A84" i="8"/>
  <c r="D84" i="8" s="1"/>
  <c r="B83" i="8"/>
  <c r="A83" i="8"/>
  <c r="C83" i="8" s="1"/>
  <c r="B82" i="8"/>
  <c r="A82" i="8"/>
  <c r="D82" i="8" s="1"/>
  <c r="B81" i="8"/>
  <c r="A81" i="8"/>
  <c r="D81" i="8" s="1"/>
  <c r="B80" i="8"/>
  <c r="A80" i="8"/>
  <c r="D80" i="8" s="1"/>
  <c r="B79" i="8"/>
  <c r="A79" i="8"/>
  <c r="C79" i="8" s="1"/>
  <c r="B78" i="8"/>
  <c r="A78" i="8"/>
  <c r="D78" i="8" s="1"/>
  <c r="B77" i="8"/>
  <c r="A77" i="8"/>
  <c r="D77" i="8" s="1"/>
  <c r="B76" i="8"/>
  <c r="A76" i="8"/>
  <c r="D76" i="8" s="1"/>
  <c r="B75" i="8"/>
  <c r="A75" i="8"/>
  <c r="D75" i="8" s="1"/>
  <c r="B74" i="8"/>
  <c r="A74" i="8"/>
  <c r="D74" i="8" s="1"/>
  <c r="B73" i="8"/>
  <c r="A73" i="8"/>
  <c r="D73" i="8" s="1"/>
  <c r="B72" i="8"/>
  <c r="A72" i="8"/>
  <c r="D72" i="8" s="1"/>
  <c r="B71" i="8"/>
  <c r="A71" i="8"/>
  <c r="D71" i="8" s="1"/>
  <c r="B70" i="8"/>
  <c r="A70" i="8"/>
  <c r="D70" i="8" s="1"/>
  <c r="B69" i="8"/>
  <c r="A69" i="8"/>
  <c r="D69" i="8" s="1"/>
  <c r="B68" i="8"/>
  <c r="A68" i="8"/>
  <c r="D68" i="8" s="1"/>
  <c r="B67" i="8"/>
  <c r="A67" i="8"/>
  <c r="D67" i="8" s="1"/>
  <c r="B66" i="8"/>
  <c r="A66" i="8"/>
  <c r="D66" i="8" s="1"/>
  <c r="B65" i="8"/>
  <c r="A65" i="8"/>
  <c r="D65" i="8" s="1"/>
  <c r="B64" i="8"/>
  <c r="A64" i="8"/>
  <c r="D64" i="8" s="1"/>
  <c r="B63" i="8"/>
  <c r="A63" i="8"/>
  <c r="D63" i="8" s="1"/>
  <c r="B62" i="8"/>
  <c r="A62" i="8"/>
  <c r="D62" i="8" s="1"/>
  <c r="B61" i="8"/>
  <c r="A61" i="8"/>
  <c r="D61" i="8" s="1"/>
  <c r="B60" i="8"/>
  <c r="A60" i="8"/>
  <c r="D60" i="8" s="1"/>
  <c r="B59" i="8"/>
  <c r="A59" i="8"/>
  <c r="D59" i="8" s="1"/>
  <c r="B58" i="8"/>
  <c r="A58" i="8"/>
  <c r="D58" i="8" s="1"/>
  <c r="B57" i="8"/>
  <c r="A57" i="8"/>
  <c r="D57" i="8" s="1"/>
  <c r="B56" i="8"/>
  <c r="A56" i="8"/>
  <c r="D56" i="8" s="1"/>
  <c r="B55" i="8"/>
  <c r="A55" i="8"/>
  <c r="D55" i="8" s="1"/>
  <c r="B54" i="8"/>
  <c r="A54" i="8"/>
  <c r="D54" i="8" s="1"/>
  <c r="B53" i="8"/>
  <c r="A53" i="8"/>
  <c r="D53" i="8" s="1"/>
  <c r="B52" i="8"/>
  <c r="A52" i="8"/>
  <c r="D52" i="8" s="1"/>
  <c r="B51" i="8"/>
  <c r="A51" i="8"/>
  <c r="D51" i="8" s="1"/>
  <c r="B50" i="8"/>
  <c r="A50" i="8"/>
  <c r="D50" i="8" s="1"/>
  <c r="B49" i="8"/>
  <c r="A49" i="8"/>
  <c r="D49" i="8" s="1"/>
  <c r="B48" i="8"/>
  <c r="A48" i="8"/>
  <c r="D48" i="8" s="1"/>
  <c r="B47" i="8"/>
  <c r="A47" i="8"/>
  <c r="D47" i="8" s="1"/>
  <c r="B46" i="8"/>
  <c r="A46" i="8"/>
  <c r="D46" i="8" s="1"/>
  <c r="B45" i="8"/>
  <c r="A45" i="8"/>
  <c r="D45" i="8" s="1"/>
  <c r="B44" i="8"/>
  <c r="A44" i="8"/>
  <c r="D44" i="8" s="1"/>
  <c r="B43" i="8"/>
  <c r="A43" i="8"/>
  <c r="D43" i="8" s="1"/>
  <c r="B42" i="8"/>
  <c r="A42" i="8"/>
  <c r="D42" i="8" s="1"/>
  <c r="B41" i="8"/>
  <c r="A41" i="8"/>
  <c r="D41" i="8" s="1"/>
  <c r="B40" i="8"/>
  <c r="A40" i="8"/>
  <c r="D40" i="8" s="1"/>
  <c r="B39" i="8"/>
  <c r="A39" i="8"/>
  <c r="D39" i="8" s="1"/>
  <c r="B38" i="8"/>
  <c r="A38" i="8"/>
  <c r="D38" i="8" s="1"/>
  <c r="B37" i="8"/>
  <c r="A37" i="8"/>
  <c r="D37" i="8" s="1"/>
  <c r="B36" i="8"/>
  <c r="A36" i="8"/>
  <c r="D36" i="8" s="1"/>
  <c r="B35" i="8"/>
  <c r="A35" i="8"/>
  <c r="D35" i="8" s="1"/>
  <c r="B34" i="8"/>
  <c r="A34" i="8"/>
  <c r="D34" i="8" s="1"/>
  <c r="B33" i="8"/>
  <c r="A33" i="8"/>
  <c r="D33" i="8" s="1"/>
  <c r="B32" i="8"/>
  <c r="A32" i="8"/>
  <c r="D32" i="8" s="1"/>
  <c r="B31" i="8"/>
  <c r="A31" i="8"/>
  <c r="D31" i="8" s="1"/>
  <c r="B30" i="8"/>
  <c r="A30" i="8"/>
  <c r="D30" i="8" s="1"/>
  <c r="B29" i="8"/>
  <c r="A29" i="8"/>
  <c r="D29" i="8" s="1"/>
  <c r="B28" i="8"/>
  <c r="A28" i="8"/>
  <c r="D28" i="8" s="1"/>
  <c r="B27" i="8"/>
  <c r="A27" i="8"/>
  <c r="D27" i="8" s="1"/>
  <c r="B26" i="8"/>
  <c r="A26" i="8"/>
  <c r="D26" i="8" s="1"/>
  <c r="B25" i="8"/>
  <c r="A25" i="8"/>
  <c r="D25" i="8" s="1"/>
  <c r="B24" i="8"/>
  <c r="A24" i="8"/>
  <c r="D24" i="8" s="1"/>
  <c r="B23" i="8"/>
  <c r="A23" i="8"/>
  <c r="D23" i="8" s="1"/>
  <c r="B22" i="8"/>
  <c r="A22" i="8"/>
  <c r="D22" i="8" s="1"/>
  <c r="B21" i="8"/>
  <c r="A21" i="8"/>
  <c r="D21" i="8" s="1"/>
  <c r="B20" i="8"/>
  <c r="A20" i="8"/>
  <c r="D20" i="8" s="1"/>
  <c r="B19" i="8"/>
  <c r="A19" i="8"/>
  <c r="D19" i="8" s="1"/>
  <c r="B18" i="8"/>
  <c r="A18" i="8"/>
  <c r="D18" i="8" s="1"/>
  <c r="B17" i="8"/>
  <c r="A17" i="8"/>
  <c r="D17" i="8" s="1"/>
  <c r="B16" i="8"/>
  <c r="A16" i="8"/>
  <c r="D16" i="8" s="1"/>
  <c r="B15" i="8"/>
  <c r="A15" i="8"/>
  <c r="D15" i="8" s="1"/>
  <c r="B14" i="8"/>
  <c r="A14" i="8"/>
  <c r="D14" i="8" s="1"/>
  <c r="B13" i="8"/>
  <c r="A13" i="8"/>
  <c r="D13" i="8" s="1"/>
  <c r="B12" i="8"/>
  <c r="A12" i="8"/>
  <c r="D12" i="8" s="1"/>
  <c r="B11" i="8"/>
  <c r="A11" i="8"/>
  <c r="D11" i="8" s="1"/>
  <c r="B10" i="8"/>
  <c r="A10" i="8"/>
  <c r="D10" i="8" s="1"/>
  <c r="B9" i="8"/>
  <c r="A9" i="8"/>
  <c r="D9" i="8" s="1"/>
  <c r="B8" i="8"/>
  <c r="A8" i="8"/>
  <c r="D8" i="8" s="1"/>
  <c r="B7" i="8"/>
  <c r="A7" i="8"/>
  <c r="D7" i="8" s="1"/>
  <c r="B6" i="8"/>
  <c r="A6" i="8"/>
  <c r="D6" i="8" s="1"/>
  <c r="B5" i="8"/>
  <c r="A5" i="8"/>
  <c r="D5" i="8" s="1"/>
  <c r="B4" i="8"/>
  <c r="A4" i="8"/>
  <c r="D4" i="8" s="1"/>
  <c r="B3" i="8"/>
  <c r="A3" i="8"/>
  <c r="D3" i="8" s="1"/>
  <c r="B2" i="8"/>
  <c r="A2" i="8"/>
  <c r="D2" i="8" s="1"/>
  <c r="F501" i="7"/>
  <c r="D501" i="7"/>
  <c r="A501" i="7"/>
  <c r="F500" i="7"/>
  <c r="D500" i="7"/>
  <c r="A500" i="7"/>
  <c r="F499" i="7"/>
  <c r="D499" i="7"/>
  <c r="A499" i="7"/>
  <c r="F498" i="7"/>
  <c r="D498" i="7"/>
  <c r="A498" i="7"/>
  <c r="F497" i="7"/>
  <c r="D497" i="7"/>
  <c r="A497" i="7"/>
  <c r="F496" i="7"/>
  <c r="D496" i="7"/>
  <c r="A496" i="7"/>
  <c r="F495" i="7"/>
  <c r="D495" i="7"/>
  <c r="A495" i="7"/>
  <c r="F494" i="7"/>
  <c r="D494" i="7"/>
  <c r="A494" i="7"/>
  <c r="F493" i="7"/>
  <c r="D493" i="7"/>
  <c r="A493" i="7"/>
  <c r="F492" i="7"/>
  <c r="D492" i="7"/>
  <c r="A492" i="7"/>
  <c r="F491" i="7"/>
  <c r="D491" i="7"/>
  <c r="A491" i="7"/>
  <c r="F490" i="7"/>
  <c r="D490" i="7"/>
  <c r="A490" i="7"/>
  <c r="F489" i="7"/>
  <c r="D489" i="7"/>
  <c r="A489" i="7"/>
  <c r="F488" i="7"/>
  <c r="D488" i="7"/>
  <c r="A488" i="7"/>
  <c r="F487" i="7"/>
  <c r="D487" i="7"/>
  <c r="A487" i="7"/>
  <c r="F486" i="7"/>
  <c r="D486" i="7"/>
  <c r="A486" i="7"/>
  <c r="F485" i="7"/>
  <c r="D485" i="7"/>
  <c r="A485" i="7"/>
  <c r="F484" i="7"/>
  <c r="D484" i="7"/>
  <c r="A484" i="7"/>
  <c r="F483" i="7"/>
  <c r="D483" i="7"/>
  <c r="A483" i="7"/>
  <c r="F482" i="7"/>
  <c r="D482" i="7"/>
  <c r="A482" i="7"/>
  <c r="F481" i="7"/>
  <c r="D481" i="7"/>
  <c r="A481" i="7"/>
  <c r="F480" i="7"/>
  <c r="D480" i="7"/>
  <c r="A480" i="7"/>
  <c r="F479" i="7"/>
  <c r="D479" i="7"/>
  <c r="A479" i="7"/>
  <c r="F478" i="7"/>
  <c r="D478" i="7"/>
  <c r="A478" i="7"/>
  <c r="F477" i="7"/>
  <c r="D477" i="7"/>
  <c r="A477" i="7"/>
  <c r="F476" i="7"/>
  <c r="D476" i="7"/>
  <c r="A476" i="7"/>
  <c r="F475" i="7"/>
  <c r="D475" i="7"/>
  <c r="A475" i="7"/>
  <c r="F474" i="7"/>
  <c r="D474" i="7"/>
  <c r="A474" i="7"/>
  <c r="F473" i="7"/>
  <c r="D473" i="7"/>
  <c r="A473" i="7"/>
  <c r="F472" i="7"/>
  <c r="D472" i="7"/>
  <c r="A472" i="7"/>
  <c r="F471" i="7"/>
  <c r="D471" i="7"/>
  <c r="A471" i="7"/>
  <c r="F470" i="7"/>
  <c r="D470" i="7"/>
  <c r="A470" i="7"/>
  <c r="F469" i="7"/>
  <c r="D469" i="7"/>
  <c r="A469" i="7"/>
  <c r="F468" i="7"/>
  <c r="D468" i="7"/>
  <c r="A468" i="7"/>
  <c r="F467" i="7"/>
  <c r="D467" i="7"/>
  <c r="A467" i="7"/>
  <c r="F466" i="7"/>
  <c r="D466" i="7"/>
  <c r="A466" i="7"/>
  <c r="F465" i="7"/>
  <c r="D465" i="7"/>
  <c r="A465" i="7"/>
  <c r="F464" i="7"/>
  <c r="D464" i="7"/>
  <c r="A464" i="7"/>
  <c r="F463" i="7"/>
  <c r="D463" i="7"/>
  <c r="A463" i="7"/>
  <c r="F462" i="7"/>
  <c r="D462" i="7"/>
  <c r="A462" i="7"/>
  <c r="F461" i="7"/>
  <c r="D461" i="7"/>
  <c r="A461" i="7"/>
  <c r="F460" i="7"/>
  <c r="D460" i="7"/>
  <c r="A460" i="7"/>
  <c r="F459" i="7"/>
  <c r="D459" i="7"/>
  <c r="A459" i="7"/>
  <c r="F458" i="7"/>
  <c r="D458" i="7"/>
  <c r="A458" i="7"/>
  <c r="F457" i="7"/>
  <c r="D457" i="7"/>
  <c r="A457" i="7"/>
  <c r="F456" i="7"/>
  <c r="D456" i="7"/>
  <c r="A456" i="7"/>
  <c r="F455" i="7"/>
  <c r="D455" i="7"/>
  <c r="A455" i="7"/>
  <c r="F454" i="7"/>
  <c r="D454" i="7"/>
  <c r="A454" i="7"/>
  <c r="F453" i="7"/>
  <c r="D453" i="7"/>
  <c r="A453" i="7"/>
  <c r="F452" i="7"/>
  <c r="D452" i="7"/>
  <c r="A452" i="7"/>
  <c r="F451" i="7"/>
  <c r="D451" i="7"/>
  <c r="A451" i="7"/>
  <c r="F450" i="7"/>
  <c r="D450" i="7"/>
  <c r="A450" i="7"/>
  <c r="F449" i="7"/>
  <c r="D449" i="7"/>
  <c r="A449" i="7"/>
  <c r="F448" i="7"/>
  <c r="D448" i="7"/>
  <c r="A448" i="7"/>
  <c r="F447" i="7"/>
  <c r="D447" i="7"/>
  <c r="A447" i="7"/>
  <c r="F446" i="7"/>
  <c r="D446" i="7"/>
  <c r="A446" i="7"/>
  <c r="F445" i="7"/>
  <c r="D445" i="7"/>
  <c r="A445" i="7"/>
  <c r="F444" i="7"/>
  <c r="D444" i="7"/>
  <c r="A444" i="7"/>
  <c r="F443" i="7"/>
  <c r="D443" i="7"/>
  <c r="A443" i="7"/>
  <c r="F442" i="7"/>
  <c r="D442" i="7"/>
  <c r="A442" i="7"/>
  <c r="F441" i="7"/>
  <c r="D441" i="7"/>
  <c r="A441" i="7"/>
  <c r="F440" i="7"/>
  <c r="D440" i="7"/>
  <c r="A440" i="7"/>
  <c r="F439" i="7"/>
  <c r="D439" i="7"/>
  <c r="A439" i="7"/>
  <c r="F438" i="7"/>
  <c r="D438" i="7"/>
  <c r="A438" i="7"/>
  <c r="F437" i="7"/>
  <c r="D437" i="7"/>
  <c r="A437" i="7"/>
  <c r="F436" i="7"/>
  <c r="D436" i="7"/>
  <c r="A436" i="7"/>
  <c r="F435" i="7"/>
  <c r="D435" i="7"/>
  <c r="A435" i="7"/>
  <c r="F434" i="7"/>
  <c r="D434" i="7"/>
  <c r="A434" i="7"/>
  <c r="F433" i="7"/>
  <c r="D433" i="7"/>
  <c r="A433" i="7"/>
  <c r="F432" i="7"/>
  <c r="D432" i="7"/>
  <c r="A432" i="7"/>
  <c r="F431" i="7"/>
  <c r="D431" i="7"/>
  <c r="A431" i="7"/>
  <c r="F430" i="7"/>
  <c r="D430" i="7"/>
  <c r="A430" i="7"/>
  <c r="F429" i="7"/>
  <c r="D429" i="7"/>
  <c r="A429" i="7"/>
  <c r="F428" i="7"/>
  <c r="D428" i="7"/>
  <c r="A428" i="7"/>
  <c r="F427" i="7"/>
  <c r="D427" i="7"/>
  <c r="A427" i="7"/>
  <c r="F426" i="7"/>
  <c r="D426" i="7"/>
  <c r="A426" i="7"/>
  <c r="F425" i="7"/>
  <c r="D425" i="7"/>
  <c r="A425" i="7"/>
  <c r="F424" i="7"/>
  <c r="D424" i="7"/>
  <c r="A424" i="7"/>
  <c r="F423" i="7"/>
  <c r="D423" i="7"/>
  <c r="A423" i="7"/>
  <c r="F422" i="7"/>
  <c r="D422" i="7"/>
  <c r="A422" i="7"/>
  <c r="F421" i="7"/>
  <c r="D421" i="7"/>
  <c r="A421" i="7"/>
  <c r="F420" i="7"/>
  <c r="D420" i="7"/>
  <c r="A420" i="7"/>
  <c r="F419" i="7"/>
  <c r="D419" i="7"/>
  <c r="A419" i="7"/>
  <c r="F418" i="7"/>
  <c r="D418" i="7"/>
  <c r="A418" i="7"/>
  <c r="F417" i="7"/>
  <c r="D417" i="7"/>
  <c r="A417" i="7"/>
  <c r="F416" i="7"/>
  <c r="D416" i="7"/>
  <c r="A416" i="7"/>
  <c r="F415" i="7"/>
  <c r="D415" i="7"/>
  <c r="A415" i="7"/>
  <c r="F414" i="7"/>
  <c r="D414" i="7"/>
  <c r="A414" i="7"/>
  <c r="F413" i="7"/>
  <c r="D413" i="7"/>
  <c r="A413" i="7"/>
  <c r="F412" i="7"/>
  <c r="D412" i="7"/>
  <c r="A412" i="7"/>
  <c r="F411" i="7"/>
  <c r="D411" i="7"/>
  <c r="A411" i="7"/>
  <c r="F410" i="7"/>
  <c r="D410" i="7"/>
  <c r="A410" i="7"/>
  <c r="F409" i="7"/>
  <c r="D409" i="7"/>
  <c r="A409" i="7"/>
  <c r="F408" i="7"/>
  <c r="D408" i="7"/>
  <c r="A408" i="7"/>
  <c r="F407" i="7"/>
  <c r="D407" i="7"/>
  <c r="A407" i="7"/>
  <c r="F406" i="7"/>
  <c r="D406" i="7"/>
  <c r="A406" i="7"/>
  <c r="F405" i="7"/>
  <c r="D405" i="7"/>
  <c r="A405" i="7"/>
  <c r="F404" i="7"/>
  <c r="D404" i="7"/>
  <c r="A404" i="7"/>
  <c r="F403" i="7"/>
  <c r="D403" i="7"/>
  <c r="A403" i="7"/>
  <c r="F402" i="7"/>
  <c r="D402" i="7"/>
  <c r="A402" i="7"/>
  <c r="F401" i="7"/>
  <c r="D401" i="7"/>
  <c r="A401" i="7"/>
  <c r="F400" i="7"/>
  <c r="D400" i="7"/>
  <c r="A400" i="7"/>
  <c r="F399" i="7"/>
  <c r="D399" i="7"/>
  <c r="A399" i="7"/>
  <c r="F398" i="7"/>
  <c r="D398" i="7"/>
  <c r="A398" i="7"/>
  <c r="F397" i="7"/>
  <c r="D397" i="7"/>
  <c r="A397" i="7"/>
  <c r="F396" i="7"/>
  <c r="D396" i="7"/>
  <c r="A396" i="7"/>
  <c r="F395" i="7"/>
  <c r="D395" i="7"/>
  <c r="A395" i="7"/>
  <c r="F394" i="7"/>
  <c r="D394" i="7"/>
  <c r="A394" i="7"/>
  <c r="F393" i="7"/>
  <c r="D393" i="7"/>
  <c r="A393" i="7"/>
  <c r="F392" i="7"/>
  <c r="D392" i="7"/>
  <c r="A392" i="7"/>
  <c r="F391" i="7"/>
  <c r="D391" i="7"/>
  <c r="A391" i="7"/>
  <c r="F390" i="7"/>
  <c r="D390" i="7"/>
  <c r="A390" i="7"/>
  <c r="F389" i="7"/>
  <c r="D389" i="7"/>
  <c r="A389" i="7"/>
  <c r="F388" i="7"/>
  <c r="D388" i="7"/>
  <c r="A388" i="7"/>
  <c r="F387" i="7"/>
  <c r="D387" i="7"/>
  <c r="A387" i="7"/>
  <c r="F386" i="7"/>
  <c r="D386" i="7"/>
  <c r="A386" i="7"/>
  <c r="F385" i="7"/>
  <c r="D385" i="7"/>
  <c r="A385" i="7"/>
  <c r="F384" i="7"/>
  <c r="D384" i="7"/>
  <c r="A384" i="7"/>
  <c r="F383" i="7"/>
  <c r="D383" i="7"/>
  <c r="A383" i="7"/>
  <c r="F382" i="7"/>
  <c r="D382" i="7"/>
  <c r="A382" i="7"/>
  <c r="F381" i="7"/>
  <c r="D381" i="7"/>
  <c r="A381" i="7"/>
  <c r="F380" i="7"/>
  <c r="D380" i="7"/>
  <c r="A380" i="7"/>
  <c r="F379" i="7"/>
  <c r="D379" i="7"/>
  <c r="A379" i="7"/>
  <c r="F378" i="7"/>
  <c r="D378" i="7"/>
  <c r="A378" i="7"/>
  <c r="F377" i="7"/>
  <c r="D377" i="7"/>
  <c r="A377" i="7"/>
  <c r="F376" i="7"/>
  <c r="D376" i="7"/>
  <c r="A376" i="7"/>
  <c r="F375" i="7"/>
  <c r="D375" i="7"/>
  <c r="A375" i="7"/>
  <c r="F374" i="7"/>
  <c r="D374" i="7"/>
  <c r="A374" i="7"/>
  <c r="F373" i="7"/>
  <c r="D373" i="7"/>
  <c r="A373" i="7"/>
  <c r="F372" i="7"/>
  <c r="D372" i="7"/>
  <c r="A372" i="7"/>
  <c r="F371" i="7"/>
  <c r="D371" i="7"/>
  <c r="A371" i="7"/>
  <c r="F370" i="7"/>
  <c r="D370" i="7"/>
  <c r="A370" i="7"/>
  <c r="F369" i="7"/>
  <c r="D369" i="7"/>
  <c r="A369" i="7"/>
  <c r="F368" i="7"/>
  <c r="D368" i="7"/>
  <c r="A368" i="7"/>
  <c r="F367" i="7"/>
  <c r="D367" i="7"/>
  <c r="A367" i="7"/>
  <c r="F366" i="7"/>
  <c r="D366" i="7"/>
  <c r="A366" i="7"/>
  <c r="F365" i="7"/>
  <c r="D365" i="7"/>
  <c r="A365" i="7"/>
  <c r="F364" i="7"/>
  <c r="D364" i="7"/>
  <c r="A364" i="7"/>
  <c r="F363" i="7"/>
  <c r="D363" i="7"/>
  <c r="A363" i="7"/>
  <c r="F362" i="7"/>
  <c r="D362" i="7"/>
  <c r="A362" i="7"/>
  <c r="F361" i="7"/>
  <c r="D361" i="7"/>
  <c r="A361" i="7"/>
  <c r="F360" i="7"/>
  <c r="D360" i="7"/>
  <c r="A360" i="7"/>
  <c r="F359" i="7"/>
  <c r="D359" i="7"/>
  <c r="A359" i="7"/>
  <c r="F358" i="7"/>
  <c r="D358" i="7"/>
  <c r="A358" i="7"/>
  <c r="F357" i="7"/>
  <c r="D357" i="7"/>
  <c r="A357" i="7"/>
  <c r="F356" i="7"/>
  <c r="D356" i="7"/>
  <c r="A356" i="7"/>
  <c r="F355" i="7"/>
  <c r="D355" i="7"/>
  <c r="A355" i="7"/>
  <c r="F354" i="7"/>
  <c r="D354" i="7"/>
  <c r="A354" i="7"/>
  <c r="F353" i="7"/>
  <c r="D353" i="7"/>
  <c r="A353" i="7"/>
  <c r="F352" i="7"/>
  <c r="D352" i="7"/>
  <c r="A352" i="7"/>
  <c r="F351" i="7"/>
  <c r="D351" i="7"/>
  <c r="A351" i="7"/>
  <c r="F350" i="7"/>
  <c r="D350" i="7"/>
  <c r="A350" i="7"/>
  <c r="F349" i="7"/>
  <c r="D349" i="7"/>
  <c r="A349" i="7"/>
  <c r="F348" i="7"/>
  <c r="D348" i="7"/>
  <c r="A348" i="7"/>
  <c r="F347" i="7"/>
  <c r="D347" i="7"/>
  <c r="A347" i="7"/>
  <c r="F346" i="7"/>
  <c r="D346" i="7"/>
  <c r="A346" i="7"/>
  <c r="F345" i="7"/>
  <c r="D345" i="7"/>
  <c r="A345" i="7"/>
  <c r="F344" i="7"/>
  <c r="D344" i="7"/>
  <c r="A344" i="7"/>
  <c r="F343" i="7"/>
  <c r="D343" i="7"/>
  <c r="A343" i="7"/>
  <c r="F342" i="7"/>
  <c r="D342" i="7"/>
  <c r="A342" i="7"/>
  <c r="F341" i="7"/>
  <c r="D341" i="7"/>
  <c r="A341" i="7"/>
  <c r="F340" i="7"/>
  <c r="D340" i="7"/>
  <c r="A340" i="7"/>
  <c r="F339" i="7"/>
  <c r="D339" i="7"/>
  <c r="A339" i="7"/>
  <c r="F338" i="7"/>
  <c r="D338" i="7"/>
  <c r="A338" i="7"/>
  <c r="F337" i="7"/>
  <c r="D337" i="7"/>
  <c r="A337" i="7"/>
  <c r="F336" i="7"/>
  <c r="D336" i="7"/>
  <c r="A336" i="7"/>
  <c r="F335" i="7"/>
  <c r="D335" i="7"/>
  <c r="A335" i="7"/>
  <c r="F334" i="7"/>
  <c r="D334" i="7"/>
  <c r="A334" i="7"/>
  <c r="F333" i="7"/>
  <c r="D333" i="7"/>
  <c r="A333" i="7"/>
  <c r="F332" i="7"/>
  <c r="D332" i="7"/>
  <c r="A332" i="7"/>
  <c r="F331" i="7"/>
  <c r="D331" i="7"/>
  <c r="A331" i="7"/>
  <c r="F330" i="7"/>
  <c r="D330" i="7"/>
  <c r="A330" i="7"/>
  <c r="F329" i="7"/>
  <c r="D329" i="7"/>
  <c r="A329" i="7"/>
  <c r="F328" i="7"/>
  <c r="D328" i="7"/>
  <c r="A328" i="7"/>
  <c r="F327" i="7"/>
  <c r="D327" i="7"/>
  <c r="A327" i="7"/>
  <c r="F326" i="7"/>
  <c r="D326" i="7"/>
  <c r="A326" i="7"/>
  <c r="F325" i="7"/>
  <c r="D325" i="7"/>
  <c r="A325" i="7"/>
  <c r="F324" i="7"/>
  <c r="D324" i="7"/>
  <c r="A324" i="7"/>
  <c r="F323" i="7"/>
  <c r="D323" i="7"/>
  <c r="A323" i="7"/>
  <c r="F322" i="7"/>
  <c r="D322" i="7"/>
  <c r="A322" i="7"/>
  <c r="F321" i="7"/>
  <c r="D321" i="7"/>
  <c r="A321" i="7"/>
  <c r="F320" i="7"/>
  <c r="D320" i="7"/>
  <c r="A320" i="7"/>
  <c r="F319" i="7"/>
  <c r="D319" i="7"/>
  <c r="A319" i="7"/>
  <c r="F318" i="7"/>
  <c r="D318" i="7"/>
  <c r="A318" i="7"/>
  <c r="F317" i="7"/>
  <c r="D317" i="7"/>
  <c r="A317" i="7"/>
  <c r="F316" i="7"/>
  <c r="D316" i="7"/>
  <c r="A316" i="7"/>
  <c r="F315" i="7"/>
  <c r="D315" i="7"/>
  <c r="A315" i="7"/>
  <c r="F314" i="7"/>
  <c r="D314" i="7"/>
  <c r="A314" i="7"/>
  <c r="F313" i="7"/>
  <c r="D313" i="7"/>
  <c r="A313" i="7"/>
  <c r="F312" i="7"/>
  <c r="D312" i="7"/>
  <c r="A312" i="7"/>
  <c r="F311" i="7"/>
  <c r="D311" i="7"/>
  <c r="A311" i="7"/>
  <c r="F310" i="7"/>
  <c r="D310" i="7"/>
  <c r="A310" i="7"/>
  <c r="F309" i="7"/>
  <c r="D309" i="7"/>
  <c r="A309" i="7"/>
  <c r="F308" i="7"/>
  <c r="D308" i="7"/>
  <c r="A308" i="7"/>
  <c r="F307" i="7"/>
  <c r="D307" i="7"/>
  <c r="A307" i="7"/>
  <c r="F306" i="7"/>
  <c r="D306" i="7"/>
  <c r="A306" i="7"/>
  <c r="F305" i="7"/>
  <c r="D305" i="7"/>
  <c r="A305" i="7"/>
  <c r="F304" i="7"/>
  <c r="D304" i="7"/>
  <c r="A304" i="7"/>
  <c r="F303" i="7"/>
  <c r="D303" i="7"/>
  <c r="A303" i="7"/>
  <c r="F302" i="7"/>
  <c r="D302" i="7"/>
  <c r="A302" i="7"/>
  <c r="F301" i="7"/>
  <c r="D301" i="7"/>
  <c r="A301" i="7"/>
  <c r="F300" i="7"/>
  <c r="D300" i="7"/>
  <c r="A300" i="7"/>
  <c r="F299" i="7"/>
  <c r="D299" i="7"/>
  <c r="A299" i="7"/>
  <c r="F298" i="7"/>
  <c r="D298" i="7"/>
  <c r="A298" i="7"/>
  <c r="F297" i="7"/>
  <c r="D297" i="7"/>
  <c r="A297" i="7"/>
  <c r="F296" i="7"/>
  <c r="D296" i="7"/>
  <c r="A296" i="7"/>
  <c r="F295" i="7"/>
  <c r="D295" i="7"/>
  <c r="A295" i="7"/>
  <c r="F294" i="7"/>
  <c r="D294" i="7"/>
  <c r="A294" i="7"/>
  <c r="F293" i="7"/>
  <c r="D293" i="7"/>
  <c r="A293" i="7"/>
  <c r="F292" i="7"/>
  <c r="D292" i="7"/>
  <c r="A292" i="7"/>
  <c r="F291" i="7"/>
  <c r="D291" i="7"/>
  <c r="A291" i="7"/>
  <c r="F290" i="7"/>
  <c r="D290" i="7"/>
  <c r="A290" i="7"/>
  <c r="F289" i="7"/>
  <c r="D289" i="7"/>
  <c r="A289" i="7"/>
  <c r="F288" i="7"/>
  <c r="D288" i="7"/>
  <c r="A288" i="7"/>
  <c r="F287" i="7"/>
  <c r="D287" i="7"/>
  <c r="A287" i="7"/>
  <c r="F286" i="7"/>
  <c r="D286" i="7"/>
  <c r="A286" i="7"/>
  <c r="F285" i="7"/>
  <c r="D285" i="7"/>
  <c r="A285" i="7"/>
  <c r="F284" i="7"/>
  <c r="D284" i="7"/>
  <c r="A284" i="7"/>
  <c r="F283" i="7"/>
  <c r="D283" i="7"/>
  <c r="A283" i="7"/>
  <c r="F282" i="7"/>
  <c r="D282" i="7"/>
  <c r="A282" i="7"/>
  <c r="F281" i="7"/>
  <c r="D281" i="7"/>
  <c r="A281" i="7"/>
  <c r="F280" i="7"/>
  <c r="D280" i="7"/>
  <c r="A280" i="7"/>
  <c r="F279" i="7"/>
  <c r="D279" i="7"/>
  <c r="A279" i="7"/>
  <c r="F278" i="7"/>
  <c r="D278" i="7"/>
  <c r="A278" i="7"/>
  <c r="F277" i="7"/>
  <c r="D277" i="7"/>
  <c r="A277" i="7"/>
  <c r="F276" i="7"/>
  <c r="D276" i="7"/>
  <c r="A276" i="7"/>
  <c r="F275" i="7"/>
  <c r="D275" i="7"/>
  <c r="A275" i="7"/>
  <c r="F274" i="7"/>
  <c r="D274" i="7"/>
  <c r="A274" i="7"/>
  <c r="F273" i="7"/>
  <c r="D273" i="7"/>
  <c r="A273" i="7"/>
  <c r="F272" i="7"/>
  <c r="D272" i="7"/>
  <c r="A272" i="7"/>
  <c r="F271" i="7"/>
  <c r="D271" i="7"/>
  <c r="A271" i="7"/>
  <c r="F270" i="7"/>
  <c r="D270" i="7"/>
  <c r="A270" i="7"/>
  <c r="F269" i="7"/>
  <c r="D269" i="7"/>
  <c r="A269" i="7"/>
  <c r="F268" i="7"/>
  <c r="D268" i="7"/>
  <c r="A268" i="7"/>
  <c r="F267" i="7"/>
  <c r="D267" i="7"/>
  <c r="A267" i="7"/>
  <c r="F266" i="7"/>
  <c r="D266" i="7"/>
  <c r="A266" i="7"/>
  <c r="F265" i="7"/>
  <c r="D265" i="7"/>
  <c r="A265" i="7"/>
  <c r="F264" i="7"/>
  <c r="D264" i="7"/>
  <c r="A264" i="7"/>
  <c r="F263" i="7"/>
  <c r="D263" i="7"/>
  <c r="A263" i="7"/>
  <c r="F262" i="7"/>
  <c r="D262" i="7"/>
  <c r="A262" i="7"/>
  <c r="F261" i="7"/>
  <c r="D261" i="7"/>
  <c r="A261" i="7"/>
  <c r="F260" i="7"/>
  <c r="D260" i="7"/>
  <c r="A260" i="7"/>
  <c r="F259" i="7"/>
  <c r="D259" i="7"/>
  <c r="A259" i="7"/>
  <c r="F258" i="7"/>
  <c r="D258" i="7"/>
  <c r="A258" i="7"/>
  <c r="F257" i="7"/>
  <c r="D257" i="7"/>
  <c r="A257" i="7"/>
  <c r="F256" i="7"/>
  <c r="D256" i="7"/>
  <c r="A256" i="7"/>
  <c r="F255" i="7"/>
  <c r="D255" i="7"/>
  <c r="A255" i="7"/>
  <c r="F254" i="7"/>
  <c r="D254" i="7"/>
  <c r="A254" i="7"/>
  <c r="F253" i="7"/>
  <c r="D253" i="7"/>
  <c r="A253" i="7"/>
  <c r="F252" i="7"/>
  <c r="D252" i="7"/>
  <c r="A252" i="7"/>
  <c r="F251" i="7"/>
  <c r="D251" i="7"/>
  <c r="A251" i="7"/>
  <c r="F250" i="7"/>
  <c r="D250" i="7"/>
  <c r="A250" i="7"/>
  <c r="F249" i="7"/>
  <c r="D249" i="7"/>
  <c r="A249" i="7"/>
  <c r="F248" i="7"/>
  <c r="D248" i="7"/>
  <c r="A248" i="7"/>
  <c r="F247" i="7"/>
  <c r="D247" i="7"/>
  <c r="A247" i="7"/>
  <c r="F246" i="7"/>
  <c r="D246" i="7"/>
  <c r="A246" i="7"/>
  <c r="F245" i="7"/>
  <c r="D245" i="7"/>
  <c r="A245" i="7"/>
  <c r="F244" i="7"/>
  <c r="D244" i="7"/>
  <c r="A244" i="7"/>
  <c r="F243" i="7"/>
  <c r="D243" i="7"/>
  <c r="A243" i="7"/>
  <c r="F242" i="7"/>
  <c r="D242" i="7"/>
  <c r="A242" i="7"/>
  <c r="F241" i="7"/>
  <c r="D241" i="7"/>
  <c r="A241" i="7"/>
  <c r="F240" i="7"/>
  <c r="D240" i="7"/>
  <c r="A240" i="7"/>
  <c r="F239" i="7"/>
  <c r="D239" i="7"/>
  <c r="A239" i="7"/>
  <c r="F238" i="7"/>
  <c r="D238" i="7"/>
  <c r="A238" i="7"/>
  <c r="F237" i="7"/>
  <c r="D237" i="7"/>
  <c r="A237" i="7"/>
  <c r="F236" i="7"/>
  <c r="D236" i="7"/>
  <c r="A236" i="7"/>
  <c r="F235" i="7"/>
  <c r="D235" i="7"/>
  <c r="A235" i="7"/>
  <c r="F234" i="7"/>
  <c r="D234" i="7"/>
  <c r="A234" i="7"/>
  <c r="F233" i="7"/>
  <c r="D233" i="7"/>
  <c r="A233" i="7"/>
  <c r="F232" i="7"/>
  <c r="D232" i="7"/>
  <c r="A232" i="7"/>
  <c r="F231" i="7"/>
  <c r="D231" i="7"/>
  <c r="A231" i="7"/>
  <c r="F230" i="7"/>
  <c r="D230" i="7"/>
  <c r="A230" i="7"/>
  <c r="F229" i="7"/>
  <c r="D229" i="7"/>
  <c r="A229" i="7"/>
  <c r="F228" i="7"/>
  <c r="D228" i="7"/>
  <c r="A228" i="7"/>
  <c r="F227" i="7"/>
  <c r="D227" i="7"/>
  <c r="A227" i="7"/>
  <c r="F226" i="7"/>
  <c r="D226" i="7"/>
  <c r="A226" i="7"/>
  <c r="F225" i="7"/>
  <c r="D225" i="7"/>
  <c r="A225" i="7"/>
  <c r="F224" i="7"/>
  <c r="D224" i="7"/>
  <c r="A224" i="7"/>
  <c r="F223" i="7"/>
  <c r="D223" i="7"/>
  <c r="A223" i="7"/>
  <c r="F222" i="7"/>
  <c r="D222" i="7"/>
  <c r="A222" i="7"/>
  <c r="F221" i="7"/>
  <c r="D221" i="7"/>
  <c r="A221" i="7"/>
  <c r="F220" i="7"/>
  <c r="D220" i="7"/>
  <c r="A220" i="7"/>
  <c r="F219" i="7"/>
  <c r="D219" i="7"/>
  <c r="A219" i="7"/>
  <c r="F218" i="7"/>
  <c r="D218" i="7"/>
  <c r="A218" i="7"/>
  <c r="F217" i="7"/>
  <c r="D217" i="7"/>
  <c r="A217" i="7"/>
  <c r="F216" i="7"/>
  <c r="D216" i="7"/>
  <c r="A216" i="7"/>
  <c r="F215" i="7"/>
  <c r="D215" i="7"/>
  <c r="A215" i="7"/>
  <c r="F214" i="7"/>
  <c r="D214" i="7"/>
  <c r="A214" i="7"/>
  <c r="F213" i="7"/>
  <c r="D213" i="7"/>
  <c r="A213" i="7"/>
  <c r="F212" i="7"/>
  <c r="D212" i="7"/>
  <c r="A212" i="7"/>
  <c r="F211" i="7"/>
  <c r="D211" i="7"/>
  <c r="A211" i="7"/>
  <c r="F210" i="7"/>
  <c r="D210" i="7"/>
  <c r="A210" i="7"/>
  <c r="F209" i="7"/>
  <c r="D209" i="7"/>
  <c r="A209" i="7"/>
  <c r="F208" i="7"/>
  <c r="D208" i="7"/>
  <c r="A208" i="7"/>
  <c r="F207" i="7"/>
  <c r="D207" i="7"/>
  <c r="A207" i="7"/>
  <c r="F206" i="7"/>
  <c r="D206" i="7"/>
  <c r="A206" i="7"/>
  <c r="F205" i="7"/>
  <c r="D205" i="7"/>
  <c r="A205" i="7"/>
  <c r="F204" i="7"/>
  <c r="D204" i="7"/>
  <c r="A204" i="7"/>
  <c r="F203" i="7"/>
  <c r="D203" i="7"/>
  <c r="A203" i="7"/>
  <c r="F202" i="7"/>
  <c r="D202" i="7"/>
  <c r="A202" i="7"/>
  <c r="F201" i="7"/>
  <c r="D201" i="7"/>
  <c r="A201" i="7"/>
  <c r="F200" i="7"/>
  <c r="D200" i="7"/>
  <c r="A200" i="7"/>
  <c r="F199" i="7"/>
  <c r="D199" i="7"/>
  <c r="A199" i="7"/>
  <c r="F198" i="7"/>
  <c r="D198" i="7"/>
  <c r="A198" i="7"/>
  <c r="F197" i="7"/>
  <c r="D197" i="7"/>
  <c r="A197" i="7"/>
  <c r="F196" i="7"/>
  <c r="D196" i="7"/>
  <c r="A196" i="7"/>
  <c r="F195" i="7"/>
  <c r="D195" i="7"/>
  <c r="A195" i="7"/>
  <c r="F194" i="7"/>
  <c r="D194" i="7"/>
  <c r="A194" i="7"/>
  <c r="F193" i="7"/>
  <c r="D193" i="7"/>
  <c r="A193" i="7"/>
  <c r="F192" i="7"/>
  <c r="D192" i="7"/>
  <c r="A192" i="7"/>
  <c r="F191" i="7"/>
  <c r="D191" i="7"/>
  <c r="A191" i="7"/>
  <c r="F190" i="7"/>
  <c r="D190" i="7"/>
  <c r="A190" i="7"/>
  <c r="F189" i="7"/>
  <c r="D189" i="7"/>
  <c r="A189" i="7"/>
  <c r="F188" i="7"/>
  <c r="D188" i="7"/>
  <c r="A188" i="7"/>
  <c r="F187" i="7"/>
  <c r="D187" i="7"/>
  <c r="A187" i="7"/>
  <c r="F186" i="7"/>
  <c r="D186" i="7"/>
  <c r="A186" i="7"/>
  <c r="F185" i="7"/>
  <c r="D185" i="7"/>
  <c r="A185" i="7"/>
  <c r="F184" i="7"/>
  <c r="D184" i="7"/>
  <c r="A184" i="7"/>
  <c r="F183" i="7"/>
  <c r="D183" i="7"/>
  <c r="A183" i="7"/>
  <c r="F182" i="7"/>
  <c r="D182" i="7"/>
  <c r="A182" i="7"/>
  <c r="F181" i="7"/>
  <c r="D181" i="7"/>
  <c r="A181" i="7"/>
  <c r="F180" i="7"/>
  <c r="D180" i="7"/>
  <c r="A180" i="7"/>
  <c r="F179" i="7"/>
  <c r="D179" i="7"/>
  <c r="A179" i="7"/>
  <c r="F178" i="7"/>
  <c r="D178" i="7"/>
  <c r="A178" i="7"/>
  <c r="F177" i="7"/>
  <c r="D177" i="7"/>
  <c r="A177" i="7"/>
  <c r="F176" i="7"/>
  <c r="D176" i="7"/>
  <c r="A176" i="7"/>
  <c r="F175" i="7"/>
  <c r="D175" i="7"/>
  <c r="A175" i="7"/>
  <c r="F174" i="7"/>
  <c r="D174" i="7"/>
  <c r="A174" i="7"/>
  <c r="F173" i="7"/>
  <c r="D173" i="7"/>
  <c r="A173" i="7"/>
  <c r="F172" i="7"/>
  <c r="D172" i="7"/>
  <c r="A172" i="7"/>
  <c r="F171" i="7"/>
  <c r="D171" i="7"/>
  <c r="A171" i="7"/>
  <c r="F170" i="7"/>
  <c r="D170" i="7"/>
  <c r="A170" i="7"/>
  <c r="F169" i="7"/>
  <c r="D169" i="7"/>
  <c r="A169" i="7"/>
  <c r="F168" i="7"/>
  <c r="D168" i="7"/>
  <c r="A168" i="7"/>
  <c r="F167" i="7"/>
  <c r="D167" i="7"/>
  <c r="A167" i="7"/>
  <c r="F166" i="7"/>
  <c r="D166" i="7"/>
  <c r="A166" i="7"/>
  <c r="F165" i="7"/>
  <c r="D165" i="7"/>
  <c r="A165" i="7"/>
  <c r="F164" i="7"/>
  <c r="D164" i="7"/>
  <c r="A164" i="7"/>
  <c r="F163" i="7"/>
  <c r="D163" i="7"/>
  <c r="A163" i="7"/>
  <c r="F162" i="7"/>
  <c r="D162" i="7"/>
  <c r="A162" i="7"/>
  <c r="F161" i="7"/>
  <c r="D161" i="7"/>
  <c r="A161" i="7"/>
  <c r="F160" i="7"/>
  <c r="D160" i="7"/>
  <c r="A160" i="7"/>
  <c r="F159" i="7"/>
  <c r="D159" i="7"/>
  <c r="A159" i="7"/>
  <c r="F158" i="7"/>
  <c r="D158" i="7"/>
  <c r="A158" i="7"/>
  <c r="F157" i="7"/>
  <c r="D157" i="7"/>
  <c r="A157" i="7"/>
  <c r="F156" i="7"/>
  <c r="D156" i="7"/>
  <c r="A156" i="7"/>
  <c r="F155" i="7"/>
  <c r="D155" i="7"/>
  <c r="A155" i="7"/>
  <c r="F154" i="7"/>
  <c r="D154" i="7"/>
  <c r="A154" i="7"/>
  <c r="F153" i="7"/>
  <c r="D153" i="7"/>
  <c r="A153" i="7"/>
  <c r="F152" i="7"/>
  <c r="D152" i="7"/>
  <c r="A152" i="7"/>
  <c r="F151" i="7"/>
  <c r="D151" i="7"/>
  <c r="A151" i="7"/>
  <c r="F150" i="7"/>
  <c r="D150" i="7"/>
  <c r="A150" i="7"/>
  <c r="F149" i="7"/>
  <c r="D149" i="7"/>
  <c r="A149" i="7"/>
  <c r="F148" i="7"/>
  <c r="D148" i="7"/>
  <c r="A148" i="7"/>
  <c r="F147" i="7"/>
  <c r="D147" i="7"/>
  <c r="A147" i="7"/>
  <c r="F146" i="7"/>
  <c r="D146" i="7"/>
  <c r="A146" i="7"/>
  <c r="F145" i="7"/>
  <c r="D145" i="7"/>
  <c r="A145" i="7"/>
  <c r="F144" i="7"/>
  <c r="D144" i="7"/>
  <c r="A144" i="7"/>
  <c r="F143" i="7"/>
  <c r="D143" i="7"/>
  <c r="A143" i="7"/>
  <c r="F142" i="7"/>
  <c r="D142" i="7"/>
  <c r="A142" i="7"/>
  <c r="F141" i="7"/>
  <c r="D141" i="7"/>
  <c r="A141" i="7"/>
  <c r="F140" i="7"/>
  <c r="D140" i="7"/>
  <c r="A140" i="7"/>
  <c r="F139" i="7"/>
  <c r="D139" i="7"/>
  <c r="A139" i="7"/>
  <c r="F138" i="7"/>
  <c r="D138" i="7"/>
  <c r="A138" i="7"/>
  <c r="F137" i="7"/>
  <c r="D137" i="7"/>
  <c r="A137" i="7"/>
  <c r="F136" i="7"/>
  <c r="D136" i="7"/>
  <c r="A136" i="7"/>
  <c r="F135" i="7"/>
  <c r="D135" i="7"/>
  <c r="A135" i="7"/>
  <c r="F134" i="7"/>
  <c r="D134" i="7"/>
  <c r="A134" i="7"/>
  <c r="F133" i="7"/>
  <c r="D133" i="7"/>
  <c r="A133" i="7"/>
  <c r="F132" i="7"/>
  <c r="D132" i="7"/>
  <c r="A132" i="7"/>
  <c r="F131" i="7"/>
  <c r="D131" i="7"/>
  <c r="A131" i="7"/>
  <c r="F130" i="7"/>
  <c r="D130" i="7"/>
  <c r="A130" i="7"/>
  <c r="F129" i="7"/>
  <c r="D129" i="7"/>
  <c r="A129" i="7"/>
  <c r="F128" i="7"/>
  <c r="D128" i="7"/>
  <c r="A128" i="7"/>
  <c r="F127" i="7"/>
  <c r="D127" i="7"/>
  <c r="A127" i="7"/>
  <c r="F126" i="7"/>
  <c r="D126" i="7"/>
  <c r="A126" i="7"/>
  <c r="F125" i="7"/>
  <c r="D125" i="7"/>
  <c r="A125" i="7"/>
  <c r="F124" i="7"/>
  <c r="D124" i="7"/>
  <c r="A124" i="7"/>
  <c r="F123" i="7"/>
  <c r="D123" i="7"/>
  <c r="A123" i="7"/>
  <c r="F122" i="7"/>
  <c r="D122" i="7"/>
  <c r="A122" i="7"/>
  <c r="F121" i="7"/>
  <c r="D121" i="7"/>
  <c r="A121" i="7"/>
  <c r="F120" i="7"/>
  <c r="D120" i="7"/>
  <c r="A120" i="7"/>
  <c r="F119" i="7"/>
  <c r="D119" i="7"/>
  <c r="A119" i="7"/>
  <c r="F118" i="7"/>
  <c r="D118" i="7"/>
  <c r="A118" i="7"/>
  <c r="F117" i="7"/>
  <c r="D117" i="7"/>
  <c r="A117" i="7"/>
  <c r="F116" i="7"/>
  <c r="D116" i="7"/>
  <c r="A116" i="7"/>
  <c r="F115" i="7"/>
  <c r="D115" i="7"/>
  <c r="A115" i="7"/>
  <c r="F114" i="7"/>
  <c r="D114" i="7"/>
  <c r="A114" i="7"/>
  <c r="F113" i="7"/>
  <c r="D113" i="7"/>
  <c r="A113" i="7"/>
  <c r="F112" i="7"/>
  <c r="D112" i="7"/>
  <c r="A112" i="7"/>
  <c r="F111" i="7"/>
  <c r="D111" i="7"/>
  <c r="A111" i="7"/>
  <c r="F110" i="7"/>
  <c r="D110" i="7"/>
  <c r="A110" i="7"/>
  <c r="F109" i="7"/>
  <c r="D109" i="7"/>
  <c r="A109" i="7"/>
  <c r="F108" i="7"/>
  <c r="D108" i="7"/>
  <c r="A108" i="7"/>
  <c r="F107" i="7"/>
  <c r="D107" i="7"/>
  <c r="A107" i="7"/>
  <c r="F106" i="7"/>
  <c r="D106" i="7"/>
  <c r="A106" i="7"/>
  <c r="F105" i="7"/>
  <c r="D105" i="7"/>
  <c r="A105" i="7"/>
  <c r="F104" i="7"/>
  <c r="D104" i="7"/>
  <c r="A104" i="7"/>
  <c r="F103" i="7"/>
  <c r="D103" i="7"/>
  <c r="A103" i="7"/>
  <c r="F102" i="7"/>
  <c r="D102" i="7"/>
  <c r="A102" i="7"/>
  <c r="F101" i="7"/>
  <c r="D101" i="7"/>
  <c r="A101" i="7"/>
  <c r="F100" i="7"/>
  <c r="D100" i="7"/>
  <c r="A100" i="7"/>
  <c r="F99" i="7"/>
  <c r="D99" i="7"/>
  <c r="A99" i="7"/>
  <c r="F98" i="7"/>
  <c r="D98" i="7"/>
  <c r="A98" i="7"/>
  <c r="F97" i="7"/>
  <c r="D97" i="7"/>
  <c r="A97" i="7"/>
  <c r="F96" i="7"/>
  <c r="D96" i="7"/>
  <c r="A96" i="7"/>
  <c r="F95" i="7"/>
  <c r="D95" i="7"/>
  <c r="A95" i="7"/>
  <c r="F94" i="7"/>
  <c r="D94" i="7"/>
  <c r="A94" i="7"/>
  <c r="F93" i="7"/>
  <c r="D93" i="7"/>
  <c r="A93" i="7"/>
  <c r="F92" i="7"/>
  <c r="D92" i="7"/>
  <c r="A92" i="7"/>
  <c r="F91" i="7"/>
  <c r="D91" i="7"/>
  <c r="A91" i="7"/>
  <c r="F90" i="7"/>
  <c r="D90" i="7"/>
  <c r="A90" i="7"/>
  <c r="F89" i="7"/>
  <c r="D89" i="7"/>
  <c r="A89" i="7"/>
  <c r="F88" i="7"/>
  <c r="D88" i="7"/>
  <c r="A88" i="7"/>
  <c r="F87" i="7"/>
  <c r="D87" i="7"/>
  <c r="A87" i="7"/>
  <c r="F86" i="7"/>
  <c r="D86" i="7"/>
  <c r="A86" i="7"/>
  <c r="F85" i="7"/>
  <c r="D85" i="7"/>
  <c r="A85" i="7"/>
  <c r="F84" i="7"/>
  <c r="D84" i="7"/>
  <c r="A84" i="7"/>
  <c r="F83" i="7"/>
  <c r="D83" i="7"/>
  <c r="A83" i="7"/>
  <c r="F82" i="7"/>
  <c r="D82" i="7"/>
  <c r="A82" i="7"/>
  <c r="F81" i="7"/>
  <c r="D81" i="7"/>
  <c r="A81" i="7"/>
  <c r="F80" i="7"/>
  <c r="D80" i="7"/>
  <c r="A80" i="7"/>
  <c r="F79" i="7"/>
  <c r="D79" i="7"/>
  <c r="A79" i="7"/>
  <c r="F78" i="7"/>
  <c r="D78" i="7"/>
  <c r="A78" i="7"/>
  <c r="F77" i="7"/>
  <c r="D77" i="7"/>
  <c r="A77" i="7"/>
  <c r="F76" i="7"/>
  <c r="D76" i="7"/>
  <c r="A76" i="7"/>
  <c r="F75" i="7"/>
  <c r="D75" i="7"/>
  <c r="A75" i="7"/>
  <c r="F74" i="7"/>
  <c r="D74" i="7"/>
  <c r="A74" i="7"/>
  <c r="F73" i="7"/>
  <c r="D73" i="7"/>
  <c r="A73" i="7"/>
  <c r="F72" i="7"/>
  <c r="D72" i="7"/>
  <c r="A72" i="7"/>
  <c r="F71" i="7"/>
  <c r="D71" i="7"/>
  <c r="A71" i="7"/>
  <c r="F70" i="7"/>
  <c r="D70" i="7"/>
  <c r="A70" i="7"/>
  <c r="F69" i="7"/>
  <c r="D69" i="7"/>
  <c r="A69" i="7"/>
  <c r="F68" i="7"/>
  <c r="D68" i="7"/>
  <c r="A68" i="7"/>
  <c r="F67" i="7"/>
  <c r="D67" i="7"/>
  <c r="A67" i="7"/>
  <c r="F66" i="7"/>
  <c r="D66" i="7"/>
  <c r="A66" i="7"/>
  <c r="F65" i="7"/>
  <c r="D65" i="7"/>
  <c r="A65" i="7"/>
  <c r="F64" i="7"/>
  <c r="D64" i="7"/>
  <c r="A64" i="7"/>
  <c r="F63" i="7"/>
  <c r="D63" i="7"/>
  <c r="A63" i="7"/>
  <c r="F62" i="7"/>
  <c r="D62" i="7"/>
  <c r="A62" i="7"/>
  <c r="F61" i="7"/>
  <c r="D61" i="7"/>
  <c r="A61" i="7"/>
  <c r="F60" i="7"/>
  <c r="D60" i="7"/>
  <c r="A60" i="7"/>
  <c r="F59" i="7"/>
  <c r="D59" i="7"/>
  <c r="A59" i="7"/>
  <c r="F58" i="7"/>
  <c r="D58" i="7"/>
  <c r="A58" i="7"/>
  <c r="F57" i="7"/>
  <c r="D57" i="7"/>
  <c r="A57" i="7"/>
  <c r="F56" i="7"/>
  <c r="D56" i="7"/>
  <c r="A56" i="7"/>
  <c r="F55" i="7"/>
  <c r="D55" i="7"/>
  <c r="A55" i="7"/>
  <c r="F54" i="7"/>
  <c r="D54" i="7"/>
  <c r="A54" i="7"/>
  <c r="F53" i="7"/>
  <c r="D53" i="7"/>
  <c r="A53" i="7"/>
  <c r="F52" i="7"/>
  <c r="D52" i="7"/>
  <c r="A52" i="7"/>
  <c r="F51" i="7"/>
  <c r="D51" i="7"/>
  <c r="A51" i="7"/>
  <c r="F50" i="7"/>
  <c r="D50" i="7"/>
  <c r="A50" i="7"/>
  <c r="F49" i="7"/>
  <c r="D49" i="7"/>
  <c r="A49" i="7"/>
  <c r="F48" i="7"/>
  <c r="D48" i="7"/>
  <c r="A48" i="7"/>
  <c r="F47" i="7"/>
  <c r="D47" i="7"/>
  <c r="A47" i="7"/>
  <c r="F46" i="7"/>
  <c r="D46" i="7"/>
  <c r="A46" i="7"/>
  <c r="F45" i="7"/>
  <c r="D45" i="7"/>
  <c r="A45" i="7"/>
  <c r="F44" i="7"/>
  <c r="D44" i="7"/>
  <c r="A44" i="7"/>
  <c r="F43" i="7"/>
  <c r="D43" i="7"/>
  <c r="A43" i="7"/>
  <c r="F42" i="7"/>
  <c r="D42" i="7"/>
  <c r="A42" i="7"/>
  <c r="F41" i="7"/>
  <c r="D41" i="7"/>
  <c r="A41" i="7"/>
  <c r="F40" i="7"/>
  <c r="D40" i="7"/>
  <c r="A40" i="7"/>
  <c r="F39" i="7"/>
  <c r="D39" i="7"/>
  <c r="A39" i="7"/>
  <c r="F38" i="7"/>
  <c r="D38" i="7"/>
  <c r="A38" i="7"/>
  <c r="F37" i="7"/>
  <c r="D37" i="7"/>
  <c r="A37" i="7"/>
  <c r="F36" i="7"/>
  <c r="D36" i="7"/>
  <c r="A36" i="7"/>
  <c r="F35" i="7"/>
  <c r="D35" i="7"/>
  <c r="A35" i="7"/>
  <c r="F34" i="7"/>
  <c r="D34" i="7"/>
  <c r="A34" i="7"/>
  <c r="F33" i="7"/>
  <c r="D33" i="7"/>
  <c r="A33" i="7"/>
  <c r="F32" i="7"/>
  <c r="D32" i="7"/>
  <c r="A32" i="7"/>
  <c r="F31" i="7"/>
  <c r="D31" i="7"/>
  <c r="A31" i="7"/>
  <c r="F30" i="7"/>
  <c r="D30" i="7"/>
  <c r="A30" i="7"/>
  <c r="F29" i="7"/>
  <c r="D29" i="7"/>
  <c r="A29" i="7"/>
  <c r="F28" i="7"/>
  <c r="D28" i="7"/>
  <c r="A28" i="7"/>
  <c r="F27" i="7"/>
  <c r="D27" i="7"/>
  <c r="A27" i="7"/>
  <c r="F26" i="7"/>
  <c r="D26" i="7"/>
  <c r="A26" i="7"/>
  <c r="F25" i="7"/>
  <c r="D25" i="7"/>
  <c r="A25" i="7"/>
  <c r="F24" i="7"/>
  <c r="D24" i="7"/>
  <c r="A24" i="7"/>
  <c r="F23" i="7"/>
  <c r="D23" i="7"/>
  <c r="A23" i="7"/>
  <c r="F22" i="7"/>
  <c r="D22" i="7"/>
  <c r="A22" i="7"/>
  <c r="F21" i="7"/>
  <c r="D21" i="7"/>
  <c r="A21" i="7"/>
  <c r="F20" i="7"/>
  <c r="D20" i="7"/>
  <c r="A20" i="7"/>
  <c r="F19" i="7"/>
  <c r="D19" i="7"/>
  <c r="A19" i="7"/>
  <c r="F18" i="7"/>
  <c r="D18" i="7"/>
  <c r="A18" i="7"/>
  <c r="F17" i="7"/>
  <c r="D17" i="7"/>
  <c r="A17" i="7"/>
  <c r="F16" i="7"/>
  <c r="D16" i="7"/>
  <c r="A16" i="7"/>
  <c r="F15" i="7"/>
  <c r="D15" i="7"/>
  <c r="A15" i="7"/>
  <c r="F14" i="7"/>
  <c r="D14" i="7"/>
  <c r="A14" i="7"/>
  <c r="F13" i="7"/>
  <c r="D13" i="7"/>
  <c r="A13" i="7"/>
  <c r="F12" i="7"/>
  <c r="D12" i="7"/>
  <c r="A12" i="7"/>
  <c r="F11" i="7"/>
  <c r="D11" i="7"/>
  <c r="A11" i="7"/>
  <c r="F10" i="7"/>
  <c r="D10" i="7"/>
  <c r="A10" i="7"/>
  <c r="F9" i="7"/>
  <c r="D9" i="7"/>
  <c r="A9" i="7"/>
  <c r="F8" i="7"/>
  <c r="D8" i="7"/>
  <c r="A8" i="7"/>
  <c r="F7" i="7"/>
  <c r="D7" i="7"/>
  <c r="A7" i="7"/>
  <c r="F6" i="7"/>
  <c r="D6" i="7"/>
  <c r="A6" i="7"/>
  <c r="F5" i="7"/>
  <c r="D5" i="7"/>
  <c r="A5" i="7"/>
  <c r="F4" i="7"/>
  <c r="D4" i="7"/>
  <c r="A4" i="7"/>
  <c r="F3" i="7"/>
  <c r="D3" i="7"/>
  <c r="A3" i="7"/>
  <c r="C51" i="2"/>
  <c r="A501" i="6"/>
  <c r="A500" i="6"/>
  <c r="A499" i="6"/>
  <c r="A498" i="6"/>
  <c r="A497" i="6"/>
  <c r="A496" i="6"/>
  <c r="A495" i="6"/>
  <c r="A494" i="6"/>
  <c r="A493" i="6"/>
  <c r="A492" i="6"/>
  <c r="A491" i="6"/>
  <c r="A490" i="6"/>
  <c r="A489" i="6"/>
  <c r="A488" i="6"/>
  <c r="A487" i="6"/>
  <c r="A486" i="6"/>
  <c r="A485" i="6"/>
  <c r="A484" i="6"/>
  <c r="A483" i="6"/>
  <c r="A482" i="6"/>
  <c r="A481" i="6"/>
  <c r="A480" i="6"/>
  <c r="A479" i="6"/>
  <c r="A478" i="6"/>
  <c r="A477" i="6"/>
  <c r="A476" i="6"/>
  <c r="A475" i="6"/>
  <c r="A474" i="6"/>
  <c r="A473" i="6"/>
  <c r="A472" i="6"/>
  <c r="A471" i="6"/>
  <c r="A470" i="6"/>
  <c r="A469" i="6"/>
  <c r="A468" i="6"/>
  <c r="A467" i="6"/>
  <c r="A466" i="6"/>
  <c r="A465" i="6"/>
  <c r="A464" i="6"/>
  <c r="A463" i="6"/>
  <c r="A462" i="6"/>
  <c r="A461" i="6"/>
  <c r="A460" i="6"/>
  <c r="A459" i="6"/>
  <c r="A458" i="6"/>
  <c r="A457" i="6"/>
  <c r="A456" i="6"/>
  <c r="A455" i="6"/>
  <c r="A454" i="6"/>
  <c r="A453" i="6"/>
  <c r="A452" i="6"/>
  <c r="A451" i="6"/>
  <c r="A450" i="6"/>
  <c r="A449" i="6"/>
  <c r="A448" i="6"/>
  <c r="A447" i="6"/>
  <c r="A446" i="6"/>
  <c r="A445" i="6"/>
  <c r="A444" i="6"/>
  <c r="A443" i="6"/>
  <c r="A442" i="6"/>
  <c r="A441" i="6"/>
  <c r="A440" i="6"/>
  <c r="A439" i="6"/>
  <c r="A438" i="6"/>
  <c r="A437" i="6"/>
  <c r="A436" i="6"/>
  <c r="A435" i="6"/>
  <c r="A434" i="6"/>
  <c r="A433" i="6"/>
  <c r="A432" i="6"/>
  <c r="A431" i="6"/>
  <c r="A430" i="6"/>
  <c r="A429" i="6"/>
  <c r="A428" i="6"/>
  <c r="A427" i="6"/>
  <c r="A426" i="6"/>
  <c r="A425" i="6"/>
  <c r="A424" i="6"/>
  <c r="A423" i="6"/>
  <c r="A422" i="6"/>
  <c r="A421" i="6"/>
  <c r="A420" i="6"/>
  <c r="A419" i="6"/>
  <c r="A418" i="6"/>
  <c r="A417" i="6"/>
  <c r="A416" i="6"/>
  <c r="A415" i="6"/>
  <c r="A414" i="6"/>
  <c r="A413" i="6"/>
  <c r="A412" i="6"/>
  <c r="A411" i="6"/>
  <c r="A410" i="6"/>
  <c r="A409" i="6"/>
  <c r="A408" i="6"/>
  <c r="A407" i="6"/>
  <c r="A406" i="6"/>
  <c r="A405" i="6"/>
  <c r="A404" i="6"/>
  <c r="A403" i="6"/>
  <c r="A402" i="6"/>
  <c r="A401" i="6"/>
  <c r="A400" i="6"/>
  <c r="A399" i="6"/>
  <c r="A398" i="6"/>
  <c r="A397" i="6"/>
  <c r="A396" i="6"/>
  <c r="A395" i="6"/>
  <c r="A394" i="6"/>
  <c r="A393" i="6"/>
  <c r="A392" i="6"/>
  <c r="A391" i="6"/>
  <c r="A390" i="6"/>
  <c r="A389" i="6"/>
  <c r="A388" i="6"/>
  <c r="A387" i="6"/>
  <c r="A386" i="6"/>
  <c r="A385" i="6"/>
  <c r="A384" i="6"/>
  <c r="A383" i="6"/>
  <c r="A382" i="6"/>
  <c r="A381" i="6"/>
  <c r="A380" i="6"/>
  <c r="A379" i="6"/>
  <c r="A378" i="6"/>
  <c r="A377" i="6"/>
  <c r="A376" i="6"/>
  <c r="A375" i="6"/>
  <c r="A374" i="6"/>
  <c r="A373" i="6"/>
  <c r="A372" i="6"/>
  <c r="A371" i="6"/>
  <c r="A370" i="6"/>
  <c r="A369" i="6"/>
  <c r="A368" i="6"/>
  <c r="A367" i="6"/>
  <c r="A366" i="6"/>
  <c r="A365" i="6"/>
  <c r="A364" i="6"/>
  <c r="A363" i="6"/>
  <c r="A362" i="6"/>
  <c r="A361" i="6"/>
  <c r="A360" i="6"/>
  <c r="A359" i="6"/>
  <c r="A358" i="6"/>
  <c r="A357" i="6"/>
  <c r="A356" i="6"/>
  <c r="A355" i="6"/>
  <c r="A354" i="6"/>
  <c r="A353" i="6"/>
  <c r="A352" i="6"/>
  <c r="A351" i="6"/>
  <c r="A350" i="6"/>
  <c r="A349" i="6"/>
  <c r="A348" i="6"/>
  <c r="A347" i="6"/>
  <c r="A346" i="6"/>
  <c r="A345" i="6"/>
  <c r="A344" i="6"/>
  <c r="A343" i="6"/>
  <c r="A342" i="6"/>
  <c r="A341" i="6"/>
  <c r="A340" i="6"/>
  <c r="A339" i="6"/>
  <c r="A338" i="6"/>
  <c r="A337" i="6"/>
  <c r="A336" i="6"/>
  <c r="A335" i="6"/>
  <c r="A334" i="6"/>
  <c r="A333" i="6"/>
  <c r="A332" i="6"/>
  <c r="A331" i="6"/>
  <c r="A330" i="6"/>
  <c r="A329" i="6"/>
  <c r="A328" i="6"/>
  <c r="A327" i="6"/>
  <c r="A326" i="6"/>
  <c r="A325" i="6"/>
  <c r="A324" i="6"/>
  <c r="A323" i="6"/>
  <c r="A322" i="6"/>
  <c r="A321" i="6"/>
  <c r="A320" i="6"/>
  <c r="A319" i="6"/>
  <c r="A318" i="6"/>
  <c r="A317" i="6"/>
  <c r="A316" i="6"/>
  <c r="A315" i="6"/>
  <c r="A314" i="6"/>
  <c r="A313" i="6"/>
  <c r="A312" i="6"/>
  <c r="A311" i="6"/>
  <c r="A310" i="6"/>
  <c r="A309" i="6"/>
  <c r="A308" i="6"/>
  <c r="A307" i="6"/>
  <c r="A306" i="6"/>
  <c r="A305" i="6"/>
  <c r="A304" i="6"/>
  <c r="A303" i="6"/>
  <c r="A302" i="6"/>
  <c r="A301" i="6"/>
  <c r="A300" i="6"/>
  <c r="A299" i="6"/>
  <c r="A298" i="6"/>
  <c r="A297" i="6"/>
  <c r="A296" i="6"/>
  <c r="A295" i="6"/>
  <c r="A294" i="6"/>
  <c r="A293" i="6"/>
  <c r="A292" i="6"/>
  <c r="A291" i="6"/>
  <c r="A290" i="6"/>
  <c r="A289" i="6"/>
  <c r="A288" i="6"/>
  <c r="A287" i="6"/>
  <c r="A286" i="6"/>
  <c r="A285" i="6"/>
  <c r="A284" i="6"/>
  <c r="A283" i="6"/>
  <c r="A282" i="6"/>
  <c r="A281" i="6"/>
  <c r="A280" i="6"/>
  <c r="A279" i="6"/>
  <c r="A278" i="6"/>
  <c r="A277" i="6"/>
  <c r="A276" i="6"/>
  <c r="A275" i="6"/>
  <c r="A274" i="6"/>
  <c r="A273" i="6"/>
  <c r="A272" i="6"/>
  <c r="A271" i="6"/>
  <c r="A270" i="6"/>
  <c r="A269" i="6"/>
  <c r="A268" i="6"/>
  <c r="A267" i="6"/>
  <c r="A266" i="6"/>
  <c r="A265" i="6"/>
  <c r="A264" i="6"/>
  <c r="A263" i="6"/>
  <c r="A262" i="6"/>
  <c r="A261" i="6"/>
  <c r="A260" i="6"/>
  <c r="A259" i="6"/>
  <c r="A258" i="6"/>
  <c r="A257" i="6"/>
  <c r="A256" i="6"/>
  <c r="A255" i="6"/>
  <c r="A254" i="6"/>
  <c r="A253" i="6"/>
  <c r="A252" i="6"/>
  <c r="A251" i="6"/>
  <c r="A250" i="6"/>
  <c r="A249" i="6"/>
  <c r="A248" i="6"/>
  <c r="A247" i="6"/>
  <c r="A246" i="6"/>
  <c r="A245" i="6"/>
  <c r="A244" i="6"/>
  <c r="A243" i="6"/>
  <c r="A242" i="6"/>
  <c r="A241" i="6"/>
  <c r="A240" i="6"/>
  <c r="A239" i="6"/>
  <c r="A238" i="6"/>
  <c r="A237" i="6"/>
  <c r="A236" i="6"/>
  <c r="A235" i="6"/>
  <c r="A234" i="6"/>
  <c r="A233" i="6"/>
  <c r="A232" i="6"/>
  <c r="A231" i="6"/>
  <c r="A230" i="6"/>
  <c r="A229" i="6"/>
  <c r="A228" i="6"/>
  <c r="A227" i="6"/>
  <c r="A226" i="6"/>
  <c r="A225" i="6"/>
  <c r="A224" i="6"/>
  <c r="A223" i="6"/>
  <c r="A222" i="6"/>
  <c r="A221" i="6"/>
  <c r="A220" i="6"/>
  <c r="A219" i="6"/>
  <c r="A218" i="6"/>
  <c r="A217" i="6"/>
  <c r="A216" i="6"/>
  <c r="A215" i="6"/>
  <c r="A214" i="6"/>
  <c r="A213" i="6"/>
  <c r="A212" i="6"/>
  <c r="A211" i="6"/>
  <c r="A210" i="6"/>
  <c r="A209" i="6"/>
  <c r="A208" i="6"/>
  <c r="A207" i="6"/>
  <c r="A206" i="6"/>
  <c r="A205" i="6"/>
  <c r="A204" i="6"/>
  <c r="A203" i="6"/>
  <c r="A202" i="6"/>
  <c r="A201" i="6"/>
  <c r="A200" i="6"/>
  <c r="A199" i="6"/>
  <c r="A198" i="6"/>
  <c r="A197" i="6"/>
  <c r="A196" i="6"/>
  <c r="A195" i="6"/>
  <c r="A194" i="6"/>
  <c r="A193" i="6"/>
  <c r="A192" i="6"/>
  <c r="A191" i="6"/>
  <c r="A190" i="6"/>
  <c r="A189" i="6"/>
  <c r="A188" i="6"/>
  <c r="A187" i="6"/>
  <c r="A186" i="6"/>
  <c r="A185" i="6"/>
  <c r="A184" i="6"/>
  <c r="A183" i="6"/>
  <c r="A182" i="6"/>
  <c r="A181" i="6"/>
  <c r="A180" i="6"/>
  <c r="A179" i="6"/>
  <c r="A178" i="6"/>
  <c r="A177" i="6"/>
  <c r="A176" i="6"/>
  <c r="A175" i="6"/>
  <c r="A174" i="6"/>
  <c r="A173" i="6"/>
  <c r="A172" i="6"/>
  <c r="A171" i="6"/>
  <c r="A170" i="6"/>
  <c r="A169" i="6"/>
  <c r="A168" i="6"/>
  <c r="A167" i="6"/>
  <c r="A166" i="6"/>
  <c r="A165" i="6"/>
  <c r="A164" i="6"/>
  <c r="A163" i="6"/>
  <c r="A162" i="6"/>
  <c r="A161" i="6"/>
  <c r="A160" i="6"/>
  <c r="A159" i="6"/>
  <c r="A158" i="6"/>
  <c r="A157" i="6"/>
  <c r="A156" i="6"/>
  <c r="A155" i="6"/>
  <c r="A154" i="6"/>
  <c r="A153" i="6"/>
  <c r="A152" i="6"/>
  <c r="A151" i="6"/>
  <c r="A150" i="6"/>
  <c r="A149" i="6"/>
  <c r="A148" i="6"/>
  <c r="A147" i="6"/>
  <c r="A146" i="6"/>
  <c r="A145" i="6"/>
  <c r="A144" i="6"/>
  <c r="A143" i="6"/>
  <c r="A142" i="6"/>
  <c r="A141" i="6"/>
  <c r="A140" i="6"/>
  <c r="A139" i="6"/>
  <c r="A138" i="6"/>
  <c r="A137" i="6"/>
  <c r="A136" i="6"/>
  <c r="A135" i="6"/>
  <c r="A134" i="6"/>
  <c r="A133" i="6"/>
  <c r="A132" i="6"/>
  <c r="A131" i="6"/>
  <c r="A130" i="6"/>
  <c r="A129" i="6"/>
  <c r="A128" i="6"/>
  <c r="A127" i="6"/>
  <c r="A126" i="6"/>
  <c r="A125" i="6"/>
  <c r="A124" i="6"/>
  <c r="A123" i="6"/>
  <c r="A122" i="6"/>
  <c r="A121" i="6"/>
  <c r="A120" i="6"/>
  <c r="A119" i="6"/>
  <c r="A118" i="6"/>
  <c r="A117" i="6"/>
  <c r="A116" i="6"/>
  <c r="A115" i="6"/>
  <c r="A114" i="6"/>
  <c r="A113" i="6"/>
  <c r="A112" i="6"/>
  <c r="A111" i="6"/>
  <c r="A110" i="6"/>
  <c r="A109" i="6"/>
  <c r="A108" i="6"/>
  <c r="A107" i="6"/>
  <c r="A106" i="6"/>
  <c r="A105" i="6"/>
  <c r="A104" i="6"/>
  <c r="A103" i="6"/>
  <c r="A102" i="6"/>
  <c r="A101" i="6"/>
  <c r="A100" i="6"/>
  <c r="A99" i="6"/>
  <c r="A98" i="6"/>
  <c r="A97" i="6"/>
  <c r="A96" i="6"/>
  <c r="A95" i="6"/>
  <c r="A94" i="6"/>
  <c r="A93" i="6"/>
  <c r="A92" i="6"/>
  <c r="A91" i="6"/>
  <c r="A90" i="6"/>
  <c r="A89" i="6"/>
  <c r="A88" i="6"/>
  <c r="A87" i="6"/>
  <c r="A86" i="6"/>
  <c r="A85" i="6"/>
  <c r="A84" i="6"/>
  <c r="A83" i="6"/>
  <c r="A82" i="6"/>
  <c r="A81" i="6"/>
  <c r="A80" i="6"/>
  <c r="A79" i="6"/>
  <c r="A78" i="6"/>
  <c r="A77" i="6"/>
  <c r="A76" i="6"/>
  <c r="A75" i="6"/>
  <c r="A74" i="6"/>
  <c r="A73" i="6"/>
  <c r="A72" i="6"/>
  <c r="A71" i="6"/>
  <c r="A70" i="6"/>
  <c r="A69" i="6"/>
  <c r="A68" i="6"/>
  <c r="A67" i="6"/>
  <c r="A66" i="6"/>
  <c r="A65" i="6"/>
  <c r="A64" i="6"/>
  <c r="A63" i="6"/>
  <c r="A62" i="6"/>
  <c r="A61" i="6"/>
  <c r="A60" i="6"/>
  <c r="A59" i="6"/>
  <c r="A58" i="6"/>
  <c r="A57" i="6"/>
  <c r="A56" i="6"/>
  <c r="A55" i="6"/>
  <c r="A54" i="6"/>
  <c r="A53" i="6"/>
  <c r="A52" i="6"/>
  <c r="A51" i="6"/>
  <c r="A50" i="6"/>
  <c r="A49" i="6"/>
  <c r="A48" i="6"/>
  <c r="A47" i="6"/>
  <c r="A46" i="6"/>
  <c r="A45" i="6"/>
  <c r="A44" i="6"/>
  <c r="A43" i="6"/>
  <c r="A42" i="6"/>
  <c r="A41" i="6"/>
  <c r="A40" i="6"/>
  <c r="A39" i="6"/>
  <c r="A38" i="6"/>
  <c r="A37" i="6"/>
  <c r="A36" i="6"/>
  <c r="A35" i="6"/>
  <c r="A34" i="6"/>
  <c r="A33" i="6"/>
  <c r="A32" i="6"/>
  <c r="A31" i="6"/>
  <c r="A30" i="6"/>
  <c r="A29" i="6"/>
  <c r="A28" i="6"/>
  <c r="A27" i="6"/>
  <c r="A26" i="6"/>
  <c r="A25" i="6"/>
  <c r="A24" i="6"/>
  <c r="A23" i="6"/>
  <c r="A22" i="6"/>
  <c r="A21" i="6"/>
  <c r="A20" i="6"/>
  <c r="A19" i="6"/>
  <c r="A18" i="6"/>
  <c r="A17" i="6"/>
  <c r="A16" i="6"/>
  <c r="A15" i="6"/>
  <c r="A14" i="6"/>
  <c r="A13" i="6"/>
  <c r="A12" i="6"/>
  <c r="A11" i="6"/>
  <c r="A10" i="6"/>
  <c r="A9" i="6"/>
  <c r="A8" i="6"/>
  <c r="A7" i="6"/>
  <c r="A6" i="6"/>
  <c r="A5" i="6"/>
  <c r="A4" i="6"/>
  <c r="A501" i="5"/>
  <c r="A500" i="5"/>
  <c r="A499" i="5"/>
  <c r="A498" i="5"/>
  <c r="A497" i="5"/>
  <c r="A496" i="5"/>
  <c r="A495" i="5"/>
  <c r="A494" i="5"/>
  <c r="A493" i="5"/>
  <c r="A492" i="5"/>
  <c r="A491" i="5"/>
  <c r="A490" i="5"/>
  <c r="A489" i="5"/>
  <c r="A488" i="5"/>
  <c r="A487" i="5"/>
  <c r="A486" i="5"/>
  <c r="A485" i="5"/>
  <c r="A484" i="5"/>
  <c r="A483" i="5"/>
  <c r="A482" i="5"/>
  <c r="A481" i="5"/>
  <c r="A480" i="5"/>
  <c r="A479" i="5"/>
  <c r="A478" i="5"/>
  <c r="A477" i="5"/>
  <c r="A476" i="5"/>
  <c r="A475" i="5"/>
  <c r="A474" i="5"/>
  <c r="A473" i="5"/>
  <c r="A472" i="5"/>
  <c r="A471" i="5"/>
  <c r="A470" i="5"/>
  <c r="A469" i="5"/>
  <c r="A468" i="5"/>
  <c r="A467" i="5"/>
  <c r="A466" i="5"/>
  <c r="A465" i="5"/>
  <c r="A464" i="5"/>
  <c r="A463" i="5"/>
  <c r="A462" i="5"/>
  <c r="A461" i="5"/>
  <c r="A460" i="5"/>
  <c r="A459" i="5"/>
  <c r="A458" i="5"/>
  <c r="A457" i="5"/>
  <c r="A456" i="5"/>
  <c r="A455" i="5"/>
  <c r="A454" i="5"/>
  <c r="A453" i="5"/>
  <c r="A452" i="5"/>
  <c r="A451" i="5"/>
  <c r="A450" i="5"/>
  <c r="A449" i="5"/>
  <c r="A448" i="5"/>
  <c r="A447" i="5"/>
  <c r="A446" i="5"/>
  <c r="A445" i="5"/>
  <c r="A444" i="5"/>
  <c r="A443" i="5"/>
  <c r="A442" i="5"/>
  <c r="A441" i="5"/>
  <c r="A440" i="5"/>
  <c r="A439" i="5"/>
  <c r="A438" i="5"/>
  <c r="A437" i="5"/>
  <c r="A436" i="5"/>
  <c r="A435" i="5"/>
  <c r="A434" i="5"/>
  <c r="A433" i="5"/>
  <c r="A432" i="5"/>
  <c r="A431" i="5"/>
  <c r="A430" i="5"/>
  <c r="A429" i="5"/>
  <c r="A428" i="5"/>
  <c r="A427" i="5"/>
  <c r="A426" i="5"/>
  <c r="A425" i="5"/>
  <c r="A424" i="5"/>
  <c r="A423" i="5"/>
  <c r="A422" i="5"/>
  <c r="A421" i="5"/>
  <c r="A420" i="5"/>
  <c r="A419" i="5"/>
  <c r="A418" i="5"/>
  <c r="A417" i="5"/>
  <c r="A416" i="5"/>
  <c r="A415" i="5"/>
  <c r="A414" i="5"/>
  <c r="A413" i="5"/>
  <c r="A412" i="5"/>
  <c r="A411" i="5"/>
  <c r="A410" i="5"/>
  <c r="A409" i="5"/>
  <c r="A408" i="5"/>
  <c r="A407" i="5"/>
  <c r="A406" i="5"/>
  <c r="A405" i="5"/>
  <c r="A404" i="5"/>
  <c r="A403" i="5"/>
  <c r="A402" i="5"/>
  <c r="A401" i="5"/>
  <c r="A400" i="5"/>
  <c r="A399" i="5"/>
  <c r="A398" i="5"/>
  <c r="A397" i="5"/>
  <c r="A396" i="5"/>
  <c r="A395" i="5"/>
  <c r="A394" i="5"/>
  <c r="A393" i="5"/>
  <c r="A392" i="5"/>
  <c r="A391" i="5"/>
  <c r="A390" i="5"/>
  <c r="A389" i="5"/>
  <c r="A388" i="5"/>
  <c r="A387" i="5"/>
  <c r="A386" i="5"/>
  <c r="A385" i="5"/>
  <c r="A384" i="5"/>
  <c r="A383" i="5"/>
  <c r="A382" i="5"/>
  <c r="A381" i="5"/>
  <c r="A380" i="5"/>
  <c r="A379" i="5"/>
  <c r="A378" i="5"/>
  <c r="A377" i="5"/>
  <c r="A376" i="5"/>
  <c r="A375" i="5"/>
  <c r="A374" i="5"/>
  <c r="A373" i="5"/>
  <c r="A372" i="5"/>
  <c r="A371" i="5"/>
  <c r="A370" i="5"/>
  <c r="A369" i="5"/>
  <c r="A368" i="5"/>
  <c r="A367" i="5"/>
  <c r="A366" i="5"/>
  <c r="A365" i="5"/>
  <c r="A364" i="5"/>
  <c r="A363" i="5"/>
  <c r="A362" i="5"/>
  <c r="A361" i="5"/>
  <c r="A360" i="5"/>
  <c r="A359" i="5"/>
  <c r="A358" i="5"/>
  <c r="A357" i="5"/>
  <c r="A356" i="5"/>
  <c r="A355" i="5"/>
  <c r="A354" i="5"/>
  <c r="A353" i="5"/>
  <c r="A352" i="5"/>
  <c r="A351" i="5"/>
  <c r="A350" i="5"/>
  <c r="A349" i="5"/>
  <c r="A348" i="5"/>
  <c r="A347" i="5"/>
  <c r="A346" i="5"/>
  <c r="A345" i="5"/>
  <c r="A344" i="5"/>
  <c r="A343" i="5"/>
  <c r="A342" i="5"/>
  <c r="A341" i="5"/>
  <c r="A340" i="5"/>
  <c r="A339" i="5"/>
  <c r="A338" i="5"/>
  <c r="A337" i="5"/>
  <c r="A336" i="5"/>
  <c r="A335" i="5"/>
  <c r="A334" i="5"/>
  <c r="A333" i="5"/>
  <c r="A332" i="5"/>
  <c r="A331" i="5"/>
  <c r="A330" i="5"/>
  <c r="A329" i="5"/>
  <c r="A328" i="5"/>
  <c r="A327" i="5"/>
  <c r="A326" i="5"/>
  <c r="A325" i="5"/>
  <c r="A324" i="5"/>
  <c r="A323" i="5"/>
  <c r="A322" i="5"/>
  <c r="A321" i="5"/>
  <c r="A320" i="5"/>
  <c r="A319" i="5"/>
  <c r="A318" i="5"/>
  <c r="A317" i="5"/>
  <c r="A316" i="5"/>
  <c r="A315" i="5"/>
  <c r="A314" i="5"/>
  <c r="A313" i="5"/>
  <c r="A312" i="5"/>
  <c r="A311" i="5"/>
  <c r="A310" i="5"/>
  <c r="A309" i="5"/>
  <c r="A308" i="5"/>
  <c r="A307" i="5"/>
  <c r="A306" i="5"/>
  <c r="A305" i="5"/>
  <c r="A304" i="5"/>
  <c r="A303" i="5"/>
  <c r="A302" i="5"/>
  <c r="A301" i="5"/>
  <c r="A300" i="5"/>
  <c r="A299" i="5"/>
  <c r="A298" i="5"/>
  <c r="A297" i="5"/>
  <c r="A296" i="5"/>
  <c r="A295" i="5"/>
  <c r="A294" i="5"/>
  <c r="A293" i="5"/>
  <c r="A292" i="5"/>
  <c r="A291" i="5"/>
  <c r="A290" i="5"/>
  <c r="A289" i="5"/>
  <c r="A288" i="5"/>
  <c r="A287" i="5"/>
  <c r="A286" i="5"/>
  <c r="A285" i="5"/>
  <c r="A284" i="5"/>
  <c r="A283" i="5"/>
  <c r="A282" i="5"/>
  <c r="A281" i="5"/>
  <c r="A280" i="5"/>
  <c r="A279" i="5"/>
  <c r="A278" i="5"/>
  <c r="A277" i="5"/>
  <c r="A276" i="5"/>
  <c r="A275" i="5"/>
  <c r="A274" i="5"/>
  <c r="A273" i="5"/>
  <c r="A272" i="5"/>
  <c r="A271" i="5"/>
  <c r="A270" i="5"/>
  <c r="A269" i="5"/>
  <c r="A268" i="5"/>
  <c r="A267" i="5"/>
  <c r="A266" i="5"/>
  <c r="A265" i="5"/>
  <c r="A264" i="5"/>
  <c r="A263" i="5"/>
  <c r="A262" i="5"/>
  <c r="A261" i="5"/>
  <c r="A260" i="5"/>
  <c r="A259" i="5"/>
  <c r="A258" i="5"/>
  <c r="A257" i="5"/>
  <c r="A256" i="5"/>
  <c r="A255" i="5"/>
  <c r="A254" i="5"/>
  <c r="A253" i="5"/>
  <c r="A252" i="5"/>
  <c r="A251" i="5"/>
  <c r="A250" i="5"/>
  <c r="A249" i="5"/>
  <c r="A248" i="5"/>
  <c r="A247" i="5"/>
  <c r="A246" i="5"/>
  <c r="A245" i="5"/>
  <c r="A244" i="5"/>
  <c r="A243" i="5"/>
  <c r="A242" i="5"/>
  <c r="A241" i="5"/>
  <c r="A240" i="5"/>
  <c r="A239" i="5"/>
  <c r="A238" i="5"/>
  <c r="A237" i="5"/>
  <c r="A236" i="5"/>
  <c r="A235" i="5"/>
  <c r="A234" i="5"/>
  <c r="A233" i="5"/>
  <c r="A232" i="5"/>
  <c r="A231" i="5"/>
  <c r="A230" i="5"/>
  <c r="A229" i="5"/>
  <c r="A228" i="5"/>
  <c r="A227" i="5"/>
  <c r="A226" i="5"/>
  <c r="A225" i="5"/>
  <c r="A224" i="5"/>
  <c r="A223" i="5"/>
  <c r="A222" i="5"/>
  <c r="A221" i="5"/>
  <c r="A220" i="5"/>
  <c r="A219" i="5"/>
  <c r="A218" i="5"/>
  <c r="A217" i="5"/>
  <c r="A216" i="5"/>
  <c r="A215" i="5"/>
  <c r="A214" i="5"/>
  <c r="A213" i="5"/>
  <c r="A212" i="5"/>
  <c r="A211" i="5"/>
  <c r="A210" i="5"/>
  <c r="A209" i="5"/>
  <c r="A208" i="5"/>
  <c r="A207" i="5"/>
  <c r="A206" i="5"/>
  <c r="A205" i="5"/>
  <c r="A204" i="5"/>
  <c r="A203" i="5"/>
  <c r="A202" i="5"/>
  <c r="A201" i="5"/>
  <c r="A200" i="5"/>
  <c r="A199" i="5"/>
  <c r="A198" i="5"/>
  <c r="A197" i="5"/>
  <c r="A196" i="5"/>
  <c r="A195" i="5"/>
  <c r="A194" i="5"/>
  <c r="A193" i="5"/>
  <c r="A192" i="5"/>
  <c r="A191" i="5"/>
  <c r="A190" i="5"/>
  <c r="A189" i="5"/>
  <c r="A188" i="5"/>
  <c r="A187" i="5"/>
  <c r="A186" i="5"/>
  <c r="A185" i="5"/>
  <c r="A184" i="5"/>
  <c r="A183" i="5"/>
  <c r="A182" i="5"/>
  <c r="A181" i="5"/>
  <c r="A180" i="5"/>
  <c r="A179" i="5"/>
  <c r="A178" i="5"/>
  <c r="A177" i="5"/>
  <c r="A176" i="5"/>
  <c r="A175" i="5"/>
  <c r="A174" i="5"/>
  <c r="A173" i="5"/>
  <c r="A172" i="5"/>
  <c r="A171" i="5"/>
  <c r="A170" i="5"/>
  <c r="A169" i="5"/>
  <c r="A168" i="5"/>
  <c r="A167" i="5"/>
  <c r="A166" i="5"/>
  <c r="A165" i="5"/>
  <c r="A164" i="5"/>
  <c r="A163" i="5"/>
  <c r="A162" i="5"/>
  <c r="A161" i="5"/>
  <c r="A160" i="5"/>
  <c r="A159" i="5"/>
  <c r="A158" i="5"/>
  <c r="A157" i="5"/>
  <c r="A156" i="5"/>
  <c r="A155" i="5"/>
  <c r="A154" i="5"/>
  <c r="A153" i="5"/>
  <c r="A152" i="5"/>
  <c r="A151" i="5"/>
  <c r="A150" i="5"/>
  <c r="A149" i="5"/>
  <c r="A148" i="5"/>
  <c r="A147" i="5"/>
  <c r="A146" i="5"/>
  <c r="A145" i="5"/>
  <c r="A144" i="5"/>
  <c r="A143" i="5"/>
  <c r="A142" i="5"/>
  <c r="A141" i="5"/>
  <c r="A140" i="5"/>
  <c r="A139" i="5"/>
  <c r="A138" i="5"/>
  <c r="A137" i="5"/>
  <c r="A136" i="5"/>
  <c r="A135" i="5"/>
  <c r="A134" i="5"/>
  <c r="A133" i="5"/>
  <c r="A132" i="5"/>
  <c r="A131" i="5"/>
  <c r="A130" i="5"/>
  <c r="A129" i="5"/>
  <c r="A128" i="5"/>
  <c r="A127" i="5"/>
  <c r="A126" i="5"/>
  <c r="A125" i="5"/>
  <c r="A124" i="5"/>
  <c r="A123" i="5"/>
  <c r="A122" i="5"/>
  <c r="A121" i="5"/>
  <c r="A120" i="5"/>
  <c r="A119" i="5"/>
  <c r="A118" i="5"/>
  <c r="A117" i="5"/>
  <c r="A116" i="5"/>
  <c r="A115" i="5"/>
  <c r="A114" i="5"/>
  <c r="A113" i="5"/>
  <c r="A112" i="5"/>
  <c r="A111" i="5"/>
  <c r="A110" i="5"/>
  <c r="A109" i="5"/>
  <c r="A108" i="5"/>
  <c r="A107" i="5"/>
  <c r="A106" i="5"/>
  <c r="A105" i="5"/>
  <c r="A104" i="5"/>
  <c r="A103" i="5"/>
  <c r="A102" i="5"/>
  <c r="A101" i="5"/>
  <c r="A100" i="5"/>
  <c r="A99" i="5"/>
  <c r="A98" i="5"/>
  <c r="A97" i="5"/>
  <c r="A96" i="5"/>
  <c r="A95" i="5"/>
  <c r="A94" i="5"/>
  <c r="A93" i="5"/>
  <c r="A92" i="5"/>
  <c r="A91" i="5"/>
  <c r="A90" i="5"/>
  <c r="A89" i="5"/>
  <c r="A88" i="5"/>
  <c r="A87" i="5"/>
  <c r="A86" i="5"/>
  <c r="A85" i="5"/>
  <c r="A84" i="5"/>
  <c r="A83" i="5"/>
  <c r="A82" i="5"/>
  <c r="A81" i="5"/>
  <c r="A80" i="5"/>
  <c r="A79" i="5"/>
  <c r="A78" i="5"/>
  <c r="A77" i="5"/>
  <c r="A76" i="5"/>
  <c r="A75" i="5"/>
  <c r="A74" i="5"/>
  <c r="A73" i="5"/>
  <c r="A72" i="5"/>
  <c r="A71" i="5"/>
  <c r="A70" i="5"/>
  <c r="A69" i="5"/>
  <c r="A68" i="5"/>
  <c r="A67" i="5"/>
  <c r="A66" i="5"/>
  <c r="A65" i="5"/>
  <c r="A64" i="5"/>
  <c r="A63" i="5"/>
  <c r="A62" i="5"/>
  <c r="A61" i="5"/>
  <c r="A60" i="5"/>
  <c r="A59" i="5"/>
  <c r="A58" i="5"/>
  <c r="A57" i="5"/>
  <c r="A56" i="5"/>
  <c r="A55" i="5"/>
  <c r="A54" i="5"/>
  <c r="A53" i="5"/>
  <c r="A52" i="5"/>
  <c r="A51" i="5"/>
  <c r="A50" i="5"/>
  <c r="A49" i="5"/>
  <c r="A48" i="5"/>
  <c r="A47" i="5"/>
  <c r="A46" i="5"/>
  <c r="A45" i="5"/>
  <c r="A44" i="5"/>
  <c r="A43" i="5"/>
  <c r="A42" i="5"/>
  <c r="A41" i="5"/>
  <c r="A40" i="5"/>
  <c r="A39" i="5"/>
  <c r="A38" i="5"/>
  <c r="A37" i="5"/>
  <c r="A36" i="5"/>
  <c r="A35" i="5"/>
  <c r="A34" i="5"/>
  <c r="A33" i="5"/>
  <c r="A32" i="5"/>
  <c r="A31" i="5"/>
  <c r="A30" i="5"/>
  <c r="A29" i="5"/>
  <c r="A28" i="5"/>
  <c r="A27" i="5"/>
  <c r="A26" i="5"/>
  <c r="A25" i="5"/>
  <c r="A24" i="5"/>
  <c r="A23" i="5"/>
  <c r="A22" i="5"/>
  <c r="A21" i="5"/>
  <c r="A20" i="5"/>
  <c r="A19" i="5"/>
  <c r="A18" i="5"/>
  <c r="A17" i="5"/>
  <c r="A16" i="5"/>
  <c r="A15" i="5"/>
  <c r="A14" i="5"/>
  <c r="A13" i="5"/>
  <c r="A12" i="5"/>
  <c r="A11" i="5"/>
  <c r="A10" i="5"/>
  <c r="A9" i="5"/>
  <c r="A8" i="5"/>
  <c r="A7" i="5"/>
  <c r="A6" i="5"/>
  <c r="A5" i="5"/>
  <c r="A501" i="4"/>
  <c r="A500" i="4"/>
  <c r="A499" i="4"/>
  <c r="A498" i="4"/>
  <c r="A497" i="4"/>
  <c r="A496" i="4"/>
  <c r="A495" i="4"/>
  <c r="A494" i="4"/>
  <c r="A493" i="4"/>
  <c r="A492" i="4"/>
  <c r="A491" i="4"/>
  <c r="A490" i="4"/>
  <c r="A489" i="4"/>
  <c r="A488" i="4"/>
  <c r="A487" i="4"/>
  <c r="A486" i="4"/>
  <c r="A485" i="4"/>
  <c r="A484" i="4"/>
  <c r="A483" i="4"/>
  <c r="A482" i="4"/>
  <c r="A481" i="4"/>
  <c r="A480" i="4"/>
  <c r="A479" i="4"/>
  <c r="A478" i="4"/>
  <c r="A477" i="4"/>
  <c r="A476" i="4"/>
  <c r="A475" i="4"/>
  <c r="A474" i="4"/>
  <c r="A473" i="4"/>
  <c r="A472" i="4"/>
  <c r="A471" i="4"/>
  <c r="A470" i="4"/>
  <c r="A469" i="4"/>
  <c r="A468" i="4"/>
  <c r="A467" i="4"/>
  <c r="A466" i="4"/>
  <c r="A465" i="4"/>
  <c r="A464" i="4"/>
  <c r="A463" i="4"/>
  <c r="A462" i="4"/>
  <c r="A461" i="4"/>
  <c r="A460" i="4"/>
  <c r="A459" i="4"/>
  <c r="A458" i="4"/>
  <c r="A457" i="4"/>
  <c r="A456" i="4"/>
  <c r="A455" i="4"/>
  <c r="A454" i="4"/>
  <c r="A453" i="4"/>
  <c r="A452" i="4"/>
  <c r="A451" i="4"/>
  <c r="A450" i="4"/>
  <c r="A449" i="4"/>
  <c r="A448" i="4"/>
  <c r="A447" i="4"/>
  <c r="A446" i="4"/>
  <c r="A445" i="4"/>
  <c r="A444" i="4"/>
  <c r="A443" i="4"/>
  <c r="A442" i="4"/>
  <c r="A441" i="4"/>
  <c r="A440" i="4"/>
  <c r="A439" i="4"/>
  <c r="A438" i="4"/>
  <c r="A437" i="4"/>
  <c r="A436" i="4"/>
  <c r="A435" i="4"/>
  <c r="A434" i="4"/>
  <c r="A433" i="4"/>
  <c r="A432" i="4"/>
  <c r="A431" i="4"/>
  <c r="A430" i="4"/>
  <c r="A429" i="4"/>
  <c r="A428" i="4"/>
  <c r="A427" i="4"/>
  <c r="A426" i="4"/>
  <c r="A425" i="4"/>
  <c r="A424" i="4"/>
  <c r="A423" i="4"/>
  <c r="A422" i="4"/>
  <c r="A421" i="4"/>
  <c r="A420" i="4"/>
  <c r="A419" i="4"/>
  <c r="A418" i="4"/>
  <c r="A417" i="4"/>
  <c r="A416" i="4"/>
  <c r="A415" i="4"/>
  <c r="A414" i="4"/>
  <c r="A413" i="4"/>
  <c r="A412" i="4"/>
  <c r="A411" i="4"/>
  <c r="A410" i="4"/>
  <c r="A409" i="4"/>
  <c r="A408" i="4"/>
  <c r="A407" i="4"/>
  <c r="A406" i="4"/>
  <c r="A405" i="4"/>
  <c r="A404" i="4"/>
  <c r="A403" i="4"/>
  <c r="A402" i="4"/>
  <c r="A401" i="4"/>
  <c r="A400" i="4"/>
  <c r="A399" i="4"/>
  <c r="A398" i="4"/>
  <c r="A397" i="4"/>
  <c r="A396" i="4"/>
  <c r="A395" i="4"/>
  <c r="A394" i="4"/>
  <c r="A393" i="4"/>
  <c r="A392" i="4"/>
  <c r="A391" i="4"/>
  <c r="A390" i="4"/>
  <c r="A389" i="4"/>
  <c r="A388" i="4"/>
  <c r="A387" i="4"/>
  <c r="A386" i="4"/>
  <c r="A385" i="4"/>
  <c r="A384" i="4"/>
  <c r="A383" i="4"/>
  <c r="A382" i="4"/>
  <c r="A381" i="4"/>
  <c r="A380" i="4"/>
  <c r="A379" i="4"/>
  <c r="A378" i="4"/>
  <c r="A377" i="4"/>
  <c r="A376" i="4"/>
  <c r="A375" i="4"/>
  <c r="A374" i="4"/>
  <c r="A373" i="4"/>
  <c r="A372" i="4"/>
  <c r="A371" i="4"/>
  <c r="A370" i="4"/>
  <c r="A369" i="4"/>
  <c r="A368" i="4"/>
  <c r="A367" i="4"/>
  <c r="A366" i="4"/>
  <c r="A365" i="4"/>
  <c r="A364" i="4"/>
  <c r="A363" i="4"/>
  <c r="A362" i="4"/>
  <c r="A361" i="4"/>
  <c r="A360" i="4"/>
  <c r="A359" i="4"/>
  <c r="A358" i="4"/>
  <c r="A357" i="4"/>
  <c r="A356" i="4"/>
  <c r="A355" i="4"/>
  <c r="A354" i="4"/>
  <c r="A353" i="4"/>
  <c r="A352" i="4"/>
  <c r="A351" i="4"/>
  <c r="A350" i="4"/>
  <c r="A349" i="4"/>
  <c r="A348" i="4"/>
  <c r="A347" i="4"/>
  <c r="A346" i="4"/>
  <c r="A345" i="4"/>
  <c r="A344" i="4"/>
  <c r="A343" i="4"/>
  <c r="A342" i="4"/>
  <c r="A341" i="4"/>
  <c r="A340" i="4"/>
  <c r="A339" i="4"/>
  <c r="A338" i="4"/>
  <c r="A337" i="4"/>
  <c r="A336" i="4"/>
  <c r="A335" i="4"/>
  <c r="A334" i="4"/>
  <c r="A333" i="4"/>
  <c r="A332" i="4"/>
  <c r="A331" i="4"/>
  <c r="A330" i="4"/>
  <c r="A329" i="4"/>
  <c r="A328" i="4"/>
  <c r="A327" i="4"/>
  <c r="A326" i="4"/>
  <c r="A325" i="4"/>
  <c r="A324" i="4"/>
  <c r="A323" i="4"/>
  <c r="A322" i="4"/>
  <c r="A321" i="4"/>
  <c r="A320" i="4"/>
  <c r="A319" i="4"/>
  <c r="A318" i="4"/>
  <c r="A317" i="4"/>
  <c r="A316" i="4"/>
  <c r="A315" i="4"/>
  <c r="A314" i="4"/>
  <c r="A313" i="4"/>
  <c r="A312" i="4"/>
  <c r="A311" i="4"/>
  <c r="A310" i="4"/>
  <c r="A309" i="4"/>
  <c r="A308" i="4"/>
  <c r="A307" i="4"/>
  <c r="A306" i="4"/>
  <c r="A305" i="4"/>
  <c r="A304" i="4"/>
  <c r="A303" i="4"/>
  <c r="A302" i="4"/>
  <c r="A301" i="4"/>
  <c r="A300" i="4"/>
  <c r="A299" i="4"/>
  <c r="A298" i="4"/>
  <c r="A297" i="4"/>
  <c r="A296" i="4"/>
  <c r="A295" i="4"/>
  <c r="A294" i="4"/>
  <c r="A293" i="4"/>
  <c r="A292" i="4"/>
  <c r="A291" i="4"/>
  <c r="A290" i="4"/>
  <c r="A289" i="4"/>
  <c r="A288" i="4"/>
  <c r="A287" i="4"/>
  <c r="A286" i="4"/>
  <c r="A285" i="4"/>
  <c r="A284" i="4"/>
  <c r="A283" i="4"/>
  <c r="A282" i="4"/>
  <c r="A281" i="4"/>
  <c r="A280" i="4"/>
  <c r="A279" i="4"/>
  <c r="A278" i="4"/>
  <c r="A277" i="4"/>
  <c r="A276" i="4"/>
  <c r="A275" i="4"/>
  <c r="A274" i="4"/>
  <c r="A273" i="4"/>
  <c r="A272" i="4"/>
  <c r="A271" i="4"/>
  <c r="A270" i="4"/>
  <c r="A269" i="4"/>
  <c r="A268" i="4"/>
  <c r="A267" i="4"/>
  <c r="A266" i="4"/>
  <c r="A265" i="4"/>
  <c r="A264" i="4"/>
  <c r="A263" i="4"/>
  <c r="A262" i="4"/>
  <c r="A261" i="4"/>
  <c r="A260" i="4"/>
  <c r="A259" i="4"/>
  <c r="A258" i="4"/>
  <c r="A257" i="4"/>
  <c r="A256" i="4"/>
  <c r="A255" i="4"/>
  <c r="A254" i="4"/>
  <c r="A253" i="4"/>
  <c r="A252" i="4"/>
  <c r="A251" i="4"/>
  <c r="A250" i="4"/>
  <c r="A249" i="4"/>
  <c r="A248" i="4"/>
  <c r="A247" i="4"/>
  <c r="A246" i="4"/>
  <c r="A245" i="4"/>
  <c r="A244" i="4"/>
  <c r="A243" i="4"/>
  <c r="A242" i="4"/>
  <c r="A241" i="4"/>
  <c r="A240" i="4"/>
  <c r="A239" i="4"/>
  <c r="A238" i="4"/>
  <c r="A237" i="4"/>
  <c r="A236" i="4"/>
  <c r="A235" i="4"/>
  <c r="A234" i="4"/>
  <c r="A233" i="4"/>
  <c r="A232" i="4"/>
  <c r="A231" i="4"/>
  <c r="A230" i="4"/>
  <c r="A229" i="4"/>
  <c r="A228" i="4"/>
  <c r="A227" i="4"/>
  <c r="A226" i="4"/>
  <c r="A225" i="4"/>
  <c r="A224" i="4"/>
  <c r="A223" i="4"/>
  <c r="A222" i="4"/>
  <c r="A221" i="4"/>
  <c r="A220" i="4"/>
  <c r="A219" i="4"/>
  <c r="A218" i="4"/>
  <c r="A217" i="4"/>
  <c r="A216" i="4"/>
  <c r="A215" i="4"/>
  <c r="A214" i="4"/>
  <c r="A213" i="4"/>
  <c r="A212" i="4"/>
  <c r="A211" i="4"/>
  <c r="A210" i="4"/>
  <c r="A209" i="4"/>
  <c r="A208" i="4"/>
  <c r="A207" i="4"/>
  <c r="A206" i="4"/>
  <c r="A205" i="4"/>
  <c r="A204" i="4"/>
  <c r="A203" i="4"/>
  <c r="A202" i="4"/>
  <c r="A201" i="4"/>
  <c r="A200" i="4"/>
  <c r="A199" i="4"/>
  <c r="A198" i="4"/>
  <c r="A197" i="4"/>
  <c r="A196" i="4"/>
  <c r="A195" i="4"/>
  <c r="A194" i="4"/>
  <c r="A193" i="4"/>
  <c r="A192" i="4"/>
  <c r="A191" i="4"/>
  <c r="A190" i="4"/>
  <c r="A189" i="4"/>
  <c r="A188" i="4"/>
  <c r="A187" i="4"/>
  <c r="A186"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5" i="4"/>
  <c r="A124" i="4"/>
  <c r="A123" i="4"/>
  <c r="A122" i="4"/>
  <c r="A121" i="4"/>
  <c r="A120" i="4"/>
  <c r="A119" i="4"/>
  <c r="A118" i="4"/>
  <c r="A117" i="4"/>
  <c r="A116" i="4"/>
  <c r="A115" i="4"/>
  <c r="A114" i="4"/>
  <c r="A113" i="4"/>
  <c r="A112" i="4"/>
  <c r="A111" i="4"/>
  <c r="A110" i="4"/>
  <c r="A109"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81" i="4"/>
  <c r="A80" i="4"/>
  <c r="A79" i="4"/>
  <c r="A78" i="4"/>
  <c r="A77" i="4"/>
  <c r="A76" i="4"/>
  <c r="A75" i="4"/>
  <c r="A74" i="4"/>
  <c r="A73" i="4"/>
  <c r="A72" i="4"/>
  <c r="A71" i="4"/>
  <c r="A70" i="4"/>
  <c r="A69" i="4"/>
  <c r="A68" i="4"/>
  <c r="A67" i="4"/>
  <c r="A66" i="4"/>
  <c r="A65" i="4"/>
  <c r="A64" i="4"/>
  <c r="A63" i="4"/>
  <c r="A62" i="4"/>
  <c r="A61" i="4"/>
  <c r="A60" i="4"/>
  <c r="A59" i="4"/>
  <c r="A58" i="4"/>
  <c r="A57" i="4"/>
  <c r="A56" i="4"/>
  <c r="A55"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9" i="4"/>
  <c r="A18" i="4"/>
  <c r="A17" i="4"/>
  <c r="A16" i="4"/>
  <c r="A15" i="4"/>
  <c r="A14" i="4"/>
  <c r="A13" i="4"/>
  <c r="A12" i="4"/>
  <c r="A11" i="4"/>
  <c r="A10" i="4"/>
  <c r="A9" i="4"/>
  <c r="A8" i="4"/>
  <c r="A7" i="4"/>
  <c r="A6" i="4"/>
  <c r="A5" i="4"/>
  <c r="A4" i="4"/>
  <c r="A3" i="4"/>
  <c r="A2" i="4"/>
  <c r="F900" i="3"/>
  <c r="G900" i="3" s="1"/>
  <c r="D900" i="3"/>
  <c r="F899" i="3"/>
  <c r="G899" i="3" s="1"/>
  <c r="D899" i="3"/>
  <c r="F898" i="3"/>
  <c r="G898" i="3" s="1"/>
  <c r="D898" i="3"/>
  <c r="F897" i="3"/>
  <c r="G897" i="3" s="1"/>
  <c r="D897" i="3"/>
  <c r="F896" i="3"/>
  <c r="G896" i="3" s="1"/>
  <c r="D896" i="3"/>
  <c r="F895" i="3"/>
  <c r="G895" i="3" s="1"/>
  <c r="D895" i="3"/>
  <c r="F894" i="3"/>
  <c r="G894" i="3" s="1"/>
  <c r="D894" i="3"/>
  <c r="F893" i="3"/>
  <c r="G893" i="3" s="1"/>
  <c r="D893" i="3"/>
  <c r="F892" i="3"/>
  <c r="G892" i="3" s="1"/>
  <c r="D892" i="3"/>
  <c r="F891" i="3"/>
  <c r="G891" i="3" s="1"/>
  <c r="D891" i="3"/>
  <c r="F890" i="3"/>
  <c r="G890" i="3" s="1"/>
  <c r="D890" i="3"/>
  <c r="F889" i="3"/>
  <c r="G889" i="3" s="1"/>
  <c r="D889" i="3"/>
  <c r="F888" i="3"/>
  <c r="G888" i="3" s="1"/>
  <c r="D888" i="3"/>
  <c r="F887" i="3"/>
  <c r="G887" i="3" s="1"/>
  <c r="D887" i="3"/>
  <c r="F886" i="3"/>
  <c r="G886" i="3" s="1"/>
  <c r="D886" i="3"/>
  <c r="F885" i="3"/>
  <c r="G885" i="3" s="1"/>
  <c r="D885" i="3"/>
  <c r="F884" i="3"/>
  <c r="G884" i="3" s="1"/>
  <c r="D884" i="3"/>
  <c r="F883" i="3"/>
  <c r="G883" i="3" s="1"/>
  <c r="D883" i="3"/>
  <c r="F882" i="3"/>
  <c r="G882" i="3" s="1"/>
  <c r="D882" i="3"/>
  <c r="F881" i="3"/>
  <c r="G881" i="3" s="1"/>
  <c r="D881" i="3"/>
  <c r="F880" i="3"/>
  <c r="G880" i="3" s="1"/>
  <c r="D880" i="3"/>
  <c r="F879" i="3"/>
  <c r="G879" i="3" s="1"/>
  <c r="D879" i="3"/>
  <c r="F878" i="3"/>
  <c r="G878" i="3" s="1"/>
  <c r="D878" i="3"/>
  <c r="F877" i="3"/>
  <c r="G877" i="3" s="1"/>
  <c r="D877" i="3"/>
  <c r="F876" i="3"/>
  <c r="G876" i="3" s="1"/>
  <c r="D876" i="3"/>
  <c r="F875" i="3"/>
  <c r="G875" i="3" s="1"/>
  <c r="D875" i="3"/>
  <c r="F874" i="3"/>
  <c r="G874" i="3" s="1"/>
  <c r="D874" i="3"/>
  <c r="F873" i="3"/>
  <c r="G873" i="3" s="1"/>
  <c r="D873" i="3"/>
  <c r="F872" i="3"/>
  <c r="G872" i="3" s="1"/>
  <c r="D872" i="3"/>
  <c r="F871" i="3"/>
  <c r="G871" i="3" s="1"/>
  <c r="D871" i="3"/>
  <c r="F870" i="3"/>
  <c r="G870" i="3" s="1"/>
  <c r="D870" i="3"/>
  <c r="F869" i="3"/>
  <c r="G869" i="3" s="1"/>
  <c r="D869" i="3"/>
  <c r="F868" i="3"/>
  <c r="G868" i="3" s="1"/>
  <c r="D868" i="3"/>
  <c r="F867" i="3"/>
  <c r="G867" i="3" s="1"/>
  <c r="D867" i="3"/>
  <c r="F866" i="3"/>
  <c r="G866" i="3" s="1"/>
  <c r="D866" i="3"/>
  <c r="F865" i="3"/>
  <c r="G865" i="3" s="1"/>
  <c r="D865" i="3"/>
  <c r="F864" i="3"/>
  <c r="G864" i="3" s="1"/>
  <c r="D864" i="3"/>
  <c r="F863" i="3"/>
  <c r="G863" i="3" s="1"/>
  <c r="D863" i="3"/>
  <c r="F862" i="3"/>
  <c r="G862" i="3" s="1"/>
  <c r="D862" i="3"/>
  <c r="F861" i="3"/>
  <c r="G861" i="3" s="1"/>
  <c r="D861" i="3"/>
  <c r="F860" i="3"/>
  <c r="G860" i="3" s="1"/>
  <c r="D860" i="3"/>
  <c r="F859" i="3"/>
  <c r="G859" i="3" s="1"/>
  <c r="D859" i="3"/>
  <c r="F858" i="3"/>
  <c r="G858" i="3" s="1"/>
  <c r="D858" i="3"/>
  <c r="F857" i="3"/>
  <c r="G857" i="3" s="1"/>
  <c r="D857" i="3"/>
  <c r="F856" i="3"/>
  <c r="G856" i="3" s="1"/>
  <c r="D856" i="3"/>
  <c r="F855" i="3"/>
  <c r="G855" i="3" s="1"/>
  <c r="D855" i="3"/>
  <c r="F854" i="3"/>
  <c r="G854" i="3" s="1"/>
  <c r="D854" i="3"/>
  <c r="F853" i="3"/>
  <c r="G853" i="3" s="1"/>
  <c r="D853" i="3"/>
  <c r="F852" i="3"/>
  <c r="G852" i="3" s="1"/>
  <c r="D852" i="3"/>
  <c r="F851" i="3"/>
  <c r="G851" i="3" s="1"/>
  <c r="D851" i="3"/>
  <c r="F850" i="3"/>
  <c r="G850" i="3" s="1"/>
  <c r="D850" i="3"/>
  <c r="F849" i="3"/>
  <c r="G849" i="3" s="1"/>
  <c r="D849" i="3"/>
  <c r="F848" i="3"/>
  <c r="G848" i="3" s="1"/>
  <c r="D848" i="3"/>
  <c r="F847" i="3"/>
  <c r="G847" i="3" s="1"/>
  <c r="D847" i="3"/>
  <c r="F846" i="3"/>
  <c r="G846" i="3" s="1"/>
  <c r="D846" i="3"/>
  <c r="F845" i="3"/>
  <c r="G845" i="3" s="1"/>
  <c r="D845" i="3"/>
  <c r="F844" i="3"/>
  <c r="G844" i="3" s="1"/>
  <c r="D844" i="3"/>
  <c r="F843" i="3"/>
  <c r="G843" i="3" s="1"/>
  <c r="D843" i="3"/>
  <c r="F842" i="3"/>
  <c r="G842" i="3" s="1"/>
  <c r="D842" i="3"/>
  <c r="F841" i="3"/>
  <c r="G841" i="3" s="1"/>
  <c r="D841" i="3"/>
  <c r="F840" i="3"/>
  <c r="G840" i="3" s="1"/>
  <c r="D840" i="3"/>
  <c r="F839" i="3"/>
  <c r="G839" i="3" s="1"/>
  <c r="D839" i="3"/>
  <c r="F838" i="3"/>
  <c r="G838" i="3" s="1"/>
  <c r="D838" i="3"/>
  <c r="F837" i="3"/>
  <c r="G837" i="3" s="1"/>
  <c r="D837" i="3"/>
  <c r="F836" i="3"/>
  <c r="G836" i="3" s="1"/>
  <c r="D836" i="3"/>
  <c r="F835" i="3"/>
  <c r="G835" i="3" s="1"/>
  <c r="D835" i="3"/>
  <c r="F834" i="3"/>
  <c r="G834" i="3" s="1"/>
  <c r="D834" i="3"/>
  <c r="F833" i="3"/>
  <c r="G833" i="3" s="1"/>
  <c r="D833" i="3"/>
  <c r="F832" i="3"/>
  <c r="G832" i="3" s="1"/>
  <c r="D832" i="3"/>
  <c r="F831" i="3"/>
  <c r="G831" i="3" s="1"/>
  <c r="D831" i="3"/>
  <c r="F830" i="3"/>
  <c r="G830" i="3" s="1"/>
  <c r="D830" i="3"/>
  <c r="F829" i="3"/>
  <c r="G829" i="3" s="1"/>
  <c r="D829" i="3"/>
  <c r="F828" i="3"/>
  <c r="G828" i="3" s="1"/>
  <c r="D828" i="3"/>
  <c r="F827" i="3"/>
  <c r="G827" i="3" s="1"/>
  <c r="D827" i="3"/>
  <c r="F826" i="3"/>
  <c r="G826" i="3" s="1"/>
  <c r="D826" i="3"/>
  <c r="F825" i="3"/>
  <c r="G825" i="3" s="1"/>
  <c r="D825" i="3"/>
  <c r="F824" i="3"/>
  <c r="G824" i="3" s="1"/>
  <c r="D824" i="3"/>
  <c r="F823" i="3"/>
  <c r="G823" i="3" s="1"/>
  <c r="D823" i="3"/>
  <c r="F822" i="3"/>
  <c r="G822" i="3" s="1"/>
  <c r="D822" i="3"/>
  <c r="F821" i="3"/>
  <c r="G821" i="3" s="1"/>
  <c r="D821" i="3"/>
  <c r="F820" i="3"/>
  <c r="G820" i="3" s="1"/>
  <c r="D820" i="3"/>
  <c r="F819" i="3"/>
  <c r="G819" i="3" s="1"/>
  <c r="D819" i="3"/>
  <c r="F818" i="3"/>
  <c r="G818" i="3" s="1"/>
  <c r="D818" i="3"/>
  <c r="F817" i="3"/>
  <c r="G817" i="3" s="1"/>
  <c r="D817" i="3"/>
  <c r="F816" i="3"/>
  <c r="G816" i="3" s="1"/>
  <c r="D816" i="3"/>
  <c r="F815" i="3"/>
  <c r="G815" i="3" s="1"/>
  <c r="D815" i="3"/>
  <c r="F814" i="3"/>
  <c r="G814" i="3" s="1"/>
  <c r="D814" i="3"/>
  <c r="F813" i="3"/>
  <c r="G813" i="3" s="1"/>
  <c r="D813" i="3"/>
  <c r="F812" i="3"/>
  <c r="G812" i="3" s="1"/>
  <c r="D812" i="3"/>
  <c r="F811" i="3"/>
  <c r="G811" i="3" s="1"/>
  <c r="D811" i="3"/>
  <c r="F810" i="3"/>
  <c r="G810" i="3" s="1"/>
  <c r="D810" i="3"/>
  <c r="F809" i="3"/>
  <c r="G809" i="3" s="1"/>
  <c r="D809" i="3"/>
  <c r="F808" i="3"/>
  <c r="G808" i="3" s="1"/>
  <c r="D808" i="3"/>
  <c r="F807" i="3"/>
  <c r="G807" i="3" s="1"/>
  <c r="D807" i="3"/>
  <c r="F806" i="3"/>
  <c r="G806" i="3" s="1"/>
  <c r="D806" i="3"/>
  <c r="F805" i="3"/>
  <c r="G805" i="3" s="1"/>
  <c r="D805" i="3"/>
  <c r="F804" i="3"/>
  <c r="G804" i="3" s="1"/>
  <c r="D804" i="3"/>
  <c r="F803" i="3"/>
  <c r="G803" i="3" s="1"/>
  <c r="D803" i="3"/>
  <c r="F802" i="3"/>
  <c r="G802" i="3" s="1"/>
  <c r="D802" i="3"/>
  <c r="F801" i="3"/>
  <c r="G801" i="3" s="1"/>
  <c r="D801" i="3"/>
  <c r="F800" i="3"/>
  <c r="G800" i="3" s="1"/>
  <c r="D800" i="3"/>
  <c r="F799" i="3"/>
  <c r="G799" i="3" s="1"/>
  <c r="D799" i="3"/>
  <c r="F798" i="3"/>
  <c r="G798" i="3" s="1"/>
  <c r="D798" i="3"/>
  <c r="F797" i="3"/>
  <c r="G797" i="3" s="1"/>
  <c r="D797" i="3"/>
  <c r="F796" i="3"/>
  <c r="G796" i="3" s="1"/>
  <c r="D796" i="3"/>
  <c r="F795" i="3"/>
  <c r="G795" i="3" s="1"/>
  <c r="D795" i="3"/>
  <c r="F794" i="3"/>
  <c r="G794" i="3" s="1"/>
  <c r="D794" i="3"/>
  <c r="F793" i="3"/>
  <c r="G793" i="3" s="1"/>
  <c r="D793" i="3"/>
  <c r="F792" i="3"/>
  <c r="G792" i="3" s="1"/>
  <c r="D792" i="3"/>
  <c r="F791" i="3"/>
  <c r="G791" i="3" s="1"/>
  <c r="D791" i="3"/>
  <c r="F790" i="3"/>
  <c r="G790" i="3" s="1"/>
  <c r="D790" i="3"/>
  <c r="F789" i="3"/>
  <c r="G789" i="3" s="1"/>
  <c r="D789" i="3"/>
  <c r="F788" i="3"/>
  <c r="G788" i="3" s="1"/>
  <c r="D788" i="3"/>
  <c r="F787" i="3"/>
  <c r="G787" i="3" s="1"/>
  <c r="D787" i="3"/>
  <c r="F786" i="3"/>
  <c r="G786" i="3" s="1"/>
  <c r="D786" i="3"/>
  <c r="F785" i="3"/>
  <c r="G785" i="3" s="1"/>
  <c r="D785" i="3"/>
  <c r="F784" i="3"/>
  <c r="G784" i="3" s="1"/>
  <c r="D784" i="3"/>
  <c r="F783" i="3"/>
  <c r="G783" i="3" s="1"/>
  <c r="D783" i="3"/>
  <c r="F782" i="3"/>
  <c r="G782" i="3" s="1"/>
  <c r="D782" i="3"/>
  <c r="F781" i="3"/>
  <c r="G781" i="3" s="1"/>
  <c r="D781" i="3"/>
  <c r="F780" i="3"/>
  <c r="G780" i="3" s="1"/>
  <c r="D780" i="3"/>
  <c r="F779" i="3"/>
  <c r="G779" i="3" s="1"/>
  <c r="D779" i="3"/>
  <c r="F778" i="3"/>
  <c r="G778" i="3" s="1"/>
  <c r="D778" i="3"/>
  <c r="F777" i="3"/>
  <c r="G777" i="3" s="1"/>
  <c r="D777" i="3"/>
  <c r="F776" i="3"/>
  <c r="G776" i="3" s="1"/>
  <c r="D776" i="3"/>
  <c r="F775" i="3"/>
  <c r="G775" i="3" s="1"/>
  <c r="D775" i="3"/>
  <c r="F774" i="3"/>
  <c r="G774" i="3" s="1"/>
  <c r="D774" i="3"/>
  <c r="F773" i="3"/>
  <c r="G773" i="3" s="1"/>
  <c r="D773" i="3"/>
  <c r="F772" i="3"/>
  <c r="G772" i="3" s="1"/>
  <c r="D772" i="3"/>
  <c r="F771" i="3"/>
  <c r="G771" i="3" s="1"/>
  <c r="D771" i="3"/>
  <c r="F770" i="3"/>
  <c r="G770" i="3" s="1"/>
  <c r="D770" i="3"/>
  <c r="F769" i="3"/>
  <c r="G769" i="3" s="1"/>
  <c r="D769" i="3"/>
  <c r="F768" i="3"/>
  <c r="G768" i="3" s="1"/>
  <c r="D768" i="3"/>
  <c r="F767" i="3"/>
  <c r="G767" i="3" s="1"/>
  <c r="D767" i="3"/>
  <c r="F766" i="3"/>
  <c r="G766" i="3" s="1"/>
  <c r="D766" i="3"/>
  <c r="F765" i="3"/>
  <c r="G765" i="3" s="1"/>
  <c r="D765" i="3"/>
  <c r="F764" i="3"/>
  <c r="G764" i="3" s="1"/>
  <c r="D764" i="3"/>
  <c r="F763" i="3"/>
  <c r="G763" i="3" s="1"/>
  <c r="D763" i="3"/>
  <c r="F762" i="3"/>
  <c r="G762" i="3" s="1"/>
  <c r="D762" i="3"/>
  <c r="F761" i="3"/>
  <c r="G761" i="3" s="1"/>
  <c r="D761" i="3"/>
  <c r="F760" i="3"/>
  <c r="G760" i="3" s="1"/>
  <c r="D760" i="3"/>
  <c r="F759" i="3"/>
  <c r="G759" i="3" s="1"/>
  <c r="D759" i="3"/>
  <c r="F758" i="3"/>
  <c r="G758" i="3" s="1"/>
  <c r="D758" i="3"/>
  <c r="F757" i="3"/>
  <c r="G757" i="3" s="1"/>
  <c r="D757" i="3"/>
  <c r="F756" i="3"/>
  <c r="G756" i="3" s="1"/>
  <c r="D756" i="3"/>
  <c r="F755" i="3"/>
  <c r="G755" i="3" s="1"/>
  <c r="D755" i="3"/>
  <c r="F754" i="3"/>
  <c r="G754" i="3" s="1"/>
  <c r="D754" i="3"/>
  <c r="F753" i="3"/>
  <c r="G753" i="3" s="1"/>
  <c r="D753" i="3"/>
  <c r="F752" i="3"/>
  <c r="G752" i="3" s="1"/>
  <c r="D752" i="3"/>
  <c r="F751" i="3"/>
  <c r="G751" i="3" s="1"/>
  <c r="D751" i="3"/>
  <c r="F750" i="3"/>
  <c r="G750" i="3" s="1"/>
  <c r="D750" i="3"/>
  <c r="F749" i="3"/>
  <c r="G749" i="3" s="1"/>
  <c r="D749" i="3"/>
  <c r="F748" i="3"/>
  <c r="G748" i="3" s="1"/>
  <c r="D748" i="3"/>
  <c r="F747" i="3"/>
  <c r="G747" i="3" s="1"/>
  <c r="D747" i="3"/>
  <c r="F746" i="3"/>
  <c r="G746" i="3" s="1"/>
  <c r="D746" i="3"/>
  <c r="F745" i="3"/>
  <c r="G745" i="3" s="1"/>
  <c r="D745" i="3"/>
  <c r="F744" i="3"/>
  <c r="G744" i="3" s="1"/>
  <c r="D744" i="3"/>
  <c r="F743" i="3"/>
  <c r="G743" i="3" s="1"/>
  <c r="D743" i="3"/>
  <c r="F742" i="3"/>
  <c r="G742" i="3" s="1"/>
  <c r="D742" i="3"/>
  <c r="F741" i="3"/>
  <c r="G741" i="3" s="1"/>
  <c r="D741" i="3"/>
  <c r="F740" i="3"/>
  <c r="G740" i="3" s="1"/>
  <c r="D740" i="3"/>
  <c r="F739" i="3"/>
  <c r="G739" i="3" s="1"/>
  <c r="D739" i="3"/>
  <c r="F738" i="3"/>
  <c r="G738" i="3" s="1"/>
  <c r="D738" i="3"/>
  <c r="F737" i="3"/>
  <c r="G737" i="3" s="1"/>
  <c r="D737" i="3"/>
  <c r="F736" i="3"/>
  <c r="G736" i="3" s="1"/>
  <c r="D736" i="3"/>
  <c r="F735" i="3"/>
  <c r="G735" i="3" s="1"/>
  <c r="D735" i="3"/>
  <c r="F734" i="3"/>
  <c r="G734" i="3" s="1"/>
  <c r="D734" i="3"/>
  <c r="F733" i="3"/>
  <c r="G733" i="3" s="1"/>
  <c r="D733" i="3"/>
  <c r="F732" i="3"/>
  <c r="G732" i="3" s="1"/>
  <c r="D732" i="3"/>
  <c r="F731" i="3"/>
  <c r="G731" i="3" s="1"/>
  <c r="D731" i="3"/>
  <c r="F730" i="3"/>
  <c r="G730" i="3" s="1"/>
  <c r="D730" i="3"/>
  <c r="F729" i="3"/>
  <c r="G729" i="3" s="1"/>
  <c r="D729" i="3"/>
  <c r="F728" i="3"/>
  <c r="G728" i="3" s="1"/>
  <c r="D728" i="3"/>
  <c r="F727" i="3"/>
  <c r="G727" i="3" s="1"/>
  <c r="D727" i="3"/>
  <c r="F726" i="3"/>
  <c r="G726" i="3" s="1"/>
  <c r="D726" i="3"/>
  <c r="F725" i="3"/>
  <c r="G725" i="3" s="1"/>
  <c r="D725" i="3"/>
  <c r="F724" i="3"/>
  <c r="G724" i="3" s="1"/>
  <c r="D724" i="3"/>
  <c r="F723" i="3"/>
  <c r="G723" i="3" s="1"/>
  <c r="D723" i="3"/>
  <c r="F722" i="3"/>
  <c r="G722" i="3" s="1"/>
  <c r="D722" i="3"/>
  <c r="F721" i="3"/>
  <c r="G721" i="3" s="1"/>
  <c r="D721" i="3"/>
  <c r="F720" i="3"/>
  <c r="G720" i="3" s="1"/>
  <c r="D720" i="3"/>
  <c r="F719" i="3"/>
  <c r="G719" i="3" s="1"/>
  <c r="D719" i="3"/>
  <c r="F718" i="3"/>
  <c r="G718" i="3" s="1"/>
  <c r="D718" i="3"/>
  <c r="F717" i="3"/>
  <c r="G717" i="3" s="1"/>
  <c r="D717" i="3"/>
  <c r="F716" i="3"/>
  <c r="G716" i="3" s="1"/>
  <c r="D716" i="3"/>
  <c r="F715" i="3"/>
  <c r="G715" i="3" s="1"/>
  <c r="D715" i="3"/>
  <c r="F714" i="3"/>
  <c r="G714" i="3" s="1"/>
  <c r="D714" i="3"/>
  <c r="F713" i="3"/>
  <c r="G713" i="3" s="1"/>
  <c r="D713" i="3"/>
  <c r="F712" i="3"/>
  <c r="G712" i="3" s="1"/>
  <c r="D712" i="3"/>
  <c r="F711" i="3"/>
  <c r="G711" i="3" s="1"/>
  <c r="D711" i="3"/>
  <c r="F710" i="3"/>
  <c r="G710" i="3" s="1"/>
  <c r="D710" i="3"/>
  <c r="F709" i="3"/>
  <c r="G709" i="3" s="1"/>
  <c r="D709" i="3"/>
  <c r="F708" i="3"/>
  <c r="G708" i="3" s="1"/>
  <c r="D708" i="3"/>
  <c r="F707" i="3"/>
  <c r="G707" i="3" s="1"/>
  <c r="D707" i="3"/>
  <c r="F706" i="3"/>
  <c r="G706" i="3" s="1"/>
  <c r="D706" i="3"/>
  <c r="F705" i="3"/>
  <c r="G705" i="3" s="1"/>
  <c r="D705" i="3"/>
  <c r="F704" i="3"/>
  <c r="G704" i="3" s="1"/>
  <c r="D704" i="3"/>
  <c r="F703" i="3"/>
  <c r="G703" i="3" s="1"/>
  <c r="D703" i="3"/>
  <c r="F702" i="3"/>
  <c r="G702" i="3" s="1"/>
  <c r="D702" i="3"/>
  <c r="F701" i="3"/>
  <c r="G701" i="3" s="1"/>
  <c r="D701" i="3"/>
  <c r="F700" i="3"/>
  <c r="G700" i="3" s="1"/>
  <c r="D700" i="3"/>
  <c r="F699" i="3"/>
  <c r="G699" i="3" s="1"/>
  <c r="D699" i="3"/>
  <c r="F698" i="3"/>
  <c r="G698" i="3" s="1"/>
  <c r="D698" i="3"/>
  <c r="F697" i="3"/>
  <c r="G697" i="3" s="1"/>
  <c r="D697" i="3"/>
  <c r="F696" i="3"/>
  <c r="G696" i="3" s="1"/>
  <c r="D696" i="3"/>
  <c r="F695" i="3"/>
  <c r="G695" i="3" s="1"/>
  <c r="D695" i="3"/>
  <c r="F694" i="3"/>
  <c r="G694" i="3" s="1"/>
  <c r="D694" i="3"/>
  <c r="F693" i="3"/>
  <c r="G693" i="3" s="1"/>
  <c r="D693" i="3"/>
  <c r="F692" i="3"/>
  <c r="G692" i="3" s="1"/>
  <c r="D692" i="3"/>
  <c r="F691" i="3"/>
  <c r="G691" i="3" s="1"/>
  <c r="D691" i="3"/>
  <c r="F690" i="3"/>
  <c r="G690" i="3" s="1"/>
  <c r="D690" i="3"/>
  <c r="F689" i="3"/>
  <c r="G689" i="3" s="1"/>
  <c r="D689" i="3"/>
  <c r="F688" i="3"/>
  <c r="G688" i="3" s="1"/>
  <c r="D688" i="3"/>
  <c r="F687" i="3"/>
  <c r="G687" i="3" s="1"/>
  <c r="D687" i="3"/>
  <c r="F686" i="3"/>
  <c r="G686" i="3" s="1"/>
  <c r="D686" i="3"/>
  <c r="F685" i="3"/>
  <c r="G685" i="3" s="1"/>
  <c r="D685" i="3"/>
  <c r="F684" i="3"/>
  <c r="G684" i="3" s="1"/>
  <c r="D684" i="3"/>
  <c r="F683" i="3"/>
  <c r="G683" i="3" s="1"/>
  <c r="D683" i="3"/>
  <c r="F682" i="3"/>
  <c r="G682" i="3" s="1"/>
  <c r="D682" i="3"/>
  <c r="F681" i="3"/>
  <c r="G681" i="3" s="1"/>
  <c r="D681" i="3"/>
  <c r="F680" i="3"/>
  <c r="G680" i="3" s="1"/>
  <c r="D680" i="3"/>
  <c r="F679" i="3"/>
  <c r="G679" i="3" s="1"/>
  <c r="D679" i="3"/>
  <c r="F678" i="3"/>
  <c r="G678" i="3" s="1"/>
  <c r="D678" i="3"/>
  <c r="F677" i="3"/>
  <c r="G677" i="3" s="1"/>
  <c r="D677" i="3"/>
  <c r="F676" i="3"/>
  <c r="G676" i="3" s="1"/>
  <c r="D676" i="3"/>
  <c r="F675" i="3"/>
  <c r="G675" i="3" s="1"/>
  <c r="D675" i="3"/>
  <c r="F674" i="3"/>
  <c r="G674" i="3" s="1"/>
  <c r="D674" i="3"/>
  <c r="F673" i="3"/>
  <c r="G673" i="3" s="1"/>
  <c r="D673" i="3"/>
  <c r="F672" i="3"/>
  <c r="G672" i="3" s="1"/>
  <c r="D672" i="3"/>
  <c r="F671" i="3"/>
  <c r="G671" i="3" s="1"/>
  <c r="D671" i="3"/>
  <c r="F670" i="3"/>
  <c r="G670" i="3" s="1"/>
  <c r="D670" i="3"/>
  <c r="F669" i="3"/>
  <c r="G669" i="3" s="1"/>
  <c r="D669" i="3"/>
  <c r="F668" i="3"/>
  <c r="G668" i="3" s="1"/>
  <c r="D668" i="3"/>
  <c r="F667" i="3"/>
  <c r="G667" i="3" s="1"/>
  <c r="D667" i="3"/>
  <c r="F666" i="3"/>
  <c r="G666" i="3" s="1"/>
  <c r="D666" i="3"/>
  <c r="F665" i="3"/>
  <c r="G665" i="3" s="1"/>
  <c r="D665" i="3"/>
  <c r="F664" i="3"/>
  <c r="G664" i="3" s="1"/>
  <c r="D664" i="3"/>
  <c r="F663" i="3"/>
  <c r="G663" i="3" s="1"/>
  <c r="D663" i="3"/>
  <c r="F662" i="3"/>
  <c r="G662" i="3" s="1"/>
  <c r="D662" i="3"/>
  <c r="F661" i="3"/>
  <c r="G661" i="3" s="1"/>
  <c r="D661" i="3"/>
  <c r="F660" i="3"/>
  <c r="G660" i="3" s="1"/>
  <c r="D660" i="3"/>
  <c r="F659" i="3"/>
  <c r="G659" i="3" s="1"/>
  <c r="D659" i="3"/>
  <c r="F658" i="3"/>
  <c r="G658" i="3" s="1"/>
  <c r="D658" i="3"/>
  <c r="F657" i="3"/>
  <c r="G657" i="3" s="1"/>
  <c r="D657" i="3"/>
  <c r="F656" i="3"/>
  <c r="G656" i="3" s="1"/>
  <c r="D656" i="3"/>
  <c r="F655" i="3"/>
  <c r="G655" i="3" s="1"/>
  <c r="D655" i="3"/>
  <c r="F654" i="3"/>
  <c r="G654" i="3" s="1"/>
  <c r="D654" i="3"/>
  <c r="F653" i="3"/>
  <c r="G653" i="3" s="1"/>
  <c r="D653" i="3"/>
  <c r="F652" i="3"/>
  <c r="G652" i="3" s="1"/>
  <c r="D652" i="3"/>
  <c r="F651" i="3"/>
  <c r="G651" i="3" s="1"/>
  <c r="D651" i="3"/>
  <c r="F650" i="3"/>
  <c r="G650" i="3" s="1"/>
  <c r="D650" i="3"/>
  <c r="F649" i="3"/>
  <c r="G649" i="3" s="1"/>
  <c r="D649" i="3"/>
  <c r="F648" i="3"/>
  <c r="G648" i="3" s="1"/>
  <c r="D648" i="3"/>
  <c r="F647" i="3"/>
  <c r="G647" i="3" s="1"/>
  <c r="D647" i="3"/>
  <c r="F646" i="3"/>
  <c r="G646" i="3" s="1"/>
  <c r="D646" i="3"/>
  <c r="F645" i="3"/>
  <c r="G645" i="3" s="1"/>
  <c r="D645" i="3"/>
  <c r="F644" i="3"/>
  <c r="G644" i="3" s="1"/>
  <c r="D644" i="3"/>
  <c r="F643" i="3"/>
  <c r="G643" i="3" s="1"/>
  <c r="D643" i="3"/>
  <c r="F642" i="3"/>
  <c r="G642" i="3" s="1"/>
  <c r="D642" i="3"/>
  <c r="F641" i="3"/>
  <c r="G641" i="3" s="1"/>
  <c r="D641" i="3"/>
  <c r="F640" i="3"/>
  <c r="G640" i="3" s="1"/>
  <c r="D640" i="3"/>
  <c r="F639" i="3"/>
  <c r="G639" i="3" s="1"/>
  <c r="D639" i="3"/>
  <c r="F638" i="3"/>
  <c r="G638" i="3" s="1"/>
  <c r="D638" i="3"/>
  <c r="F637" i="3"/>
  <c r="G637" i="3" s="1"/>
  <c r="D637" i="3"/>
  <c r="F636" i="3"/>
  <c r="G636" i="3" s="1"/>
  <c r="D636" i="3"/>
  <c r="F635" i="3"/>
  <c r="G635" i="3" s="1"/>
  <c r="D635" i="3"/>
  <c r="F634" i="3"/>
  <c r="G634" i="3" s="1"/>
  <c r="D634" i="3"/>
  <c r="F633" i="3"/>
  <c r="G633" i="3" s="1"/>
  <c r="D633" i="3"/>
  <c r="F632" i="3"/>
  <c r="G632" i="3" s="1"/>
  <c r="D632" i="3"/>
  <c r="F631" i="3"/>
  <c r="G631" i="3" s="1"/>
  <c r="D631" i="3"/>
  <c r="F630" i="3"/>
  <c r="G630" i="3" s="1"/>
  <c r="D630" i="3"/>
  <c r="F629" i="3"/>
  <c r="G629" i="3" s="1"/>
  <c r="D629" i="3"/>
  <c r="F628" i="3"/>
  <c r="G628" i="3" s="1"/>
  <c r="D628" i="3"/>
  <c r="F627" i="3"/>
  <c r="G627" i="3" s="1"/>
  <c r="D627" i="3"/>
  <c r="F626" i="3"/>
  <c r="G626" i="3" s="1"/>
  <c r="D626" i="3"/>
  <c r="F625" i="3"/>
  <c r="G625" i="3" s="1"/>
  <c r="D625" i="3"/>
  <c r="F624" i="3"/>
  <c r="G624" i="3" s="1"/>
  <c r="D624" i="3"/>
  <c r="F623" i="3"/>
  <c r="G623" i="3" s="1"/>
  <c r="D623" i="3"/>
  <c r="F622" i="3"/>
  <c r="G622" i="3" s="1"/>
  <c r="D622" i="3"/>
  <c r="F621" i="3"/>
  <c r="G621" i="3" s="1"/>
  <c r="D621" i="3"/>
  <c r="F620" i="3"/>
  <c r="G620" i="3" s="1"/>
  <c r="D620" i="3"/>
  <c r="F619" i="3"/>
  <c r="G619" i="3" s="1"/>
  <c r="D619" i="3"/>
  <c r="F618" i="3"/>
  <c r="G618" i="3" s="1"/>
  <c r="D618" i="3"/>
  <c r="F617" i="3"/>
  <c r="G617" i="3" s="1"/>
  <c r="D617" i="3"/>
  <c r="F616" i="3"/>
  <c r="G616" i="3" s="1"/>
  <c r="D616" i="3"/>
  <c r="F615" i="3"/>
  <c r="G615" i="3" s="1"/>
  <c r="D615" i="3"/>
  <c r="F614" i="3"/>
  <c r="G614" i="3" s="1"/>
  <c r="D614" i="3"/>
  <c r="F613" i="3"/>
  <c r="G613" i="3" s="1"/>
  <c r="D613" i="3"/>
  <c r="F612" i="3"/>
  <c r="G612" i="3" s="1"/>
  <c r="D612" i="3"/>
  <c r="F611" i="3"/>
  <c r="G611" i="3" s="1"/>
  <c r="D611" i="3"/>
  <c r="F610" i="3"/>
  <c r="G610" i="3" s="1"/>
  <c r="D610" i="3"/>
  <c r="F609" i="3"/>
  <c r="G609" i="3" s="1"/>
  <c r="D609" i="3"/>
  <c r="F608" i="3"/>
  <c r="G608" i="3" s="1"/>
  <c r="D608" i="3"/>
  <c r="F607" i="3"/>
  <c r="G607" i="3" s="1"/>
  <c r="D607" i="3"/>
  <c r="F606" i="3"/>
  <c r="G606" i="3" s="1"/>
  <c r="D606" i="3"/>
  <c r="F605" i="3"/>
  <c r="G605" i="3" s="1"/>
  <c r="D605" i="3"/>
  <c r="F604" i="3"/>
  <c r="G604" i="3" s="1"/>
  <c r="D604" i="3"/>
  <c r="F603" i="3"/>
  <c r="G603" i="3" s="1"/>
  <c r="D603" i="3"/>
  <c r="F602" i="3"/>
  <c r="G602" i="3" s="1"/>
  <c r="D602" i="3"/>
  <c r="F601" i="3"/>
  <c r="G601" i="3" s="1"/>
  <c r="D601" i="3"/>
  <c r="F600" i="3"/>
  <c r="G600" i="3" s="1"/>
  <c r="D600" i="3"/>
  <c r="F599" i="3"/>
  <c r="G599" i="3" s="1"/>
  <c r="D599" i="3"/>
  <c r="F598" i="3"/>
  <c r="G598" i="3" s="1"/>
  <c r="D598" i="3"/>
  <c r="F597" i="3"/>
  <c r="G597" i="3" s="1"/>
  <c r="D597" i="3"/>
  <c r="F596" i="3"/>
  <c r="G596" i="3" s="1"/>
  <c r="D596" i="3"/>
  <c r="F595" i="3"/>
  <c r="G595" i="3" s="1"/>
  <c r="D595" i="3"/>
  <c r="F594" i="3"/>
  <c r="G594" i="3" s="1"/>
  <c r="D594" i="3"/>
  <c r="F593" i="3"/>
  <c r="G593" i="3" s="1"/>
  <c r="D593" i="3"/>
  <c r="F592" i="3"/>
  <c r="G592" i="3" s="1"/>
  <c r="D592" i="3"/>
  <c r="F591" i="3"/>
  <c r="G591" i="3" s="1"/>
  <c r="D591" i="3"/>
  <c r="F590" i="3"/>
  <c r="G590" i="3" s="1"/>
  <c r="D590" i="3"/>
  <c r="F589" i="3"/>
  <c r="G589" i="3" s="1"/>
  <c r="D589" i="3"/>
  <c r="F588" i="3"/>
  <c r="G588" i="3" s="1"/>
  <c r="D588" i="3"/>
  <c r="F587" i="3"/>
  <c r="G587" i="3" s="1"/>
  <c r="D587" i="3"/>
  <c r="F586" i="3"/>
  <c r="G586" i="3" s="1"/>
  <c r="D586" i="3"/>
  <c r="F585" i="3"/>
  <c r="G585" i="3" s="1"/>
  <c r="D585" i="3"/>
  <c r="F584" i="3"/>
  <c r="G584" i="3" s="1"/>
  <c r="D584" i="3"/>
  <c r="F583" i="3"/>
  <c r="G583" i="3" s="1"/>
  <c r="D583" i="3"/>
  <c r="F582" i="3"/>
  <c r="G582" i="3" s="1"/>
  <c r="D582" i="3"/>
  <c r="F581" i="3"/>
  <c r="G581" i="3" s="1"/>
  <c r="D581" i="3"/>
  <c r="F580" i="3"/>
  <c r="G580" i="3" s="1"/>
  <c r="D580" i="3"/>
  <c r="F579" i="3"/>
  <c r="G579" i="3" s="1"/>
  <c r="D579" i="3"/>
  <c r="F578" i="3"/>
  <c r="G578" i="3" s="1"/>
  <c r="D578" i="3"/>
  <c r="F577" i="3"/>
  <c r="G577" i="3" s="1"/>
  <c r="D577" i="3"/>
  <c r="F576" i="3"/>
  <c r="G576" i="3" s="1"/>
  <c r="D576" i="3"/>
  <c r="F575" i="3"/>
  <c r="G575" i="3" s="1"/>
  <c r="D575" i="3"/>
  <c r="F574" i="3"/>
  <c r="G574" i="3" s="1"/>
  <c r="D574" i="3"/>
  <c r="F573" i="3"/>
  <c r="G573" i="3" s="1"/>
  <c r="D573" i="3"/>
  <c r="F572" i="3"/>
  <c r="G572" i="3" s="1"/>
  <c r="D572" i="3"/>
  <c r="F571" i="3"/>
  <c r="G571" i="3" s="1"/>
  <c r="D571" i="3"/>
  <c r="F570" i="3"/>
  <c r="G570" i="3" s="1"/>
  <c r="D570" i="3"/>
  <c r="F569" i="3"/>
  <c r="G569" i="3" s="1"/>
  <c r="D569" i="3"/>
  <c r="F568" i="3"/>
  <c r="G568" i="3" s="1"/>
  <c r="D568" i="3"/>
  <c r="F567" i="3"/>
  <c r="G567" i="3" s="1"/>
  <c r="D567" i="3"/>
  <c r="F566" i="3"/>
  <c r="G566" i="3" s="1"/>
  <c r="D566" i="3"/>
  <c r="F565" i="3"/>
  <c r="G565" i="3" s="1"/>
  <c r="D565" i="3"/>
  <c r="F564" i="3"/>
  <c r="G564" i="3" s="1"/>
  <c r="D564" i="3"/>
  <c r="F563" i="3"/>
  <c r="G563" i="3" s="1"/>
  <c r="D563" i="3"/>
  <c r="F562" i="3"/>
  <c r="G562" i="3" s="1"/>
  <c r="D562" i="3"/>
  <c r="F561" i="3"/>
  <c r="G561" i="3" s="1"/>
  <c r="D561" i="3"/>
  <c r="F560" i="3"/>
  <c r="G560" i="3" s="1"/>
  <c r="D560" i="3"/>
  <c r="F559" i="3"/>
  <c r="G559" i="3" s="1"/>
  <c r="D559" i="3"/>
  <c r="F558" i="3"/>
  <c r="G558" i="3" s="1"/>
  <c r="D558" i="3"/>
  <c r="F557" i="3"/>
  <c r="G557" i="3" s="1"/>
  <c r="D557" i="3"/>
  <c r="F556" i="3"/>
  <c r="G556" i="3" s="1"/>
  <c r="D556" i="3"/>
  <c r="F555" i="3"/>
  <c r="G555" i="3" s="1"/>
  <c r="D555" i="3"/>
  <c r="F554" i="3"/>
  <c r="G554" i="3" s="1"/>
  <c r="D554" i="3"/>
  <c r="F553" i="3"/>
  <c r="G553" i="3" s="1"/>
  <c r="D553" i="3"/>
  <c r="F552" i="3"/>
  <c r="G552" i="3" s="1"/>
  <c r="D552" i="3"/>
  <c r="F551" i="3"/>
  <c r="G551" i="3" s="1"/>
  <c r="D551" i="3"/>
  <c r="F550" i="3"/>
  <c r="G550" i="3" s="1"/>
  <c r="D550" i="3"/>
  <c r="F549" i="3"/>
  <c r="G549" i="3" s="1"/>
  <c r="D549" i="3"/>
  <c r="F548" i="3"/>
  <c r="G548" i="3" s="1"/>
  <c r="D548" i="3"/>
  <c r="F547" i="3"/>
  <c r="G547" i="3" s="1"/>
  <c r="D547" i="3"/>
  <c r="F546" i="3"/>
  <c r="G546" i="3" s="1"/>
  <c r="D546" i="3"/>
  <c r="F545" i="3"/>
  <c r="G545" i="3" s="1"/>
  <c r="D545" i="3"/>
  <c r="F544" i="3"/>
  <c r="G544" i="3" s="1"/>
  <c r="D544" i="3"/>
  <c r="F543" i="3"/>
  <c r="G543" i="3" s="1"/>
  <c r="D543" i="3"/>
  <c r="F542" i="3"/>
  <c r="G542" i="3" s="1"/>
  <c r="D542" i="3"/>
  <c r="F541" i="3"/>
  <c r="G541" i="3" s="1"/>
  <c r="D541" i="3"/>
  <c r="F540" i="3"/>
  <c r="G540" i="3" s="1"/>
  <c r="D540" i="3"/>
  <c r="F539" i="3"/>
  <c r="G539" i="3" s="1"/>
  <c r="D539" i="3"/>
  <c r="F538" i="3"/>
  <c r="G538" i="3" s="1"/>
  <c r="D538" i="3"/>
  <c r="F537" i="3"/>
  <c r="G537" i="3" s="1"/>
  <c r="D537" i="3"/>
  <c r="F536" i="3"/>
  <c r="G536" i="3" s="1"/>
  <c r="D536" i="3"/>
  <c r="F535" i="3"/>
  <c r="G535" i="3" s="1"/>
  <c r="D535" i="3"/>
  <c r="F534" i="3"/>
  <c r="G534" i="3" s="1"/>
  <c r="D534" i="3"/>
  <c r="F533" i="3"/>
  <c r="G533" i="3" s="1"/>
  <c r="D533" i="3"/>
  <c r="F532" i="3"/>
  <c r="G532" i="3" s="1"/>
  <c r="D532" i="3"/>
  <c r="F531" i="3"/>
  <c r="G531" i="3" s="1"/>
  <c r="D531" i="3"/>
  <c r="F530" i="3"/>
  <c r="G530" i="3" s="1"/>
  <c r="D530" i="3"/>
  <c r="F529" i="3"/>
  <c r="G529" i="3" s="1"/>
  <c r="D529" i="3"/>
  <c r="F528" i="3"/>
  <c r="G528" i="3" s="1"/>
  <c r="D528" i="3"/>
  <c r="F527" i="3"/>
  <c r="G527" i="3" s="1"/>
  <c r="D527" i="3"/>
  <c r="F526" i="3"/>
  <c r="G526" i="3" s="1"/>
  <c r="D526" i="3"/>
  <c r="F525" i="3"/>
  <c r="G525" i="3" s="1"/>
  <c r="D525" i="3"/>
  <c r="F524" i="3"/>
  <c r="G524" i="3" s="1"/>
  <c r="D524" i="3"/>
  <c r="F523" i="3"/>
  <c r="G523" i="3" s="1"/>
  <c r="D523" i="3"/>
  <c r="F522" i="3"/>
  <c r="G522" i="3" s="1"/>
  <c r="D522" i="3"/>
  <c r="F521" i="3"/>
  <c r="G521" i="3" s="1"/>
  <c r="D521" i="3"/>
  <c r="F520" i="3"/>
  <c r="G520" i="3" s="1"/>
  <c r="D520" i="3"/>
  <c r="F519" i="3"/>
  <c r="G519" i="3" s="1"/>
  <c r="D519" i="3"/>
  <c r="F518" i="3"/>
  <c r="G518" i="3" s="1"/>
  <c r="D518" i="3"/>
  <c r="F517" i="3"/>
  <c r="G517" i="3" s="1"/>
  <c r="D517" i="3"/>
  <c r="F516" i="3"/>
  <c r="G516" i="3" s="1"/>
  <c r="D516" i="3"/>
  <c r="F515" i="3"/>
  <c r="G515" i="3" s="1"/>
  <c r="D515" i="3"/>
  <c r="F514" i="3"/>
  <c r="G514" i="3" s="1"/>
  <c r="D514" i="3"/>
  <c r="F513" i="3"/>
  <c r="G513" i="3" s="1"/>
  <c r="D513" i="3"/>
  <c r="F512" i="3"/>
  <c r="G512" i="3" s="1"/>
  <c r="D512" i="3"/>
  <c r="F511" i="3"/>
  <c r="G511" i="3" s="1"/>
  <c r="D511" i="3"/>
  <c r="F510" i="3"/>
  <c r="G510" i="3" s="1"/>
  <c r="D510" i="3"/>
  <c r="F509" i="3"/>
  <c r="G509" i="3" s="1"/>
  <c r="D509" i="3"/>
  <c r="F508" i="3"/>
  <c r="G508" i="3" s="1"/>
  <c r="D508" i="3"/>
  <c r="F507" i="3"/>
  <c r="G507" i="3" s="1"/>
  <c r="D507" i="3"/>
  <c r="F506" i="3"/>
  <c r="G506" i="3" s="1"/>
  <c r="D506" i="3"/>
  <c r="F505" i="3"/>
  <c r="G505" i="3" s="1"/>
  <c r="D505" i="3"/>
  <c r="F504" i="3"/>
  <c r="G504" i="3" s="1"/>
  <c r="D504" i="3"/>
  <c r="F503" i="3"/>
  <c r="G503" i="3" s="1"/>
  <c r="D503" i="3"/>
  <c r="F502" i="3"/>
  <c r="G502" i="3" s="1"/>
  <c r="D502" i="3"/>
  <c r="F501" i="3"/>
  <c r="G501" i="3" s="1"/>
  <c r="D501" i="3"/>
  <c r="F500" i="3"/>
  <c r="G500" i="3" s="1"/>
  <c r="D500" i="3"/>
  <c r="F499" i="3"/>
  <c r="G499" i="3" s="1"/>
  <c r="D499" i="3"/>
  <c r="F498" i="3"/>
  <c r="G498" i="3" s="1"/>
  <c r="D498" i="3"/>
  <c r="F497" i="3"/>
  <c r="G497" i="3" s="1"/>
  <c r="D497" i="3"/>
  <c r="F496" i="3"/>
  <c r="G496" i="3" s="1"/>
  <c r="D496" i="3"/>
  <c r="F495" i="3"/>
  <c r="G495" i="3" s="1"/>
  <c r="D495" i="3"/>
  <c r="F494" i="3"/>
  <c r="G494" i="3" s="1"/>
  <c r="D494" i="3"/>
  <c r="F493" i="3"/>
  <c r="G493" i="3" s="1"/>
  <c r="D493" i="3"/>
  <c r="F492" i="3"/>
  <c r="G492" i="3" s="1"/>
  <c r="D492" i="3"/>
  <c r="F491" i="3"/>
  <c r="G491" i="3" s="1"/>
  <c r="D491" i="3"/>
  <c r="F490" i="3"/>
  <c r="G490" i="3" s="1"/>
  <c r="D490" i="3"/>
  <c r="F489" i="3"/>
  <c r="G489" i="3" s="1"/>
  <c r="D489" i="3"/>
  <c r="F488" i="3"/>
  <c r="G488" i="3" s="1"/>
  <c r="D488" i="3"/>
  <c r="F487" i="3"/>
  <c r="G487" i="3" s="1"/>
  <c r="D487" i="3"/>
  <c r="F486" i="3"/>
  <c r="G486" i="3" s="1"/>
  <c r="D486" i="3"/>
  <c r="F485" i="3"/>
  <c r="G485" i="3" s="1"/>
  <c r="D485" i="3"/>
  <c r="F484" i="3"/>
  <c r="G484" i="3" s="1"/>
  <c r="D484" i="3"/>
  <c r="F483" i="3"/>
  <c r="G483" i="3" s="1"/>
  <c r="D483" i="3"/>
  <c r="F482" i="3"/>
  <c r="G482" i="3" s="1"/>
  <c r="D482" i="3"/>
  <c r="F481" i="3"/>
  <c r="G481" i="3" s="1"/>
  <c r="D481" i="3"/>
  <c r="F480" i="3"/>
  <c r="G480" i="3" s="1"/>
  <c r="D480" i="3"/>
  <c r="F479" i="3"/>
  <c r="G479" i="3" s="1"/>
  <c r="D479" i="3"/>
  <c r="F478" i="3"/>
  <c r="G478" i="3" s="1"/>
  <c r="D478" i="3"/>
  <c r="F477" i="3"/>
  <c r="G477" i="3" s="1"/>
  <c r="D477" i="3"/>
  <c r="F476" i="3"/>
  <c r="G476" i="3" s="1"/>
  <c r="D476" i="3"/>
  <c r="F475" i="3"/>
  <c r="G475" i="3" s="1"/>
  <c r="D475" i="3"/>
  <c r="F474" i="3"/>
  <c r="G474" i="3" s="1"/>
  <c r="D474" i="3"/>
  <c r="F473" i="3"/>
  <c r="G473" i="3" s="1"/>
  <c r="D473" i="3"/>
  <c r="F472" i="3"/>
  <c r="G472" i="3" s="1"/>
  <c r="D472" i="3"/>
  <c r="F471" i="3"/>
  <c r="G471" i="3" s="1"/>
  <c r="D471" i="3"/>
  <c r="F470" i="3"/>
  <c r="G470" i="3" s="1"/>
  <c r="D470" i="3"/>
  <c r="F469" i="3"/>
  <c r="G469" i="3" s="1"/>
  <c r="D469" i="3"/>
  <c r="F468" i="3"/>
  <c r="G468" i="3" s="1"/>
  <c r="D468" i="3"/>
  <c r="F467" i="3"/>
  <c r="G467" i="3" s="1"/>
  <c r="D467" i="3"/>
  <c r="F466" i="3"/>
  <c r="G466" i="3" s="1"/>
  <c r="D466" i="3"/>
  <c r="F465" i="3"/>
  <c r="G465" i="3" s="1"/>
  <c r="D465" i="3"/>
  <c r="F464" i="3"/>
  <c r="G464" i="3" s="1"/>
  <c r="D464" i="3"/>
  <c r="F463" i="3"/>
  <c r="G463" i="3" s="1"/>
  <c r="D463" i="3"/>
  <c r="F462" i="3"/>
  <c r="G462" i="3" s="1"/>
  <c r="D462" i="3"/>
  <c r="F461" i="3"/>
  <c r="G461" i="3" s="1"/>
  <c r="D461" i="3"/>
  <c r="F460" i="3"/>
  <c r="G460" i="3" s="1"/>
  <c r="D460" i="3"/>
  <c r="F459" i="3"/>
  <c r="G459" i="3" s="1"/>
  <c r="D459" i="3"/>
  <c r="F458" i="3"/>
  <c r="G458" i="3" s="1"/>
  <c r="D458" i="3"/>
  <c r="F457" i="3"/>
  <c r="G457" i="3" s="1"/>
  <c r="D457" i="3"/>
  <c r="F456" i="3"/>
  <c r="G456" i="3" s="1"/>
  <c r="D456" i="3"/>
  <c r="F455" i="3"/>
  <c r="G455" i="3" s="1"/>
  <c r="D455" i="3"/>
  <c r="F454" i="3"/>
  <c r="G454" i="3" s="1"/>
  <c r="D454" i="3"/>
  <c r="F453" i="3"/>
  <c r="G453" i="3" s="1"/>
  <c r="D453" i="3"/>
  <c r="F452" i="3"/>
  <c r="G452" i="3" s="1"/>
  <c r="D452" i="3"/>
  <c r="F451" i="3"/>
  <c r="G451" i="3" s="1"/>
  <c r="D451" i="3"/>
  <c r="F450" i="3"/>
  <c r="G450" i="3" s="1"/>
  <c r="D450" i="3"/>
  <c r="F449" i="3"/>
  <c r="G449" i="3" s="1"/>
  <c r="D449" i="3"/>
  <c r="F448" i="3"/>
  <c r="G448" i="3" s="1"/>
  <c r="D448" i="3"/>
  <c r="F447" i="3"/>
  <c r="G447" i="3" s="1"/>
  <c r="D447" i="3"/>
  <c r="F446" i="3"/>
  <c r="G446" i="3" s="1"/>
  <c r="D446" i="3"/>
  <c r="F445" i="3"/>
  <c r="G445" i="3" s="1"/>
  <c r="D445" i="3"/>
  <c r="F444" i="3"/>
  <c r="G444" i="3" s="1"/>
  <c r="D444" i="3"/>
  <c r="F443" i="3"/>
  <c r="G443" i="3" s="1"/>
  <c r="D443" i="3"/>
  <c r="F442" i="3"/>
  <c r="G442" i="3" s="1"/>
  <c r="D442" i="3"/>
  <c r="F441" i="3"/>
  <c r="G441" i="3" s="1"/>
  <c r="D441" i="3"/>
  <c r="F440" i="3"/>
  <c r="G440" i="3" s="1"/>
  <c r="D440" i="3"/>
  <c r="F439" i="3"/>
  <c r="G439" i="3" s="1"/>
  <c r="D439" i="3"/>
  <c r="F438" i="3"/>
  <c r="G438" i="3" s="1"/>
  <c r="D438" i="3"/>
  <c r="F437" i="3"/>
  <c r="G437" i="3" s="1"/>
  <c r="D437" i="3"/>
  <c r="F436" i="3"/>
  <c r="G436" i="3" s="1"/>
  <c r="D436" i="3"/>
  <c r="F435" i="3"/>
  <c r="G435" i="3" s="1"/>
  <c r="D435" i="3"/>
  <c r="F434" i="3"/>
  <c r="G434" i="3" s="1"/>
  <c r="D434" i="3"/>
  <c r="F433" i="3"/>
  <c r="G433" i="3" s="1"/>
  <c r="D433" i="3"/>
  <c r="F432" i="3"/>
  <c r="G432" i="3" s="1"/>
  <c r="D432" i="3"/>
  <c r="F431" i="3"/>
  <c r="G431" i="3" s="1"/>
  <c r="D431" i="3"/>
  <c r="F430" i="3"/>
  <c r="G430" i="3" s="1"/>
  <c r="D430" i="3"/>
  <c r="F429" i="3"/>
  <c r="G429" i="3" s="1"/>
  <c r="D429" i="3"/>
  <c r="F428" i="3"/>
  <c r="G428" i="3" s="1"/>
  <c r="D428" i="3"/>
  <c r="F427" i="3"/>
  <c r="G427" i="3" s="1"/>
  <c r="D427" i="3"/>
  <c r="F426" i="3"/>
  <c r="G426" i="3" s="1"/>
  <c r="D426" i="3"/>
  <c r="F425" i="3"/>
  <c r="G425" i="3" s="1"/>
  <c r="D425" i="3"/>
  <c r="F424" i="3"/>
  <c r="G424" i="3" s="1"/>
  <c r="D424" i="3"/>
  <c r="F423" i="3"/>
  <c r="G423" i="3" s="1"/>
  <c r="D423" i="3"/>
  <c r="F422" i="3"/>
  <c r="G422" i="3" s="1"/>
  <c r="D422" i="3"/>
  <c r="F421" i="3"/>
  <c r="G421" i="3" s="1"/>
  <c r="D421" i="3"/>
  <c r="G420" i="3"/>
  <c r="F420" i="3"/>
  <c r="D420" i="3"/>
  <c r="F419" i="3"/>
  <c r="G419" i="3" s="1"/>
  <c r="D419" i="3"/>
  <c r="F418" i="3"/>
  <c r="G418" i="3" s="1"/>
  <c r="D418" i="3"/>
  <c r="F417" i="3"/>
  <c r="G417" i="3" s="1"/>
  <c r="D417" i="3"/>
  <c r="F416" i="3"/>
  <c r="G416" i="3" s="1"/>
  <c r="D416" i="3"/>
  <c r="F415" i="3"/>
  <c r="G415" i="3" s="1"/>
  <c r="D415" i="3"/>
  <c r="F414" i="3"/>
  <c r="G414" i="3" s="1"/>
  <c r="D414" i="3"/>
  <c r="F413" i="3"/>
  <c r="G413" i="3" s="1"/>
  <c r="D413" i="3"/>
  <c r="F412" i="3"/>
  <c r="G412" i="3" s="1"/>
  <c r="D412" i="3"/>
  <c r="F411" i="3"/>
  <c r="G411" i="3" s="1"/>
  <c r="D411" i="3"/>
  <c r="F410" i="3"/>
  <c r="G410" i="3" s="1"/>
  <c r="D410" i="3"/>
  <c r="F409" i="3"/>
  <c r="G409" i="3" s="1"/>
  <c r="D409" i="3"/>
  <c r="F408" i="3"/>
  <c r="G408" i="3" s="1"/>
  <c r="D408" i="3"/>
  <c r="F407" i="3"/>
  <c r="G407" i="3" s="1"/>
  <c r="D407" i="3"/>
  <c r="F406" i="3"/>
  <c r="G406" i="3" s="1"/>
  <c r="D406" i="3"/>
  <c r="F405" i="3"/>
  <c r="G405" i="3" s="1"/>
  <c r="D405" i="3"/>
  <c r="F404" i="3"/>
  <c r="G404" i="3" s="1"/>
  <c r="D404" i="3"/>
  <c r="F403" i="3"/>
  <c r="G403" i="3" s="1"/>
  <c r="D403" i="3"/>
  <c r="F402" i="3"/>
  <c r="G402" i="3" s="1"/>
  <c r="D402" i="3"/>
  <c r="F401" i="3"/>
  <c r="G401" i="3" s="1"/>
  <c r="D401" i="3"/>
  <c r="F400" i="3"/>
  <c r="G400" i="3" s="1"/>
  <c r="D400" i="3"/>
  <c r="F399" i="3"/>
  <c r="G399" i="3" s="1"/>
  <c r="D399" i="3"/>
  <c r="F398" i="3"/>
  <c r="G398" i="3" s="1"/>
  <c r="D398" i="3"/>
  <c r="F397" i="3"/>
  <c r="G397" i="3" s="1"/>
  <c r="D397" i="3"/>
  <c r="F396" i="3"/>
  <c r="G396" i="3" s="1"/>
  <c r="D396" i="3"/>
  <c r="F395" i="3"/>
  <c r="G395" i="3" s="1"/>
  <c r="D395" i="3"/>
  <c r="F394" i="3"/>
  <c r="G394" i="3" s="1"/>
  <c r="D394" i="3"/>
  <c r="F393" i="3"/>
  <c r="G393" i="3" s="1"/>
  <c r="D393" i="3"/>
  <c r="F392" i="3"/>
  <c r="G392" i="3" s="1"/>
  <c r="D392" i="3"/>
  <c r="F391" i="3"/>
  <c r="G391" i="3" s="1"/>
  <c r="D391" i="3"/>
  <c r="F390" i="3"/>
  <c r="G390" i="3" s="1"/>
  <c r="D390" i="3"/>
  <c r="F389" i="3"/>
  <c r="G389" i="3" s="1"/>
  <c r="D389" i="3"/>
  <c r="F388" i="3"/>
  <c r="G388" i="3" s="1"/>
  <c r="D388" i="3"/>
  <c r="F387" i="3"/>
  <c r="G387" i="3" s="1"/>
  <c r="D387" i="3"/>
  <c r="F386" i="3"/>
  <c r="G386" i="3" s="1"/>
  <c r="D386" i="3"/>
  <c r="F385" i="3"/>
  <c r="G385" i="3" s="1"/>
  <c r="D385" i="3"/>
  <c r="F384" i="3"/>
  <c r="G384" i="3" s="1"/>
  <c r="D384" i="3"/>
  <c r="F383" i="3"/>
  <c r="G383" i="3" s="1"/>
  <c r="D383" i="3"/>
  <c r="F382" i="3"/>
  <c r="G382" i="3" s="1"/>
  <c r="D382" i="3"/>
  <c r="F381" i="3"/>
  <c r="G381" i="3" s="1"/>
  <c r="D381" i="3"/>
  <c r="F380" i="3"/>
  <c r="G380" i="3" s="1"/>
  <c r="D380" i="3"/>
  <c r="F379" i="3"/>
  <c r="G379" i="3" s="1"/>
  <c r="D379" i="3"/>
  <c r="F378" i="3"/>
  <c r="G378" i="3" s="1"/>
  <c r="D378" i="3"/>
  <c r="F377" i="3"/>
  <c r="G377" i="3" s="1"/>
  <c r="D377" i="3"/>
  <c r="F376" i="3"/>
  <c r="G376" i="3" s="1"/>
  <c r="D376" i="3"/>
  <c r="F375" i="3"/>
  <c r="G375" i="3" s="1"/>
  <c r="D375" i="3"/>
  <c r="F374" i="3"/>
  <c r="G374" i="3" s="1"/>
  <c r="D374" i="3"/>
  <c r="F373" i="3"/>
  <c r="G373" i="3" s="1"/>
  <c r="D373" i="3"/>
  <c r="F372" i="3"/>
  <c r="G372" i="3" s="1"/>
  <c r="D372" i="3"/>
  <c r="F371" i="3"/>
  <c r="G371" i="3" s="1"/>
  <c r="D371" i="3"/>
  <c r="F370" i="3"/>
  <c r="G370" i="3" s="1"/>
  <c r="D370" i="3"/>
  <c r="F369" i="3"/>
  <c r="G369" i="3" s="1"/>
  <c r="D369" i="3"/>
  <c r="F368" i="3"/>
  <c r="G368" i="3" s="1"/>
  <c r="D368" i="3"/>
  <c r="F367" i="3"/>
  <c r="G367" i="3" s="1"/>
  <c r="D367" i="3"/>
  <c r="F366" i="3"/>
  <c r="G366" i="3" s="1"/>
  <c r="D366" i="3"/>
  <c r="F365" i="3"/>
  <c r="D365" i="3"/>
  <c r="F364" i="3"/>
  <c r="G364" i="3" s="1"/>
  <c r="D364" i="3"/>
  <c r="F363" i="3"/>
  <c r="G363" i="3" s="1"/>
  <c r="D363" i="3"/>
  <c r="F362" i="3"/>
  <c r="G362" i="3" s="1"/>
  <c r="D362" i="3"/>
  <c r="F361" i="3"/>
  <c r="G361" i="3" s="1"/>
  <c r="D361" i="3"/>
  <c r="F360" i="3"/>
  <c r="G360" i="3" s="1"/>
  <c r="D360" i="3"/>
  <c r="F359" i="3"/>
  <c r="G359" i="3" s="1"/>
  <c r="D359" i="3"/>
  <c r="F358" i="3"/>
  <c r="G358" i="3" s="1"/>
  <c r="F357" i="3"/>
  <c r="F356" i="3"/>
  <c r="G356" i="3" s="1"/>
  <c r="F355" i="3"/>
  <c r="G355" i="3" s="1"/>
  <c r="D355" i="3"/>
  <c r="F354" i="3"/>
  <c r="G354" i="3" s="1"/>
  <c r="D354" i="3"/>
  <c r="F353" i="3"/>
  <c r="G353" i="3" s="1"/>
  <c r="F352" i="3"/>
  <c r="G352" i="3" s="1"/>
  <c r="D352" i="3"/>
  <c r="F351" i="3"/>
  <c r="G351" i="3" s="1"/>
  <c r="D351" i="3"/>
  <c r="F350" i="3"/>
  <c r="G350" i="3" s="1"/>
  <c r="F349" i="3"/>
  <c r="F348" i="3"/>
  <c r="G348" i="3" s="1"/>
  <c r="F347" i="3"/>
  <c r="G347" i="3" s="1"/>
  <c r="D347" i="3"/>
  <c r="F346" i="3"/>
  <c r="G346" i="3" s="1"/>
  <c r="F345" i="3"/>
  <c r="G345" i="3" s="1"/>
  <c r="F344" i="3"/>
  <c r="G344" i="3" s="1"/>
  <c r="D344" i="3"/>
  <c r="F343" i="3"/>
  <c r="G343" i="3" s="1"/>
  <c r="D343" i="3"/>
  <c r="F342" i="3"/>
  <c r="G342" i="3" s="1"/>
  <c r="F341" i="3"/>
  <c r="F340" i="3"/>
  <c r="G340" i="3" s="1"/>
  <c r="F339" i="3"/>
  <c r="G339" i="3" s="1"/>
  <c r="F338" i="3"/>
  <c r="G338" i="3" s="1"/>
  <c r="F337" i="3"/>
  <c r="D337" i="3"/>
  <c r="F336" i="3"/>
  <c r="G336" i="3" s="1"/>
  <c r="F335" i="3"/>
  <c r="G335" i="3" s="1"/>
  <c r="F334" i="3"/>
  <c r="G334" i="3" s="1"/>
  <c r="F333" i="3"/>
  <c r="G333" i="3" s="1"/>
  <c r="F332" i="3"/>
  <c r="G332" i="3" s="1"/>
  <c r="F331" i="3"/>
  <c r="F330" i="3"/>
  <c r="G330" i="3" s="1"/>
  <c r="F329" i="3"/>
  <c r="G329" i="3" s="1"/>
  <c r="F328" i="3"/>
  <c r="G328" i="3" s="1"/>
  <c r="F327" i="3"/>
  <c r="G327" i="3" s="1"/>
  <c r="F326" i="3"/>
  <c r="G326" i="3" s="1"/>
  <c r="F325" i="3"/>
  <c r="D325" i="3"/>
  <c r="F324" i="3"/>
  <c r="G324" i="3" s="1"/>
  <c r="F323" i="3"/>
  <c r="G323" i="3" s="1"/>
  <c r="F322" i="3"/>
  <c r="G322" i="3" s="1"/>
  <c r="F321" i="3"/>
  <c r="G321" i="3" s="1"/>
  <c r="F320" i="3"/>
  <c r="G320" i="3" s="1"/>
  <c r="F319" i="3"/>
  <c r="F318" i="3"/>
  <c r="G318" i="3" s="1"/>
  <c r="F317" i="3"/>
  <c r="G317" i="3" s="1"/>
  <c r="F316" i="3"/>
  <c r="G316" i="3" s="1"/>
  <c r="F315" i="3"/>
  <c r="G315" i="3" s="1"/>
  <c r="F314" i="3"/>
  <c r="D314" i="3"/>
  <c r="F313" i="3"/>
  <c r="G313" i="3" s="1"/>
  <c r="F312" i="3"/>
  <c r="G312" i="3" s="1"/>
  <c r="F311" i="3"/>
  <c r="G311" i="3" s="1"/>
  <c r="F310" i="3"/>
  <c r="G310" i="3" s="1"/>
  <c r="F309" i="3"/>
  <c r="G309" i="3" s="1"/>
  <c r="F308" i="3"/>
  <c r="D308" i="3"/>
  <c r="F307" i="3"/>
  <c r="G307" i="3" s="1"/>
  <c r="F306" i="3"/>
  <c r="G306" i="3" s="1"/>
  <c r="F305" i="3"/>
  <c r="G305" i="3" s="1"/>
  <c r="F304" i="3"/>
  <c r="G304" i="3" s="1"/>
  <c r="D304" i="3"/>
  <c r="F303" i="3"/>
  <c r="G303" i="3" s="1"/>
  <c r="D303" i="3"/>
  <c r="F302" i="3"/>
  <c r="D302" i="3"/>
  <c r="F301" i="3"/>
  <c r="G301" i="3" s="1"/>
  <c r="D301" i="3"/>
  <c r="F300" i="3"/>
  <c r="G300" i="3" s="1"/>
  <c r="D300" i="3"/>
  <c r="F299" i="3"/>
  <c r="G299" i="3" s="1"/>
  <c r="D299" i="3"/>
  <c r="F298" i="3"/>
  <c r="G298" i="3" s="1"/>
  <c r="D298" i="3"/>
  <c r="F297" i="3"/>
  <c r="G297" i="3" s="1"/>
  <c r="D297" i="3"/>
  <c r="F296" i="3"/>
  <c r="D296" i="3"/>
  <c r="F295" i="3"/>
  <c r="G295" i="3" s="1"/>
  <c r="D295" i="3"/>
  <c r="F294" i="3"/>
  <c r="G294" i="3" s="1"/>
  <c r="D294" i="3"/>
  <c r="F293" i="3"/>
  <c r="G293" i="3" s="1"/>
  <c r="D293" i="3"/>
  <c r="F292" i="3"/>
  <c r="G292" i="3" s="1"/>
  <c r="D292" i="3"/>
  <c r="G291" i="3"/>
  <c r="F291" i="3"/>
  <c r="D291" i="3"/>
  <c r="F290" i="3"/>
  <c r="G290" i="3" s="1"/>
  <c r="D290" i="3"/>
  <c r="F289" i="3"/>
  <c r="G289" i="3" s="1"/>
  <c r="D289" i="3"/>
  <c r="F288" i="3"/>
  <c r="G288" i="3" s="1"/>
  <c r="D288" i="3"/>
  <c r="F287" i="3"/>
  <c r="G287" i="3" s="1"/>
  <c r="D287" i="3"/>
  <c r="F286" i="3"/>
  <c r="G286" i="3" s="1"/>
  <c r="D286" i="3"/>
  <c r="F285" i="3"/>
  <c r="D285" i="3"/>
  <c r="F284" i="3"/>
  <c r="G284" i="3" s="1"/>
  <c r="D284" i="3"/>
  <c r="F283" i="3"/>
  <c r="G283" i="3" s="1"/>
  <c r="D283" i="3"/>
  <c r="F282" i="3"/>
  <c r="G282" i="3" s="1"/>
  <c r="D282" i="3"/>
  <c r="F281" i="3"/>
  <c r="G281" i="3" s="1"/>
  <c r="D281" i="3"/>
  <c r="F280" i="3"/>
  <c r="G280" i="3" s="1"/>
  <c r="D280" i="3"/>
  <c r="F279" i="3"/>
  <c r="G279" i="3" s="1"/>
  <c r="D279" i="3"/>
  <c r="F278" i="3"/>
  <c r="G278" i="3" s="1"/>
  <c r="D278" i="3"/>
  <c r="F277" i="3"/>
  <c r="G277" i="3" s="1"/>
  <c r="D277" i="3"/>
  <c r="F276" i="3"/>
  <c r="G276" i="3" s="1"/>
  <c r="D276" i="3"/>
  <c r="F275" i="3"/>
  <c r="G275" i="3" s="1"/>
  <c r="D275" i="3"/>
  <c r="F274" i="3"/>
  <c r="D274" i="3"/>
  <c r="F273" i="3"/>
  <c r="G273" i="3" s="1"/>
  <c r="D273" i="3"/>
  <c r="F272" i="3"/>
  <c r="G272" i="3" s="1"/>
  <c r="D272" i="3"/>
  <c r="F271" i="3"/>
  <c r="G271" i="3" s="1"/>
  <c r="D271" i="3"/>
  <c r="F270" i="3"/>
  <c r="G270" i="3" s="1"/>
  <c r="D270" i="3"/>
  <c r="F269" i="3"/>
  <c r="G269" i="3" s="1"/>
  <c r="D269" i="3"/>
  <c r="F268" i="3"/>
  <c r="G268" i="3" s="1"/>
  <c r="D268" i="3"/>
  <c r="F267" i="3"/>
  <c r="G267" i="3" s="1"/>
  <c r="D267" i="3"/>
  <c r="F266" i="3"/>
  <c r="G266" i="3" s="1"/>
  <c r="D266" i="3"/>
  <c r="F265" i="3"/>
  <c r="G265" i="3" s="1"/>
  <c r="D265" i="3"/>
  <c r="F264" i="3"/>
  <c r="G264" i="3" s="1"/>
  <c r="D264" i="3"/>
  <c r="F263" i="3"/>
  <c r="D263" i="3"/>
  <c r="F262" i="3"/>
  <c r="G262" i="3" s="1"/>
  <c r="D262" i="3"/>
  <c r="F261" i="3"/>
  <c r="G261" i="3" s="1"/>
  <c r="D261" i="3"/>
  <c r="F260" i="3"/>
  <c r="G260" i="3" s="1"/>
  <c r="D260" i="3"/>
  <c r="F259" i="3"/>
  <c r="G259" i="3" s="1"/>
  <c r="D259" i="3"/>
  <c r="F258" i="3"/>
  <c r="G258" i="3" s="1"/>
  <c r="D258" i="3"/>
  <c r="F257" i="3"/>
  <c r="G257" i="3" s="1"/>
  <c r="D257" i="3"/>
  <c r="F256" i="3"/>
  <c r="G256" i="3" s="1"/>
  <c r="D256" i="3"/>
  <c r="F255" i="3"/>
  <c r="G255" i="3" s="1"/>
  <c r="D255" i="3"/>
  <c r="F254" i="3"/>
  <c r="G254" i="3" s="1"/>
  <c r="D254" i="3"/>
  <c r="F253" i="3"/>
  <c r="D253" i="3"/>
  <c r="F252" i="3"/>
  <c r="G252" i="3" s="1"/>
  <c r="D252" i="3"/>
  <c r="F251" i="3"/>
  <c r="G251" i="3" s="1"/>
  <c r="D251" i="3"/>
  <c r="F250" i="3"/>
  <c r="G250" i="3" s="1"/>
  <c r="D250" i="3"/>
  <c r="F249" i="3"/>
  <c r="G249" i="3" s="1"/>
  <c r="D249" i="3"/>
  <c r="F248" i="3"/>
  <c r="G248" i="3" s="1"/>
  <c r="D248" i="3"/>
  <c r="F247" i="3"/>
  <c r="G247" i="3" s="1"/>
  <c r="D247" i="3"/>
  <c r="F246" i="3"/>
  <c r="G246" i="3" s="1"/>
  <c r="D246" i="3"/>
  <c r="F245" i="3"/>
  <c r="G245" i="3" s="1"/>
  <c r="D245" i="3"/>
  <c r="F244" i="3"/>
  <c r="G244" i="3" s="1"/>
  <c r="D244" i="3"/>
  <c r="F243" i="3"/>
  <c r="G243" i="3" s="1"/>
  <c r="D243" i="3"/>
  <c r="F242" i="3"/>
  <c r="D242" i="3"/>
  <c r="F241" i="3"/>
  <c r="G241" i="3" s="1"/>
  <c r="D241" i="3"/>
  <c r="F240" i="3"/>
  <c r="G240" i="3" s="1"/>
  <c r="D240" i="3"/>
  <c r="F239" i="3"/>
  <c r="G239" i="3" s="1"/>
  <c r="D239" i="3"/>
  <c r="F238" i="3"/>
  <c r="G238" i="3" s="1"/>
  <c r="D238" i="3"/>
  <c r="F237" i="3"/>
  <c r="G237" i="3" s="1"/>
  <c r="D237" i="3"/>
  <c r="F236" i="3"/>
  <c r="G236" i="3" s="1"/>
  <c r="D236" i="3"/>
  <c r="F235" i="3"/>
  <c r="G235" i="3" s="1"/>
  <c r="D235" i="3"/>
  <c r="F234" i="3"/>
  <c r="G234" i="3" s="1"/>
  <c r="D234" i="3"/>
  <c r="F233" i="3"/>
  <c r="G233" i="3" s="1"/>
  <c r="D233" i="3"/>
  <c r="F232" i="3"/>
  <c r="G232" i="3" s="1"/>
  <c r="D232" i="3"/>
  <c r="F231" i="3"/>
  <c r="D231" i="3"/>
  <c r="F230" i="3"/>
  <c r="G230" i="3" s="1"/>
  <c r="D230" i="3"/>
  <c r="F229" i="3"/>
  <c r="G229" i="3" s="1"/>
  <c r="D229" i="3"/>
  <c r="F228" i="3"/>
  <c r="G228" i="3" s="1"/>
  <c r="D228" i="3"/>
  <c r="F227" i="3"/>
  <c r="G227" i="3" s="1"/>
  <c r="D227" i="3"/>
  <c r="F226" i="3"/>
  <c r="G226" i="3" s="1"/>
  <c r="D226" i="3"/>
  <c r="F225" i="3"/>
  <c r="G225" i="3" s="1"/>
  <c r="D225" i="3"/>
  <c r="F224" i="3"/>
  <c r="G224" i="3" s="1"/>
  <c r="D224" i="3"/>
  <c r="F223" i="3"/>
  <c r="G223" i="3" s="1"/>
  <c r="D223" i="3"/>
  <c r="F222" i="3"/>
  <c r="G222" i="3" s="1"/>
  <c r="D222" i="3"/>
  <c r="F221" i="3"/>
  <c r="G221" i="3" s="1"/>
  <c r="D221" i="3"/>
  <c r="F220" i="3"/>
  <c r="D220" i="3"/>
  <c r="F219" i="3"/>
  <c r="G219" i="3" s="1"/>
  <c r="D219" i="3"/>
  <c r="F218" i="3"/>
  <c r="G218" i="3" s="1"/>
  <c r="D218" i="3"/>
  <c r="F217" i="3"/>
  <c r="G217" i="3" s="1"/>
  <c r="D217" i="3"/>
  <c r="F216" i="3"/>
  <c r="G216" i="3" s="1"/>
  <c r="D216" i="3"/>
  <c r="F215" i="3"/>
  <c r="G215" i="3" s="1"/>
  <c r="D215" i="3"/>
  <c r="F214" i="3"/>
  <c r="G214" i="3" s="1"/>
  <c r="D214" i="3"/>
  <c r="F213" i="3"/>
  <c r="G213" i="3" s="1"/>
  <c r="D213" i="3"/>
  <c r="F212" i="3"/>
  <c r="G212" i="3" s="1"/>
  <c r="D212" i="3"/>
  <c r="F211" i="3"/>
  <c r="G211" i="3" s="1"/>
  <c r="D211" i="3"/>
  <c r="F210" i="3"/>
  <c r="D210" i="3"/>
  <c r="F209" i="3"/>
  <c r="G209" i="3" s="1"/>
  <c r="D209" i="3"/>
  <c r="F208" i="3"/>
  <c r="G208" i="3" s="1"/>
  <c r="D208" i="3"/>
  <c r="F207" i="3"/>
  <c r="G207" i="3" s="1"/>
  <c r="D207" i="3"/>
  <c r="F206" i="3"/>
  <c r="G206" i="3" s="1"/>
  <c r="D206" i="3"/>
  <c r="F205" i="3"/>
  <c r="G205" i="3" s="1"/>
  <c r="D205" i="3"/>
  <c r="F204" i="3"/>
  <c r="G204" i="3" s="1"/>
  <c r="D204" i="3"/>
  <c r="F203" i="3"/>
  <c r="G203" i="3" s="1"/>
  <c r="D203" i="3"/>
  <c r="F202" i="3"/>
  <c r="G202" i="3" s="1"/>
  <c r="D202" i="3"/>
  <c r="F201" i="3"/>
  <c r="G201" i="3" s="1"/>
  <c r="D201" i="3"/>
  <c r="F200" i="3"/>
  <c r="G200" i="3" s="1"/>
  <c r="D200" i="3"/>
  <c r="F199" i="3"/>
  <c r="D199" i="3"/>
  <c r="F198" i="3"/>
  <c r="G198" i="3" s="1"/>
  <c r="D198" i="3"/>
  <c r="F197" i="3"/>
  <c r="G197" i="3" s="1"/>
  <c r="D197" i="3"/>
  <c r="F196" i="3"/>
  <c r="G196" i="3" s="1"/>
  <c r="D196" i="3"/>
  <c r="F195" i="3"/>
  <c r="G195" i="3" s="1"/>
  <c r="D195" i="3"/>
  <c r="F194" i="3"/>
  <c r="G194" i="3" s="1"/>
  <c r="D194" i="3"/>
  <c r="F193" i="3"/>
  <c r="G193" i="3" s="1"/>
  <c r="D193" i="3"/>
  <c r="F192" i="3"/>
  <c r="G192" i="3" s="1"/>
  <c r="D192" i="3"/>
  <c r="F191" i="3"/>
  <c r="G191" i="3" s="1"/>
  <c r="D191" i="3"/>
  <c r="F190" i="3"/>
  <c r="G190" i="3" s="1"/>
  <c r="D190" i="3"/>
  <c r="F189" i="3"/>
  <c r="G189" i="3" s="1"/>
  <c r="D189" i="3"/>
  <c r="F188" i="3"/>
  <c r="D188" i="3"/>
  <c r="F187" i="3"/>
  <c r="G187" i="3" s="1"/>
  <c r="D187" i="3"/>
  <c r="F186" i="3"/>
  <c r="G186" i="3" s="1"/>
  <c r="D186" i="3"/>
  <c r="F185" i="3"/>
  <c r="G185" i="3" s="1"/>
  <c r="D185" i="3"/>
  <c r="F184" i="3"/>
  <c r="G184" i="3" s="1"/>
  <c r="D184" i="3"/>
  <c r="F183" i="3"/>
  <c r="G183" i="3" s="1"/>
  <c r="D183" i="3"/>
  <c r="F182" i="3"/>
  <c r="G182" i="3" s="1"/>
  <c r="D182" i="3"/>
  <c r="F181" i="3"/>
  <c r="G181" i="3" s="1"/>
  <c r="D181" i="3"/>
  <c r="F180" i="3"/>
  <c r="G180" i="3" s="1"/>
  <c r="D180" i="3"/>
  <c r="F179" i="3"/>
  <c r="G179" i="3" s="1"/>
  <c r="D179" i="3"/>
  <c r="F178" i="3"/>
  <c r="G178" i="3" s="1"/>
  <c r="D178" i="3"/>
  <c r="F177" i="3"/>
  <c r="D177" i="3"/>
  <c r="F176" i="3"/>
  <c r="G176" i="3" s="1"/>
  <c r="D176" i="3"/>
  <c r="F175" i="3"/>
  <c r="G175" i="3" s="1"/>
  <c r="D175" i="3"/>
  <c r="F174" i="3"/>
  <c r="G174" i="3" s="1"/>
  <c r="D174" i="3"/>
  <c r="F173" i="3"/>
  <c r="G173" i="3" s="1"/>
  <c r="D173" i="3"/>
  <c r="F172" i="3"/>
  <c r="G172" i="3" s="1"/>
  <c r="D172" i="3"/>
  <c r="F171" i="3"/>
  <c r="G171" i="3" s="1"/>
  <c r="D171" i="3"/>
  <c r="F170" i="3"/>
  <c r="G170" i="3" s="1"/>
  <c r="D170" i="3"/>
  <c r="F169" i="3"/>
  <c r="G169" i="3" s="1"/>
  <c r="D169" i="3"/>
  <c r="F168" i="3"/>
  <c r="G168" i="3" s="1"/>
  <c r="D168" i="3"/>
  <c r="F167" i="3"/>
  <c r="D167" i="3"/>
  <c r="F166" i="3"/>
  <c r="G166" i="3" s="1"/>
  <c r="D166" i="3"/>
  <c r="F165" i="3"/>
  <c r="G165" i="3" s="1"/>
  <c r="D165" i="3"/>
  <c r="F164" i="3"/>
  <c r="G164" i="3" s="1"/>
  <c r="D164" i="3"/>
  <c r="F163" i="3"/>
  <c r="G163" i="3" s="1"/>
  <c r="D163" i="3"/>
  <c r="F162" i="3"/>
  <c r="G162" i="3" s="1"/>
  <c r="D162" i="3"/>
  <c r="F161" i="3"/>
  <c r="G161" i="3" s="1"/>
  <c r="D161" i="3"/>
  <c r="F160" i="3"/>
  <c r="G160" i="3" s="1"/>
  <c r="D160" i="3"/>
  <c r="F159" i="3"/>
  <c r="G159" i="3" s="1"/>
  <c r="D159" i="3"/>
  <c r="F158" i="3"/>
  <c r="D158" i="3"/>
  <c r="F157" i="3"/>
  <c r="G157" i="3" s="1"/>
  <c r="D157" i="3"/>
  <c r="F156" i="3"/>
  <c r="G156" i="3" s="1"/>
  <c r="D156" i="3"/>
  <c r="F155" i="3"/>
  <c r="G155" i="3" s="1"/>
  <c r="D155" i="3"/>
  <c r="F154" i="3"/>
  <c r="G154" i="3" s="1"/>
  <c r="D154" i="3"/>
  <c r="F153" i="3"/>
  <c r="G153" i="3" s="1"/>
  <c r="D153" i="3"/>
  <c r="F152" i="3"/>
  <c r="G152" i="3" s="1"/>
  <c r="D152" i="3"/>
  <c r="F151" i="3"/>
  <c r="G151" i="3" s="1"/>
  <c r="D151" i="3"/>
  <c r="F150" i="3"/>
  <c r="G150" i="3" s="1"/>
  <c r="D150" i="3"/>
  <c r="F149" i="3"/>
  <c r="D149" i="3"/>
  <c r="F148" i="3"/>
  <c r="G148" i="3" s="1"/>
  <c r="D148" i="3"/>
  <c r="F147" i="3"/>
  <c r="G147" i="3" s="1"/>
  <c r="D147" i="3"/>
  <c r="F146" i="3"/>
  <c r="G146" i="3" s="1"/>
  <c r="D146" i="3"/>
  <c r="F145" i="3"/>
  <c r="G145" i="3" s="1"/>
  <c r="D145" i="3"/>
  <c r="F144" i="3"/>
  <c r="G144" i="3" s="1"/>
  <c r="D144" i="3"/>
  <c r="F143" i="3"/>
  <c r="G143" i="3" s="1"/>
  <c r="D143" i="3"/>
  <c r="F142" i="3"/>
  <c r="G142" i="3" s="1"/>
  <c r="D142" i="3"/>
  <c r="F141" i="3"/>
  <c r="G141" i="3" s="1"/>
  <c r="D141" i="3"/>
  <c r="F140" i="3"/>
  <c r="D140" i="3"/>
  <c r="F139" i="3"/>
  <c r="G139" i="3" s="1"/>
  <c r="D139" i="3"/>
  <c r="F138" i="3"/>
  <c r="G138" i="3" s="1"/>
  <c r="D138" i="3"/>
  <c r="F137" i="3"/>
  <c r="G137" i="3" s="1"/>
  <c r="D137" i="3"/>
  <c r="F136" i="3"/>
  <c r="G136" i="3" s="1"/>
  <c r="D136" i="3"/>
  <c r="F135" i="3"/>
  <c r="G135" i="3" s="1"/>
  <c r="D135" i="3"/>
  <c r="F134" i="3"/>
  <c r="G134" i="3" s="1"/>
  <c r="D134" i="3"/>
  <c r="F133" i="3"/>
  <c r="G133" i="3" s="1"/>
  <c r="D133" i="3"/>
  <c r="F132" i="3"/>
  <c r="D132" i="3"/>
  <c r="F131" i="3"/>
  <c r="G131" i="3" s="1"/>
  <c r="D131" i="3"/>
  <c r="F130" i="3"/>
  <c r="G130" i="3" s="1"/>
  <c r="D130" i="3"/>
  <c r="F129" i="3"/>
  <c r="G129" i="3" s="1"/>
  <c r="D129" i="3"/>
  <c r="F128" i="3"/>
  <c r="G128" i="3" s="1"/>
  <c r="D128" i="3"/>
  <c r="F127" i="3"/>
  <c r="G127" i="3" s="1"/>
  <c r="D127" i="3"/>
  <c r="F126" i="3"/>
  <c r="G126" i="3" s="1"/>
  <c r="D126" i="3"/>
  <c r="F125" i="3"/>
  <c r="G125" i="3" s="1"/>
  <c r="D125" i="3"/>
  <c r="F124" i="3"/>
  <c r="D124" i="3"/>
  <c r="F123" i="3"/>
  <c r="G123" i="3" s="1"/>
  <c r="D123" i="3"/>
  <c r="F122" i="3"/>
  <c r="G122" i="3" s="1"/>
  <c r="D122" i="3"/>
  <c r="F121" i="3"/>
  <c r="G121" i="3" s="1"/>
  <c r="D121" i="3"/>
  <c r="F120" i="3"/>
  <c r="G120" i="3" s="1"/>
  <c r="D120" i="3"/>
  <c r="F119" i="3"/>
  <c r="G119" i="3" s="1"/>
  <c r="D119" i="3"/>
  <c r="F118" i="3"/>
  <c r="G118" i="3" s="1"/>
  <c r="D118" i="3"/>
  <c r="F117" i="3"/>
  <c r="G117" i="3" s="1"/>
  <c r="D117" i="3"/>
  <c r="F116" i="3"/>
  <c r="G116" i="3" s="1"/>
  <c r="D116" i="3"/>
  <c r="F115" i="3"/>
  <c r="G115" i="3" s="1"/>
  <c r="D115" i="3"/>
  <c r="F114" i="3"/>
  <c r="G114" i="3" s="1"/>
  <c r="D114" i="3"/>
  <c r="F113" i="3"/>
  <c r="D113" i="3"/>
  <c r="F112" i="3"/>
  <c r="G112" i="3" s="1"/>
  <c r="D112" i="3"/>
  <c r="F111" i="3"/>
  <c r="G111" i="3" s="1"/>
  <c r="D111" i="3"/>
  <c r="F110" i="3"/>
  <c r="G110" i="3" s="1"/>
  <c r="D110" i="3"/>
  <c r="F109" i="3"/>
  <c r="G109" i="3" s="1"/>
  <c r="D109" i="3"/>
  <c r="F108" i="3"/>
  <c r="G108" i="3" s="1"/>
  <c r="D108" i="3"/>
  <c r="F107" i="3"/>
  <c r="G107" i="3" s="1"/>
  <c r="D107" i="3"/>
  <c r="F106" i="3"/>
  <c r="G106" i="3" s="1"/>
  <c r="D106" i="3"/>
  <c r="F105" i="3"/>
  <c r="G105" i="3" s="1"/>
  <c r="D105" i="3"/>
  <c r="F104" i="3"/>
  <c r="G104" i="3" s="1"/>
  <c r="D104" i="3"/>
  <c r="F103" i="3"/>
  <c r="G103" i="3" s="1"/>
  <c r="D103" i="3"/>
  <c r="F102" i="3"/>
  <c r="D102" i="3"/>
  <c r="F101" i="3"/>
  <c r="G101" i="3" s="1"/>
  <c r="D101" i="3"/>
  <c r="F100" i="3"/>
  <c r="G100" i="3" s="1"/>
  <c r="D100" i="3"/>
  <c r="F99" i="3"/>
  <c r="G99" i="3" s="1"/>
  <c r="D99" i="3"/>
  <c r="F98" i="3"/>
  <c r="G98" i="3" s="1"/>
  <c r="D98" i="3"/>
  <c r="F97" i="3"/>
  <c r="G97" i="3" s="1"/>
  <c r="D97" i="3"/>
  <c r="F96" i="3"/>
  <c r="G96" i="3" s="1"/>
  <c r="D96" i="3"/>
  <c r="F95" i="3"/>
  <c r="G95" i="3" s="1"/>
  <c r="D95" i="3"/>
  <c r="F94" i="3"/>
  <c r="G94" i="3" s="1"/>
  <c r="D94" i="3"/>
  <c r="F93" i="3"/>
  <c r="G93" i="3" s="1"/>
  <c r="D93" i="3"/>
  <c r="F92" i="3"/>
  <c r="G92" i="3" s="1"/>
  <c r="D92" i="3"/>
  <c r="F91" i="3"/>
  <c r="D91" i="3"/>
  <c r="F90" i="3"/>
  <c r="G90" i="3" s="1"/>
  <c r="D90" i="3"/>
  <c r="F89" i="3"/>
  <c r="G89" i="3" s="1"/>
  <c r="D89" i="3"/>
  <c r="F88" i="3"/>
  <c r="G88" i="3" s="1"/>
  <c r="D88" i="3"/>
  <c r="F87" i="3"/>
  <c r="G87" i="3" s="1"/>
  <c r="D87" i="3"/>
  <c r="F86" i="3"/>
  <c r="G86" i="3" s="1"/>
  <c r="D86" i="3"/>
  <c r="F85" i="3"/>
  <c r="G85" i="3" s="1"/>
  <c r="D85" i="3"/>
  <c r="F84" i="3"/>
  <c r="G84" i="3" s="1"/>
  <c r="D84" i="3"/>
  <c r="F83" i="3"/>
  <c r="G83" i="3" s="1"/>
  <c r="D83" i="3"/>
  <c r="F82" i="3"/>
  <c r="G82" i="3" s="1"/>
  <c r="D82" i="3"/>
  <c r="F81" i="3"/>
  <c r="D81" i="3"/>
  <c r="F80" i="3"/>
  <c r="G80" i="3" s="1"/>
  <c r="D80" i="3"/>
  <c r="F79" i="3"/>
  <c r="G79" i="3" s="1"/>
  <c r="D79" i="3"/>
  <c r="F78" i="3"/>
  <c r="G78" i="3" s="1"/>
  <c r="D78" i="3"/>
  <c r="F77" i="3"/>
  <c r="G77" i="3" s="1"/>
  <c r="D77" i="3"/>
  <c r="F76" i="3"/>
  <c r="D76" i="3"/>
  <c r="F75" i="3"/>
  <c r="G75" i="3" s="1"/>
  <c r="D75" i="3"/>
  <c r="F74" i="3"/>
  <c r="G74" i="3" s="1"/>
  <c r="D74" i="3"/>
  <c r="F73" i="3"/>
  <c r="D73" i="3"/>
  <c r="F72" i="3"/>
  <c r="G72" i="3" s="1"/>
  <c r="D72" i="3"/>
  <c r="F71" i="3"/>
  <c r="G71" i="3" s="1"/>
  <c r="D71" i="3"/>
  <c r="F70" i="3"/>
  <c r="G70" i="3" s="1"/>
  <c r="D70" i="3"/>
  <c r="F69" i="3"/>
  <c r="G69" i="3" s="1"/>
  <c r="D69" i="3"/>
  <c r="F68" i="3"/>
  <c r="D68" i="3"/>
  <c r="F67" i="3"/>
  <c r="G67" i="3" s="1"/>
  <c r="D67" i="3"/>
  <c r="F66" i="3"/>
  <c r="G66" i="3" s="1"/>
  <c r="D66" i="3"/>
  <c r="F65" i="3"/>
  <c r="G65" i="3" s="1"/>
  <c r="D65" i="3"/>
  <c r="F64" i="3"/>
  <c r="G64" i="3" s="1"/>
  <c r="D64" i="3"/>
  <c r="F63" i="3"/>
  <c r="G63" i="3" s="1"/>
  <c r="D63" i="3"/>
  <c r="F62" i="3"/>
  <c r="G62" i="3" s="1"/>
  <c r="D62" i="3"/>
  <c r="F61" i="3"/>
  <c r="G61" i="3" s="1"/>
  <c r="D61" i="3"/>
  <c r="F60" i="3"/>
  <c r="G60" i="3" s="1"/>
  <c r="D60" i="3"/>
  <c r="F59" i="3"/>
  <c r="G59" i="3" s="1"/>
  <c r="D59" i="3"/>
  <c r="F58" i="3"/>
  <c r="G58" i="3" s="1"/>
  <c r="D58" i="3"/>
  <c r="F57" i="3"/>
  <c r="G57" i="3" s="1"/>
  <c r="D57" i="3"/>
  <c r="F56" i="3"/>
  <c r="D56" i="3"/>
  <c r="F55" i="3"/>
  <c r="G55" i="3" s="1"/>
  <c r="D55" i="3"/>
  <c r="F54" i="3"/>
  <c r="G54" i="3" s="1"/>
  <c r="D54" i="3"/>
  <c r="F53" i="3"/>
  <c r="G53" i="3" s="1"/>
  <c r="D53" i="3"/>
  <c r="F52" i="3"/>
  <c r="G52" i="3" s="1"/>
  <c r="D52" i="3"/>
  <c r="F51" i="3"/>
  <c r="G51" i="3" s="1"/>
  <c r="D51" i="3"/>
  <c r="F50" i="3"/>
  <c r="G50" i="3" s="1"/>
  <c r="D50" i="3"/>
  <c r="F49" i="3"/>
  <c r="G49" i="3" s="1"/>
  <c r="D49" i="3"/>
  <c r="F48" i="3"/>
  <c r="G48" i="3" s="1"/>
  <c r="D48" i="3"/>
  <c r="F47" i="3"/>
  <c r="D47" i="3"/>
  <c r="F46" i="3"/>
  <c r="G46" i="3" s="1"/>
  <c r="F45" i="3"/>
  <c r="G45" i="3" s="1"/>
  <c r="D45" i="3"/>
  <c r="F44" i="3"/>
  <c r="G44" i="3" s="1"/>
  <c r="D44" i="3"/>
  <c r="F43" i="3"/>
  <c r="G43" i="3" s="1"/>
  <c r="D43" i="3"/>
  <c r="F42" i="3"/>
  <c r="G42" i="3" s="1"/>
  <c r="D42" i="3"/>
  <c r="F41" i="3"/>
  <c r="G41" i="3" s="1"/>
  <c r="D41" i="3"/>
  <c r="F40" i="3"/>
  <c r="G40" i="3" s="1"/>
  <c r="D40" i="3"/>
  <c r="G39" i="3"/>
  <c r="F39" i="3"/>
  <c r="D39" i="3"/>
  <c r="F38" i="3"/>
  <c r="G38" i="3" s="1"/>
  <c r="D38" i="3"/>
  <c r="F37" i="3"/>
  <c r="D37" i="3"/>
  <c r="F36" i="3"/>
  <c r="G36" i="3" s="1"/>
  <c r="D36" i="3"/>
  <c r="F35" i="3"/>
  <c r="G35" i="3" s="1"/>
  <c r="D35" i="3"/>
  <c r="F34" i="3"/>
  <c r="G34" i="3" s="1"/>
  <c r="D34" i="3"/>
  <c r="F33" i="3"/>
  <c r="G33" i="3" s="1"/>
  <c r="D33" i="3"/>
  <c r="F32" i="3"/>
  <c r="G32" i="3" s="1"/>
  <c r="D32" i="3"/>
  <c r="F31" i="3"/>
  <c r="G31" i="3" s="1"/>
  <c r="D31" i="3"/>
  <c r="F30" i="3"/>
  <c r="G30" i="3" s="1"/>
  <c r="D30" i="3"/>
  <c r="F29" i="3"/>
  <c r="G29" i="3" s="1"/>
  <c r="D29" i="3"/>
  <c r="F28" i="3"/>
  <c r="G28" i="3" s="1"/>
  <c r="D28" i="3"/>
  <c r="F27" i="3"/>
  <c r="D27" i="3"/>
  <c r="F26" i="3"/>
  <c r="G26" i="3" s="1"/>
  <c r="D26" i="3"/>
  <c r="F25" i="3"/>
  <c r="G25" i="3" s="1"/>
  <c r="D25" i="3"/>
  <c r="F24" i="3"/>
  <c r="G24" i="3" s="1"/>
  <c r="D24" i="3"/>
  <c r="F23" i="3"/>
  <c r="G23" i="3" s="1"/>
  <c r="D23" i="3"/>
  <c r="F22" i="3"/>
  <c r="G22" i="3" s="1"/>
  <c r="D22" i="3"/>
  <c r="F21" i="3"/>
  <c r="G21" i="3" s="1"/>
  <c r="D21" i="3"/>
  <c r="F20" i="3"/>
  <c r="G20" i="3" s="1"/>
  <c r="D20" i="3"/>
  <c r="F19" i="3"/>
  <c r="G19" i="3" s="1"/>
  <c r="D19" i="3"/>
  <c r="F18" i="3"/>
  <c r="G18" i="3" s="1"/>
  <c r="D18" i="3"/>
  <c r="F17" i="3"/>
  <c r="D17" i="3"/>
  <c r="F16" i="3"/>
  <c r="G16" i="3" s="1"/>
  <c r="D16" i="3"/>
  <c r="F15" i="3"/>
  <c r="G15" i="3" s="1"/>
  <c r="D15" i="3"/>
  <c r="F14" i="3"/>
  <c r="G14" i="3" s="1"/>
  <c r="D14" i="3"/>
  <c r="F13" i="3"/>
  <c r="G13" i="3" s="1"/>
  <c r="D13" i="3"/>
  <c r="F12" i="3"/>
  <c r="D12" i="3"/>
  <c r="F11" i="3"/>
  <c r="G11" i="3" s="1"/>
  <c r="D11" i="3"/>
  <c r="F10" i="3"/>
  <c r="G10" i="3" s="1"/>
  <c r="D10" i="3"/>
  <c r="F9" i="3"/>
  <c r="G9" i="3" s="1"/>
  <c r="D9" i="3"/>
  <c r="F8" i="3"/>
  <c r="G8" i="3" s="1"/>
  <c r="D8" i="3"/>
  <c r="F7" i="3"/>
  <c r="D7" i="3"/>
  <c r="F6" i="3"/>
  <c r="G6" i="3" s="1"/>
  <c r="D6" i="3"/>
  <c r="F5" i="3"/>
  <c r="G5" i="3" s="1"/>
  <c r="D5" i="3"/>
  <c r="F4" i="3"/>
  <c r="G4" i="3" s="1"/>
  <c r="F3" i="3"/>
  <c r="G3" i="3" s="1"/>
  <c r="F2" i="3"/>
  <c r="C319" i="2"/>
  <c r="C318" i="2"/>
  <c r="C317" i="2"/>
  <c r="C316" i="2"/>
  <c r="C315" i="2"/>
  <c r="C314" i="2"/>
  <c r="C313" i="2"/>
  <c r="C312" i="2"/>
  <c r="C311" i="2"/>
  <c r="C310" i="2"/>
  <c r="C309" i="2"/>
  <c r="C308" i="2"/>
  <c r="C307" i="2"/>
  <c r="C306" i="2"/>
  <c r="C305" i="2"/>
  <c r="C304" i="2"/>
  <c r="C303" i="2"/>
  <c r="C302" i="2"/>
  <c r="C301" i="2"/>
  <c r="C300" i="2"/>
  <c r="C299" i="2"/>
  <c r="C298" i="2"/>
  <c r="C297" i="2"/>
  <c r="C296" i="2"/>
  <c r="C295" i="2"/>
  <c r="C294" i="2"/>
  <c r="C293" i="2"/>
  <c r="C292" i="2"/>
  <c r="C291" i="2"/>
  <c r="C290" i="2"/>
  <c r="C289" i="2"/>
  <c r="C288" i="2"/>
  <c r="C287" i="2"/>
  <c r="C286" i="2"/>
  <c r="C285" i="2"/>
  <c r="C284" i="2"/>
  <c r="C283" i="2"/>
  <c r="C282" i="2"/>
  <c r="C281" i="2"/>
  <c r="C280" i="2"/>
  <c r="C279" i="2"/>
  <c r="C278" i="2"/>
  <c r="C277" i="2"/>
  <c r="C276" i="2"/>
  <c r="C275" i="2"/>
  <c r="C274" i="2"/>
  <c r="C273" i="2"/>
  <c r="C272" i="2"/>
  <c r="C271" i="2"/>
  <c r="C270" i="2"/>
  <c r="C269" i="2"/>
  <c r="C268" i="2"/>
  <c r="C267" i="2"/>
  <c r="C266" i="2"/>
  <c r="C265" i="2"/>
  <c r="C264" i="2"/>
  <c r="C263" i="2"/>
  <c r="C262" i="2"/>
  <c r="C261" i="2"/>
  <c r="C260" i="2"/>
  <c r="C259" i="2"/>
  <c r="C258" i="2"/>
  <c r="C257" i="2"/>
  <c r="C256" i="2"/>
  <c r="C255" i="2"/>
  <c r="C254" i="2"/>
  <c r="C253" i="2"/>
  <c r="C252" i="2"/>
  <c r="C251" i="2"/>
  <c r="C250" i="2"/>
  <c r="C249" i="2"/>
  <c r="C248" i="2"/>
  <c r="C247" i="2"/>
  <c r="C246" i="2"/>
  <c r="C245" i="2"/>
  <c r="C244" i="2"/>
  <c r="C243" i="2"/>
  <c r="C242" i="2"/>
  <c r="C241" i="2"/>
  <c r="C240" i="2"/>
  <c r="C239" i="2"/>
  <c r="C238" i="2"/>
  <c r="C237" i="2"/>
  <c r="C236" i="2"/>
  <c r="C235" i="2"/>
  <c r="C234" i="2"/>
  <c r="C233" i="2"/>
  <c r="C232" i="2"/>
  <c r="C231" i="2"/>
  <c r="C230" i="2"/>
  <c r="C229" i="2"/>
  <c r="C228" i="2"/>
  <c r="C227" i="2"/>
  <c r="C226" i="2"/>
  <c r="C225" i="2"/>
  <c r="C224" i="2"/>
  <c r="C223" i="2"/>
  <c r="C222" i="2"/>
  <c r="C221" i="2"/>
  <c r="C220" i="2"/>
  <c r="C219" i="2"/>
  <c r="C218" i="2"/>
  <c r="C217" i="2"/>
  <c r="C216" i="2"/>
  <c r="C215" i="2"/>
  <c r="C214" i="2"/>
  <c r="C213" i="2"/>
  <c r="C212" i="2"/>
  <c r="C211" i="2"/>
  <c r="C210" i="2"/>
  <c r="C209" i="2"/>
  <c r="C208" i="2"/>
  <c r="C207" i="2"/>
  <c r="C206" i="2"/>
  <c r="C205" i="2"/>
  <c r="C204" i="2"/>
  <c r="C203" i="2"/>
  <c r="C202" i="2"/>
  <c r="C201" i="2"/>
  <c r="C200" i="2"/>
  <c r="C199" i="2"/>
  <c r="C198" i="2"/>
  <c r="C197" i="2"/>
  <c r="C196" i="2"/>
  <c r="C195" i="2"/>
  <c r="C194" i="2"/>
  <c r="C193" i="2"/>
  <c r="C192" i="2"/>
  <c r="C191" i="2"/>
  <c r="C190" i="2"/>
  <c r="C189" i="2"/>
  <c r="C188" i="2"/>
  <c r="C187" i="2"/>
  <c r="C186" i="2"/>
  <c r="C185" i="2"/>
  <c r="C184" i="2"/>
  <c r="C183" i="2"/>
  <c r="C182" i="2"/>
  <c r="C181" i="2"/>
  <c r="C180" i="2"/>
  <c r="C179" i="2"/>
  <c r="C178" i="2"/>
  <c r="C177" i="2"/>
  <c r="C176" i="2"/>
  <c r="C175" i="2"/>
  <c r="C174" i="2"/>
  <c r="C173" i="2"/>
  <c r="C172" i="2"/>
  <c r="C171" i="2"/>
  <c r="C170" i="2"/>
  <c r="C169" i="2"/>
  <c r="C168" i="2"/>
  <c r="C167" i="2"/>
  <c r="C166" i="2"/>
  <c r="C165" i="2"/>
  <c r="C164" i="2"/>
  <c r="C162" i="2"/>
  <c r="C161" i="2"/>
  <c r="C160" i="2"/>
  <c r="C159" i="2"/>
  <c r="C158" i="2"/>
  <c r="C157" i="2"/>
  <c r="C156" i="2"/>
  <c r="C155" i="2"/>
  <c r="C154" i="2"/>
  <c r="C153" i="2"/>
  <c r="C152" i="2"/>
  <c r="C151" i="2"/>
  <c r="C150" i="2"/>
  <c r="C149" i="2"/>
  <c r="C148" i="2"/>
  <c r="C147" i="2"/>
  <c r="C146" i="2"/>
  <c r="C145" i="2"/>
  <c r="C144" i="2"/>
  <c r="C143" i="2"/>
  <c r="C142" i="2"/>
  <c r="C141" i="2"/>
  <c r="C140" i="2"/>
  <c r="C139" i="2"/>
  <c r="C138" i="2"/>
  <c r="C137" i="2"/>
  <c r="C136" i="2"/>
  <c r="C135" i="2"/>
  <c r="C134" i="2"/>
  <c r="C133" i="2"/>
  <c r="C132" i="2"/>
  <c r="C131" i="2"/>
  <c r="C130" i="2"/>
  <c r="C129" i="2"/>
  <c r="C128" i="2"/>
  <c r="C127" i="2"/>
  <c r="C126" i="2"/>
  <c r="C125" i="2"/>
  <c r="C124" i="2"/>
  <c r="C123" i="2"/>
  <c r="C122" i="2"/>
  <c r="C121" i="2"/>
  <c r="C120" i="2"/>
  <c r="C119" i="2"/>
  <c r="C118" i="2"/>
  <c r="C117" i="2"/>
  <c r="C116" i="2"/>
  <c r="C115" i="2"/>
  <c r="C114" i="2"/>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7" i="2"/>
  <c r="C76" i="2"/>
  <c r="C75" i="2"/>
  <c r="C74" i="2"/>
  <c r="C73" i="2"/>
  <c r="C72" i="2"/>
  <c r="C71" i="2"/>
  <c r="C70" i="2"/>
  <c r="C69" i="2"/>
  <c r="C68" i="2"/>
  <c r="C67" i="2"/>
  <c r="C66" i="2"/>
  <c r="C65" i="2"/>
  <c r="C64" i="2"/>
  <c r="C63" i="2"/>
  <c r="C62" i="2"/>
  <c r="C61" i="2"/>
  <c r="C60" i="2"/>
  <c r="C59" i="2"/>
  <c r="C58" i="2"/>
  <c r="C57" i="2"/>
  <c r="C56" i="2"/>
  <c r="C55" i="2"/>
  <c r="C54" i="2"/>
  <c r="C53" i="2"/>
  <c r="C52" i="2"/>
  <c r="C50" i="2"/>
  <c r="C49" i="2"/>
  <c r="C48" i="2"/>
  <c r="C47" i="2"/>
  <c r="C46" i="2"/>
  <c r="C45" i="2"/>
  <c r="C44" i="2"/>
  <c r="C43" i="2"/>
  <c r="C42" i="2"/>
  <c r="C41" i="2"/>
  <c r="C40" i="2"/>
  <c r="C39" i="2"/>
  <c r="C38" i="2"/>
  <c r="C37" i="2"/>
  <c r="C36" i="2"/>
  <c r="C35" i="2"/>
  <c r="C34" i="2"/>
  <c r="C33" i="2"/>
  <c r="C32" i="2"/>
  <c r="C31" i="2"/>
  <c r="C30" i="2"/>
  <c r="C29" i="2"/>
  <c r="C28" i="2"/>
  <c r="C27" i="2"/>
  <c r="C26" i="2"/>
  <c r="C25" i="2"/>
  <c r="C24" i="2"/>
  <c r="C23" i="2"/>
  <c r="C21" i="2"/>
  <c r="C20" i="2"/>
  <c r="C19" i="2"/>
  <c r="C18" i="2"/>
  <c r="C17" i="2"/>
  <c r="C16" i="2"/>
  <c r="C15" i="2"/>
  <c r="C14" i="2"/>
  <c r="C13" i="2"/>
  <c r="C12" i="2"/>
  <c r="C11" i="2"/>
  <c r="C10" i="2"/>
  <c r="C9" i="2"/>
  <c r="C8" i="2"/>
  <c r="C7" i="2"/>
  <c r="C6" i="2"/>
  <c r="C5" i="2"/>
  <c r="C4" i="2"/>
  <c r="C3" i="2"/>
  <c r="C2" i="2"/>
  <c r="C52" i="1"/>
  <c r="B52" i="1"/>
  <c r="A52" i="1"/>
  <c r="C51" i="1"/>
  <c r="B51" i="1"/>
  <c r="A51" i="1"/>
  <c r="C50" i="1"/>
  <c r="B50" i="1"/>
  <c r="A50" i="1"/>
  <c r="C49" i="1"/>
  <c r="B49" i="1"/>
  <c r="A49" i="1"/>
  <c r="C48" i="1"/>
  <c r="B48" i="1"/>
  <c r="A48" i="1"/>
  <c r="E44" i="1"/>
  <c r="D44" i="1"/>
  <c r="C44" i="1"/>
  <c r="B44" i="1"/>
  <c r="A44" i="1"/>
  <c r="E43" i="1"/>
  <c r="D43" i="1"/>
  <c r="C43" i="1"/>
  <c r="B43" i="1"/>
  <c r="A43" i="1"/>
  <c r="E42" i="1"/>
  <c r="D42" i="1"/>
  <c r="C42" i="1"/>
  <c r="B42" i="1"/>
  <c r="A42" i="1"/>
  <c r="E41" i="1"/>
  <c r="D41" i="1"/>
  <c r="C41" i="1"/>
  <c r="B41" i="1"/>
  <c r="A41" i="1"/>
  <c r="E40" i="1"/>
  <c r="D40" i="1"/>
  <c r="C40" i="1"/>
  <c r="B40" i="1"/>
  <c r="A40" i="1"/>
  <c r="E8" i="1"/>
  <c r="C8" i="1"/>
  <c r="A8" i="1"/>
  <c r="A5" i="1"/>
  <c r="G8" i="12" l="1"/>
  <c r="G35" i="12"/>
  <c r="G83" i="12"/>
  <c r="G107" i="12"/>
  <c r="G115" i="12"/>
  <c r="G159" i="12"/>
  <c r="G28" i="12"/>
  <c r="G40" i="12"/>
  <c r="G172" i="12"/>
  <c r="G80" i="12"/>
  <c r="G88" i="12"/>
  <c r="G100" i="12"/>
  <c r="G108" i="12"/>
  <c r="G112" i="12"/>
  <c r="G120" i="12"/>
  <c r="G128" i="12"/>
  <c r="G136" i="12"/>
  <c r="G144" i="12"/>
  <c r="G152" i="12"/>
  <c r="G156" i="12"/>
  <c r="G162" i="12"/>
  <c r="G164" i="12"/>
  <c r="G176" i="12"/>
  <c r="G76" i="12"/>
  <c r="G78" i="12"/>
  <c r="G90" i="12"/>
  <c r="G93" i="12"/>
  <c r="G95" i="12"/>
  <c r="G105" i="12"/>
  <c r="G110" i="12"/>
  <c r="G122" i="12"/>
  <c r="G125" i="12"/>
  <c r="G131" i="12"/>
  <c r="G138" i="12"/>
  <c r="G141" i="12"/>
  <c r="G147" i="12"/>
  <c r="G154" i="12"/>
  <c r="G169" i="12"/>
  <c r="G171" i="12"/>
  <c r="G82" i="12"/>
  <c r="G85" i="12"/>
  <c r="G87" i="12"/>
  <c r="G97" i="12"/>
  <c r="G102" i="12"/>
  <c r="G114" i="12"/>
  <c r="G117" i="12"/>
  <c r="G119" i="12"/>
  <c r="G133" i="12"/>
  <c r="G135" i="12"/>
  <c r="G149" i="12"/>
  <c r="G151" i="12"/>
  <c r="G158" i="12"/>
  <c r="G161" i="12"/>
  <c r="G166" i="12"/>
  <c r="G173" i="12"/>
  <c r="G77" i="12"/>
  <c r="G79" i="12"/>
  <c r="G89" i="12"/>
  <c r="G92" i="12"/>
  <c r="G94" i="12"/>
  <c r="G99" i="12"/>
  <c r="G104" i="12"/>
  <c r="G106" i="12"/>
  <c r="G109" i="12"/>
  <c r="G111" i="12"/>
  <c r="G121" i="12"/>
  <c r="G124" i="12"/>
  <c r="G127" i="12"/>
  <c r="G130" i="12"/>
  <c r="G137" i="12"/>
  <c r="G140" i="12"/>
  <c r="G143" i="12"/>
  <c r="G146" i="12"/>
  <c r="G153" i="12"/>
  <c r="G155" i="12"/>
  <c r="G163" i="12"/>
  <c r="G168" i="12"/>
  <c r="G170" i="12"/>
  <c r="G175" i="12"/>
  <c r="G81" i="12"/>
  <c r="G84" i="12"/>
  <c r="G86" i="12"/>
  <c r="G91" i="12"/>
  <c r="G96" i="12"/>
  <c r="G98" i="12"/>
  <c r="G101" i="12"/>
  <c r="G103" i="12"/>
  <c r="G113" i="12"/>
  <c r="G116" i="12"/>
  <c r="G118" i="12"/>
  <c r="G123" i="12"/>
  <c r="G126" i="12"/>
  <c r="G129" i="12"/>
  <c r="G132" i="12"/>
  <c r="G134" i="12"/>
  <c r="G139" i="12"/>
  <c r="G142" i="12"/>
  <c r="G145" i="12"/>
  <c r="G148" i="12"/>
  <c r="G150" i="12"/>
  <c r="G157" i="12"/>
  <c r="G160" i="12"/>
  <c r="G165" i="12"/>
  <c r="G167" i="12"/>
  <c r="G174" i="12"/>
  <c r="G177" i="12"/>
  <c r="C123" i="8"/>
  <c r="C175" i="8"/>
  <c r="C111" i="8"/>
  <c r="C209" i="8"/>
  <c r="C273" i="8"/>
  <c r="D301" i="8"/>
  <c r="C185" i="8"/>
  <c r="C249" i="8"/>
  <c r="C293" i="8"/>
  <c r="C313" i="8"/>
  <c r="C143" i="8"/>
  <c r="C193" i="8"/>
  <c r="C225" i="8"/>
  <c r="C257" i="8"/>
  <c r="D285" i="8"/>
  <c r="D307" i="8"/>
  <c r="D317" i="8"/>
  <c r="D79" i="8"/>
  <c r="C155" i="8"/>
  <c r="C201" i="8"/>
  <c r="C233" i="8"/>
  <c r="C265" i="8"/>
  <c r="D287" i="8"/>
  <c r="C297" i="8"/>
  <c r="D319" i="8"/>
  <c r="C95" i="8"/>
  <c r="C127" i="8"/>
  <c r="C159" i="8"/>
  <c r="C181" i="8"/>
  <c r="C189" i="8"/>
  <c r="C197" i="8"/>
  <c r="C205" i="8"/>
  <c r="C213" i="8"/>
  <c r="C221" i="8"/>
  <c r="C229" i="8"/>
  <c r="C237" i="8"/>
  <c r="C245" i="8"/>
  <c r="C253" i="8"/>
  <c r="C261" i="8"/>
  <c r="C269" i="8"/>
  <c r="C277" i="8"/>
  <c r="D283" i="8"/>
  <c r="C289" i="8"/>
  <c r="D299" i="8"/>
  <c r="C305" i="8"/>
  <c r="D315" i="8"/>
  <c r="C107" i="8"/>
  <c r="C139" i="8"/>
  <c r="C167" i="8"/>
  <c r="D295" i="8"/>
  <c r="D311" i="8"/>
  <c r="D83" i="8"/>
  <c r="C99" i="8"/>
  <c r="C115" i="8"/>
  <c r="C131" i="8"/>
  <c r="C147" i="8"/>
  <c r="C163" i="8"/>
  <c r="C171" i="8"/>
  <c r="C179" i="8"/>
  <c r="C183" i="8"/>
  <c r="C187" i="8"/>
  <c r="C191" i="8"/>
  <c r="C195" i="8"/>
  <c r="C199" i="8"/>
  <c r="C203" i="8"/>
  <c r="C207" i="8"/>
  <c r="C211" i="8"/>
  <c r="C215" i="8"/>
  <c r="C219" i="8"/>
  <c r="C223" i="8"/>
  <c r="C227" i="8"/>
  <c r="C231" i="8"/>
  <c r="C235" i="8"/>
  <c r="C239" i="8"/>
  <c r="C243" i="8"/>
  <c r="C247" i="8"/>
  <c r="C251" i="8"/>
  <c r="C255" i="8"/>
  <c r="C259" i="8"/>
  <c r="C263" i="8"/>
  <c r="C267" i="8"/>
  <c r="C271" i="8"/>
  <c r="C275" i="8"/>
  <c r="C279" i="8"/>
  <c r="D320" i="8"/>
  <c r="D91" i="8"/>
  <c r="C103" i="8"/>
  <c r="C119" i="8"/>
  <c r="C135" i="8"/>
  <c r="C151" i="8"/>
  <c r="C87" i="8"/>
  <c r="C101" i="8"/>
  <c r="C105" i="8"/>
  <c r="C109" i="8"/>
  <c r="C113" i="8"/>
  <c r="C117" i="8"/>
  <c r="C121" i="8"/>
  <c r="C125" i="8"/>
  <c r="C129" i="8"/>
  <c r="E129" i="8" s="1"/>
  <c r="F129" i="8" s="1"/>
  <c r="C133" i="8"/>
  <c r="C137" i="8"/>
  <c r="C141" i="8"/>
  <c r="C145" i="8"/>
  <c r="E145" i="8" s="1"/>
  <c r="F145" i="8" s="1"/>
  <c r="C149" i="8"/>
  <c r="C153" i="8"/>
  <c r="C157" i="8"/>
  <c r="E157" i="8" s="1"/>
  <c r="F157" i="8" s="1"/>
  <c r="C161" i="8"/>
  <c r="E161" i="8" s="1"/>
  <c r="F161" i="8" s="1"/>
  <c r="C165" i="8"/>
  <c r="C169" i="8"/>
  <c r="C173" i="8"/>
  <c r="E173" i="8" s="1"/>
  <c r="F173" i="8" s="1"/>
  <c r="C177" i="8"/>
  <c r="E177" i="8" s="1"/>
  <c r="F177" i="8" s="1"/>
  <c r="D97" i="8"/>
  <c r="G60" i="12"/>
  <c r="G72" i="12"/>
  <c r="G503" i="12"/>
  <c r="G67" i="12"/>
  <c r="C25" i="8"/>
  <c r="E25" i="8" s="1"/>
  <c r="F25" i="8" s="1"/>
  <c r="G210" i="3"/>
  <c r="G325" i="3"/>
  <c r="G308" i="3"/>
  <c r="G102" i="3"/>
  <c r="G113" i="3"/>
  <c r="G177" i="3"/>
  <c r="G341" i="3"/>
  <c r="G81" i="3"/>
  <c r="G158" i="3"/>
  <c r="G274" i="3"/>
  <c r="G285" i="3"/>
  <c r="G17" i="3"/>
  <c r="G242" i="3"/>
  <c r="G337" i="3"/>
  <c r="G365" i="3"/>
  <c r="G73" i="3"/>
  <c r="G253" i="3"/>
  <c r="G302" i="3"/>
  <c r="G37" i="3"/>
  <c r="G149" i="3"/>
  <c r="G314" i="3"/>
  <c r="G349" i="3"/>
  <c r="G357" i="3"/>
  <c r="C53" i="8"/>
  <c r="E53" i="8" s="1"/>
  <c r="F53" i="8" s="1"/>
  <c r="E315" i="8"/>
  <c r="F315" i="8" s="1"/>
  <c r="G15" i="12"/>
  <c r="G25" i="12"/>
  <c r="G30" i="12"/>
  <c r="G42" i="12"/>
  <c r="G45" i="12"/>
  <c r="G47" i="12"/>
  <c r="G57" i="12"/>
  <c r="G62" i="12"/>
  <c r="G74" i="12"/>
  <c r="G3" i="12"/>
  <c r="G12" i="12"/>
  <c r="G17" i="12"/>
  <c r="G20" i="12"/>
  <c r="G22" i="12"/>
  <c r="G27" i="12"/>
  <c r="G32" i="12"/>
  <c r="G34" i="12"/>
  <c r="G37" i="12"/>
  <c r="G39" i="12"/>
  <c r="G49" i="12"/>
  <c r="G52" i="12"/>
  <c r="G54" i="12"/>
  <c r="G59" i="12"/>
  <c r="G64" i="12"/>
  <c r="G66" i="12"/>
  <c r="G69" i="12"/>
  <c r="G71" i="12"/>
  <c r="E299" i="8"/>
  <c r="F299" i="8" s="1"/>
  <c r="E303" i="8"/>
  <c r="F303" i="8" s="1"/>
  <c r="G11" i="12"/>
  <c r="G14" i="12"/>
  <c r="G19" i="12"/>
  <c r="G24" i="12"/>
  <c r="G26" i="12"/>
  <c r="G29" i="12"/>
  <c r="G31" i="12"/>
  <c r="G41" i="12"/>
  <c r="G44" i="12"/>
  <c r="G46" i="12"/>
  <c r="G51" i="12"/>
  <c r="G56" i="12"/>
  <c r="G58" i="12"/>
  <c r="G61" i="12"/>
  <c r="G63" i="12"/>
  <c r="G73" i="12"/>
  <c r="G6" i="12"/>
  <c r="G13" i="12"/>
  <c r="G16" i="12"/>
  <c r="G18" i="12"/>
  <c r="G21" i="12"/>
  <c r="G23" i="12"/>
  <c r="G33" i="12"/>
  <c r="G36" i="12"/>
  <c r="G38" i="12"/>
  <c r="G43" i="12"/>
  <c r="G48" i="12"/>
  <c r="G50" i="12"/>
  <c r="G53" i="12"/>
  <c r="G55" i="12"/>
  <c r="G65" i="12"/>
  <c r="G68" i="12"/>
  <c r="G70" i="12"/>
  <c r="G75" i="12"/>
  <c r="C57" i="8"/>
  <c r="C21" i="8"/>
  <c r="C69" i="8"/>
  <c r="C81" i="8"/>
  <c r="C85" i="8"/>
  <c r="E85" i="8" s="1"/>
  <c r="F85" i="8" s="1"/>
  <c r="C89" i="8"/>
  <c r="E89" i="8" s="1"/>
  <c r="F89" i="8" s="1"/>
  <c r="C93" i="8"/>
  <c r="E93" i="8" s="1"/>
  <c r="F93" i="8" s="1"/>
  <c r="C5" i="8"/>
  <c r="C37" i="8"/>
  <c r="C9" i="8"/>
  <c r="C41" i="8"/>
  <c r="C73" i="8"/>
  <c r="C13" i="8"/>
  <c r="C29" i="8"/>
  <c r="E29" i="8" s="1"/>
  <c r="F29" i="8" s="1"/>
  <c r="C45" i="8"/>
  <c r="C61" i="8"/>
  <c r="E61" i="8" s="1"/>
  <c r="C77" i="8"/>
  <c r="E77" i="8" s="1"/>
  <c r="F77" i="8" s="1"/>
  <c r="C17" i="8"/>
  <c r="C33" i="8"/>
  <c r="C49" i="8"/>
  <c r="C65" i="8"/>
  <c r="C3" i="8"/>
  <c r="C7" i="8"/>
  <c r="E7" i="8" s="1"/>
  <c r="F7" i="8" s="1"/>
  <c r="C11" i="8"/>
  <c r="C15" i="8"/>
  <c r="C19" i="8"/>
  <c r="E19" i="8" s="1"/>
  <c r="F19" i="8" s="1"/>
  <c r="C23" i="8"/>
  <c r="E23" i="8" s="1"/>
  <c r="F23" i="8" s="1"/>
  <c r="C27" i="8"/>
  <c r="E27" i="8" s="1"/>
  <c r="F27" i="8" s="1"/>
  <c r="C31" i="8"/>
  <c r="C35" i="8"/>
  <c r="E35" i="8" s="1"/>
  <c r="F35" i="8" s="1"/>
  <c r="C39" i="8"/>
  <c r="C43" i="8"/>
  <c r="E43" i="8" s="1"/>
  <c r="F43" i="8" s="1"/>
  <c r="C47" i="8"/>
  <c r="E47" i="8" s="1"/>
  <c r="F47" i="8" s="1"/>
  <c r="C51" i="8"/>
  <c r="E51" i="8" s="1"/>
  <c r="F51" i="8" s="1"/>
  <c r="C55" i="8"/>
  <c r="E55" i="8" s="1"/>
  <c r="F55" i="8" s="1"/>
  <c r="C59" i="8"/>
  <c r="E59" i="8" s="1"/>
  <c r="C63" i="8"/>
  <c r="E63" i="8" s="1"/>
  <c r="F63" i="8" s="1"/>
  <c r="C67" i="8"/>
  <c r="E67" i="8" s="1"/>
  <c r="F67" i="8" s="1"/>
  <c r="C71" i="8"/>
  <c r="E71" i="8" s="1"/>
  <c r="F71" i="8" s="1"/>
  <c r="C75" i="8"/>
  <c r="E75" i="8" s="1"/>
  <c r="F75" i="8" s="1"/>
  <c r="B36" i="1"/>
  <c r="B33" i="1"/>
  <c r="A35" i="1"/>
  <c r="C35" i="1" s="1"/>
  <c r="A32" i="1"/>
  <c r="C32" i="1" s="1"/>
  <c r="B35" i="1"/>
  <c r="A33" i="1"/>
  <c r="C33" i="1" s="1"/>
  <c r="B32" i="1"/>
  <c r="A34" i="1"/>
  <c r="C34" i="1" s="1"/>
  <c r="A36" i="1"/>
  <c r="C36" i="1" s="1"/>
  <c r="B34" i="1"/>
  <c r="E3" i="8"/>
  <c r="F3" i="8" s="1"/>
  <c r="E11" i="8"/>
  <c r="F11" i="8" s="1"/>
  <c r="E15" i="8"/>
  <c r="F15" i="8" s="1"/>
  <c r="E31" i="8"/>
  <c r="F31" i="8" s="1"/>
  <c r="E39" i="8"/>
  <c r="F39" i="8" s="1"/>
  <c r="E79" i="8"/>
  <c r="F79" i="8" s="1"/>
  <c r="E83" i="8"/>
  <c r="F83" i="8" s="1"/>
  <c r="E87" i="8"/>
  <c r="F87" i="8" s="1"/>
  <c r="E91" i="8"/>
  <c r="F91" i="8" s="1"/>
  <c r="E95" i="8"/>
  <c r="F95" i="8" s="1"/>
  <c r="E99" i="8"/>
  <c r="F99" i="8" s="1"/>
  <c r="E103" i="8"/>
  <c r="F103" i="8" s="1"/>
  <c r="E107" i="8"/>
  <c r="F107" i="8" s="1"/>
  <c r="E111" i="8"/>
  <c r="F111" i="8" s="1"/>
  <c r="E115" i="8"/>
  <c r="F115" i="8" s="1"/>
  <c r="E119" i="8"/>
  <c r="F119" i="8" s="1"/>
  <c r="E123" i="8"/>
  <c r="F123" i="8" s="1"/>
  <c r="E127" i="8"/>
  <c r="F127" i="8" s="1"/>
  <c r="E131" i="8"/>
  <c r="F131" i="8" s="1"/>
  <c r="E135" i="8"/>
  <c r="F135" i="8" s="1"/>
  <c r="E139" i="8"/>
  <c r="F139" i="8" s="1"/>
  <c r="E143" i="8"/>
  <c r="F143" i="8" s="1"/>
  <c r="E147" i="8"/>
  <c r="F147" i="8" s="1"/>
  <c r="E151" i="8"/>
  <c r="F151" i="8" s="1"/>
  <c r="E155" i="8"/>
  <c r="F155" i="8" s="1"/>
  <c r="E159" i="8"/>
  <c r="F159" i="8" s="1"/>
  <c r="E163" i="8"/>
  <c r="F163" i="8" s="1"/>
  <c r="E167" i="8"/>
  <c r="F167" i="8" s="1"/>
  <c r="E171" i="8"/>
  <c r="F171" i="8" s="1"/>
  <c r="E175" i="8"/>
  <c r="F175" i="8" s="1"/>
  <c r="E179" i="8"/>
  <c r="F179" i="8" s="1"/>
  <c r="E183" i="8"/>
  <c r="F183" i="8" s="1"/>
  <c r="E187" i="8"/>
  <c r="F187" i="8" s="1"/>
  <c r="E191" i="8"/>
  <c r="F191" i="8" s="1"/>
  <c r="E195" i="8"/>
  <c r="F195" i="8" s="1"/>
  <c r="E199" i="8"/>
  <c r="F199" i="8" s="1"/>
  <c r="E203" i="8"/>
  <c r="F203" i="8" s="1"/>
  <c r="E207" i="8"/>
  <c r="F207" i="8" s="1"/>
  <c r="E211" i="8"/>
  <c r="F211" i="8" s="1"/>
  <c r="E215" i="8"/>
  <c r="F215" i="8" s="1"/>
  <c r="E219" i="8"/>
  <c r="F219" i="8" s="1"/>
  <c r="E223" i="8"/>
  <c r="F223" i="8" s="1"/>
  <c r="E227" i="8"/>
  <c r="F227" i="8" s="1"/>
  <c r="E231" i="8"/>
  <c r="F231" i="8" s="1"/>
  <c r="E235" i="8"/>
  <c r="F235" i="8" s="1"/>
  <c r="E239" i="8"/>
  <c r="F239" i="8" s="1"/>
  <c r="E243" i="8"/>
  <c r="F243" i="8" s="1"/>
  <c r="E247" i="8"/>
  <c r="F247" i="8" s="1"/>
  <c r="E251" i="8"/>
  <c r="F251" i="8" s="1"/>
  <c r="E255" i="8"/>
  <c r="F255" i="8" s="1"/>
  <c r="E259" i="8"/>
  <c r="F259" i="8" s="1"/>
  <c r="E263" i="8"/>
  <c r="F263" i="8" s="1"/>
  <c r="E267" i="8"/>
  <c r="F267" i="8" s="1"/>
  <c r="E271" i="8"/>
  <c r="F271" i="8" s="1"/>
  <c r="E275" i="8"/>
  <c r="F275" i="8" s="1"/>
  <c r="E279" i="8"/>
  <c r="F279" i="8" s="1"/>
  <c r="E283" i="8"/>
  <c r="F283" i="8" s="1"/>
  <c r="E287" i="8"/>
  <c r="F287" i="8" s="1"/>
  <c r="E291" i="8"/>
  <c r="F291" i="8" s="1"/>
  <c r="E295" i="8"/>
  <c r="F295" i="8" s="1"/>
  <c r="E307" i="8"/>
  <c r="F307" i="8" s="1"/>
  <c r="E311" i="8"/>
  <c r="F311" i="8" s="1"/>
  <c r="E319" i="8"/>
  <c r="F319" i="8" s="1"/>
  <c r="E5" i="8"/>
  <c r="F5" i="8" s="1"/>
  <c r="E9" i="8"/>
  <c r="F9" i="8" s="1"/>
  <c r="E13" i="8"/>
  <c r="F13" i="8" s="1"/>
  <c r="E17" i="8"/>
  <c r="E21" i="8"/>
  <c r="F21" i="8" s="1"/>
  <c r="E33" i="8"/>
  <c r="F33" i="8" s="1"/>
  <c r="E37" i="8"/>
  <c r="F37" i="8" s="1"/>
  <c r="E41" i="8"/>
  <c r="F41" i="8" s="1"/>
  <c r="E45" i="8"/>
  <c r="F45" i="8" s="1"/>
  <c r="E49" i="8"/>
  <c r="F49" i="8" s="1"/>
  <c r="E57" i="8"/>
  <c r="F57" i="8" s="1"/>
  <c r="E65" i="8"/>
  <c r="F65" i="8" s="1"/>
  <c r="E69" i="8"/>
  <c r="F69" i="8" s="1"/>
  <c r="E73" i="8"/>
  <c r="F73" i="8" s="1"/>
  <c r="E81" i="8"/>
  <c r="F81" i="8" s="1"/>
  <c r="E97" i="8"/>
  <c r="F97" i="8" s="1"/>
  <c r="E101" i="8"/>
  <c r="F101" i="8" s="1"/>
  <c r="E105" i="8"/>
  <c r="F105" i="8" s="1"/>
  <c r="E109" i="8"/>
  <c r="F109" i="8" s="1"/>
  <c r="E113" i="8"/>
  <c r="F113" i="8" s="1"/>
  <c r="E117" i="8"/>
  <c r="F117" i="8" s="1"/>
  <c r="E121" i="8"/>
  <c r="F121" i="8" s="1"/>
  <c r="E125" i="8"/>
  <c r="F125" i="8" s="1"/>
  <c r="E133" i="8"/>
  <c r="F133" i="8" s="1"/>
  <c r="E137" i="8"/>
  <c r="F137" i="8" s="1"/>
  <c r="E141" i="8"/>
  <c r="F141" i="8" s="1"/>
  <c r="E149" i="8"/>
  <c r="F149" i="8" s="1"/>
  <c r="E153" i="8"/>
  <c r="F153" i="8" s="1"/>
  <c r="E165" i="8"/>
  <c r="F165" i="8" s="1"/>
  <c r="E169" i="8"/>
  <c r="F169" i="8" s="1"/>
  <c r="E181" i="8"/>
  <c r="F181" i="8" s="1"/>
  <c r="E185" i="8"/>
  <c r="F185" i="8" s="1"/>
  <c r="E189" i="8"/>
  <c r="F189" i="8" s="1"/>
  <c r="E193" i="8"/>
  <c r="F193" i="8" s="1"/>
  <c r="E197" i="8"/>
  <c r="F197" i="8" s="1"/>
  <c r="E201" i="8"/>
  <c r="F201" i="8" s="1"/>
  <c r="E205" i="8"/>
  <c r="F205" i="8" s="1"/>
  <c r="E209" i="8"/>
  <c r="F209" i="8" s="1"/>
  <c r="E213" i="8"/>
  <c r="F213" i="8" s="1"/>
  <c r="E217" i="8"/>
  <c r="F217" i="8" s="1"/>
  <c r="E221" i="8"/>
  <c r="F221" i="8" s="1"/>
  <c r="E225" i="8"/>
  <c r="F225" i="8" s="1"/>
  <c r="E229" i="8"/>
  <c r="F229" i="8" s="1"/>
  <c r="E233" i="8"/>
  <c r="F233" i="8" s="1"/>
  <c r="E237" i="8"/>
  <c r="F237" i="8" s="1"/>
  <c r="E241" i="8"/>
  <c r="F241" i="8" s="1"/>
  <c r="E245" i="8"/>
  <c r="F245" i="8" s="1"/>
  <c r="E249" i="8"/>
  <c r="F249" i="8" s="1"/>
  <c r="E253" i="8"/>
  <c r="F253" i="8" s="1"/>
  <c r="E257" i="8"/>
  <c r="F257" i="8" s="1"/>
  <c r="E261" i="8"/>
  <c r="F261" i="8" s="1"/>
  <c r="E265" i="8"/>
  <c r="F265" i="8" s="1"/>
  <c r="E269" i="8"/>
  <c r="F269" i="8" s="1"/>
  <c r="E273" i="8"/>
  <c r="F273" i="8" s="1"/>
  <c r="E277" i="8"/>
  <c r="F277" i="8" s="1"/>
  <c r="E281" i="8"/>
  <c r="F281" i="8" s="1"/>
  <c r="E285" i="8"/>
  <c r="F285" i="8" s="1"/>
  <c r="E289" i="8"/>
  <c r="F289" i="8" s="1"/>
  <c r="E293" i="8"/>
  <c r="F293" i="8" s="1"/>
  <c r="E297" i="8"/>
  <c r="F297" i="8" s="1"/>
  <c r="E301" i="8"/>
  <c r="F301" i="8" s="1"/>
  <c r="E305" i="8"/>
  <c r="F305" i="8" s="1"/>
  <c r="E309" i="8"/>
  <c r="F309" i="8" s="1"/>
  <c r="E313" i="8"/>
  <c r="F313" i="8" s="1"/>
  <c r="E317" i="8"/>
  <c r="F317" i="8" s="1"/>
  <c r="E1502" i="12"/>
  <c r="C22" i="2"/>
  <c r="G7" i="3"/>
  <c r="G27" i="3"/>
  <c r="G47" i="3"/>
  <c r="G199" i="3"/>
  <c r="G331" i="3"/>
  <c r="E320" i="8"/>
  <c r="F320" i="8" s="1"/>
  <c r="G167" i="3"/>
  <c r="G231" i="3"/>
  <c r="G263" i="3"/>
  <c r="C2" i="8"/>
  <c r="E2" i="8" s="1"/>
  <c r="C4" i="8"/>
  <c r="E4" i="8" s="1"/>
  <c r="C6" i="8"/>
  <c r="E6" i="8" s="1"/>
  <c r="F6" i="8" s="1"/>
  <c r="C8" i="8"/>
  <c r="C10" i="8"/>
  <c r="E10" i="8" s="1"/>
  <c r="F10" i="8" s="1"/>
  <c r="C12" i="8"/>
  <c r="E12" i="8" s="1"/>
  <c r="F12" i="8" s="1"/>
  <c r="C14" i="8"/>
  <c r="E14" i="8" s="1"/>
  <c r="F14" i="8" s="1"/>
  <c r="C16" i="8"/>
  <c r="C18" i="8"/>
  <c r="E18" i="8" s="1"/>
  <c r="F18" i="8" s="1"/>
  <c r="C20" i="8"/>
  <c r="E20" i="8" s="1"/>
  <c r="F20" i="8" s="1"/>
  <c r="C22" i="8"/>
  <c r="E22" i="8" s="1"/>
  <c r="F22" i="8" s="1"/>
  <c r="C24" i="8"/>
  <c r="E24" i="8" s="1"/>
  <c r="C26" i="8"/>
  <c r="E26" i="8" s="1"/>
  <c r="F26" i="8" s="1"/>
  <c r="C28" i="8"/>
  <c r="E28" i="8" s="1"/>
  <c r="F28" i="8" s="1"/>
  <c r="C30" i="8"/>
  <c r="E30" i="8" s="1"/>
  <c r="F30" i="8" s="1"/>
  <c r="C32" i="8"/>
  <c r="E32" i="8" s="1"/>
  <c r="F32" i="8" s="1"/>
  <c r="C34" i="8"/>
  <c r="C36" i="8"/>
  <c r="E36" i="8" s="1"/>
  <c r="F36" i="8" s="1"/>
  <c r="C38" i="8"/>
  <c r="E38" i="8" s="1"/>
  <c r="F38" i="8" s="1"/>
  <c r="C40" i="8"/>
  <c r="E40" i="8" s="1"/>
  <c r="F40" i="8" s="1"/>
  <c r="C42" i="8"/>
  <c r="C44" i="8"/>
  <c r="E44" i="8" s="1"/>
  <c r="F44" i="8" s="1"/>
  <c r="C46" i="8"/>
  <c r="E46" i="8" s="1"/>
  <c r="F46" i="8" s="1"/>
  <c r="C48" i="8"/>
  <c r="E48" i="8" s="1"/>
  <c r="C50" i="8"/>
  <c r="C52" i="8"/>
  <c r="E52" i="8" s="1"/>
  <c r="F52" i="8" s="1"/>
  <c r="C54" i="8"/>
  <c r="E54" i="8" s="1"/>
  <c r="F54" i="8" s="1"/>
  <c r="C56" i="8"/>
  <c r="E56" i="8" s="1"/>
  <c r="F56" i="8" s="1"/>
  <c r="C58" i="8"/>
  <c r="C60" i="8"/>
  <c r="E60" i="8" s="1"/>
  <c r="F60" i="8" s="1"/>
  <c r="C62" i="8"/>
  <c r="E62" i="8" s="1"/>
  <c r="F62" i="8" s="1"/>
  <c r="C64" i="8"/>
  <c r="E64" i="8" s="1"/>
  <c r="F64" i="8" s="1"/>
  <c r="C66" i="8"/>
  <c r="C68" i="8"/>
  <c r="E68" i="8" s="1"/>
  <c r="F68" i="8" s="1"/>
  <c r="C70" i="8"/>
  <c r="E70" i="8" s="1"/>
  <c r="F70" i="8" s="1"/>
  <c r="C72" i="8"/>
  <c r="E72" i="8" s="1"/>
  <c r="F72" i="8" s="1"/>
  <c r="C74" i="8"/>
  <c r="E74" i="8" s="1"/>
  <c r="F74" i="8" s="1"/>
  <c r="C76" i="8"/>
  <c r="E76" i="8" s="1"/>
  <c r="F76" i="8" s="1"/>
  <c r="C78" i="8"/>
  <c r="E78" i="8" s="1"/>
  <c r="F78" i="8" s="1"/>
  <c r="C80" i="8"/>
  <c r="E80" i="8" s="1"/>
  <c r="F80" i="8" s="1"/>
  <c r="C82" i="8"/>
  <c r="C84" i="8"/>
  <c r="E84" i="8" s="1"/>
  <c r="F84" i="8" s="1"/>
  <c r="C86" i="8"/>
  <c r="E86" i="8" s="1"/>
  <c r="F86" i="8" s="1"/>
  <c r="C88" i="8"/>
  <c r="E88" i="8" s="1"/>
  <c r="F88" i="8" s="1"/>
  <c r="C90" i="8"/>
  <c r="E90" i="8" s="1"/>
  <c r="F90" i="8" s="1"/>
  <c r="C92" i="8"/>
  <c r="E92" i="8" s="1"/>
  <c r="F92" i="8" s="1"/>
  <c r="C94" i="8"/>
  <c r="E94" i="8" s="1"/>
  <c r="F94" i="8" s="1"/>
  <c r="C96" i="8"/>
  <c r="E96" i="8" s="1"/>
  <c r="F96" i="8" s="1"/>
  <c r="C98" i="8"/>
  <c r="E98" i="8" s="1"/>
  <c r="F98" i="8" s="1"/>
  <c r="C100" i="8"/>
  <c r="E100" i="8" s="1"/>
  <c r="F100" i="8" s="1"/>
  <c r="C102" i="8"/>
  <c r="E102" i="8" s="1"/>
  <c r="F102" i="8" s="1"/>
  <c r="C104" i="8"/>
  <c r="C106" i="8"/>
  <c r="E106" i="8" s="1"/>
  <c r="F106" i="8" s="1"/>
  <c r="C108" i="8"/>
  <c r="E108" i="8" s="1"/>
  <c r="F108" i="8" s="1"/>
  <c r="C110" i="8"/>
  <c r="E110" i="8" s="1"/>
  <c r="F110" i="8" s="1"/>
  <c r="C112" i="8"/>
  <c r="C114" i="8"/>
  <c r="E114" i="8" s="1"/>
  <c r="F114" i="8" s="1"/>
  <c r="C116" i="8"/>
  <c r="E116" i="8" s="1"/>
  <c r="F116" i="8" s="1"/>
  <c r="C118" i="8"/>
  <c r="E118" i="8" s="1"/>
  <c r="F118" i="8" s="1"/>
  <c r="C120" i="8"/>
  <c r="C122" i="8"/>
  <c r="E122" i="8" s="1"/>
  <c r="F122" i="8" s="1"/>
  <c r="C124" i="8"/>
  <c r="E124" i="8" s="1"/>
  <c r="F124" i="8" s="1"/>
  <c r="C126" i="8"/>
  <c r="E126" i="8" s="1"/>
  <c r="F126" i="8" s="1"/>
  <c r="C128" i="8"/>
  <c r="C130" i="8"/>
  <c r="E130" i="8" s="1"/>
  <c r="F130" i="8" s="1"/>
  <c r="C132" i="8"/>
  <c r="E132" i="8" s="1"/>
  <c r="F132" i="8" s="1"/>
  <c r="C134" i="8"/>
  <c r="E134" i="8" s="1"/>
  <c r="F134" i="8" s="1"/>
  <c r="C136" i="8"/>
  <c r="C138" i="8"/>
  <c r="E138" i="8" s="1"/>
  <c r="F138" i="8" s="1"/>
  <c r="C140" i="8"/>
  <c r="E140" i="8" s="1"/>
  <c r="F140" i="8" s="1"/>
  <c r="C142" i="8"/>
  <c r="C144" i="8"/>
  <c r="E144" i="8" s="1"/>
  <c r="F144" i="8" s="1"/>
  <c r="C146" i="8"/>
  <c r="E146" i="8" s="1"/>
  <c r="F146" i="8" s="1"/>
  <c r="C148" i="8"/>
  <c r="E148" i="8" s="1"/>
  <c r="F148" i="8" s="1"/>
  <c r="C150" i="8"/>
  <c r="C152" i="8"/>
  <c r="E152" i="8" s="1"/>
  <c r="F152" i="8" s="1"/>
  <c r="C154" i="8"/>
  <c r="E154" i="8" s="1"/>
  <c r="F154" i="8" s="1"/>
  <c r="C156" i="8"/>
  <c r="E156" i="8" s="1"/>
  <c r="F156" i="8" s="1"/>
  <c r="C158" i="8"/>
  <c r="E158" i="8" s="1"/>
  <c r="F158" i="8" s="1"/>
  <c r="C160" i="8"/>
  <c r="E160" i="8" s="1"/>
  <c r="F160" i="8" s="1"/>
  <c r="C162" i="8"/>
  <c r="E162" i="8" s="1"/>
  <c r="F162" i="8" s="1"/>
  <c r="C164" i="8"/>
  <c r="E164" i="8" s="1"/>
  <c r="F164" i="8" s="1"/>
  <c r="C166" i="8"/>
  <c r="E166" i="8" s="1"/>
  <c r="F166" i="8" s="1"/>
  <c r="C168" i="8"/>
  <c r="E168" i="8" s="1"/>
  <c r="F168" i="8" s="1"/>
  <c r="C170" i="8"/>
  <c r="E170" i="8" s="1"/>
  <c r="F170" i="8" s="1"/>
  <c r="C172" i="8"/>
  <c r="E172" i="8" s="1"/>
  <c r="F172" i="8" s="1"/>
  <c r="C174" i="8"/>
  <c r="E174" i="8" s="1"/>
  <c r="F174" i="8" s="1"/>
  <c r="C176" i="8"/>
  <c r="E176" i="8" s="1"/>
  <c r="F176" i="8" s="1"/>
  <c r="C178" i="8"/>
  <c r="E178" i="8" s="1"/>
  <c r="F178" i="8" s="1"/>
  <c r="C180" i="8"/>
  <c r="E180" i="8" s="1"/>
  <c r="F180" i="8" s="1"/>
  <c r="C182" i="8"/>
  <c r="E182" i="8" s="1"/>
  <c r="F182" i="8" s="1"/>
  <c r="C184" i="8"/>
  <c r="E184" i="8" s="1"/>
  <c r="F184" i="8" s="1"/>
  <c r="C186" i="8"/>
  <c r="E186" i="8" s="1"/>
  <c r="F186" i="8" s="1"/>
  <c r="C188" i="8"/>
  <c r="E188" i="8" s="1"/>
  <c r="F188" i="8" s="1"/>
  <c r="C190" i="8"/>
  <c r="E190" i="8" s="1"/>
  <c r="F190" i="8" s="1"/>
  <c r="C192" i="8"/>
  <c r="E192" i="8" s="1"/>
  <c r="F192" i="8" s="1"/>
  <c r="C194" i="8"/>
  <c r="E194" i="8" s="1"/>
  <c r="F194" i="8" s="1"/>
  <c r="C196" i="8"/>
  <c r="E196" i="8" s="1"/>
  <c r="F196" i="8" s="1"/>
  <c r="C198" i="8"/>
  <c r="E198" i="8" s="1"/>
  <c r="F198" i="8" s="1"/>
  <c r="C200" i="8"/>
  <c r="E200" i="8" s="1"/>
  <c r="F200" i="8" s="1"/>
  <c r="C202" i="8"/>
  <c r="E202" i="8" s="1"/>
  <c r="F202" i="8" s="1"/>
  <c r="C204" i="8"/>
  <c r="E204" i="8" s="1"/>
  <c r="F204" i="8" s="1"/>
  <c r="C206" i="8"/>
  <c r="E206" i="8" s="1"/>
  <c r="F206" i="8" s="1"/>
  <c r="C208" i="8"/>
  <c r="E208" i="8" s="1"/>
  <c r="F208" i="8" s="1"/>
  <c r="C210" i="8"/>
  <c r="E210" i="8" s="1"/>
  <c r="F210" i="8" s="1"/>
  <c r="C212" i="8"/>
  <c r="E212" i="8" s="1"/>
  <c r="F212" i="8" s="1"/>
  <c r="C214" i="8"/>
  <c r="E214" i="8" s="1"/>
  <c r="F214" i="8" s="1"/>
  <c r="C216" i="8"/>
  <c r="E216" i="8" s="1"/>
  <c r="F216" i="8" s="1"/>
  <c r="C218" i="8"/>
  <c r="E218" i="8" s="1"/>
  <c r="F218" i="8" s="1"/>
  <c r="C220" i="8"/>
  <c r="E220" i="8" s="1"/>
  <c r="F220" i="8" s="1"/>
  <c r="C222" i="8"/>
  <c r="E222" i="8" s="1"/>
  <c r="F222" i="8" s="1"/>
  <c r="C224" i="8"/>
  <c r="E224" i="8" s="1"/>
  <c r="F224" i="8" s="1"/>
  <c r="C226" i="8"/>
  <c r="E226" i="8" s="1"/>
  <c r="F226" i="8" s="1"/>
  <c r="C228" i="8"/>
  <c r="E228" i="8" s="1"/>
  <c r="F228" i="8" s="1"/>
  <c r="C230" i="8"/>
  <c r="E230" i="8" s="1"/>
  <c r="F230" i="8" s="1"/>
  <c r="C232" i="8"/>
  <c r="E232" i="8" s="1"/>
  <c r="F232" i="8" s="1"/>
  <c r="C234" i="8"/>
  <c r="E234" i="8" s="1"/>
  <c r="F234" i="8" s="1"/>
  <c r="C236" i="8"/>
  <c r="E236" i="8" s="1"/>
  <c r="F236" i="8" s="1"/>
  <c r="C238" i="8"/>
  <c r="E238" i="8" s="1"/>
  <c r="F238" i="8" s="1"/>
  <c r="C240" i="8"/>
  <c r="E240" i="8" s="1"/>
  <c r="F240" i="8" s="1"/>
  <c r="C242" i="8"/>
  <c r="E242" i="8" s="1"/>
  <c r="F242" i="8" s="1"/>
  <c r="C244" i="8"/>
  <c r="E244" i="8" s="1"/>
  <c r="F244" i="8" s="1"/>
  <c r="C246" i="8"/>
  <c r="E246" i="8" s="1"/>
  <c r="F246" i="8" s="1"/>
  <c r="C248" i="8"/>
  <c r="E248" i="8" s="1"/>
  <c r="F248" i="8" s="1"/>
  <c r="C250" i="8"/>
  <c r="E250" i="8" s="1"/>
  <c r="F250" i="8" s="1"/>
  <c r="C252" i="8"/>
  <c r="E252" i="8" s="1"/>
  <c r="F252" i="8" s="1"/>
  <c r="C254" i="8"/>
  <c r="E254" i="8" s="1"/>
  <c r="F254" i="8" s="1"/>
  <c r="C256" i="8"/>
  <c r="E256" i="8" s="1"/>
  <c r="F256" i="8" s="1"/>
  <c r="C258" i="8"/>
  <c r="E258" i="8" s="1"/>
  <c r="F258" i="8" s="1"/>
  <c r="C260" i="8"/>
  <c r="E260" i="8" s="1"/>
  <c r="F260" i="8" s="1"/>
  <c r="C262" i="8"/>
  <c r="E262" i="8" s="1"/>
  <c r="F262" i="8" s="1"/>
  <c r="C264" i="8"/>
  <c r="E264" i="8" s="1"/>
  <c r="F264" i="8" s="1"/>
  <c r="C266" i="8"/>
  <c r="E266" i="8" s="1"/>
  <c r="F266" i="8" s="1"/>
  <c r="C268" i="8"/>
  <c r="E268" i="8" s="1"/>
  <c r="F268" i="8" s="1"/>
  <c r="C270" i="8"/>
  <c r="E270" i="8" s="1"/>
  <c r="F270" i="8" s="1"/>
  <c r="C272" i="8"/>
  <c r="E272" i="8" s="1"/>
  <c r="F272" i="8" s="1"/>
  <c r="C274" i="8"/>
  <c r="E274" i="8" s="1"/>
  <c r="F274" i="8" s="1"/>
  <c r="C276" i="8"/>
  <c r="E276" i="8" s="1"/>
  <c r="F276" i="8" s="1"/>
  <c r="C278" i="8"/>
  <c r="E278" i="8" s="1"/>
  <c r="F278" i="8" s="1"/>
  <c r="C280" i="8"/>
  <c r="E280" i="8" s="1"/>
  <c r="F280" i="8" s="1"/>
  <c r="C282" i="8"/>
  <c r="E282" i="8" s="1"/>
  <c r="F282" i="8" s="1"/>
  <c r="C284" i="8"/>
  <c r="E284" i="8" s="1"/>
  <c r="F284" i="8" s="1"/>
  <c r="C286" i="8"/>
  <c r="E286" i="8" s="1"/>
  <c r="F286" i="8" s="1"/>
  <c r="C288" i="8"/>
  <c r="E288" i="8" s="1"/>
  <c r="F288" i="8" s="1"/>
  <c r="C290" i="8"/>
  <c r="E290" i="8" s="1"/>
  <c r="F290" i="8" s="1"/>
  <c r="C292" i="8"/>
  <c r="E292" i="8" s="1"/>
  <c r="F292" i="8" s="1"/>
  <c r="C294" i="8"/>
  <c r="E294" i="8" s="1"/>
  <c r="F294" i="8" s="1"/>
  <c r="C296" i="8"/>
  <c r="E296" i="8" s="1"/>
  <c r="F296" i="8" s="1"/>
  <c r="C298" i="8"/>
  <c r="E298" i="8" s="1"/>
  <c r="F298" i="8" s="1"/>
  <c r="C300" i="8"/>
  <c r="E300" i="8" s="1"/>
  <c r="F300" i="8" s="1"/>
  <c r="C302" i="8"/>
  <c r="E302" i="8" s="1"/>
  <c r="F302" i="8" s="1"/>
  <c r="C304" i="8"/>
  <c r="E304" i="8" s="1"/>
  <c r="F304" i="8" s="1"/>
  <c r="C306" i="8"/>
  <c r="E306" i="8" s="1"/>
  <c r="F306" i="8" s="1"/>
  <c r="C308" i="8"/>
  <c r="E308" i="8" s="1"/>
  <c r="F308" i="8" s="1"/>
  <c r="C310" i="8"/>
  <c r="E310" i="8" s="1"/>
  <c r="F310" i="8" s="1"/>
  <c r="C312" i="8"/>
  <c r="E312" i="8" s="1"/>
  <c r="F312" i="8" s="1"/>
  <c r="C314" i="8"/>
  <c r="E314" i="8" s="1"/>
  <c r="F314" i="8" s="1"/>
  <c r="C316" i="8"/>
  <c r="E316" i="8" s="1"/>
  <c r="F316" i="8" s="1"/>
  <c r="C318" i="8"/>
  <c r="E318" i="8" s="1"/>
  <c r="F318" i="8" s="1"/>
  <c r="G91" i="3"/>
  <c r="G319" i="3"/>
  <c r="E8" i="8"/>
  <c r="F8" i="8" s="1"/>
  <c r="E16" i="8"/>
  <c r="F16" i="8" s="1"/>
  <c r="E34" i="8"/>
  <c r="F34" i="8" s="1"/>
  <c r="E42" i="8"/>
  <c r="F42" i="8" s="1"/>
  <c r="E50" i="8"/>
  <c r="F50" i="8" s="1"/>
  <c r="E58" i="8"/>
  <c r="F58" i="8" s="1"/>
  <c r="E66" i="8"/>
  <c r="F66" i="8" s="1"/>
  <c r="E82" i="8"/>
  <c r="F82" i="8" s="1"/>
  <c r="E104" i="8"/>
  <c r="F104" i="8" s="1"/>
  <c r="E112" i="8"/>
  <c r="F112" i="8" s="1"/>
  <c r="E120" i="8"/>
  <c r="F120" i="8" s="1"/>
  <c r="E128" i="8"/>
  <c r="F128" i="8" s="1"/>
  <c r="E136" i="8"/>
  <c r="F136" i="8" s="1"/>
  <c r="E142" i="8"/>
  <c r="F142" i="8" s="1"/>
  <c r="E150" i="8"/>
  <c r="F150" i="8" s="1"/>
  <c r="G2" i="3"/>
  <c r="G12" i="3"/>
  <c r="G56" i="3"/>
  <c r="G68" i="3"/>
  <c r="G76" i="3"/>
  <c r="G124" i="3"/>
  <c r="G132" i="3"/>
  <c r="G140" i="3"/>
  <c r="G188" i="3"/>
  <c r="G220" i="3"/>
  <c r="G296" i="3"/>
  <c r="G4" i="12"/>
  <c r="G7" i="12"/>
  <c r="G10" i="12"/>
  <c r="G1502" i="12"/>
  <c r="G9" i="12"/>
  <c r="G2" i="12"/>
  <c r="G5" i="12"/>
  <c r="G502" i="12"/>
  <c r="G1002" i="12"/>
  <c r="F48" i="8" l="1"/>
  <c r="F24" i="8"/>
  <c r="F17" i="8"/>
  <c r="F4" i="8"/>
  <c r="F61" i="8"/>
  <c r="F59" i="8"/>
  <c r="C5" i="1"/>
  <c r="F2" i="8"/>
  <c r="B147" i="11"/>
  <c r="D147" i="11" s="1"/>
  <c r="B143" i="11"/>
  <c r="D143" i="11" s="1"/>
  <c r="B139" i="11"/>
  <c r="D139" i="11" s="1"/>
  <c r="B135" i="11"/>
  <c r="D135" i="11" s="1"/>
  <c r="B149" i="11"/>
  <c r="D149" i="11" s="1"/>
  <c r="B145" i="11"/>
  <c r="D145" i="11" s="1"/>
  <c r="B141" i="11"/>
  <c r="D141" i="11" s="1"/>
  <c r="B137" i="11"/>
  <c r="D137" i="11" s="1"/>
  <c r="B133" i="11"/>
  <c r="D133" i="11" s="1"/>
  <c r="B129" i="11"/>
  <c r="D129" i="11" s="1"/>
  <c r="B130" i="11"/>
  <c r="D130" i="11" s="1"/>
  <c r="B127" i="11"/>
  <c r="D127" i="11" s="1"/>
  <c r="B123" i="11"/>
  <c r="D123" i="11" s="1"/>
  <c r="B119" i="11"/>
  <c r="D119" i="11" s="1"/>
  <c r="B115" i="11"/>
  <c r="D115" i="11" s="1"/>
  <c r="B111" i="11"/>
  <c r="D111" i="11" s="1"/>
  <c r="B107" i="11"/>
  <c r="D107" i="11" s="1"/>
  <c r="B103" i="11"/>
  <c r="D103" i="11" s="1"/>
  <c r="B99" i="11"/>
  <c r="D99" i="11" s="1"/>
  <c r="B95" i="11"/>
  <c r="D95" i="11" s="1"/>
  <c r="B91" i="11"/>
  <c r="D91" i="11" s="1"/>
  <c r="B87" i="11"/>
  <c r="D87" i="11" s="1"/>
  <c r="B83" i="11"/>
  <c r="D83" i="11" s="1"/>
  <c r="B128" i="11"/>
  <c r="D128" i="11" s="1"/>
  <c r="B150" i="11"/>
  <c r="D150" i="11" s="1"/>
  <c r="B148" i="11"/>
  <c r="D148" i="11" s="1"/>
  <c r="B146" i="11"/>
  <c r="D146" i="11" s="1"/>
  <c r="B144" i="11"/>
  <c r="D144" i="11" s="1"/>
  <c r="B142" i="11"/>
  <c r="D142" i="11" s="1"/>
  <c r="B140" i="11"/>
  <c r="D140" i="11" s="1"/>
  <c r="B138" i="11"/>
  <c r="D138" i="11" s="1"/>
  <c r="B136" i="11"/>
  <c r="D136" i="11" s="1"/>
  <c r="B134" i="11"/>
  <c r="D134" i="11" s="1"/>
  <c r="B131" i="11"/>
  <c r="D131" i="11" s="1"/>
  <c r="B125" i="11"/>
  <c r="D125" i="11" s="1"/>
  <c r="B121" i="11"/>
  <c r="D121" i="11" s="1"/>
  <c r="B117" i="11"/>
  <c r="D117" i="11" s="1"/>
  <c r="B113" i="11"/>
  <c r="D113" i="11" s="1"/>
  <c r="B109" i="11"/>
  <c r="D109" i="11" s="1"/>
  <c r="B105" i="11"/>
  <c r="D105" i="11" s="1"/>
  <c r="B101" i="11"/>
  <c r="D101" i="11" s="1"/>
  <c r="B97" i="11"/>
  <c r="D97" i="11" s="1"/>
  <c r="B93" i="11"/>
  <c r="D93" i="11" s="1"/>
  <c r="B89" i="11"/>
  <c r="D89" i="11" s="1"/>
  <c r="B85" i="11"/>
  <c r="D85" i="11" s="1"/>
  <c r="B81" i="11"/>
  <c r="D81" i="11" s="1"/>
  <c r="B132" i="11"/>
  <c r="D132" i="11" s="1"/>
  <c r="B126" i="11"/>
  <c r="D126" i="11" s="1"/>
  <c r="B122" i="11"/>
  <c r="D122" i="11" s="1"/>
  <c r="B118" i="11"/>
  <c r="D118" i="11" s="1"/>
  <c r="B114" i="11"/>
  <c r="D114" i="11" s="1"/>
  <c r="B110" i="11"/>
  <c r="D110" i="11" s="1"/>
  <c r="B106" i="11"/>
  <c r="D106" i="11" s="1"/>
  <c r="B102" i="11"/>
  <c r="D102" i="11" s="1"/>
  <c r="B98" i="11"/>
  <c r="D98" i="11" s="1"/>
  <c r="B94" i="11"/>
  <c r="D94" i="11" s="1"/>
  <c r="B90" i="11"/>
  <c r="D90" i="11" s="1"/>
  <c r="B77" i="11"/>
  <c r="D77" i="11" s="1"/>
  <c r="B73" i="11"/>
  <c r="D73" i="11" s="1"/>
  <c r="B69" i="11"/>
  <c r="D69" i="11" s="1"/>
  <c r="B65" i="11"/>
  <c r="D65" i="11" s="1"/>
  <c r="B61" i="11"/>
  <c r="D61" i="11" s="1"/>
  <c r="B57" i="11"/>
  <c r="D57" i="11" s="1"/>
  <c r="B53" i="11"/>
  <c r="D53" i="11" s="1"/>
  <c r="B49" i="11"/>
  <c r="D49" i="11" s="1"/>
  <c r="B45" i="11"/>
  <c r="D45" i="11" s="1"/>
  <c r="B41" i="11"/>
  <c r="D41" i="11" s="1"/>
  <c r="B37" i="11"/>
  <c r="D37" i="11" s="1"/>
  <c r="B33" i="11"/>
  <c r="D33" i="11" s="1"/>
  <c r="B29" i="11"/>
  <c r="D29" i="11" s="1"/>
  <c r="B25" i="11"/>
  <c r="D25" i="11" s="1"/>
  <c r="B21" i="11"/>
  <c r="D21" i="11" s="1"/>
  <c r="B17" i="11"/>
  <c r="D17" i="11" s="1"/>
  <c r="B13" i="11"/>
  <c r="D13" i="11" s="1"/>
  <c r="B9" i="11"/>
  <c r="D9" i="11" s="1"/>
  <c r="B5" i="11"/>
  <c r="D5" i="11" s="1"/>
  <c r="B124" i="11"/>
  <c r="D124" i="11" s="1"/>
  <c r="B120" i="11"/>
  <c r="D120" i="11" s="1"/>
  <c r="B112" i="11"/>
  <c r="D112" i="11" s="1"/>
  <c r="B104" i="11"/>
  <c r="D104" i="11" s="1"/>
  <c r="B96" i="11"/>
  <c r="D96" i="11" s="1"/>
  <c r="B88" i="11"/>
  <c r="D88" i="11" s="1"/>
  <c r="B86" i="11"/>
  <c r="D86" i="11" s="1"/>
  <c r="B84" i="11"/>
  <c r="D84" i="11" s="1"/>
  <c r="B82" i="11"/>
  <c r="D82" i="11" s="1"/>
  <c r="B80" i="11"/>
  <c r="D80" i="11" s="1"/>
  <c r="B72" i="11"/>
  <c r="D72" i="11" s="1"/>
  <c r="B64" i="11"/>
  <c r="D64" i="11" s="1"/>
  <c r="B78" i="11"/>
  <c r="D78" i="11" s="1"/>
  <c r="B75" i="11"/>
  <c r="D75" i="11" s="1"/>
  <c r="B70" i="11"/>
  <c r="D70" i="11" s="1"/>
  <c r="B67" i="11"/>
  <c r="D67" i="11" s="1"/>
  <c r="B62" i="11"/>
  <c r="D62" i="11" s="1"/>
  <c r="B59" i="11"/>
  <c r="D59" i="11" s="1"/>
  <c r="B54" i="11"/>
  <c r="D54" i="11" s="1"/>
  <c r="B51" i="11"/>
  <c r="D51" i="11" s="1"/>
  <c r="B46" i="11"/>
  <c r="D46" i="11" s="1"/>
  <c r="B43" i="11"/>
  <c r="D43" i="11" s="1"/>
  <c r="B38" i="11"/>
  <c r="D38" i="11" s="1"/>
  <c r="B35" i="11"/>
  <c r="D35" i="11" s="1"/>
  <c r="B30" i="11"/>
  <c r="D30" i="11" s="1"/>
  <c r="B27" i="11"/>
  <c r="D27" i="11" s="1"/>
  <c r="B22" i="11"/>
  <c r="D22" i="11" s="1"/>
  <c r="B19" i="11"/>
  <c r="D19" i="11" s="1"/>
  <c r="B14" i="11"/>
  <c r="D14" i="11" s="1"/>
  <c r="B11" i="11"/>
  <c r="D11" i="11" s="1"/>
  <c r="B6" i="11"/>
  <c r="D6" i="11" s="1"/>
  <c r="B3" i="11"/>
  <c r="D3" i="11" s="1"/>
  <c r="B116" i="11"/>
  <c r="D116" i="11" s="1"/>
  <c r="B108" i="11"/>
  <c r="D108" i="11" s="1"/>
  <c r="B100" i="11"/>
  <c r="D100" i="11" s="1"/>
  <c r="B92" i="11"/>
  <c r="D92" i="11" s="1"/>
  <c r="B76" i="11"/>
  <c r="D76" i="11" s="1"/>
  <c r="B68" i="11"/>
  <c r="D68" i="11" s="1"/>
  <c r="B60" i="11"/>
  <c r="D60" i="11" s="1"/>
  <c r="B52" i="11"/>
  <c r="D52" i="11" s="1"/>
  <c r="B44" i="11"/>
  <c r="D44" i="11" s="1"/>
  <c r="B36" i="11"/>
  <c r="D36" i="11" s="1"/>
  <c r="B79" i="11"/>
  <c r="D79" i="11" s="1"/>
  <c r="B74" i="11"/>
  <c r="D74" i="11" s="1"/>
  <c r="B71" i="11"/>
  <c r="D71" i="11" s="1"/>
  <c r="B66" i="11"/>
  <c r="D66" i="11" s="1"/>
  <c r="B63" i="11"/>
  <c r="D63" i="11" s="1"/>
  <c r="B58" i="11"/>
  <c r="D58" i="11" s="1"/>
  <c r="B55" i="11"/>
  <c r="D55" i="11" s="1"/>
  <c r="B50" i="11"/>
  <c r="D50" i="11" s="1"/>
  <c r="B47" i="11"/>
  <c r="D47" i="11" s="1"/>
  <c r="B42" i="11"/>
  <c r="D42" i="11" s="1"/>
  <c r="B39" i="11"/>
  <c r="D39" i="11" s="1"/>
  <c r="B34" i="11"/>
  <c r="D34" i="11" s="1"/>
  <c r="B31" i="11"/>
  <c r="D31" i="11" s="1"/>
  <c r="B26" i="11"/>
  <c r="D26" i="11" s="1"/>
  <c r="B56" i="11"/>
  <c r="D56" i="11" s="1"/>
  <c r="B48" i="11"/>
  <c r="D48" i="11" s="1"/>
  <c r="B40" i="11"/>
  <c r="D40" i="11" s="1"/>
  <c r="B32" i="11"/>
  <c r="D32" i="11" s="1"/>
  <c r="B24" i="11"/>
  <c r="D24" i="11" s="1"/>
  <c r="B15" i="11"/>
  <c r="D15" i="11" s="1"/>
  <c r="B23" i="11"/>
  <c r="D23" i="11" s="1"/>
  <c r="B10" i="11"/>
  <c r="D10" i="11" s="1"/>
  <c r="B8" i="11"/>
  <c r="D8" i="11" s="1"/>
  <c r="B20" i="11"/>
  <c r="D20" i="11" s="1"/>
  <c r="B18" i="11"/>
  <c r="D18" i="11" s="1"/>
  <c r="B16" i="11"/>
  <c r="D16" i="11" s="1"/>
  <c r="B12" i="11"/>
  <c r="D12" i="11" s="1"/>
  <c r="B28" i="11"/>
  <c r="D28" i="11" s="1"/>
  <c r="B4" i="11"/>
  <c r="D4" i="11" s="1"/>
  <c r="B2" i="11"/>
  <c r="B7" i="11"/>
  <c r="D7" i="11" s="1"/>
  <c r="A2001" i="9"/>
  <c r="C2000" i="9"/>
  <c r="A1999" i="9"/>
  <c r="C1998" i="9"/>
  <c r="A1997" i="9"/>
  <c r="C1996" i="9"/>
  <c r="A1995" i="9"/>
  <c r="C1994" i="9"/>
  <c r="A1993" i="9"/>
  <c r="C1992" i="9"/>
  <c r="A1991" i="9"/>
  <c r="C1990" i="9"/>
  <c r="A1989" i="9"/>
  <c r="C1988" i="9"/>
  <c r="A1987" i="9"/>
  <c r="C1986" i="9"/>
  <c r="A1985" i="9"/>
  <c r="C1984" i="9"/>
  <c r="A1983" i="9"/>
  <c r="C1982" i="9"/>
  <c r="A1981" i="9"/>
  <c r="C1980" i="9"/>
  <c r="A1979" i="9"/>
  <c r="C1978" i="9"/>
  <c r="A1977" i="9"/>
  <c r="C1976" i="9"/>
  <c r="A1975" i="9"/>
  <c r="C1974" i="9"/>
  <c r="A1973" i="9"/>
  <c r="C1972" i="9"/>
  <c r="A1971" i="9"/>
  <c r="C1970" i="9"/>
  <c r="A1969" i="9"/>
  <c r="C1968" i="9"/>
  <c r="A1967" i="9"/>
  <c r="C1966" i="9"/>
  <c r="A1965" i="9"/>
  <c r="C1964" i="9"/>
  <c r="A1963" i="9"/>
  <c r="C1962" i="9"/>
  <c r="A1961" i="9"/>
  <c r="C1960" i="9"/>
  <c r="A1959" i="9"/>
  <c r="C1958" i="9"/>
  <c r="A1957" i="9"/>
  <c r="C1956" i="9"/>
  <c r="A1955" i="9"/>
  <c r="C1954" i="9"/>
  <c r="A1953" i="9"/>
  <c r="C1952" i="9"/>
  <c r="A1951" i="9"/>
  <c r="C1950" i="9"/>
  <c r="A1949" i="9"/>
  <c r="C1948" i="9"/>
  <c r="A1947" i="9"/>
  <c r="C1946" i="9"/>
  <c r="A1945" i="9"/>
  <c r="C1944" i="9"/>
  <c r="A1943" i="9"/>
  <c r="C1942" i="9"/>
  <c r="A1941" i="9"/>
  <c r="C1940" i="9"/>
  <c r="A1939" i="9"/>
  <c r="C1938" i="9"/>
  <c r="A1937" i="9"/>
  <c r="C1936" i="9"/>
  <c r="A1935" i="9"/>
  <c r="C1934" i="9"/>
  <c r="A1933" i="9"/>
  <c r="C1932" i="9"/>
  <c r="A1931" i="9"/>
  <c r="C1930" i="9"/>
  <c r="A1929" i="9"/>
  <c r="C1928" i="9"/>
  <c r="A1927" i="9"/>
  <c r="C1926" i="9"/>
  <c r="A1925" i="9"/>
  <c r="C1924" i="9"/>
  <c r="A1923" i="9"/>
  <c r="C1922" i="9"/>
  <c r="A1921" i="9"/>
  <c r="C1920" i="9"/>
  <c r="A1919" i="9"/>
  <c r="C1918" i="9"/>
  <c r="A1917" i="9"/>
  <c r="C1916" i="9"/>
  <c r="A1915" i="9"/>
  <c r="C1914" i="9"/>
  <c r="A1913" i="9"/>
  <c r="C1912" i="9"/>
  <c r="A1911" i="9"/>
  <c r="C1910" i="9"/>
  <c r="A1909" i="9"/>
  <c r="C1908" i="9"/>
  <c r="A1907" i="9"/>
  <c r="C1906" i="9"/>
  <c r="A1905" i="9"/>
  <c r="C1904" i="9"/>
  <c r="A1903" i="9"/>
  <c r="C1902" i="9"/>
  <c r="A1901" i="9"/>
  <c r="C1900" i="9"/>
  <c r="A1899" i="9"/>
  <c r="C1898" i="9"/>
  <c r="A1897" i="9"/>
  <c r="C1896" i="9"/>
  <c r="A1895" i="9"/>
  <c r="C1894" i="9"/>
  <c r="A1893" i="9"/>
  <c r="C1892" i="9"/>
  <c r="A1891" i="9"/>
  <c r="C1890" i="9"/>
  <c r="A1889" i="9"/>
  <c r="C1888" i="9"/>
  <c r="A1887" i="9"/>
  <c r="C1886" i="9"/>
  <c r="A1885" i="9"/>
  <c r="C1884" i="9"/>
  <c r="A1883" i="9"/>
  <c r="C1882" i="9"/>
  <c r="A1881" i="9"/>
  <c r="C1880" i="9"/>
  <c r="A1879" i="9"/>
  <c r="C1878" i="9"/>
  <c r="A1877" i="9"/>
  <c r="C1876" i="9"/>
  <c r="A1875" i="9"/>
  <c r="C1874" i="9"/>
  <c r="A1873" i="9"/>
  <c r="C1872" i="9"/>
  <c r="A1871" i="9"/>
  <c r="C1870" i="9"/>
  <c r="A1869" i="9"/>
  <c r="C1868" i="9"/>
  <c r="A1867" i="9"/>
  <c r="C1866" i="9"/>
  <c r="A1865" i="9"/>
  <c r="C1864" i="9"/>
  <c r="A1863" i="9"/>
  <c r="C1862" i="9"/>
  <c r="A1861" i="9"/>
  <c r="C1860" i="9"/>
  <c r="A1859" i="9"/>
  <c r="C1858" i="9"/>
  <c r="A1857" i="9"/>
  <c r="C1856" i="9"/>
  <c r="A1855" i="9"/>
  <c r="C1854" i="9"/>
  <c r="A1853" i="9"/>
  <c r="C1852" i="9"/>
  <c r="A1851" i="9"/>
  <c r="C1850" i="9"/>
  <c r="D2001" i="9"/>
  <c r="F1999" i="9"/>
  <c r="F1998" i="9"/>
  <c r="A1998" i="9"/>
  <c r="B1997" i="9"/>
  <c r="E1997" i="9" s="1"/>
  <c r="B1996" i="9"/>
  <c r="E1996" i="9" s="1"/>
  <c r="C1995" i="9"/>
  <c r="D1994" i="9"/>
  <c r="D1993" i="9"/>
  <c r="F1991" i="9"/>
  <c r="F1990" i="9"/>
  <c r="A1990" i="9"/>
  <c r="B1989" i="9"/>
  <c r="E1989" i="9" s="1"/>
  <c r="B1988" i="9"/>
  <c r="E1988" i="9" s="1"/>
  <c r="C1987" i="9"/>
  <c r="D1986" i="9"/>
  <c r="D1985" i="9"/>
  <c r="F1983" i="9"/>
  <c r="F1982" i="9"/>
  <c r="A1982" i="9"/>
  <c r="B1981" i="9"/>
  <c r="E1981" i="9" s="1"/>
  <c r="B1980" i="9"/>
  <c r="E1980" i="9" s="1"/>
  <c r="C1979" i="9"/>
  <c r="D1978" i="9"/>
  <c r="D1977" i="9"/>
  <c r="F1975" i="9"/>
  <c r="F1974" i="9"/>
  <c r="A1974" i="9"/>
  <c r="B1973" i="9"/>
  <c r="E1973" i="9" s="1"/>
  <c r="B1972" i="9"/>
  <c r="E1972" i="9" s="1"/>
  <c r="C1971" i="9"/>
  <c r="D1970" i="9"/>
  <c r="D1969" i="9"/>
  <c r="F1967" i="9"/>
  <c r="F1966" i="9"/>
  <c r="A1966" i="9"/>
  <c r="B1965" i="9"/>
  <c r="E1965" i="9" s="1"/>
  <c r="B1964" i="9"/>
  <c r="E1964" i="9" s="1"/>
  <c r="C1963" i="9"/>
  <c r="D1962" i="9"/>
  <c r="D1961" i="9"/>
  <c r="F1959" i="9"/>
  <c r="F1958" i="9"/>
  <c r="A1958" i="9"/>
  <c r="B1957" i="9"/>
  <c r="E1957" i="9" s="1"/>
  <c r="B1956" i="9"/>
  <c r="E1956" i="9" s="1"/>
  <c r="C1955" i="9"/>
  <c r="D1954" i="9"/>
  <c r="D1953" i="9"/>
  <c r="F1951" i="9"/>
  <c r="F1950" i="9"/>
  <c r="A1950" i="9"/>
  <c r="B1949" i="9"/>
  <c r="E1949" i="9" s="1"/>
  <c r="B1948" i="9"/>
  <c r="E1948" i="9" s="1"/>
  <c r="C1947" i="9"/>
  <c r="D1946" i="9"/>
  <c r="D1945" i="9"/>
  <c r="F1943" i="9"/>
  <c r="F1942" i="9"/>
  <c r="A1942" i="9"/>
  <c r="B1941" i="9"/>
  <c r="E1941" i="9" s="1"/>
  <c r="B1940" i="9"/>
  <c r="E1940" i="9" s="1"/>
  <c r="C1939" i="9"/>
  <c r="D1938" i="9"/>
  <c r="D1937" i="9"/>
  <c r="F1935" i="9"/>
  <c r="F1934" i="9"/>
  <c r="A1934" i="9"/>
  <c r="B1933" i="9"/>
  <c r="E1933" i="9" s="1"/>
  <c r="B1932" i="9"/>
  <c r="E1932" i="9" s="1"/>
  <c r="C1931" i="9"/>
  <c r="D1930" i="9"/>
  <c r="D1929" i="9"/>
  <c r="F1927" i="9"/>
  <c r="F1926" i="9"/>
  <c r="A1926" i="9"/>
  <c r="B1925" i="9"/>
  <c r="E1925" i="9" s="1"/>
  <c r="B1924" i="9"/>
  <c r="E1924" i="9" s="1"/>
  <c r="C1923" i="9"/>
  <c r="D1922" i="9"/>
  <c r="D1921" i="9"/>
  <c r="F1919" i="9"/>
  <c r="F1918" i="9"/>
  <c r="A1918" i="9"/>
  <c r="B1917" i="9"/>
  <c r="E1917" i="9" s="1"/>
  <c r="B1916" i="9"/>
  <c r="E1916" i="9" s="1"/>
  <c r="C1915" i="9"/>
  <c r="D1914" i="9"/>
  <c r="D1913" i="9"/>
  <c r="F1911" i="9"/>
  <c r="F1910" i="9"/>
  <c r="A1910" i="9"/>
  <c r="B1909" i="9"/>
  <c r="E1909" i="9" s="1"/>
  <c r="B1908" i="9"/>
  <c r="E1908" i="9" s="1"/>
  <c r="C1907" i="9"/>
  <c r="D1906" i="9"/>
  <c r="D1905" i="9"/>
  <c r="F1903" i="9"/>
  <c r="F1902" i="9"/>
  <c r="A1902" i="9"/>
  <c r="B1901" i="9"/>
  <c r="E1901" i="9" s="1"/>
  <c r="B1900" i="9"/>
  <c r="E1900" i="9" s="1"/>
  <c r="C1899" i="9"/>
  <c r="D1898" i="9"/>
  <c r="D1897" i="9"/>
  <c r="F1895" i="9"/>
  <c r="F1894" i="9"/>
  <c r="A1894" i="9"/>
  <c r="B1893" i="9"/>
  <c r="E1893" i="9" s="1"/>
  <c r="B1892" i="9"/>
  <c r="E1892" i="9" s="1"/>
  <c r="C1891" i="9"/>
  <c r="D1890" i="9"/>
  <c r="D1889" i="9"/>
  <c r="F1887" i="9"/>
  <c r="F1886" i="9"/>
  <c r="A1886" i="9"/>
  <c r="B1885" i="9"/>
  <c r="E1885" i="9" s="1"/>
  <c r="B1884" i="9"/>
  <c r="E1884" i="9" s="1"/>
  <c r="C1883" i="9"/>
  <c r="D1882" i="9"/>
  <c r="D1881" i="9"/>
  <c r="F1879" i="9"/>
  <c r="F1878" i="9"/>
  <c r="A1878" i="9"/>
  <c r="B1877" i="9"/>
  <c r="E1877" i="9" s="1"/>
  <c r="B1876" i="9"/>
  <c r="E1876" i="9" s="1"/>
  <c r="C1875" i="9"/>
  <c r="D1874" i="9"/>
  <c r="D1873" i="9"/>
  <c r="F1871" i="9"/>
  <c r="F1870" i="9"/>
  <c r="A1870" i="9"/>
  <c r="B1869" i="9"/>
  <c r="E1869" i="9" s="1"/>
  <c r="B1868" i="9"/>
  <c r="E1868" i="9" s="1"/>
  <c r="C1867" i="9"/>
  <c r="D1866" i="9"/>
  <c r="D1865" i="9"/>
  <c r="F1863" i="9"/>
  <c r="F1862" i="9"/>
  <c r="A1862" i="9"/>
  <c r="B1861" i="9"/>
  <c r="E1861" i="9" s="1"/>
  <c r="B1860" i="9"/>
  <c r="E1860" i="9" s="1"/>
  <c r="C1859" i="9"/>
  <c r="D1858" i="9"/>
  <c r="D1857" i="9"/>
  <c r="F1855" i="9"/>
  <c r="F1854" i="9"/>
  <c r="A1854" i="9"/>
  <c r="B1853" i="9"/>
  <c r="E1853" i="9" s="1"/>
  <c r="B1852" i="9"/>
  <c r="E1852" i="9" s="1"/>
  <c r="C1851" i="9"/>
  <c r="D1850" i="9"/>
  <c r="A1849" i="9"/>
  <c r="C1848" i="9"/>
  <c r="A1847" i="9"/>
  <c r="C1846" i="9"/>
  <c r="A1845" i="9"/>
  <c r="C1844" i="9"/>
  <c r="A1843" i="9"/>
  <c r="C1842" i="9"/>
  <c r="A1841" i="9"/>
  <c r="C1840" i="9"/>
  <c r="A1839" i="9"/>
  <c r="C1838" i="9"/>
  <c r="A1837" i="9"/>
  <c r="C1836" i="9"/>
  <c r="A1835" i="9"/>
  <c r="C1834" i="9"/>
  <c r="A1833" i="9"/>
  <c r="C1832" i="9"/>
  <c r="A1831" i="9"/>
  <c r="C1830" i="9"/>
  <c r="A1829" i="9"/>
  <c r="C1828" i="9"/>
  <c r="A1827" i="9"/>
  <c r="C1826" i="9"/>
  <c r="A1825" i="9"/>
  <c r="C1824" i="9"/>
  <c r="A1823" i="9"/>
  <c r="C1822" i="9"/>
  <c r="A1821" i="9"/>
  <c r="C1820" i="9"/>
  <c r="A1819" i="9"/>
  <c r="C1818" i="9"/>
  <c r="A1817" i="9"/>
  <c r="C1816" i="9"/>
  <c r="A1815" i="9"/>
  <c r="C1814" i="9"/>
  <c r="A1813" i="9"/>
  <c r="C1812" i="9"/>
  <c r="A1811" i="9"/>
  <c r="C1810" i="9"/>
  <c r="A1809" i="9"/>
  <c r="C1808" i="9"/>
  <c r="A1807" i="9"/>
  <c r="C1806" i="9"/>
  <c r="A1805" i="9"/>
  <c r="C1804" i="9"/>
  <c r="A1803" i="9"/>
  <c r="C1802" i="9"/>
  <c r="A1801" i="9"/>
  <c r="C1800" i="9"/>
  <c r="A1799" i="9"/>
  <c r="C1798" i="9"/>
  <c r="A1797" i="9"/>
  <c r="C1796" i="9"/>
  <c r="A1795" i="9"/>
  <c r="C1794" i="9"/>
  <c r="A1793" i="9"/>
  <c r="C1792" i="9"/>
  <c r="A1791" i="9"/>
  <c r="C1790" i="9"/>
  <c r="A1789" i="9"/>
  <c r="C1788" i="9"/>
  <c r="A1787" i="9"/>
  <c r="C1786" i="9"/>
  <c r="A1785" i="9"/>
  <c r="C1784" i="9"/>
  <c r="A1783" i="9"/>
  <c r="C1782" i="9"/>
  <c r="A1781" i="9"/>
  <c r="C1780" i="9"/>
  <c r="A1779" i="9"/>
  <c r="C1778" i="9"/>
  <c r="A1777" i="9"/>
  <c r="C1776" i="9"/>
  <c r="A1775" i="9"/>
  <c r="C1774" i="9"/>
  <c r="A1773" i="9"/>
  <c r="C1772" i="9"/>
  <c r="A1771" i="9"/>
  <c r="C1770" i="9"/>
  <c r="A1769" i="9"/>
  <c r="C1768" i="9"/>
  <c r="A1767" i="9"/>
  <c r="C1766" i="9"/>
  <c r="A1765" i="9"/>
  <c r="C1764" i="9"/>
  <c r="A1763" i="9"/>
  <c r="C1762" i="9"/>
  <c r="A1761" i="9"/>
  <c r="C1760" i="9"/>
  <c r="A1759" i="9"/>
  <c r="C1758" i="9"/>
  <c r="A1757" i="9"/>
  <c r="C1756" i="9"/>
  <c r="A1755" i="9"/>
  <c r="C1754" i="9"/>
  <c r="A1753" i="9"/>
  <c r="C1752" i="9"/>
  <c r="A1751" i="9"/>
  <c r="C1750" i="9"/>
  <c r="A1749" i="9"/>
  <c r="C1748" i="9"/>
  <c r="A1747" i="9"/>
  <c r="C1746" i="9"/>
  <c r="A1745" i="9"/>
  <c r="C1744" i="9"/>
  <c r="A1743" i="9"/>
  <c r="C1742" i="9"/>
  <c r="A1741" i="9"/>
  <c r="C1740" i="9"/>
  <c r="A1739" i="9"/>
  <c r="C1738" i="9"/>
  <c r="A1737" i="9"/>
  <c r="C1736" i="9"/>
  <c r="A1735" i="9"/>
  <c r="C1734" i="9"/>
  <c r="A1733" i="9"/>
  <c r="C1732" i="9"/>
  <c r="A1731" i="9"/>
  <c r="C1730" i="9"/>
  <c r="A1729" i="9"/>
  <c r="C1728" i="9"/>
  <c r="A1727" i="9"/>
  <c r="C1726" i="9"/>
  <c r="A1725" i="9"/>
  <c r="C1724" i="9"/>
  <c r="A1723" i="9"/>
  <c r="C1722" i="9"/>
  <c r="A1721" i="9"/>
  <c r="C1720" i="9"/>
  <c r="A1719" i="9"/>
  <c r="C1718" i="9"/>
  <c r="A1717" i="9"/>
  <c r="C1716" i="9"/>
  <c r="A1715" i="9"/>
  <c r="C1714" i="9"/>
  <c r="A1713" i="9"/>
  <c r="C1712" i="9"/>
  <c r="A1711" i="9"/>
  <c r="C1710" i="9"/>
  <c r="A1709" i="9"/>
  <c r="C1708" i="9"/>
  <c r="A1707" i="9"/>
  <c r="C1706" i="9"/>
  <c r="A1705" i="9"/>
  <c r="C1704" i="9"/>
  <c r="A1703" i="9"/>
  <c r="C1702" i="9"/>
  <c r="A1701" i="9"/>
  <c r="C1700" i="9"/>
  <c r="A1699" i="9"/>
  <c r="C1698" i="9"/>
  <c r="A1697" i="9"/>
  <c r="C1696" i="9"/>
  <c r="A1695" i="9"/>
  <c r="C1694" i="9"/>
  <c r="A1693" i="9"/>
  <c r="C1692" i="9"/>
  <c r="A1691" i="9"/>
  <c r="C1690" i="9"/>
  <c r="A1689" i="9"/>
  <c r="C1688" i="9"/>
  <c r="A1687" i="9"/>
  <c r="C1686" i="9"/>
  <c r="A1685" i="9"/>
  <c r="C1684" i="9"/>
  <c r="A1683" i="9"/>
  <c r="C1682" i="9"/>
  <c r="A1681" i="9"/>
  <c r="C1680" i="9"/>
  <c r="A1679" i="9"/>
  <c r="C1678" i="9"/>
  <c r="A1677" i="9"/>
  <c r="C1676" i="9"/>
  <c r="A1675" i="9"/>
  <c r="C1674" i="9"/>
  <c r="A1673" i="9"/>
  <c r="C1672" i="9"/>
  <c r="A1671" i="9"/>
  <c r="C1670" i="9"/>
  <c r="A1669" i="9"/>
  <c r="C1668" i="9"/>
  <c r="A1667" i="9"/>
  <c r="C1666" i="9"/>
  <c r="A1665" i="9"/>
  <c r="C1664" i="9"/>
  <c r="A1663" i="9"/>
  <c r="C1662" i="9"/>
  <c r="A1661" i="9"/>
  <c r="C1660" i="9"/>
  <c r="A1659" i="9"/>
  <c r="C1658" i="9"/>
  <c r="A1657" i="9"/>
  <c r="C1656" i="9"/>
  <c r="A1655" i="9"/>
  <c r="C1654" i="9"/>
  <c r="A1653" i="9"/>
  <c r="C1652" i="9"/>
  <c r="A1651" i="9"/>
  <c r="C1650" i="9"/>
  <c r="A1649" i="9"/>
  <c r="C1648" i="9"/>
  <c r="A1647" i="9"/>
  <c r="C1646" i="9"/>
  <c r="A1645" i="9"/>
  <c r="C1644" i="9"/>
  <c r="A1643" i="9"/>
  <c r="C1642" i="9"/>
  <c r="A1641" i="9"/>
  <c r="C1640" i="9"/>
  <c r="A1639" i="9"/>
  <c r="C1638" i="9"/>
  <c r="A1637" i="9"/>
  <c r="C1636" i="9"/>
  <c r="A1635" i="9"/>
  <c r="C1634" i="9"/>
  <c r="A1633" i="9"/>
  <c r="C1632" i="9"/>
  <c r="A1631" i="9"/>
  <c r="C1630" i="9"/>
  <c r="A1629" i="9"/>
  <c r="C1628" i="9"/>
  <c r="A1627" i="9"/>
  <c r="C1626" i="9"/>
  <c r="A1625" i="9"/>
  <c r="C1624" i="9"/>
  <c r="A1623" i="9"/>
  <c r="C1622" i="9"/>
  <c r="A1621" i="9"/>
  <c r="C1620" i="9"/>
  <c r="A1619" i="9"/>
  <c r="C1618" i="9"/>
  <c r="A1617" i="9"/>
  <c r="C1616" i="9"/>
  <c r="A1615" i="9"/>
  <c r="C1614" i="9"/>
  <c r="A1613" i="9"/>
  <c r="C1612" i="9"/>
  <c r="A1611" i="9"/>
  <c r="C1610" i="9"/>
  <c r="A1609" i="9"/>
  <c r="C1608" i="9"/>
  <c r="A1607" i="9"/>
  <c r="C1606" i="9"/>
  <c r="A1605" i="9"/>
  <c r="C1604" i="9"/>
  <c r="A1603" i="9"/>
  <c r="C1602" i="9"/>
  <c r="A1601" i="9"/>
  <c r="C1600" i="9"/>
  <c r="A1599" i="9"/>
  <c r="C1598" i="9"/>
  <c r="A1597" i="9"/>
  <c r="C1596" i="9"/>
  <c r="A1595" i="9"/>
  <c r="C1594" i="9"/>
  <c r="A1593" i="9"/>
  <c r="C1592" i="9"/>
  <c r="A1591" i="9"/>
  <c r="C1590" i="9"/>
  <c r="A1589" i="9"/>
  <c r="C1588" i="9"/>
  <c r="A1587" i="9"/>
  <c r="C1586" i="9"/>
  <c r="A1585" i="9"/>
  <c r="C1584" i="9"/>
  <c r="A1583" i="9"/>
  <c r="C1582" i="9"/>
  <c r="A1581" i="9"/>
  <c r="C1580" i="9"/>
  <c r="A1579" i="9"/>
  <c r="C1578" i="9"/>
  <c r="A1577" i="9"/>
  <c r="C1576" i="9"/>
  <c r="A1575" i="9"/>
  <c r="C1574" i="9"/>
  <c r="A1573" i="9"/>
  <c r="C1572" i="9"/>
  <c r="A1571" i="9"/>
  <c r="C1570" i="9"/>
  <c r="A1569" i="9"/>
  <c r="C1568" i="9"/>
  <c r="A1567" i="9"/>
  <c r="C1566" i="9"/>
  <c r="A1565" i="9"/>
  <c r="C1564" i="9"/>
  <c r="A1563" i="9"/>
  <c r="C1562" i="9"/>
  <c r="A1561" i="9"/>
  <c r="C1560" i="9"/>
  <c r="A1559" i="9"/>
  <c r="C1558" i="9"/>
  <c r="A1557" i="9"/>
  <c r="C1556" i="9"/>
  <c r="A1555" i="9"/>
  <c r="C1554" i="9"/>
  <c r="A1553" i="9"/>
  <c r="C1552" i="9"/>
  <c r="A1551" i="9"/>
  <c r="C1550" i="9"/>
  <c r="A1549" i="9"/>
  <c r="C1548" i="9"/>
  <c r="A1547" i="9"/>
  <c r="C1546" i="9"/>
  <c r="A1545" i="9"/>
  <c r="C1544" i="9"/>
  <c r="A1543" i="9"/>
  <c r="C1542" i="9"/>
  <c r="A1541" i="9"/>
  <c r="C1540" i="9"/>
  <c r="A1539" i="9"/>
  <c r="C1538" i="9"/>
  <c r="A1537" i="9"/>
  <c r="C1536" i="9"/>
  <c r="F2001" i="9"/>
  <c r="D2000" i="9"/>
  <c r="C1999" i="9"/>
  <c r="B1998" i="9"/>
  <c r="E1998" i="9" s="1"/>
  <c r="F1996" i="9"/>
  <c r="F1995" i="9"/>
  <c r="C1993" i="9"/>
  <c r="B1992" i="9"/>
  <c r="E1992" i="9" s="1"/>
  <c r="B1991" i="9"/>
  <c r="E1991" i="9" s="1"/>
  <c r="F1989" i="9"/>
  <c r="D1987" i="9"/>
  <c r="B1986" i="9"/>
  <c r="E1986" i="9" s="1"/>
  <c r="B1985" i="9"/>
  <c r="E1985" i="9" s="1"/>
  <c r="A1984" i="9"/>
  <c r="D1981" i="9"/>
  <c r="D1980" i="9"/>
  <c r="B1979" i="9"/>
  <c r="E1979" i="9" s="1"/>
  <c r="A1978" i="9"/>
  <c r="F1976" i="9"/>
  <c r="D1975" i="9"/>
  <c r="D1974" i="9"/>
  <c r="C1973" i="9"/>
  <c r="A1972" i="9"/>
  <c r="F1970" i="9"/>
  <c r="F1969" i="9"/>
  <c r="D1968" i="9"/>
  <c r="C1967" i="9"/>
  <c r="B1966" i="9"/>
  <c r="E1966" i="9" s="1"/>
  <c r="F1964" i="9"/>
  <c r="F1963" i="9"/>
  <c r="C1961" i="9"/>
  <c r="B1960" i="9"/>
  <c r="E1960" i="9" s="1"/>
  <c r="B1959" i="9"/>
  <c r="E1959" i="9" s="1"/>
  <c r="F1957" i="9"/>
  <c r="D1955" i="9"/>
  <c r="B1954" i="9"/>
  <c r="E1954" i="9" s="1"/>
  <c r="B1953" i="9"/>
  <c r="E1953" i="9" s="1"/>
  <c r="A1952" i="9"/>
  <c r="D1949" i="9"/>
  <c r="D1948" i="9"/>
  <c r="B1947" i="9"/>
  <c r="E1947" i="9" s="1"/>
  <c r="A1946" i="9"/>
  <c r="F1944" i="9"/>
  <c r="D1943" i="9"/>
  <c r="D1942" i="9"/>
  <c r="C1941" i="9"/>
  <c r="A1940" i="9"/>
  <c r="F1938" i="9"/>
  <c r="F1937" i="9"/>
  <c r="D1936" i="9"/>
  <c r="C1935" i="9"/>
  <c r="B1934" i="9"/>
  <c r="E1934" i="9" s="1"/>
  <c r="F1932" i="9"/>
  <c r="F1931" i="9"/>
  <c r="C1929" i="9"/>
  <c r="B1928" i="9"/>
  <c r="E1928" i="9" s="1"/>
  <c r="B1927" i="9"/>
  <c r="E1927" i="9" s="1"/>
  <c r="F1925" i="9"/>
  <c r="D1923" i="9"/>
  <c r="B1922" i="9"/>
  <c r="E1922" i="9" s="1"/>
  <c r="B1921" i="9"/>
  <c r="E1921" i="9" s="1"/>
  <c r="A1920" i="9"/>
  <c r="D1917" i="9"/>
  <c r="D1916" i="9"/>
  <c r="B1915" i="9"/>
  <c r="E1915" i="9" s="1"/>
  <c r="A1914" i="9"/>
  <c r="F1912" i="9"/>
  <c r="D1911" i="9"/>
  <c r="D1910" i="9"/>
  <c r="C1909" i="9"/>
  <c r="A1908" i="9"/>
  <c r="F1906" i="9"/>
  <c r="F1905" i="9"/>
  <c r="D1904" i="9"/>
  <c r="C1903" i="9"/>
  <c r="B1902" i="9"/>
  <c r="E1902" i="9" s="1"/>
  <c r="F1900" i="9"/>
  <c r="F1899" i="9"/>
  <c r="C1897" i="9"/>
  <c r="B1896" i="9"/>
  <c r="E1896" i="9" s="1"/>
  <c r="B1895" i="9"/>
  <c r="E1895" i="9" s="1"/>
  <c r="F1893" i="9"/>
  <c r="D1891" i="9"/>
  <c r="B1890" i="9"/>
  <c r="E1890" i="9" s="1"/>
  <c r="B1889" i="9"/>
  <c r="E1889" i="9" s="1"/>
  <c r="A1888" i="9"/>
  <c r="D1885" i="9"/>
  <c r="D1884" i="9"/>
  <c r="B1883" i="9"/>
  <c r="E1883" i="9" s="1"/>
  <c r="A1882" i="9"/>
  <c r="F1880" i="9"/>
  <c r="D1879" i="9"/>
  <c r="D1878" i="9"/>
  <c r="C1877" i="9"/>
  <c r="A1876" i="9"/>
  <c r="F1874" i="9"/>
  <c r="F1873" i="9"/>
  <c r="D1872" i="9"/>
  <c r="C1871" i="9"/>
  <c r="B1870" i="9"/>
  <c r="E1870" i="9" s="1"/>
  <c r="F1868" i="9"/>
  <c r="F1867" i="9"/>
  <c r="C1865" i="9"/>
  <c r="B1864" i="9"/>
  <c r="E1864" i="9" s="1"/>
  <c r="B1863" i="9"/>
  <c r="E1863" i="9" s="1"/>
  <c r="F1861" i="9"/>
  <c r="D1859" i="9"/>
  <c r="B1858" i="9"/>
  <c r="E1858" i="9" s="1"/>
  <c r="B1857" i="9"/>
  <c r="E1857" i="9" s="1"/>
  <c r="A1856" i="9"/>
  <c r="D1853" i="9"/>
  <c r="D1852" i="9"/>
  <c r="B1851" i="9"/>
  <c r="E1851" i="9" s="1"/>
  <c r="A1850" i="9"/>
  <c r="B1849" i="9"/>
  <c r="E1849" i="9" s="1"/>
  <c r="B1848" i="9"/>
  <c r="E1848" i="9" s="1"/>
  <c r="C1847" i="9"/>
  <c r="D1846" i="9"/>
  <c r="D1845" i="9"/>
  <c r="F1843" i="9"/>
  <c r="F1842" i="9"/>
  <c r="A1842" i="9"/>
  <c r="B1841" i="9"/>
  <c r="E1841" i="9" s="1"/>
  <c r="B1840" i="9"/>
  <c r="E1840" i="9" s="1"/>
  <c r="C1839" i="9"/>
  <c r="D1838" i="9"/>
  <c r="D1837" i="9"/>
  <c r="F1835" i="9"/>
  <c r="F1834" i="9"/>
  <c r="A1834" i="9"/>
  <c r="B1833" i="9"/>
  <c r="E1833" i="9" s="1"/>
  <c r="B1832" i="9"/>
  <c r="E1832" i="9" s="1"/>
  <c r="C1831" i="9"/>
  <c r="D1830" i="9"/>
  <c r="D1829" i="9"/>
  <c r="F1827" i="9"/>
  <c r="F1826" i="9"/>
  <c r="A1826" i="9"/>
  <c r="B1825" i="9"/>
  <c r="E1825" i="9" s="1"/>
  <c r="B1824" i="9"/>
  <c r="E1824" i="9" s="1"/>
  <c r="C1823" i="9"/>
  <c r="D1822" i="9"/>
  <c r="D1821" i="9"/>
  <c r="F1819" i="9"/>
  <c r="F1818" i="9"/>
  <c r="A1818" i="9"/>
  <c r="B1817" i="9"/>
  <c r="E1817" i="9" s="1"/>
  <c r="B1816" i="9"/>
  <c r="E1816" i="9" s="1"/>
  <c r="C1815" i="9"/>
  <c r="D1814" i="9"/>
  <c r="D1813" i="9"/>
  <c r="F1811" i="9"/>
  <c r="F1810" i="9"/>
  <c r="A1810" i="9"/>
  <c r="B1809" i="9"/>
  <c r="E1809" i="9" s="1"/>
  <c r="B1808" i="9"/>
  <c r="E1808" i="9" s="1"/>
  <c r="C1807" i="9"/>
  <c r="D1806" i="9"/>
  <c r="D1805" i="9"/>
  <c r="F1803" i="9"/>
  <c r="F1802" i="9"/>
  <c r="A1802" i="9"/>
  <c r="B1801" i="9"/>
  <c r="E1801" i="9" s="1"/>
  <c r="B1800" i="9"/>
  <c r="E1800" i="9" s="1"/>
  <c r="C1799" i="9"/>
  <c r="D1798" i="9"/>
  <c r="D1797" i="9"/>
  <c r="F1795" i="9"/>
  <c r="F1794" i="9"/>
  <c r="A1794" i="9"/>
  <c r="B1793" i="9"/>
  <c r="E1793" i="9" s="1"/>
  <c r="B1792" i="9"/>
  <c r="E1792" i="9" s="1"/>
  <c r="C1791" i="9"/>
  <c r="D1790" i="9"/>
  <c r="D1789" i="9"/>
  <c r="F1787" i="9"/>
  <c r="F1786" i="9"/>
  <c r="A1786" i="9"/>
  <c r="B1785" i="9"/>
  <c r="E1785" i="9" s="1"/>
  <c r="B1784" i="9"/>
  <c r="E1784" i="9" s="1"/>
  <c r="C1783" i="9"/>
  <c r="D1782" i="9"/>
  <c r="D1781" i="9"/>
  <c r="F1779" i="9"/>
  <c r="F1778" i="9"/>
  <c r="A1778" i="9"/>
  <c r="B1777" i="9"/>
  <c r="E1777" i="9" s="1"/>
  <c r="B1776" i="9"/>
  <c r="E1776" i="9" s="1"/>
  <c r="C1775" i="9"/>
  <c r="D1774" i="9"/>
  <c r="D1773" i="9"/>
  <c r="F1771" i="9"/>
  <c r="F1770" i="9"/>
  <c r="A1770" i="9"/>
  <c r="B1769" i="9"/>
  <c r="E1769" i="9" s="1"/>
  <c r="B1768" i="9"/>
  <c r="E1768" i="9" s="1"/>
  <c r="C1767" i="9"/>
  <c r="D1766" i="9"/>
  <c r="D1765" i="9"/>
  <c r="F1763" i="9"/>
  <c r="F1762" i="9"/>
  <c r="A1762" i="9"/>
  <c r="B1761" i="9"/>
  <c r="E1761" i="9" s="1"/>
  <c r="B1760" i="9"/>
  <c r="E1760" i="9" s="1"/>
  <c r="C1759" i="9"/>
  <c r="D1758" i="9"/>
  <c r="D1757" i="9"/>
  <c r="F1755" i="9"/>
  <c r="F1754" i="9"/>
  <c r="A1754" i="9"/>
  <c r="B1753" i="9"/>
  <c r="E1753" i="9" s="1"/>
  <c r="B1752" i="9"/>
  <c r="E1752" i="9" s="1"/>
  <c r="C1751" i="9"/>
  <c r="D1750" i="9"/>
  <c r="D1749" i="9"/>
  <c r="F1747" i="9"/>
  <c r="F1746" i="9"/>
  <c r="A1746" i="9"/>
  <c r="B1745" i="9"/>
  <c r="E1745" i="9" s="1"/>
  <c r="B1744" i="9"/>
  <c r="E1744" i="9" s="1"/>
  <c r="C1743" i="9"/>
  <c r="D1742" i="9"/>
  <c r="D1741" i="9"/>
  <c r="F1739" i="9"/>
  <c r="F1738" i="9"/>
  <c r="A1738" i="9"/>
  <c r="B1737" i="9"/>
  <c r="E1737" i="9" s="1"/>
  <c r="B1736" i="9"/>
  <c r="E1736" i="9" s="1"/>
  <c r="C1735" i="9"/>
  <c r="D1734" i="9"/>
  <c r="D1733" i="9"/>
  <c r="F1731" i="9"/>
  <c r="F1730" i="9"/>
  <c r="A1730" i="9"/>
  <c r="B1729" i="9"/>
  <c r="E1729" i="9" s="1"/>
  <c r="B1728" i="9"/>
  <c r="E1728" i="9" s="1"/>
  <c r="C1727" i="9"/>
  <c r="D1726" i="9"/>
  <c r="D1725" i="9"/>
  <c r="F1723" i="9"/>
  <c r="F1722" i="9"/>
  <c r="A1722" i="9"/>
  <c r="B1721" i="9"/>
  <c r="E1721" i="9" s="1"/>
  <c r="B1720" i="9"/>
  <c r="E1720" i="9" s="1"/>
  <c r="C1719" i="9"/>
  <c r="D1718" i="9"/>
  <c r="D1717" i="9"/>
  <c r="F1715" i="9"/>
  <c r="F1714" i="9"/>
  <c r="A1714" i="9"/>
  <c r="B1713" i="9"/>
  <c r="E1713" i="9" s="1"/>
  <c r="B1712" i="9"/>
  <c r="E1712" i="9" s="1"/>
  <c r="C1711" i="9"/>
  <c r="D1710" i="9"/>
  <c r="D1709" i="9"/>
  <c r="F1707" i="9"/>
  <c r="F1706" i="9"/>
  <c r="A1706" i="9"/>
  <c r="B1705" i="9"/>
  <c r="E1705" i="9" s="1"/>
  <c r="B1704" i="9"/>
  <c r="E1704" i="9" s="1"/>
  <c r="C1703" i="9"/>
  <c r="D1702" i="9"/>
  <c r="D1701" i="9"/>
  <c r="F1699" i="9"/>
  <c r="F1698" i="9"/>
  <c r="A1698" i="9"/>
  <c r="B1697" i="9"/>
  <c r="E1697" i="9" s="1"/>
  <c r="B1696" i="9"/>
  <c r="E1696" i="9" s="1"/>
  <c r="C1695" i="9"/>
  <c r="D1694" i="9"/>
  <c r="D1693" i="9"/>
  <c r="F1691" i="9"/>
  <c r="F1690" i="9"/>
  <c r="A1690" i="9"/>
  <c r="B1689" i="9"/>
  <c r="E1689" i="9" s="1"/>
  <c r="B1688" i="9"/>
  <c r="E1688" i="9" s="1"/>
  <c r="C1687" i="9"/>
  <c r="B2000" i="9"/>
  <c r="E2000" i="9" s="1"/>
  <c r="C1997" i="9"/>
  <c r="D1995" i="9"/>
  <c r="A1994" i="9"/>
  <c r="D1992" i="9"/>
  <c r="C1989" i="9"/>
  <c r="F1987" i="9"/>
  <c r="A1986" i="9"/>
  <c r="D1984" i="9"/>
  <c r="B1983" i="9"/>
  <c r="E1983" i="9" s="1"/>
  <c r="C1981" i="9"/>
  <c r="F1979" i="9"/>
  <c r="B1978" i="9"/>
  <c r="E1978" i="9" s="1"/>
  <c r="D1976" i="9"/>
  <c r="B1975" i="9"/>
  <c r="E1975" i="9" s="1"/>
  <c r="D1973" i="9"/>
  <c r="F1971" i="9"/>
  <c r="B1970" i="9"/>
  <c r="E1970" i="9" s="1"/>
  <c r="F1968" i="9"/>
  <c r="B1967" i="9"/>
  <c r="E1967" i="9" s="1"/>
  <c r="D1965" i="9"/>
  <c r="A1964" i="9"/>
  <c r="B1962" i="9"/>
  <c r="E1962" i="9" s="1"/>
  <c r="F1960" i="9"/>
  <c r="C1959" i="9"/>
  <c r="D1957" i="9"/>
  <c r="A1956" i="9"/>
  <c r="F1952" i="9"/>
  <c r="C1951" i="9"/>
  <c r="F1949" i="9"/>
  <c r="A1948" i="9"/>
  <c r="B1945" i="9"/>
  <c r="E1945" i="9" s="1"/>
  <c r="C1943" i="9"/>
  <c r="F1941" i="9"/>
  <c r="D1940" i="9"/>
  <c r="B1937" i="9"/>
  <c r="E1937" i="9" s="1"/>
  <c r="D1935" i="9"/>
  <c r="F1933" i="9"/>
  <c r="D1932" i="9"/>
  <c r="F1930" i="9"/>
  <c r="B1929" i="9"/>
  <c r="E1929" i="9" s="1"/>
  <c r="D1927" i="9"/>
  <c r="B1926" i="9"/>
  <c r="E1926" i="9" s="1"/>
  <c r="D1924" i="9"/>
  <c r="F1922" i="9"/>
  <c r="C1921" i="9"/>
  <c r="D1919" i="9"/>
  <c r="B1918" i="9"/>
  <c r="E1918" i="9" s="1"/>
  <c r="F1914" i="9"/>
  <c r="C1913" i="9"/>
  <c r="A1912" i="9"/>
  <c r="B1910" i="9"/>
  <c r="E1910" i="9" s="1"/>
  <c r="B1907" i="9"/>
  <c r="E1907" i="9" s="1"/>
  <c r="C1905" i="9"/>
  <c r="A1904" i="9"/>
  <c r="D1902" i="9"/>
  <c r="B1899" i="9"/>
  <c r="E1899" i="9" s="1"/>
  <c r="F1897" i="9"/>
  <c r="A1896" i="9"/>
  <c r="D1894" i="9"/>
  <c r="F1892" i="9"/>
  <c r="B1891" i="9"/>
  <c r="E1891" i="9" s="1"/>
  <c r="F1889" i="9"/>
  <c r="B1888" i="9"/>
  <c r="E1888" i="9" s="1"/>
  <c r="D1886" i="9"/>
  <c r="F1884" i="9"/>
  <c r="D1883" i="9"/>
  <c r="F1881" i="9"/>
  <c r="B1880" i="9"/>
  <c r="E1880" i="9" s="1"/>
  <c r="F1876" i="9"/>
  <c r="D1875" i="9"/>
  <c r="A1874" i="9"/>
  <c r="B1872" i="9"/>
  <c r="E1872" i="9" s="1"/>
  <c r="C1869" i="9"/>
  <c r="D1867" i="9"/>
  <c r="A1866" i="9"/>
  <c r="D1864" i="9"/>
  <c r="C1861" i="9"/>
  <c r="F1859" i="9"/>
  <c r="A1858" i="9"/>
  <c r="D1856" i="9"/>
  <c r="B1855" i="9"/>
  <c r="E1855" i="9" s="1"/>
  <c r="C1853" i="9"/>
  <c r="F1851" i="9"/>
  <c r="B1850" i="9"/>
  <c r="E1850" i="9" s="1"/>
  <c r="F1848" i="9"/>
  <c r="F1847" i="9"/>
  <c r="C1845" i="9"/>
  <c r="B1844" i="9"/>
  <c r="E1844" i="9" s="1"/>
  <c r="B1843" i="9"/>
  <c r="E1843" i="9" s="1"/>
  <c r="F1841" i="9"/>
  <c r="D1839" i="9"/>
  <c r="B1838" i="9"/>
  <c r="E1838" i="9" s="1"/>
  <c r="B1837" i="9"/>
  <c r="E1837" i="9" s="1"/>
  <c r="A1836" i="9"/>
  <c r="D1833" i="9"/>
  <c r="D1832" i="9"/>
  <c r="B1831" i="9"/>
  <c r="E1831" i="9" s="1"/>
  <c r="A1830" i="9"/>
  <c r="F1828" i="9"/>
  <c r="D1827" i="9"/>
  <c r="D1826" i="9"/>
  <c r="C1825" i="9"/>
  <c r="A1824" i="9"/>
  <c r="F1822" i="9"/>
  <c r="F1821" i="9"/>
  <c r="D1820" i="9"/>
  <c r="C1819" i="9"/>
  <c r="B1818" i="9"/>
  <c r="E1818" i="9" s="1"/>
  <c r="F1816" i="9"/>
  <c r="F1815" i="9"/>
  <c r="C1813" i="9"/>
  <c r="B1812" i="9"/>
  <c r="E1812" i="9" s="1"/>
  <c r="B1811" i="9"/>
  <c r="E1811" i="9" s="1"/>
  <c r="F1809" i="9"/>
  <c r="D1807" i="9"/>
  <c r="B1806" i="9"/>
  <c r="E1806" i="9" s="1"/>
  <c r="B1805" i="9"/>
  <c r="E1805" i="9" s="1"/>
  <c r="A1804" i="9"/>
  <c r="D1801" i="9"/>
  <c r="D1800" i="9"/>
  <c r="B1799" i="9"/>
  <c r="E1799" i="9" s="1"/>
  <c r="A1798" i="9"/>
  <c r="F1796" i="9"/>
  <c r="D1795" i="9"/>
  <c r="D1794" i="9"/>
  <c r="C1793" i="9"/>
  <c r="A1792" i="9"/>
  <c r="F1790" i="9"/>
  <c r="F1789" i="9"/>
  <c r="D1788" i="9"/>
  <c r="C1787" i="9"/>
  <c r="B1786" i="9"/>
  <c r="E1786" i="9" s="1"/>
  <c r="F1784" i="9"/>
  <c r="F1783" i="9"/>
  <c r="C1781" i="9"/>
  <c r="B1780" i="9"/>
  <c r="E1780" i="9" s="1"/>
  <c r="B1779" i="9"/>
  <c r="E1779" i="9" s="1"/>
  <c r="F1777" i="9"/>
  <c r="D1775" i="9"/>
  <c r="B1774" i="9"/>
  <c r="E1774" i="9" s="1"/>
  <c r="B1773" i="9"/>
  <c r="E1773" i="9" s="1"/>
  <c r="A1772" i="9"/>
  <c r="D1769" i="9"/>
  <c r="D1768" i="9"/>
  <c r="B1767" i="9"/>
  <c r="E1767" i="9" s="1"/>
  <c r="A1766" i="9"/>
  <c r="F1764" i="9"/>
  <c r="D1763" i="9"/>
  <c r="D1762" i="9"/>
  <c r="C1761" i="9"/>
  <c r="A1760" i="9"/>
  <c r="F1758" i="9"/>
  <c r="F1757" i="9"/>
  <c r="D1756" i="9"/>
  <c r="C1755" i="9"/>
  <c r="B1754" i="9"/>
  <c r="E1754" i="9" s="1"/>
  <c r="F1752" i="9"/>
  <c r="F1751" i="9"/>
  <c r="C1749" i="9"/>
  <c r="B1748" i="9"/>
  <c r="E1748" i="9" s="1"/>
  <c r="B1747" i="9"/>
  <c r="E1747" i="9" s="1"/>
  <c r="F1745" i="9"/>
  <c r="D1743" i="9"/>
  <c r="B1742" i="9"/>
  <c r="E1742" i="9" s="1"/>
  <c r="B1741" i="9"/>
  <c r="E1741" i="9" s="1"/>
  <c r="A1740" i="9"/>
  <c r="D1737" i="9"/>
  <c r="D1736" i="9"/>
  <c r="B1735" i="9"/>
  <c r="E1735" i="9" s="1"/>
  <c r="A1734" i="9"/>
  <c r="F1732" i="9"/>
  <c r="D1731" i="9"/>
  <c r="D1730" i="9"/>
  <c r="C1729" i="9"/>
  <c r="A1728" i="9"/>
  <c r="F1726" i="9"/>
  <c r="F1725" i="9"/>
  <c r="D1724" i="9"/>
  <c r="C1723" i="9"/>
  <c r="B1722" i="9"/>
  <c r="E1722" i="9" s="1"/>
  <c r="F1720" i="9"/>
  <c r="F1719" i="9"/>
  <c r="C1717" i="9"/>
  <c r="B1716" i="9"/>
  <c r="E1716" i="9" s="1"/>
  <c r="B1715" i="9"/>
  <c r="E1715" i="9" s="1"/>
  <c r="F1713" i="9"/>
  <c r="D1711" i="9"/>
  <c r="B1710" i="9"/>
  <c r="E1710" i="9" s="1"/>
  <c r="B1709" i="9"/>
  <c r="E1709" i="9" s="1"/>
  <c r="A1708" i="9"/>
  <c r="D1705" i="9"/>
  <c r="D1704" i="9"/>
  <c r="B1703" i="9"/>
  <c r="E1703" i="9" s="1"/>
  <c r="A1702" i="9"/>
  <c r="F1700" i="9"/>
  <c r="D1699" i="9"/>
  <c r="D1698" i="9"/>
  <c r="C1697" i="9"/>
  <c r="A1696" i="9"/>
  <c r="F1694" i="9"/>
  <c r="F1693" i="9"/>
  <c r="D1692" i="9"/>
  <c r="C1691" i="9"/>
  <c r="B1690" i="9"/>
  <c r="E1690" i="9" s="1"/>
  <c r="F1688" i="9"/>
  <c r="F1687" i="9"/>
  <c r="F1685" i="9"/>
  <c r="F1684" i="9"/>
  <c r="A1684" i="9"/>
  <c r="B1683" i="9"/>
  <c r="E1683" i="9" s="1"/>
  <c r="B1682" i="9"/>
  <c r="E1682" i="9" s="1"/>
  <c r="C1681" i="9"/>
  <c r="D1680" i="9"/>
  <c r="D1679" i="9"/>
  <c r="F1677" i="9"/>
  <c r="F1676" i="9"/>
  <c r="A1676" i="9"/>
  <c r="B1675" i="9"/>
  <c r="E1675" i="9" s="1"/>
  <c r="B1674" i="9"/>
  <c r="E1674" i="9" s="1"/>
  <c r="C1673" i="9"/>
  <c r="D1672" i="9"/>
  <c r="D1671" i="9"/>
  <c r="F1669" i="9"/>
  <c r="F1668" i="9"/>
  <c r="A1668" i="9"/>
  <c r="B1667" i="9"/>
  <c r="E1667" i="9" s="1"/>
  <c r="B1666" i="9"/>
  <c r="E1666" i="9" s="1"/>
  <c r="C1665" i="9"/>
  <c r="D1664" i="9"/>
  <c r="D1663" i="9"/>
  <c r="F1661" i="9"/>
  <c r="F1660" i="9"/>
  <c r="A1660" i="9"/>
  <c r="B1659" i="9"/>
  <c r="E1659" i="9" s="1"/>
  <c r="B1658" i="9"/>
  <c r="E1658" i="9" s="1"/>
  <c r="C1657" i="9"/>
  <c r="D1656" i="9"/>
  <c r="D1655" i="9"/>
  <c r="F1653" i="9"/>
  <c r="F1652" i="9"/>
  <c r="A1652" i="9"/>
  <c r="B1651" i="9"/>
  <c r="E1651" i="9" s="1"/>
  <c r="B1650" i="9"/>
  <c r="E1650" i="9" s="1"/>
  <c r="C1649" i="9"/>
  <c r="D1648" i="9"/>
  <c r="D1647" i="9"/>
  <c r="F1645" i="9"/>
  <c r="F1644" i="9"/>
  <c r="A1644" i="9"/>
  <c r="B1643" i="9"/>
  <c r="E1643" i="9" s="1"/>
  <c r="B1642" i="9"/>
  <c r="E1642" i="9" s="1"/>
  <c r="C1641" i="9"/>
  <c r="D1640" i="9"/>
  <c r="D1639" i="9"/>
  <c r="F1637" i="9"/>
  <c r="F1636" i="9"/>
  <c r="A1636" i="9"/>
  <c r="B1635" i="9"/>
  <c r="E1635" i="9" s="1"/>
  <c r="B1634" i="9"/>
  <c r="E1634" i="9" s="1"/>
  <c r="C1633" i="9"/>
  <c r="D1632" i="9"/>
  <c r="D1631" i="9"/>
  <c r="F1629" i="9"/>
  <c r="F1628" i="9"/>
  <c r="A1628" i="9"/>
  <c r="B1627" i="9"/>
  <c r="E1627" i="9" s="1"/>
  <c r="B1626" i="9"/>
  <c r="E1626" i="9" s="1"/>
  <c r="C1625" i="9"/>
  <c r="D1624" i="9"/>
  <c r="D1623" i="9"/>
  <c r="F1621" i="9"/>
  <c r="F1620" i="9"/>
  <c r="A1620" i="9"/>
  <c r="B1619" i="9"/>
  <c r="E1619" i="9" s="1"/>
  <c r="B1618" i="9"/>
  <c r="E1618" i="9" s="1"/>
  <c r="C1617" i="9"/>
  <c r="D1616" i="9"/>
  <c r="D1615" i="9"/>
  <c r="F1613" i="9"/>
  <c r="F1612" i="9"/>
  <c r="A1612" i="9"/>
  <c r="B1611" i="9"/>
  <c r="E1611" i="9" s="1"/>
  <c r="B1610" i="9"/>
  <c r="E1610" i="9" s="1"/>
  <c r="C1609" i="9"/>
  <c r="D1608" i="9"/>
  <c r="D1607" i="9"/>
  <c r="F1605" i="9"/>
  <c r="F1604" i="9"/>
  <c r="A1604" i="9"/>
  <c r="B1603" i="9"/>
  <c r="E1603" i="9" s="1"/>
  <c r="B1602" i="9"/>
  <c r="E1602" i="9" s="1"/>
  <c r="C1601" i="9"/>
  <c r="D1600" i="9"/>
  <c r="D1599" i="9"/>
  <c r="F1597" i="9"/>
  <c r="F1596" i="9"/>
  <c r="A1596" i="9"/>
  <c r="A2000" i="9"/>
  <c r="F1997" i="9"/>
  <c r="A1996" i="9"/>
  <c r="F1993" i="9"/>
  <c r="D1991" i="9"/>
  <c r="D1989" i="9"/>
  <c r="B1987" i="9"/>
  <c r="E1987" i="9" s="1"/>
  <c r="C1985" i="9"/>
  <c r="C1983" i="9"/>
  <c r="F1980" i="9"/>
  <c r="F1978" i="9"/>
  <c r="B1977" i="9"/>
  <c r="E1977" i="9" s="1"/>
  <c r="B1968" i="9"/>
  <c r="E1968" i="9" s="1"/>
  <c r="D1966" i="9"/>
  <c r="D1964" i="9"/>
  <c r="A1962" i="9"/>
  <c r="A1960" i="9"/>
  <c r="B1958" i="9"/>
  <c r="E1958" i="9" s="1"/>
  <c r="F1955" i="9"/>
  <c r="F1953" i="9"/>
  <c r="D1951" i="9"/>
  <c r="C1949" i="9"/>
  <c r="D1947" i="9"/>
  <c r="C1945" i="9"/>
  <c r="B1943" i="9"/>
  <c r="E1943" i="9" s="1"/>
  <c r="F1940" i="9"/>
  <c r="B1939" i="9"/>
  <c r="E1939" i="9" s="1"/>
  <c r="F1936" i="9"/>
  <c r="B1930" i="9"/>
  <c r="E1930" i="9" s="1"/>
  <c r="D1928" i="9"/>
  <c r="D1926" i="9"/>
  <c r="A1924" i="9"/>
  <c r="A1922" i="9"/>
  <c r="B1920" i="9"/>
  <c r="E1920" i="9" s="1"/>
  <c r="F1917" i="9"/>
  <c r="F1915" i="9"/>
  <c r="F1913" i="9"/>
  <c r="C1911" i="9"/>
  <c r="D1909" i="9"/>
  <c r="D1907" i="9"/>
  <c r="B1905" i="9"/>
  <c r="E1905" i="9" s="1"/>
  <c r="B1903" i="9"/>
  <c r="E1903" i="9" s="1"/>
  <c r="C1901" i="9"/>
  <c r="F1898" i="9"/>
  <c r="F1896" i="9"/>
  <c r="D1892" i="9"/>
  <c r="D1888" i="9"/>
  <c r="B1886" i="9"/>
  <c r="E1886" i="9" s="1"/>
  <c r="A1884" i="9"/>
  <c r="B1882" i="9"/>
  <c r="E1882" i="9" s="1"/>
  <c r="A1880" i="9"/>
  <c r="F1877" i="9"/>
  <c r="F1875" i="9"/>
  <c r="C1873" i="9"/>
  <c r="D1871" i="9"/>
  <c r="D1869" i="9"/>
  <c r="B1867" i="9"/>
  <c r="E1867" i="9" s="1"/>
  <c r="B1865" i="9"/>
  <c r="E1865" i="9" s="1"/>
  <c r="C1863" i="9"/>
  <c r="F1860" i="9"/>
  <c r="F1858" i="9"/>
  <c r="F1856" i="9"/>
  <c r="D1854" i="9"/>
  <c r="B1847" i="9"/>
  <c r="E1847" i="9" s="1"/>
  <c r="F1845" i="9"/>
  <c r="A1844" i="9"/>
  <c r="D1842" i="9"/>
  <c r="F1840" i="9"/>
  <c r="B1839" i="9"/>
  <c r="E1839" i="9" s="1"/>
  <c r="F1837" i="9"/>
  <c r="B1836" i="9"/>
  <c r="E1836" i="9" s="1"/>
  <c r="D1834" i="9"/>
  <c r="F1832" i="9"/>
  <c r="D1831" i="9"/>
  <c r="F1829" i="9"/>
  <c r="B1828" i="9"/>
  <c r="E1828" i="9" s="1"/>
  <c r="F1824" i="9"/>
  <c r="D1823" i="9"/>
  <c r="A1822" i="9"/>
  <c r="B1820" i="9"/>
  <c r="E1820" i="9" s="1"/>
  <c r="C1817" i="9"/>
  <c r="D1815" i="9"/>
  <c r="A1814" i="9"/>
  <c r="D1812" i="9"/>
  <c r="C1809" i="9"/>
  <c r="F1807" i="9"/>
  <c r="A1806" i="9"/>
  <c r="D1804" i="9"/>
  <c r="B1803" i="9"/>
  <c r="E1803" i="9" s="1"/>
  <c r="C1801" i="9"/>
  <c r="F1799" i="9"/>
  <c r="B1798" i="9"/>
  <c r="E1798" i="9" s="1"/>
  <c r="D1796" i="9"/>
  <c r="B1795" i="9"/>
  <c r="E1795" i="9" s="1"/>
  <c r="D1793" i="9"/>
  <c r="F1791" i="9"/>
  <c r="B1790" i="9"/>
  <c r="E1790" i="9" s="1"/>
  <c r="F1788" i="9"/>
  <c r="B1787" i="9"/>
  <c r="E1787" i="9" s="1"/>
  <c r="D1785" i="9"/>
  <c r="A1784" i="9"/>
  <c r="B1782" i="9"/>
  <c r="E1782" i="9" s="1"/>
  <c r="F1780" i="9"/>
  <c r="C1779" i="9"/>
  <c r="D1777" i="9"/>
  <c r="A1776" i="9"/>
  <c r="F1772" i="9"/>
  <c r="C1771" i="9"/>
  <c r="F1769" i="9"/>
  <c r="A1768" i="9"/>
  <c r="B1765" i="9"/>
  <c r="E1765" i="9" s="1"/>
  <c r="C1763" i="9"/>
  <c r="F1761" i="9"/>
  <c r="D1760" i="9"/>
  <c r="B1757" i="9"/>
  <c r="E1757" i="9" s="1"/>
  <c r="D1755" i="9"/>
  <c r="F1753" i="9"/>
  <c r="D1752" i="9"/>
  <c r="F1750" i="9"/>
  <c r="B1749" i="9"/>
  <c r="E1749" i="9" s="1"/>
  <c r="D1747" i="9"/>
  <c r="B1746" i="9"/>
  <c r="E1746" i="9" s="1"/>
  <c r="D1744" i="9"/>
  <c r="F1742" i="9"/>
  <c r="C1741" i="9"/>
  <c r="D1739" i="9"/>
  <c r="B1738" i="9"/>
  <c r="E1738" i="9" s="1"/>
  <c r="F1734" i="9"/>
  <c r="C1733" i="9"/>
  <c r="A1732" i="9"/>
  <c r="B1730" i="9"/>
  <c r="E1730" i="9" s="1"/>
  <c r="B1727" i="9"/>
  <c r="E1727" i="9" s="1"/>
  <c r="C1725" i="9"/>
  <c r="A1724" i="9"/>
  <c r="D1722" i="9"/>
  <c r="B1719" i="9"/>
  <c r="E1719" i="9" s="1"/>
  <c r="F1717" i="9"/>
  <c r="A1716" i="9"/>
  <c r="D1714" i="9"/>
  <c r="F1712" i="9"/>
  <c r="B1711" i="9"/>
  <c r="E1711" i="9" s="1"/>
  <c r="F1709" i="9"/>
  <c r="B1708" i="9"/>
  <c r="E1708" i="9" s="1"/>
  <c r="D1706" i="9"/>
  <c r="F1704" i="9"/>
  <c r="D1703" i="9"/>
  <c r="F1701" i="9"/>
  <c r="B1700" i="9"/>
  <c r="E1700" i="9" s="1"/>
  <c r="F1696" i="9"/>
  <c r="D1695" i="9"/>
  <c r="A1694" i="9"/>
  <c r="B1692" i="9"/>
  <c r="E1692" i="9" s="1"/>
  <c r="C1689" i="9"/>
  <c r="D1687" i="9"/>
  <c r="B1686" i="9"/>
  <c r="E1686" i="9" s="1"/>
  <c r="B1685" i="9"/>
  <c r="E1685" i="9" s="1"/>
  <c r="F1683" i="9"/>
  <c r="D1681" i="9"/>
  <c r="B1680" i="9"/>
  <c r="E1680" i="9" s="1"/>
  <c r="B1679" i="9"/>
  <c r="E1679" i="9" s="1"/>
  <c r="A1678" i="9"/>
  <c r="D1675" i="9"/>
  <c r="D1674" i="9"/>
  <c r="B1673" i="9"/>
  <c r="E1673" i="9" s="1"/>
  <c r="A1672" i="9"/>
  <c r="F1670" i="9"/>
  <c r="D1669" i="9"/>
  <c r="D1668" i="9"/>
  <c r="C1667" i="9"/>
  <c r="A1666" i="9"/>
  <c r="F1664" i="9"/>
  <c r="F1663" i="9"/>
  <c r="D1662" i="9"/>
  <c r="C1661" i="9"/>
  <c r="B1660" i="9"/>
  <c r="E1660" i="9" s="1"/>
  <c r="F1658" i="9"/>
  <c r="F1657" i="9"/>
  <c r="C1655" i="9"/>
  <c r="B1654" i="9"/>
  <c r="E1654" i="9" s="1"/>
  <c r="B1653" i="9"/>
  <c r="E1653" i="9" s="1"/>
  <c r="F1651" i="9"/>
  <c r="D1649" i="9"/>
  <c r="B1648" i="9"/>
  <c r="E1648" i="9" s="1"/>
  <c r="B1647" i="9"/>
  <c r="E1647" i="9" s="1"/>
  <c r="A1646" i="9"/>
  <c r="D1643" i="9"/>
  <c r="D1642" i="9"/>
  <c r="B1641" i="9"/>
  <c r="E1641" i="9" s="1"/>
  <c r="A1640" i="9"/>
  <c r="F1638" i="9"/>
  <c r="D1637" i="9"/>
  <c r="D1636" i="9"/>
  <c r="C1635" i="9"/>
  <c r="A1634" i="9"/>
  <c r="F1632" i="9"/>
  <c r="F1631" i="9"/>
  <c r="D1630" i="9"/>
  <c r="C1629" i="9"/>
  <c r="B1628" i="9"/>
  <c r="E1628" i="9" s="1"/>
  <c r="F1626" i="9"/>
  <c r="F1625" i="9"/>
  <c r="C1623" i="9"/>
  <c r="B1622" i="9"/>
  <c r="E1622" i="9" s="1"/>
  <c r="B1621" i="9"/>
  <c r="E1621" i="9" s="1"/>
  <c r="F1619" i="9"/>
  <c r="D1617" i="9"/>
  <c r="B1616" i="9"/>
  <c r="E1616" i="9" s="1"/>
  <c r="B1615" i="9"/>
  <c r="E1615" i="9" s="1"/>
  <c r="A1614" i="9"/>
  <c r="D1611" i="9"/>
  <c r="D1610" i="9"/>
  <c r="B1609" i="9"/>
  <c r="E1609" i="9" s="1"/>
  <c r="A1608" i="9"/>
  <c r="F1606" i="9"/>
  <c r="D1605" i="9"/>
  <c r="D1604" i="9"/>
  <c r="C1603" i="9"/>
  <c r="A1602" i="9"/>
  <c r="F1600" i="9"/>
  <c r="F1599" i="9"/>
  <c r="D1598" i="9"/>
  <c r="C1597" i="9"/>
  <c r="B1596" i="9"/>
  <c r="E1596" i="9" s="1"/>
  <c r="B1595" i="9"/>
  <c r="E1595" i="9" s="1"/>
  <c r="B1594" i="9"/>
  <c r="E1594" i="9" s="1"/>
  <c r="C1593" i="9"/>
  <c r="D1592" i="9"/>
  <c r="D1591" i="9"/>
  <c r="F1589" i="9"/>
  <c r="F1588" i="9"/>
  <c r="A1588" i="9"/>
  <c r="B1587" i="9"/>
  <c r="E1587" i="9" s="1"/>
  <c r="B1586" i="9"/>
  <c r="E1586" i="9" s="1"/>
  <c r="C1585" i="9"/>
  <c r="D1584" i="9"/>
  <c r="D1583" i="9"/>
  <c r="F1581" i="9"/>
  <c r="F1580" i="9"/>
  <c r="A1580" i="9"/>
  <c r="B1579" i="9"/>
  <c r="E1579" i="9" s="1"/>
  <c r="B1578" i="9"/>
  <c r="E1578" i="9" s="1"/>
  <c r="C1577" i="9"/>
  <c r="D1576" i="9"/>
  <c r="D1575" i="9"/>
  <c r="F1573" i="9"/>
  <c r="F1572" i="9"/>
  <c r="A1572" i="9"/>
  <c r="B1571" i="9"/>
  <c r="E1571" i="9" s="1"/>
  <c r="B1570" i="9"/>
  <c r="E1570" i="9" s="1"/>
  <c r="C1569" i="9"/>
  <c r="D1568" i="9"/>
  <c r="D1567" i="9"/>
  <c r="F1565" i="9"/>
  <c r="F1564" i="9"/>
  <c r="A1564" i="9"/>
  <c r="B1563" i="9"/>
  <c r="E1563" i="9" s="1"/>
  <c r="B1562" i="9"/>
  <c r="E1562" i="9" s="1"/>
  <c r="C1561" i="9"/>
  <c r="D1560" i="9"/>
  <c r="D1559" i="9"/>
  <c r="F1557" i="9"/>
  <c r="F1556" i="9"/>
  <c r="A1556" i="9"/>
  <c r="B1555" i="9"/>
  <c r="E1555" i="9" s="1"/>
  <c r="B1554" i="9"/>
  <c r="E1554" i="9" s="1"/>
  <c r="C1553" i="9"/>
  <c r="D1552" i="9"/>
  <c r="D1551" i="9"/>
  <c r="F1549" i="9"/>
  <c r="F1548" i="9"/>
  <c r="A1548" i="9"/>
  <c r="B1547" i="9"/>
  <c r="E1547" i="9" s="1"/>
  <c r="B1546" i="9"/>
  <c r="E1546" i="9" s="1"/>
  <c r="C1545" i="9"/>
  <c r="D1544" i="9"/>
  <c r="D1543" i="9"/>
  <c r="F1541" i="9"/>
  <c r="F1540" i="9"/>
  <c r="A1540" i="9"/>
  <c r="B1539" i="9"/>
  <c r="E1539" i="9" s="1"/>
  <c r="B1538" i="9"/>
  <c r="E1538" i="9" s="1"/>
  <c r="C1537" i="9"/>
  <c r="D1536" i="9"/>
  <c r="D1535" i="9"/>
  <c r="F1534" i="9"/>
  <c r="B1534" i="9"/>
  <c r="E1534" i="9" s="1"/>
  <c r="D1533" i="9"/>
  <c r="F1532" i="9"/>
  <c r="B1532" i="9"/>
  <c r="E1532" i="9" s="1"/>
  <c r="D1531" i="9"/>
  <c r="F1530" i="9"/>
  <c r="B1530" i="9"/>
  <c r="E1530" i="9" s="1"/>
  <c r="D1529" i="9"/>
  <c r="F1528" i="9"/>
  <c r="B1528" i="9"/>
  <c r="E1528" i="9" s="1"/>
  <c r="D1527" i="9"/>
  <c r="F1526" i="9"/>
  <c r="B1526" i="9"/>
  <c r="E1526" i="9" s="1"/>
  <c r="D1525" i="9"/>
  <c r="F1524" i="9"/>
  <c r="B1524" i="9"/>
  <c r="E1524" i="9" s="1"/>
  <c r="D1523" i="9"/>
  <c r="F1522" i="9"/>
  <c r="B1522" i="9"/>
  <c r="E1522" i="9" s="1"/>
  <c r="D1521" i="9"/>
  <c r="F1520" i="9"/>
  <c r="B1520" i="9"/>
  <c r="E1520" i="9" s="1"/>
  <c r="D1519" i="9"/>
  <c r="F1518" i="9"/>
  <c r="B1518" i="9"/>
  <c r="E1518" i="9" s="1"/>
  <c r="D1517" i="9"/>
  <c r="F1516" i="9"/>
  <c r="B1516" i="9"/>
  <c r="E1516" i="9" s="1"/>
  <c r="D1515" i="9"/>
  <c r="F1514" i="9"/>
  <c r="B1514" i="9"/>
  <c r="E1514" i="9" s="1"/>
  <c r="D1513" i="9"/>
  <c r="F1512" i="9"/>
  <c r="B1512" i="9"/>
  <c r="E1512" i="9" s="1"/>
  <c r="D1511" i="9"/>
  <c r="F1510" i="9"/>
  <c r="B1510" i="9"/>
  <c r="E1510" i="9" s="1"/>
  <c r="D1509" i="9"/>
  <c r="F1508" i="9"/>
  <c r="B1508" i="9"/>
  <c r="E1508" i="9" s="1"/>
  <c r="D1507" i="9"/>
  <c r="F1506" i="9"/>
  <c r="B1506" i="9"/>
  <c r="E1506" i="9" s="1"/>
  <c r="D1505" i="9"/>
  <c r="F1504" i="9"/>
  <c r="B1504" i="9"/>
  <c r="E1504" i="9" s="1"/>
  <c r="D1503" i="9"/>
  <c r="F1502" i="9"/>
  <c r="B1502" i="9"/>
  <c r="E1502" i="9" s="1"/>
  <c r="D1501" i="9"/>
  <c r="F1500" i="9"/>
  <c r="B1500" i="9"/>
  <c r="E1500" i="9" s="1"/>
  <c r="D1499" i="9"/>
  <c r="F1498" i="9"/>
  <c r="B1498" i="9"/>
  <c r="E1498" i="9" s="1"/>
  <c r="D1497" i="9"/>
  <c r="F1496" i="9"/>
  <c r="B1496" i="9"/>
  <c r="E1496" i="9" s="1"/>
  <c r="D1495" i="9"/>
  <c r="F1494" i="9"/>
  <c r="B1494" i="9"/>
  <c r="E1494" i="9" s="1"/>
  <c r="D1493" i="9"/>
  <c r="F1492" i="9"/>
  <c r="B1492" i="9"/>
  <c r="E1492" i="9" s="1"/>
  <c r="D1491" i="9"/>
  <c r="F1490" i="9"/>
  <c r="B1490" i="9"/>
  <c r="E1490" i="9" s="1"/>
  <c r="D1489" i="9"/>
  <c r="F1488" i="9"/>
  <c r="B1488" i="9"/>
  <c r="E1488" i="9" s="1"/>
  <c r="D1487" i="9"/>
  <c r="F1486" i="9"/>
  <c r="B1486" i="9"/>
  <c r="E1486" i="9" s="1"/>
  <c r="D1485" i="9"/>
  <c r="F1484" i="9"/>
  <c r="B1484" i="9"/>
  <c r="E1484" i="9" s="1"/>
  <c r="D1483" i="9"/>
  <c r="F1482" i="9"/>
  <c r="B1482" i="9"/>
  <c r="E1482" i="9" s="1"/>
  <c r="D1481" i="9"/>
  <c r="F1480" i="9"/>
  <c r="B1480" i="9"/>
  <c r="E1480" i="9" s="1"/>
  <c r="D1479" i="9"/>
  <c r="F1478" i="9"/>
  <c r="B1478" i="9"/>
  <c r="E1478" i="9" s="1"/>
  <c r="D1477" i="9"/>
  <c r="F1476" i="9"/>
  <c r="B1476" i="9"/>
  <c r="E1476" i="9" s="1"/>
  <c r="D1475" i="9"/>
  <c r="F1474" i="9"/>
  <c r="B1474" i="9"/>
  <c r="E1474" i="9" s="1"/>
  <c r="D1473" i="9"/>
  <c r="F1472" i="9"/>
  <c r="B1472" i="9"/>
  <c r="E1472" i="9" s="1"/>
  <c r="D1471" i="9"/>
  <c r="F1470" i="9"/>
  <c r="B1470" i="9"/>
  <c r="E1470" i="9" s="1"/>
  <c r="D1469" i="9"/>
  <c r="F1468" i="9"/>
  <c r="B1468" i="9"/>
  <c r="E1468" i="9" s="1"/>
  <c r="D1467" i="9"/>
  <c r="F1466" i="9"/>
  <c r="B1466" i="9"/>
  <c r="E1466" i="9" s="1"/>
  <c r="D1465" i="9"/>
  <c r="F1464" i="9"/>
  <c r="B1464" i="9"/>
  <c r="E1464" i="9" s="1"/>
  <c r="D1463" i="9"/>
  <c r="F1462" i="9"/>
  <c r="B1462" i="9"/>
  <c r="E1462" i="9" s="1"/>
  <c r="D1461" i="9"/>
  <c r="F1460" i="9"/>
  <c r="B1460" i="9"/>
  <c r="E1460" i="9" s="1"/>
  <c r="D1459" i="9"/>
  <c r="F1458" i="9"/>
  <c r="B1458" i="9"/>
  <c r="E1458" i="9" s="1"/>
  <c r="D1457" i="9"/>
  <c r="F1456" i="9"/>
  <c r="B1456" i="9"/>
  <c r="E1456" i="9" s="1"/>
  <c r="D1455" i="9"/>
  <c r="F1454" i="9"/>
  <c r="B1454" i="9"/>
  <c r="E1454" i="9" s="1"/>
  <c r="D1453" i="9"/>
  <c r="F1452" i="9"/>
  <c r="B1452" i="9"/>
  <c r="E1452" i="9" s="1"/>
  <c r="D1451" i="9"/>
  <c r="F1450" i="9"/>
  <c r="B1450" i="9"/>
  <c r="E1450" i="9" s="1"/>
  <c r="D1449" i="9"/>
  <c r="F1448" i="9"/>
  <c r="B1448" i="9"/>
  <c r="E1448" i="9" s="1"/>
  <c r="D1447" i="9"/>
  <c r="F1446" i="9"/>
  <c r="B1446" i="9"/>
  <c r="E1446" i="9" s="1"/>
  <c r="D1445" i="9"/>
  <c r="F1444" i="9"/>
  <c r="B1444" i="9"/>
  <c r="E1444" i="9" s="1"/>
  <c r="D1443" i="9"/>
  <c r="F1442" i="9"/>
  <c r="B1442" i="9"/>
  <c r="E1442" i="9" s="1"/>
  <c r="D1441" i="9"/>
  <c r="F1440" i="9"/>
  <c r="B1440" i="9"/>
  <c r="E1440" i="9" s="1"/>
  <c r="D1439" i="9"/>
  <c r="F1438" i="9"/>
  <c r="B1438" i="9"/>
  <c r="E1438" i="9" s="1"/>
  <c r="D1437" i="9"/>
  <c r="F1436" i="9"/>
  <c r="B1436" i="9"/>
  <c r="E1436" i="9" s="1"/>
  <c r="D1435" i="9"/>
  <c r="F1434" i="9"/>
  <c r="B1434" i="9"/>
  <c r="E1434" i="9" s="1"/>
  <c r="D1433" i="9"/>
  <c r="F1432" i="9"/>
  <c r="B1432" i="9"/>
  <c r="E1432" i="9" s="1"/>
  <c r="D1431" i="9"/>
  <c r="F1430" i="9"/>
  <c r="B1430" i="9"/>
  <c r="E1430" i="9" s="1"/>
  <c r="D1429" i="9"/>
  <c r="F1428" i="9"/>
  <c r="B1428" i="9"/>
  <c r="E1428" i="9" s="1"/>
  <c r="D1427" i="9"/>
  <c r="F1426" i="9"/>
  <c r="B1426" i="9"/>
  <c r="E1426" i="9" s="1"/>
  <c r="D1425" i="9"/>
  <c r="F1424" i="9"/>
  <c r="B1424" i="9"/>
  <c r="E1424" i="9" s="1"/>
  <c r="D1423" i="9"/>
  <c r="F1422" i="9"/>
  <c r="B1422" i="9"/>
  <c r="E1422" i="9" s="1"/>
  <c r="D1421" i="9"/>
  <c r="F1420" i="9"/>
  <c r="B1420" i="9"/>
  <c r="E1420" i="9" s="1"/>
  <c r="D1419" i="9"/>
  <c r="F1418" i="9"/>
  <c r="B1418" i="9"/>
  <c r="E1418" i="9" s="1"/>
  <c r="D1417" i="9"/>
  <c r="F1416" i="9"/>
  <c r="B1416" i="9"/>
  <c r="E1416" i="9" s="1"/>
  <c r="D1415" i="9"/>
  <c r="F1414" i="9"/>
  <c r="B1414" i="9"/>
  <c r="E1414" i="9" s="1"/>
  <c r="D1413" i="9"/>
  <c r="F1412" i="9"/>
  <c r="B1412" i="9"/>
  <c r="E1412" i="9" s="1"/>
  <c r="D1411" i="9"/>
  <c r="F1410" i="9"/>
  <c r="B1410" i="9"/>
  <c r="E1410" i="9" s="1"/>
  <c r="D1409" i="9"/>
  <c r="F1408" i="9"/>
  <c r="B1408" i="9"/>
  <c r="E1408" i="9" s="1"/>
  <c r="D1407" i="9"/>
  <c r="F1406" i="9"/>
  <c r="B1406" i="9"/>
  <c r="E1406" i="9" s="1"/>
  <c r="D1405" i="9"/>
  <c r="F1404" i="9"/>
  <c r="B1404" i="9"/>
  <c r="E1404" i="9" s="1"/>
  <c r="D1403" i="9"/>
  <c r="F1402" i="9"/>
  <c r="B1402" i="9"/>
  <c r="E1402" i="9" s="1"/>
  <c r="D1401" i="9"/>
  <c r="F1400" i="9"/>
  <c r="B1400" i="9"/>
  <c r="E1400" i="9" s="1"/>
  <c r="D1399" i="9"/>
  <c r="F1398" i="9"/>
  <c r="B1398" i="9"/>
  <c r="E1398" i="9" s="1"/>
  <c r="D1397" i="9"/>
  <c r="F1396" i="9"/>
  <c r="B1396" i="9"/>
  <c r="E1396" i="9" s="1"/>
  <c r="D1395" i="9"/>
  <c r="F1394" i="9"/>
  <c r="B1394" i="9"/>
  <c r="E1394" i="9" s="1"/>
  <c r="D1393" i="9"/>
  <c r="F1392" i="9"/>
  <c r="B1392" i="9"/>
  <c r="E1392" i="9" s="1"/>
  <c r="D1391" i="9"/>
  <c r="F1390" i="9"/>
  <c r="B1390" i="9"/>
  <c r="E1390" i="9" s="1"/>
  <c r="D1389" i="9"/>
  <c r="F1388" i="9"/>
  <c r="B1388" i="9"/>
  <c r="E1388" i="9" s="1"/>
  <c r="D1387" i="9"/>
  <c r="F1386" i="9"/>
  <c r="B1386" i="9"/>
  <c r="E1386" i="9" s="1"/>
  <c r="D1385" i="9"/>
  <c r="F1384" i="9"/>
  <c r="B1384" i="9"/>
  <c r="E1384" i="9" s="1"/>
  <c r="D1383" i="9"/>
  <c r="F1382" i="9"/>
  <c r="B1382" i="9"/>
  <c r="E1382" i="9" s="1"/>
  <c r="D1381" i="9"/>
  <c r="F1380" i="9"/>
  <c r="B1380" i="9"/>
  <c r="E1380" i="9" s="1"/>
  <c r="D1379" i="9"/>
  <c r="F1378" i="9"/>
  <c r="B1378" i="9"/>
  <c r="E1378" i="9" s="1"/>
  <c r="D1377" i="9"/>
  <c r="F1376" i="9"/>
  <c r="B1376" i="9"/>
  <c r="E1376" i="9" s="1"/>
  <c r="D1375" i="9"/>
  <c r="F1374" i="9"/>
  <c r="B1374" i="9"/>
  <c r="E1374" i="9" s="1"/>
  <c r="D1373" i="9"/>
  <c r="F1372" i="9"/>
  <c r="B1372" i="9"/>
  <c r="E1372" i="9" s="1"/>
  <c r="D1371" i="9"/>
  <c r="F1370" i="9"/>
  <c r="B1370" i="9"/>
  <c r="E1370" i="9" s="1"/>
  <c r="D1369" i="9"/>
  <c r="F1368" i="9"/>
  <c r="B1368" i="9"/>
  <c r="E1368" i="9" s="1"/>
  <c r="D1367" i="9"/>
  <c r="F1366" i="9"/>
  <c r="B1366" i="9"/>
  <c r="E1366" i="9" s="1"/>
  <c r="D1365" i="9"/>
  <c r="F1364" i="9"/>
  <c r="B1364" i="9"/>
  <c r="E1364" i="9" s="1"/>
  <c r="D1363" i="9"/>
  <c r="F1362" i="9"/>
  <c r="B1362" i="9"/>
  <c r="E1362" i="9" s="1"/>
  <c r="D1361" i="9"/>
  <c r="F1360" i="9"/>
  <c r="B1360" i="9"/>
  <c r="E1360" i="9" s="1"/>
  <c r="D1359" i="9"/>
  <c r="F1358" i="9"/>
  <c r="B1358" i="9"/>
  <c r="E1358" i="9" s="1"/>
  <c r="D1357" i="9"/>
  <c r="F1356" i="9"/>
  <c r="B1356" i="9"/>
  <c r="E1356" i="9" s="1"/>
  <c r="D1355" i="9"/>
  <c r="F1354" i="9"/>
  <c r="B1354" i="9"/>
  <c r="E1354" i="9" s="1"/>
  <c r="D1353" i="9"/>
  <c r="F1352" i="9"/>
  <c r="B1352" i="9"/>
  <c r="E1352" i="9" s="1"/>
  <c r="D1351" i="9"/>
  <c r="F1350" i="9"/>
  <c r="B1350" i="9"/>
  <c r="E1350" i="9" s="1"/>
  <c r="D1349" i="9"/>
  <c r="F1348" i="9"/>
  <c r="B1348" i="9"/>
  <c r="E1348" i="9" s="1"/>
  <c r="D1347" i="9"/>
  <c r="F1346" i="9"/>
  <c r="B1346" i="9"/>
  <c r="E1346" i="9" s="1"/>
  <c r="D1345" i="9"/>
  <c r="F1344" i="9"/>
  <c r="B1344" i="9"/>
  <c r="E1344" i="9" s="1"/>
  <c r="D1343" i="9"/>
  <c r="F1342" i="9"/>
  <c r="B1342" i="9"/>
  <c r="E1342" i="9" s="1"/>
  <c r="D1341" i="9"/>
  <c r="F1340" i="9"/>
  <c r="B1340" i="9"/>
  <c r="E1340" i="9" s="1"/>
  <c r="D1339" i="9"/>
  <c r="F1338" i="9"/>
  <c r="B1338" i="9"/>
  <c r="E1338" i="9" s="1"/>
  <c r="D1337" i="9"/>
  <c r="F1336" i="9"/>
  <c r="B1336" i="9"/>
  <c r="E1336" i="9" s="1"/>
  <c r="D1335" i="9"/>
  <c r="F1334" i="9"/>
  <c r="B1334" i="9"/>
  <c r="E1334" i="9" s="1"/>
  <c r="D1333" i="9"/>
  <c r="F1332" i="9"/>
  <c r="B1332" i="9"/>
  <c r="E1332" i="9" s="1"/>
  <c r="D1331" i="9"/>
  <c r="F1330" i="9"/>
  <c r="B1330" i="9"/>
  <c r="E1330" i="9" s="1"/>
  <c r="D1329" i="9"/>
  <c r="F1328" i="9"/>
  <c r="B1328" i="9"/>
  <c r="E1328" i="9" s="1"/>
  <c r="D1327" i="9"/>
  <c r="F1326" i="9"/>
  <c r="B1326" i="9"/>
  <c r="E1326" i="9" s="1"/>
  <c r="D1325" i="9"/>
  <c r="F1324" i="9"/>
  <c r="B1324" i="9"/>
  <c r="E1324" i="9" s="1"/>
  <c r="D1323" i="9"/>
  <c r="F1322" i="9"/>
  <c r="B1322" i="9"/>
  <c r="E1322" i="9" s="1"/>
  <c r="D1321" i="9"/>
  <c r="F1320" i="9"/>
  <c r="B1320" i="9"/>
  <c r="E1320" i="9" s="1"/>
  <c r="D1319" i="9"/>
  <c r="F1318" i="9"/>
  <c r="B1318" i="9"/>
  <c r="E1318" i="9" s="1"/>
  <c r="D1317" i="9"/>
  <c r="F1316" i="9"/>
  <c r="B1316" i="9"/>
  <c r="E1316" i="9" s="1"/>
  <c r="D1315" i="9"/>
  <c r="F1314" i="9"/>
  <c r="B1314" i="9"/>
  <c r="E1314" i="9" s="1"/>
  <c r="D1313" i="9"/>
  <c r="F1312" i="9"/>
  <c r="B1312" i="9"/>
  <c r="E1312" i="9" s="1"/>
  <c r="D1311" i="9"/>
  <c r="F1310" i="9"/>
  <c r="B1310" i="9"/>
  <c r="E1310" i="9" s="1"/>
  <c r="D1309" i="9"/>
  <c r="F1308" i="9"/>
  <c r="B1308" i="9"/>
  <c r="E1308" i="9" s="1"/>
  <c r="D1307" i="9"/>
  <c r="F1306" i="9"/>
  <c r="B1306" i="9"/>
  <c r="E1306" i="9" s="1"/>
  <c r="D1305" i="9"/>
  <c r="F1304" i="9"/>
  <c r="B1304" i="9"/>
  <c r="E1304" i="9" s="1"/>
  <c r="D1303" i="9"/>
  <c r="F1302" i="9"/>
  <c r="B1302" i="9"/>
  <c r="E1302" i="9" s="1"/>
  <c r="D1301" i="9"/>
  <c r="F1300" i="9"/>
  <c r="B1300" i="9"/>
  <c r="E1300" i="9" s="1"/>
  <c r="D1299" i="9"/>
  <c r="F1298" i="9"/>
  <c r="B1298" i="9"/>
  <c r="E1298" i="9" s="1"/>
  <c r="D1297" i="9"/>
  <c r="F1296" i="9"/>
  <c r="B1296" i="9"/>
  <c r="E1296" i="9" s="1"/>
  <c r="D1295" i="9"/>
  <c r="D1999" i="9"/>
  <c r="B1994" i="9"/>
  <c r="E1994" i="9" s="1"/>
  <c r="C1991" i="9"/>
  <c r="D1988" i="9"/>
  <c r="F1985" i="9"/>
  <c r="D1982" i="9"/>
  <c r="A1980" i="9"/>
  <c r="C1977" i="9"/>
  <c r="B1974" i="9"/>
  <c r="E1974" i="9" s="1"/>
  <c r="D1971" i="9"/>
  <c r="B1969" i="9"/>
  <c r="E1969" i="9" s="1"/>
  <c r="F1965" i="9"/>
  <c r="B1963" i="9"/>
  <c r="E1963" i="9" s="1"/>
  <c r="D1960" i="9"/>
  <c r="C1957" i="9"/>
  <c r="F1954" i="9"/>
  <c r="B1952" i="9"/>
  <c r="E1952" i="9" s="1"/>
  <c r="F1948" i="9"/>
  <c r="B1946" i="9"/>
  <c r="E1946" i="9" s="1"/>
  <c r="A1944" i="9"/>
  <c r="A1938" i="9"/>
  <c r="B1935" i="9"/>
  <c r="E1935" i="9" s="1"/>
  <c r="A1932" i="9"/>
  <c r="F1929" i="9"/>
  <c r="F1923" i="9"/>
  <c r="F1920" i="9"/>
  <c r="D1918" i="9"/>
  <c r="D1915" i="9"/>
  <c r="D1912" i="9"/>
  <c r="F1909" i="9"/>
  <c r="B1904" i="9"/>
  <c r="E1904" i="9" s="1"/>
  <c r="D1901" i="9"/>
  <c r="B1898" i="9"/>
  <c r="E1898" i="9" s="1"/>
  <c r="D1895" i="9"/>
  <c r="C1893" i="9"/>
  <c r="A1890" i="9"/>
  <c r="C1887" i="9"/>
  <c r="C1881" i="9"/>
  <c r="B1879" i="9"/>
  <c r="E1879" i="9" s="1"/>
  <c r="D1876" i="9"/>
  <c r="B1873" i="9"/>
  <c r="E1873" i="9" s="1"/>
  <c r="D1870" i="9"/>
  <c r="A1868" i="9"/>
  <c r="F1864" i="9"/>
  <c r="B1862" i="9"/>
  <c r="E1862" i="9" s="1"/>
  <c r="B1859" i="9"/>
  <c r="E1859" i="9" s="1"/>
  <c r="B1856" i="9"/>
  <c r="E1856" i="9" s="1"/>
  <c r="F1853" i="9"/>
  <c r="F1850" i="9"/>
  <c r="D1848" i="9"/>
  <c r="B1846" i="9"/>
  <c r="E1846" i="9" s="1"/>
  <c r="D1844" i="9"/>
  <c r="B1842" i="9"/>
  <c r="E1842" i="9" s="1"/>
  <c r="A1840" i="9"/>
  <c r="A1838" i="9"/>
  <c r="D1835" i="9"/>
  <c r="F1833" i="9"/>
  <c r="F1831" i="9"/>
  <c r="C1829" i="9"/>
  <c r="C1827" i="9"/>
  <c r="D1825" i="9"/>
  <c r="B1823" i="9"/>
  <c r="E1823" i="9" s="1"/>
  <c r="B1821" i="9"/>
  <c r="E1821" i="9" s="1"/>
  <c r="B1819" i="9"/>
  <c r="E1819" i="9" s="1"/>
  <c r="F1814" i="9"/>
  <c r="F1812" i="9"/>
  <c r="D1810" i="9"/>
  <c r="D1808" i="9"/>
  <c r="B1804" i="9"/>
  <c r="E1804" i="9" s="1"/>
  <c r="B1802" i="9"/>
  <c r="E1802" i="9" s="1"/>
  <c r="A1800" i="9"/>
  <c r="F1797" i="9"/>
  <c r="A1796" i="9"/>
  <c r="F1793" i="9"/>
  <c r="D1791" i="9"/>
  <c r="C1789" i="9"/>
  <c r="D1787" i="9"/>
  <c r="C1785" i="9"/>
  <c r="B1783" i="9"/>
  <c r="E1783" i="9" s="1"/>
  <c r="B1781" i="9"/>
  <c r="E1781" i="9" s="1"/>
  <c r="F1776" i="9"/>
  <c r="F1774" i="9"/>
  <c r="D1772" i="9"/>
  <c r="D1770" i="9"/>
  <c r="B1766" i="9"/>
  <c r="E1766" i="9" s="1"/>
  <c r="B1764" i="9"/>
  <c r="E1764" i="9" s="1"/>
  <c r="B1762" i="9"/>
  <c r="E1762" i="9" s="1"/>
  <c r="F1759" i="9"/>
  <c r="A1758" i="9"/>
  <c r="A1756" i="9"/>
  <c r="D1753" i="9"/>
  <c r="D1751" i="9"/>
  <c r="F1749" i="9"/>
  <c r="C1747" i="9"/>
  <c r="C1745" i="9"/>
  <c r="B1743" i="9"/>
  <c r="E1743" i="9" s="1"/>
  <c r="F1740" i="9"/>
  <c r="B1739" i="9"/>
  <c r="E1739" i="9" s="1"/>
  <c r="F1736" i="9"/>
  <c r="D1732" i="9"/>
  <c r="D1728" i="9"/>
  <c r="B1726" i="9"/>
  <c r="E1726" i="9" s="1"/>
  <c r="B1724" i="9"/>
  <c r="E1724" i="9" s="1"/>
  <c r="F1721" i="9"/>
  <c r="A1720" i="9"/>
  <c r="A1718" i="9"/>
  <c r="D1715" i="9"/>
  <c r="D1713" i="9"/>
  <c r="F1711" i="9"/>
  <c r="C1709" i="9"/>
  <c r="C1707" i="9"/>
  <c r="C1705" i="9"/>
  <c r="F1702" i="9"/>
  <c r="B1701" i="9"/>
  <c r="E1701" i="9" s="1"/>
  <c r="B1699" i="9"/>
  <c r="E1699" i="9" s="1"/>
  <c r="F1692" i="9"/>
  <c r="D1690" i="9"/>
  <c r="D1688" i="9"/>
  <c r="D1686" i="9"/>
  <c r="C1683" i="9"/>
  <c r="F1681" i="9"/>
  <c r="A1680" i="9"/>
  <c r="D1678" i="9"/>
  <c r="B1677" i="9"/>
  <c r="E1677" i="9" s="1"/>
  <c r="C1675" i="9"/>
  <c r="F1673" i="9"/>
  <c r="B1672" i="9"/>
  <c r="E1672" i="9" s="1"/>
  <c r="D1670" i="9"/>
  <c r="B1669" i="9"/>
  <c r="E1669" i="9" s="1"/>
  <c r="D1667" i="9"/>
  <c r="F1665" i="9"/>
  <c r="B1664" i="9"/>
  <c r="E1664" i="9" s="1"/>
  <c r="F1662" i="9"/>
  <c r="B1661" i="9"/>
  <c r="E1661" i="9" s="1"/>
  <c r="D1659" i="9"/>
  <c r="A1658" i="9"/>
  <c r="B1656" i="9"/>
  <c r="E1656" i="9" s="1"/>
  <c r="F1654" i="9"/>
  <c r="C1653" i="9"/>
  <c r="D1651" i="9"/>
  <c r="A1650" i="9"/>
  <c r="F1646" i="9"/>
  <c r="C1645" i="9"/>
  <c r="F1643" i="9"/>
  <c r="A1642" i="9"/>
  <c r="B1639" i="9"/>
  <c r="E1639" i="9" s="1"/>
  <c r="C1637" i="9"/>
  <c r="F1635" i="9"/>
  <c r="D1634" i="9"/>
  <c r="B1631" i="9"/>
  <c r="E1631" i="9" s="1"/>
  <c r="D1629" i="9"/>
  <c r="F1627" i="9"/>
  <c r="D1626" i="9"/>
  <c r="F1624" i="9"/>
  <c r="B1623" i="9"/>
  <c r="E1623" i="9" s="1"/>
  <c r="D1621" i="9"/>
  <c r="B1620" i="9"/>
  <c r="E1620" i="9" s="1"/>
  <c r="D1618" i="9"/>
  <c r="F1616" i="9"/>
  <c r="C1615" i="9"/>
  <c r="D1613" i="9"/>
  <c r="B1612" i="9"/>
  <c r="E1612" i="9" s="1"/>
  <c r="F1608" i="9"/>
  <c r="C1607" i="9"/>
  <c r="A1606" i="9"/>
  <c r="B1604" i="9"/>
  <c r="E1604" i="9" s="1"/>
  <c r="B1601" i="9"/>
  <c r="E1601" i="9" s="1"/>
  <c r="C1599" i="9"/>
  <c r="A1598" i="9"/>
  <c r="D1596" i="9"/>
  <c r="F1594" i="9"/>
  <c r="F1593" i="9"/>
  <c r="C1591" i="9"/>
  <c r="B1590" i="9"/>
  <c r="E1590" i="9" s="1"/>
  <c r="B1589" i="9"/>
  <c r="E1589" i="9" s="1"/>
  <c r="F1587" i="9"/>
  <c r="D1585" i="9"/>
  <c r="B1584" i="9"/>
  <c r="E1584" i="9" s="1"/>
  <c r="B1583" i="9"/>
  <c r="E1583" i="9" s="1"/>
  <c r="A1582" i="9"/>
  <c r="D1579" i="9"/>
  <c r="D1578" i="9"/>
  <c r="B1577" i="9"/>
  <c r="E1577" i="9" s="1"/>
  <c r="A1576" i="9"/>
  <c r="F1574" i="9"/>
  <c r="D1573" i="9"/>
  <c r="D1572" i="9"/>
  <c r="C1571" i="9"/>
  <c r="A1570" i="9"/>
  <c r="F1568" i="9"/>
  <c r="F1567" i="9"/>
  <c r="D1566" i="9"/>
  <c r="C1565" i="9"/>
  <c r="B1564" i="9"/>
  <c r="E1564" i="9" s="1"/>
  <c r="F1562" i="9"/>
  <c r="F1561" i="9"/>
  <c r="C1559" i="9"/>
  <c r="B1558" i="9"/>
  <c r="E1558" i="9" s="1"/>
  <c r="B1557" i="9"/>
  <c r="E1557" i="9" s="1"/>
  <c r="F1555" i="9"/>
  <c r="D1553" i="9"/>
  <c r="B1552" i="9"/>
  <c r="E1552" i="9" s="1"/>
  <c r="B1551" i="9"/>
  <c r="E1551" i="9" s="1"/>
  <c r="A1550" i="9"/>
  <c r="D1547" i="9"/>
  <c r="D1546" i="9"/>
  <c r="B1545" i="9"/>
  <c r="E1545" i="9" s="1"/>
  <c r="A1544" i="9"/>
  <c r="F1542" i="9"/>
  <c r="D1541" i="9"/>
  <c r="D1540" i="9"/>
  <c r="C1539" i="9"/>
  <c r="A1538" i="9"/>
  <c r="F1536" i="9"/>
  <c r="F1535" i="9"/>
  <c r="F1533" i="9"/>
  <c r="A1533" i="9"/>
  <c r="A1532" i="9"/>
  <c r="B1531" i="9"/>
  <c r="E1531" i="9" s="1"/>
  <c r="C1530" i="9"/>
  <c r="C1529" i="9"/>
  <c r="D1528" i="9"/>
  <c r="F1525" i="9"/>
  <c r="A1525" i="9"/>
  <c r="A1524" i="9"/>
  <c r="B1523" i="9"/>
  <c r="E1523" i="9" s="1"/>
  <c r="C1522" i="9"/>
  <c r="C1521" i="9"/>
  <c r="D1520" i="9"/>
  <c r="F1517" i="9"/>
  <c r="A1517" i="9"/>
  <c r="A1516" i="9"/>
  <c r="B1515" i="9"/>
  <c r="E1515" i="9" s="1"/>
  <c r="C1514" i="9"/>
  <c r="C1513" i="9"/>
  <c r="D1512" i="9"/>
  <c r="F1509" i="9"/>
  <c r="A1509" i="9"/>
  <c r="A1508" i="9"/>
  <c r="B1507" i="9"/>
  <c r="E1507" i="9" s="1"/>
  <c r="C1506" i="9"/>
  <c r="C1505" i="9"/>
  <c r="D1504" i="9"/>
  <c r="F1501" i="9"/>
  <c r="A1501" i="9"/>
  <c r="A1500" i="9"/>
  <c r="B1499" i="9"/>
  <c r="E1499" i="9" s="1"/>
  <c r="C1498" i="9"/>
  <c r="C1497" i="9"/>
  <c r="D1496" i="9"/>
  <c r="F1493" i="9"/>
  <c r="A1493" i="9"/>
  <c r="A1492" i="9"/>
  <c r="B1491" i="9"/>
  <c r="E1491" i="9" s="1"/>
  <c r="C1490" i="9"/>
  <c r="C1489" i="9"/>
  <c r="D1488" i="9"/>
  <c r="F1485" i="9"/>
  <c r="A1485" i="9"/>
  <c r="A1484" i="9"/>
  <c r="B1483" i="9"/>
  <c r="E1483" i="9" s="1"/>
  <c r="C1482" i="9"/>
  <c r="C1481" i="9"/>
  <c r="D1480" i="9"/>
  <c r="F1477" i="9"/>
  <c r="A1477" i="9"/>
  <c r="A1476" i="9"/>
  <c r="B1475" i="9"/>
  <c r="E1475" i="9" s="1"/>
  <c r="C1474" i="9"/>
  <c r="C1473" i="9"/>
  <c r="D1472" i="9"/>
  <c r="F1469" i="9"/>
  <c r="A1469" i="9"/>
  <c r="A1468" i="9"/>
  <c r="B1467" i="9"/>
  <c r="E1467" i="9" s="1"/>
  <c r="C1466" i="9"/>
  <c r="C1465" i="9"/>
  <c r="D1464" i="9"/>
  <c r="F1461" i="9"/>
  <c r="A1461" i="9"/>
  <c r="A1460" i="9"/>
  <c r="B1459" i="9"/>
  <c r="E1459" i="9" s="1"/>
  <c r="C1458" i="9"/>
  <c r="C1457" i="9"/>
  <c r="D1456" i="9"/>
  <c r="F1453" i="9"/>
  <c r="A1453" i="9"/>
  <c r="A1452" i="9"/>
  <c r="B1451" i="9"/>
  <c r="E1451" i="9" s="1"/>
  <c r="C1450" i="9"/>
  <c r="C1449" i="9"/>
  <c r="D1448" i="9"/>
  <c r="F1445" i="9"/>
  <c r="A1445" i="9"/>
  <c r="A1444" i="9"/>
  <c r="B1443" i="9"/>
  <c r="E1443" i="9" s="1"/>
  <c r="C1442" i="9"/>
  <c r="C1441" i="9"/>
  <c r="D1440" i="9"/>
  <c r="F1437" i="9"/>
  <c r="A1437" i="9"/>
  <c r="A1436" i="9"/>
  <c r="B1435" i="9"/>
  <c r="E1435" i="9" s="1"/>
  <c r="C1434" i="9"/>
  <c r="C1433" i="9"/>
  <c r="D1432" i="9"/>
  <c r="F1429" i="9"/>
  <c r="A1429" i="9"/>
  <c r="A1428" i="9"/>
  <c r="B1427" i="9"/>
  <c r="E1427" i="9" s="1"/>
  <c r="C1426" i="9"/>
  <c r="C1425" i="9"/>
  <c r="D1424" i="9"/>
  <c r="F1421" i="9"/>
  <c r="A1421" i="9"/>
  <c r="A1420" i="9"/>
  <c r="B1419" i="9"/>
  <c r="E1419" i="9" s="1"/>
  <c r="C1418" i="9"/>
  <c r="C1417" i="9"/>
  <c r="D1416" i="9"/>
  <c r="F1413" i="9"/>
  <c r="A1413" i="9"/>
  <c r="A1412" i="9"/>
  <c r="B1411" i="9"/>
  <c r="E1411" i="9" s="1"/>
  <c r="C1410" i="9"/>
  <c r="C1409" i="9"/>
  <c r="D1408" i="9"/>
  <c r="F1405" i="9"/>
  <c r="A1405" i="9"/>
  <c r="A1404" i="9"/>
  <c r="B1403" i="9"/>
  <c r="E1403" i="9" s="1"/>
  <c r="C1402" i="9"/>
  <c r="C1401" i="9"/>
  <c r="D1400" i="9"/>
  <c r="F1397" i="9"/>
  <c r="A1397" i="9"/>
  <c r="A1396" i="9"/>
  <c r="B1395" i="9"/>
  <c r="E1395" i="9" s="1"/>
  <c r="C1394" i="9"/>
  <c r="C1393" i="9"/>
  <c r="D1392" i="9"/>
  <c r="F1389" i="9"/>
  <c r="A1389" i="9"/>
  <c r="A1388" i="9"/>
  <c r="B1387" i="9"/>
  <c r="E1387" i="9" s="1"/>
  <c r="C1386" i="9"/>
  <c r="C1385" i="9"/>
  <c r="D1384" i="9"/>
  <c r="F1381" i="9"/>
  <c r="A1381" i="9"/>
  <c r="A1380" i="9"/>
  <c r="B1379" i="9"/>
  <c r="E1379" i="9" s="1"/>
  <c r="C1378" i="9"/>
  <c r="C1377" i="9"/>
  <c r="D1376" i="9"/>
  <c r="F1373" i="9"/>
  <c r="A1373" i="9"/>
  <c r="A1372" i="9"/>
  <c r="B1371" i="9"/>
  <c r="E1371" i="9" s="1"/>
  <c r="C1370" i="9"/>
  <c r="C1369" i="9"/>
  <c r="D1368" i="9"/>
  <c r="F1365" i="9"/>
  <c r="A1365" i="9"/>
  <c r="A1364" i="9"/>
  <c r="B1363" i="9"/>
  <c r="E1363" i="9" s="1"/>
  <c r="C1362" i="9"/>
  <c r="C1361" i="9"/>
  <c r="D1360" i="9"/>
  <c r="F1357" i="9"/>
  <c r="A1357" i="9"/>
  <c r="A1356" i="9"/>
  <c r="B1355" i="9"/>
  <c r="E1355" i="9" s="1"/>
  <c r="C1354" i="9"/>
  <c r="C1353" i="9"/>
  <c r="D1352" i="9"/>
  <c r="F1349" i="9"/>
  <c r="A1349" i="9"/>
  <c r="A1348" i="9"/>
  <c r="B1347" i="9"/>
  <c r="E1347" i="9" s="1"/>
  <c r="C1346" i="9"/>
  <c r="C1345" i="9"/>
  <c r="D1344" i="9"/>
  <c r="F1341" i="9"/>
  <c r="A1341" i="9"/>
  <c r="A1340" i="9"/>
  <c r="B1339" i="9"/>
  <c r="E1339" i="9" s="1"/>
  <c r="C1338" i="9"/>
  <c r="C1337" i="9"/>
  <c r="D1336" i="9"/>
  <c r="F1333" i="9"/>
  <c r="A1333" i="9"/>
  <c r="A1332" i="9"/>
  <c r="B1331" i="9"/>
  <c r="E1331" i="9" s="1"/>
  <c r="C1330" i="9"/>
  <c r="C1329" i="9"/>
  <c r="D1328" i="9"/>
  <c r="F1325" i="9"/>
  <c r="A1325" i="9"/>
  <c r="A1324" i="9"/>
  <c r="B1323" i="9"/>
  <c r="E1323" i="9" s="1"/>
  <c r="C1322" i="9"/>
  <c r="C1321" i="9"/>
  <c r="D1320" i="9"/>
  <c r="F1317" i="9"/>
  <c r="A1317" i="9"/>
  <c r="A1316" i="9"/>
  <c r="B1315" i="9"/>
  <c r="E1315" i="9" s="1"/>
  <c r="C1314" i="9"/>
  <c r="C1313" i="9"/>
  <c r="D1312" i="9"/>
  <c r="F1309" i="9"/>
  <c r="A1309" i="9"/>
  <c r="A1308" i="9"/>
  <c r="B1307" i="9"/>
  <c r="E1307" i="9" s="1"/>
  <c r="C1306" i="9"/>
  <c r="C1305" i="9"/>
  <c r="D1304" i="9"/>
  <c r="F1301" i="9"/>
  <c r="A1301" i="9"/>
  <c r="A1300" i="9"/>
  <c r="B1299" i="9"/>
  <c r="E1299" i="9" s="1"/>
  <c r="C1298" i="9"/>
  <c r="C1297" i="9"/>
  <c r="D1296" i="9"/>
  <c r="F1294" i="9"/>
  <c r="B1294" i="9"/>
  <c r="E1294" i="9" s="1"/>
  <c r="D1293" i="9"/>
  <c r="F1292" i="9"/>
  <c r="B1292" i="9"/>
  <c r="E1292" i="9" s="1"/>
  <c r="D1291" i="9"/>
  <c r="F1290" i="9"/>
  <c r="B1290" i="9"/>
  <c r="E1290" i="9" s="1"/>
  <c r="D1289" i="9"/>
  <c r="F1288" i="9"/>
  <c r="B1288" i="9"/>
  <c r="E1288" i="9" s="1"/>
  <c r="D1287" i="9"/>
  <c r="F1286" i="9"/>
  <c r="B1286" i="9"/>
  <c r="E1286" i="9" s="1"/>
  <c r="D1285" i="9"/>
  <c r="F1284" i="9"/>
  <c r="B1284" i="9"/>
  <c r="E1284" i="9" s="1"/>
  <c r="D1283" i="9"/>
  <c r="F1282" i="9"/>
  <c r="B1282" i="9"/>
  <c r="E1282" i="9" s="1"/>
  <c r="D1281" i="9"/>
  <c r="F1280" i="9"/>
  <c r="B1280" i="9"/>
  <c r="E1280" i="9" s="1"/>
  <c r="D1279" i="9"/>
  <c r="F1278" i="9"/>
  <c r="B1278" i="9"/>
  <c r="E1278" i="9" s="1"/>
  <c r="D1277" i="9"/>
  <c r="F1276" i="9"/>
  <c r="B1276" i="9"/>
  <c r="E1276" i="9" s="1"/>
  <c r="D1275" i="9"/>
  <c r="F1274" i="9"/>
  <c r="B1274" i="9"/>
  <c r="E1274" i="9" s="1"/>
  <c r="D1273" i="9"/>
  <c r="F1272" i="9"/>
  <c r="B1272" i="9"/>
  <c r="E1272" i="9" s="1"/>
  <c r="D1271" i="9"/>
  <c r="F1270" i="9"/>
  <c r="B1270" i="9"/>
  <c r="E1270" i="9" s="1"/>
  <c r="D1269" i="9"/>
  <c r="F1268" i="9"/>
  <c r="B1268" i="9"/>
  <c r="E1268" i="9" s="1"/>
  <c r="D1267" i="9"/>
  <c r="F1266" i="9"/>
  <c r="B1266" i="9"/>
  <c r="E1266" i="9" s="1"/>
  <c r="D1265" i="9"/>
  <c r="F1264" i="9"/>
  <c r="B1264" i="9"/>
  <c r="E1264" i="9" s="1"/>
  <c r="D1263" i="9"/>
  <c r="F1262" i="9"/>
  <c r="B1262" i="9"/>
  <c r="E1262" i="9" s="1"/>
  <c r="D1261" i="9"/>
  <c r="F1260" i="9"/>
  <c r="B1260" i="9"/>
  <c r="E1260" i="9" s="1"/>
  <c r="D1259" i="9"/>
  <c r="F1258" i="9"/>
  <c r="B1258" i="9"/>
  <c r="E1258" i="9" s="1"/>
  <c r="D1257" i="9"/>
  <c r="F1256" i="9"/>
  <c r="B1256" i="9"/>
  <c r="E1256" i="9" s="1"/>
  <c r="D1255" i="9"/>
  <c r="F1254" i="9"/>
  <c r="B1254" i="9"/>
  <c r="E1254" i="9" s="1"/>
  <c r="D1253" i="9"/>
  <c r="F1252" i="9"/>
  <c r="B1252" i="9"/>
  <c r="E1252" i="9" s="1"/>
  <c r="D1251" i="9"/>
  <c r="F1250" i="9"/>
  <c r="B1250" i="9"/>
  <c r="E1250" i="9" s="1"/>
  <c r="D1249" i="9"/>
  <c r="F1248" i="9"/>
  <c r="B1248" i="9"/>
  <c r="E1248" i="9" s="1"/>
  <c r="D1247" i="9"/>
  <c r="F1246" i="9"/>
  <c r="B1246" i="9"/>
  <c r="E1246" i="9" s="1"/>
  <c r="D1245" i="9"/>
  <c r="F1244" i="9"/>
  <c r="B1244" i="9"/>
  <c r="E1244" i="9" s="1"/>
  <c r="D1243" i="9"/>
  <c r="F1242" i="9"/>
  <c r="B1242" i="9"/>
  <c r="E1242" i="9" s="1"/>
  <c r="D1241" i="9"/>
  <c r="F1240" i="9"/>
  <c r="B1240" i="9"/>
  <c r="E1240" i="9" s="1"/>
  <c r="D1239" i="9"/>
  <c r="F1238" i="9"/>
  <c r="B1238" i="9"/>
  <c r="E1238" i="9" s="1"/>
  <c r="D1237" i="9"/>
  <c r="F1236" i="9"/>
  <c r="B1236" i="9"/>
  <c r="E1236" i="9" s="1"/>
  <c r="D1235" i="9"/>
  <c r="F1234" i="9"/>
  <c r="B1234" i="9"/>
  <c r="E1234" i="9" s="1"/>
  <c r="D1233" i="9"/>
  <c r="F1232" i="9"/>
  <c r="B1232" i="9"/>
  <c r="E1232" i="9" s="1"/>
  <c r="D1231" i="9"/>
  <c r="F1230" i="9"/>
  <c r="B1230" i="9"/>
  <c r="E1230" i="9" s="1"/>
  <c r="D1229" i="9"/>
  <c r="F1228" i="9"/>
  <c r="B1228" i="9"/>
  <c r="E1228" i="9" s="1"/>
  <c r="D1227" i="9"/>
  <c r="F1226" i="9"/>
  <c r="B1226" i="9"/>
  <c r="E1226" i="9" s="1"/>
  <c r="D1225" i="9"/>
  <c r="F1224" i="9"/>
  <c r="B1224" i="9"/>
  <c r="E1224" i="9" s="1"/>
  <c r="D1223" i="9"/>
  <c r="F1222" i="9"/>
  <c r="B1222" i="9"/>
  <c r="E1222" i="9" s="1"/>
  <c r="D1221" i="9"/>
  <c r="F1220" i="9"/>
  <c r="B1220" i="9"/>
  <c r="E1220" i="9" s="1"/>
  <c r="D1219" i="9"/>
  <c r="F1218" i="9"/>
  <c r="B1218" i="9"/>
  <c r="E1218" i="9" s="1"/>
  <c r="D1217" i="9"/>
  <c r="F1216" i="9"/>
  <c r="B1216" i="9"/>
  <c r="E1216" i="9" s="1"/>
  <c r="D1215" i="9"/>
  <c r="F1214" i="9"/>
  <c r="B1214" i="9"/>
  <c r="E1214" i="9" s="1"/>
  <c r="D1213" i="9"/>
  <c r="F1212" i="9"/>
  <c r="B1212" i="9"/>
  <c r="E1212" i="9" s="1"/>
  <c r="D1211" i="9"/>
  <c r="F1210" i="9"/>
  <c r="B1210" i="9"/>
  <c r="E1210" i="9" s="1"/>
  <c r="D1209" i="9"/>
  <c r="F1208" i="9"/>
  <c r="B1208" i="9"/>
  <c r="E1208" i="9" s="1"/>
  <c r="D1207" i="9"/>
  <c r="F1206" i="9"/>
  <c r="B1206" i="9"/>
  <c r="E1206" i="9" s="1"/>
  <c r="D1205" i="9"/>
  <c r="F1204" i="9"/>
  <c r="B1204" i="9"/>
  <c r="E1204" i="9" s="1"/>
  <c r="D1203" i="9"/>
  <c r="F1202" i="9"/>
  <c r="B1202" i="9"/>
  <c r="E1202" i="9" s="1"/>
  <c r="D1201" i="9"/>
  <c r="F1200" i="9"/>
  <c r="B1200" i="9"/>
  <c r="E1200" i="9" s="1"/>
  <c r="D1199" i="9"/>
  <c r="F1198" i="9"/>
  <c r="B1198" i="9"/>
  <c r="E1198" i="9" s="1"/>
  <c r="D1197" i="9"/>
  <c r="F1196" i="9"/>
  <c r="B1196" i="9"/>
  <c r="E1196" i="9" s="1"/>
  <c r="D1195" i="9"/>
  <c r="F1194" i="9"/>
  <c r="B1194" i="9"/>
  <c r="E1194" i="9" s="1"/>
  <c r="D1193" i="9"/>
  <c r="F1192" i="9"/>
  <c r="B1192" i="9"/>
  <c r="E1192" i="9" s="1"/>
  <c r="D1191" i="9"/>
  <c r="F1190" i="9"/>
  <c r="B1190" i="9"/>
  <c r="E1190" i="9" s="1"/>
  <c r="D1189" i="9"/>
  <c r="F1188" i="9"/>
  <c r="B1188" i="9"/>
  <c r="E1188" i="9" s="1"/>
  <c r="D1187" i="9"/>
  <c r="F1186" i="9"/>
  <c r="B1186" i="9"/>
  <c r="E1186" i="9" s="1"/>
  <c r="D1185" i="9"/>
  <c r="F1184" i="9"/>
  <c r="B1184" i="9"/>
  <c r="E1184" i="9" s="1"/>
  <c r="D1183" i="9"/>
  <c r="F1182" i="9"/>
  <c r="B1182" i="9"/>
  <c r="E1182" i="9" s="1"/>
  <c r="D1181" i="9"/>
  <c r="F1180" i="9"/>
  <c r="B1180" i="9"/>
  <c r="E1180" i="9" s="1"/>
  <c r="D1179" i="9"/>
  <c r="F1178" i="9"/>
  <c r="B1178" i="9"/>
  <c r="E1178" i="9" s="1"/>
  <c r="D1177" i="9"/>
  <c r="F1176" i="9"/>
  <c r="B1176" i="9"/>
  <c r="E1176" i="9" s="1"/>
  <c r="D1175" i="9"/>
  <c r="F1174" i="9"/>
  <c r="B1174" i="9"/>
  <c r="E1174" i="9" s="1"/>
  <c r="D1173" i="9"/>
  <c r="F1172" i="9"/>
  <c r="B1172" i="9"/>
  <c r="E1172" i="9" s="1"/>
  <c r="D1171" i="9"/>
  <c r="F1170" i="9"/>
  <c r="B1170" i="9"/>
  <c r="E1170" i="9" s="1"/>
  <c r="D1169" i="9"/>
  <c r="F1168" i="9"/>
  <c r="B1168" i="9"/>
  <c r="E1168" i="9" s="1"/>
  <c r="D1167" i="9"/>
  <c r="F1166" i="9"/>
  <c r="B1166" i="9"/>
  <c r="E1166" i="9" s="1"/>
  <c r="D1165" i="9"/>
  <c r="F1164" i="9"/>
  <c r="B1164" i="9"/>
  <c r="E1164" i="9" s="1"/>
  <c r="D1163" i="9"/>
  <c r="F1162" i="9"/>
  <c r="B1162" i="9"/>
  <c r="E1162" i="9" s="1"/>
  <c r="D1161" i="9"/>
  <c r="F1160" i="9"/>
  <c r="B1160" i="9"/>
  <c r="E1160" i="9" s="1"/>
  <c r="D1159" i="9"/>
  <c r="F1158" i="9"/>
  <c r="B1158" i="9"/>
  <c r="E1158" i="9" s="1"/>
  <c r="D1157" i="9"/>
  <c r="F1156" i="9"/>
  <c r="B1156" i="9"/>
  <c r="E1156" i="9" s="1"/>
  <c r="D1155" i="9"/>
  <c r="F1154" i="9"/>
  <c r="B1154" i="9"/>
  <c r="E1154" i="9" s="1"/>
  <c r="D1153" i="9"/>
  <c r="F1152" i="9"/>
  <c r="B1152" i="9"/>
  <c r="E1152" i="9" s="1"/>
  <c r="D1151" i="9"/>
  <c r="F1150" i="9"/>
  <c r="B1150" i="9"/>
  <c r="E1150" i="9" s="1"/>
  <c r="D1149" i="9"/>
  <c r="F1148" i="9"/>
  <c r="B1148" i="9"/>
  <c r="E1148" i="9" s="1"/>
  <c r="D1147" i="9"/>
  <c r="F1146" i="9"/>
  <c r="B1146" i="9"/>
  <c r="E1146" i="9" s="1"/>
  <c r="D1145" i="9"/>
  <c r="F1144" i="9"/>
  <c r="B1144" i="9"/>
  <c r="E1144" i="9" s="1"/>
  <c r="D1143" i="9"/>
  <c r="F1142" i="9"/>
  <c r="B1142" i="9"/>
  <c r="E1142" i="9" s="1"/>
  <c r="D1141" i="9"/>
  <c r="F1140" i="9"/>
  <c r="B1140" i="9"/>
  <c r="E1140" i="9" s="1"/>
  <c r="D1139" i="9"/>
  <c r="F1138" i="9"/>
  <c r="B1138" i="9"/>
  <c r="E1138" i="9" s="1"/>
  <c r="D1137" i="9"/>
  <c r="F1136" i="9"/>
  <c r="B1136" i="9"/>
  <c r="E1136" i="9" s="1"/>
  <c r="D1135" i="9"/>
  <c r="F1134" i="9"/>
  <c r="B1134" i="9"/>
  <c r="E1134" i="9" s="1"/>
  <c r="D1133" i="9"/>
  <c r="F1132" i="9"/>
  <c r="B1132" i="9"/>
  <c r="E1132" i="9" s="1"/>
  <c r="D1131" i="9"/>
  <c r="F1130" i="9"/>
  <c r="B1130" i="9"/>
  <c r="E1130" i="9" s="1"/>
  <c r="D1129" i="9"/>
  <c r="F1128" i="9"/>
  <c r="B1128" i="9"/>
  <c r="E1128" i="9" s="1"/>
  <c r="D1127" i="9"/>
  <c r="F1126" i="9"/>
  <c r="B1126" i="9"/>
  <c r="E1126" i="9" s="1"/>
  <c r="D1125" i="9"/>
  <c r="F1124" i="9"/>
  <c r="B1124" i="9"/>
  <c r="E1124" i="9" s="1"/>
  <c r="D1123" i="9"/>
  <c r="F1122" i="9"/>
  <c r="B1122" i="9"/>
  <c r="E1122" i="9" s="1"/>
  <c r="D1121" i="9"/>
  <c r="F1120" i="9"/>
  <c r="B1120" i="9"/>
  <c r="E1120" i="9" s="1"/>
  <c r="D1119" i="9"/>
  <c r="F1118" i="9"/>
  <c r="B1118" i="9"/>
  <c r="E1118" i="9" s="1"/>
  <c r="D1117" i="9"/>
  <c r="F1116" i="9"/>
  <c r="B1116" i="9"/>
  <c r="E1116" i="9" s="1"/>
  <c r="D1115" i="9"/>
  <c r="F1114" i="9"/>
  <c r="B1114" i="9"/>
  <c r="E1114" i="9" s="1"/>
  <c r="D1113" i="9"/>
  <c r="F1112" i="9"/>
  <c r="B1112" i="9"/>
  <c r="E1112" i="9" s="1"/>
  <c r="D1111" i="9"/>
  <c r="F1110" i="9"/>
  <c r="B1110" i="9"/>
  <c r="E1110" i="9" s="1"/>
  <c r="D1109" i="9"/>
  <c r="F1108" i="9"/>
  <c r="B1108" i="9"/>
  <c r="E1108" i="9" s="1"/>
  <c r="D1107" i="9"/>
  <c r="F1106" i="9"/>
  <c r="B1106" i="9"/>
  <c r="E1106" i="9" s="1"/>
  <c r="D1105" i="9"/>
  <c r="F1104" i="9"/>
  <c r="B1104" i="9"/>
  <c r="E1104" i="9" s="1"/>
  <c r="D1103" i="9"/>
  <c r="F1102" i="9"/>
  <c r="B1102" i="9"/>
  <c r="E1102" i="9" s="1"/>
  <c r="D1101" i="9"/>
  <c r="F1100" i="9"/>
  <c r="B1100" i="9"/>
  <c r="E1100" i="9" s="1"/>
  <c r="D1099" i="9"/>
  <c r="F1098" i="9"/>
  <c r="B1098" i="9"/>
  <c r="E1098" i="9" s="1"/>
  <c r="D1097" i="9"/>
  <c r="F1096" i="9"/>
  <c r="B1096" i="9"/>
  <c r="E1096" i="9" s="1"/>
  <c r="D1095" i="9"/>
  <c r="F1094" i="9"/>
  <c r="B1094" i="9"/>
  <c r="E1094" i="9" s="1"/>
  <c r="D1093" i="9"/>
  <c r="F1092" i="9"/>
  <c r="B1092" i="9"/>
  <c r="E1092" i="9" s="1"/>
  <c r="D1091" i="9"/>
  <c r="F1090" i="9"/>
  <c r="B1090" i="9"/>
  <c r="E1090" i="9" s="1"/>
  <c r="D1089" i="9"/>
  <c r="F1088" i="9"/>
  <c r="B1088" i="9"/>
  <c r="E1088" i="9" s="1"/>
  <c r="D1087" i="9"/>
  <c r="F1086" i="9"/>
  <c r="B1086" i="9"/>
  <c r="E1086" i="9" s="1"/>
  <c r="D1085" i="9"/>
  <c r="F1084" i="9"/>
  <c r="B1084" i="9"/>
  <c r="E1084" i="9" s="1"/>
  <c r="D1083" i="9"/>
  <c r="F1082" i="9"/>
  <c r="B1082" i="9"/>
  <c r="E1082" i="9" s="1"/>
  <c r="D1081" i="9"/>
  <c r="F1080" i="9"/>
  <c r="B1080" i="9"/>
  <c r="E1080" i="9" s="1"/>
  <c r="D1079" i="9"/>
  <c r="F1078" i="9"/>
  <c r="B1078" i="9"/>
  <c r="E1078" i="9" s="1"/>
  <c r="D1077" i="9"/>
  <c r="F1076" i="9"/>
  <c r="B1076" i="9"/>
  <c r="E1076" i="9" s="1"/>
  <c r="D1075" i="9"/>
  <c r="F1074" i="9"/>
  <c r="B1074" i="9"/>
  <c r="E1074" i="9" s="1"/>
  <c r="D1073" i="9"/>
  <c r="F1072" i="9"/>
  <c r="B1072" i="9"/>
  <c r="E1072" i="9" s="1"/>
  <c r="D1071" i="9"/>
  <c r="F1070" i="9"/>
  <c r="B1070" i="9"/>
  <c r="E1070" i="9" s="1"/>
  <c r="D1069" i="9"/>
  <c r="F1068" i="9"/>
  <c r="B1068" i="9"/>
  <c r="E1068" i="9" s="1"/>
  <c r="D1067" i="9"/>
  <c r="F1066" i="9"/>
  <c r="B1066" i="9"/>
  <c r="E1066" i="9" s="1"/>
  <c r="D1065" i="9"/>
  <c r="F1064" i="9"/>
  <c r="B1064" i="9"/>
  <c r="E1064" i="9" s="1"/>
  <c r="D1063" i="9"/>
  <c r="F1062" i="9"/>
  <c r="B1062" i="9"/>
  <c r="E1062" i="9" s="1"/>
  <c r="D1061" i="9"/>
  <c r="F1060" i="9"/>
  <c r="B1060" i="9"/>
  <c r="E1060" i="9" s="1"/>
  <c r="D1059" i="9"/>
  <c r="F1058" i="9"/>
  <c r="B1058" i="9"/>
  <c r="E1058" i="9" s="1"/>
  <c r="D1057" i="9"/>
  <c r="F1056" i="9"/>
  <c r="B1056" i="9"/>
  <c r="E1056" i="9" s="1"/>
  <c r="D1055" i="9"/>
  <c r="F1054" i="9"/>
  <c r="B1054" i="9"/>
  <c r="E1054" i="9" s="1"/>
  <c r="D1053" i="9"/>
  <c r="F1052" i="9"/>
  <c r="B1052" i="9"/>
  <c r="E1052" i="9" s="1"/>
  <c r="D1051" i="9"/>
  <c r="F1050" i="9"/>
  <c r="B1050" i="9"/>
  <c r="E1050" i="9" s="1"/>
  <c r="D1049" i="9"/>
  <c r="F1048" i="9"/>
  <c r="B1048" i="9"/>
  <c r="E1048" i="9" s="1"/>
  <c r="D1047" i="9"/>
  <c r="F1046" i="9"/>
  <c r="B1046" i="9"/>
  <c r="E1046" i="9" s="1"/>
  <c r="D1045" i="9"/>
  <c r="F1044" i="9"/>
  <c r="B1044" i="9"/>
  <c r="E1044" i="9" s="1"/>
  <c r="D1043" i="9"/>
  <c r="F1042" i="9"/>
  <c r="B1042" i="9"/>
  <c r="E1042" i="9" s="1"/>
  <c r="D1041" i="9"/>
  <c r="F1040" i="9"/>
  <c r="B1040" i="9"/>
  <c r="E1040" i="9" s="1"/>
  <c r="D1039" i="9"/>
  <c r="F1038" i="9"/>
  <c r="B1038" i="9"/>
  <c r="E1038" i="9" s="1"/>
  <c r="D1037" i="9"/>
  <c r="F1036" i="9"/>
  <c r="B1036" i="9"/>
  <c r="E1036" i="9" s="1"/>
  <c r="D1035" i="9"/>
  <c r="F1034" i="9"/>
  <c r="B1034" i="9"/>
  <c r="E1034" i="9" s="1"/>
  <c r="D1033" i="9"/>
  <c r="F1032" i="9"/>
  <c r="B1032" i="9"/>
  <c r="E1032" i="9" s="1"/>
  <c r="D1031" i="9"/>
  <c r="F1030" i="9"/>
  <c r="B1030" i="9"/>
  <c r="E1030" i="9" s="1"/>
  <c r="D1029" i="9"/>
  <c r="F1028" i="9"/>
  <c r="B1028" i="9"/>
  <c r="E1028" i="9" s="1"/>
  <c r="D1027" i="9"/>
  <c r="F1026" i="9"/>
  <c r="B1026" i="9"/>
  <c r="E1026" i="9" s="1"/>
  <c r="D1025" i="9"/>
  <c r="F1024" i="9"/>
  <c r="B1024" i="9"/>
  <c r="E1024" i="9" s="1"/>
  <c r="D1023" i="9"/>
  <c r="F1022" i="9"/>
  <c r="B1022" i="9"/>
  <c r="E1022" i="9" s="1"/>
  <c r="D1021" i="9"/>
  <c r="F1020" i="9"/>
  <c r="B1020" i="9"/>
  <c r="E1020" i="9" s="1"/>
  <c r="D1019" i="9"/>
  <c r="F1018" i="9"/>
  <c r="B1018" i="9"/>
  <c r="E1018" i="9" s="1"/>
  <c r="D1017" i="9"/>
  <c r="F1016" i="9"/>
  <c r="B1016" i="9"/>
  <c r="E1016" i="9" s="1"/>
  <c r="D1015" i="9"/>
  <c r="F1014" i="9"/>
  <c r="B1014" i="9"/>
  <c r="E1014" i="9" s="1"/>
  <c r="D1013" i="9"/>
  <c r="F1012" i="9"/>
  <c r="B1012" i="9"/>
  <c r="E1012" i="9" s="1"/>
  <c r="D1011" i="9"/>
  <c r="F1010" i="9"/>
  <c r="B1010" i="9"/>
  <c r="E1010" i="9" s="1"/>
  <c r="D1009" i="9"/>
  <c r="F1008" i="9"/>
  <c r="B1008" i="9"/>
  <c r="E1008" i="9" s="1"/>
  <c r="D1007" i="9"/>
  <c r="F1006" i="9"/>
  <c r="B1006" i="9"/>
  <c r="E1006" i="9" s="1"/>
  <c r="D1005" i="9"/>
  <c r="F1004" i="9"/>
  <c r="B1004" i="9"/>
  <c r="E1004" i="9" s="1"/>
  <c r="D1003" i="9"/>
  <c r="F1002" i="9"/>
  <c r="B1002" i="9"/>
  <c r="E1002" i="9" s="1"/>
  <c r="D1001" i="9"/>
  <c r="F1000" i="9"/>
  <c r="B1000" i="9"/>
  <c r="E1000" i="9" s="1"/>
  <c r="D999" i="9"/>
  <c r="F998" i="9"/>
  <c r="B998" i="9"/>
  <c r="E998" i="9" s="1"/>
  <c r="D997" i="9"/>
  <c r="F996" i="9"/>
  <c r="B996" i="9"/>
  <c r="E996" i="9" s="1"/>
  <c r="D995" i="9"/>
  <c r="F994" i="9"/>
  <c r="B994" i="9"/>
  <c r="E994" i="9" s="1"/>
  <c r="D993" i="9"/>
  <c r="F992" i="9"/>
  <c r="B992" i="9"/>
  <c r="E992" i="9" s="1"/>
  <c r="D991" i="9"/>
  <c r="F990" i="9"/>
  <c r="B990" i="9"/>
  <c r="E990" i="9" s="1"/>
  <c r="D989" i="9"/>
  <c r="F988" i="9"/>
  <c r="B988" i="9"/>
  <c r="E988" i="9" s="1"/>
  <c r="D987" i="9"/>
  <c r="F986" i="9"/>
  <c r="B986" i="9"/>
  <c r="E986" i="9" s="1"/>
  <c r="D985" i="9"/>
  <c r="F984" i="9"/>
  <c r="B984" i="9"/>
  <c r="E984" i="9" s="1"/>
  <c r="D983" i="9"/>
  <c r="F982" i="9"/>
  <c r="B982" i="9"/>
  <c r="E982" i="9" s="1"/>
  <c r="D981" i="9"/>
  <c r="F980" i="9"/>
  <c r="B980" i="9"/>
  <c r="E980" i="9" s="1"/>
  <c r="D979" i="9"/>
  <c r="F978" i="9"/>
  <c r="B978" i="9"/>
  <c r="E978" i="9" s="1"/>
  <c r="D977" i="9"/>
  <c r="F976" i="9"/>
  <c r="B976" i="9"/>
  <c r="E976" i="9" s="1"/>
  <c r="D975" i="9"/>
  <c r="F974" i="9"/>
  <c r="B974" i="9"/>
  <c r="E974" i="9" s="1"/>
  <c r="D973" i="9"/>
  <c r="F972" i="9"/>
  <c r="B972" i="9"/>
  <c r="E972" i="9" s="1"/>
  <c r="D971" i="9"/>
  <c r="F970" i="9"/>
  <c r="B970" i="9"/>
  <c r="E970" i="9" s="1"/>
  <c r="D969" i="9"/>
  <c r="F968" i="9"/>
  <c r="B968" i="9"/>
  <c r="E968" i="9" s="1"/>
  <c r="D967" i="9"/>
  <c r="F966" i="9"/>
  <c r="B966" i="9"/>
  <c r="E966" i="9" s="1"/>
  <c r="D965" i="9"/>
  <c r="F964" i="9"/>
  <c r="B964" i="9"/>
  <c r="E964" i="9" s="1"/>
  <c r="D963" i="9"/>
  <c r="F962" i="9"/>
  <c r="B962" i="9"/>
  <c r="E962" i="9" s="1"/>
  <c r="D961" i="9"/>
  <c r="F960" i="9"/>
  <c r="B960" i="9"/>
  <c r="E960" i="9" s="1"/>
  <c r="D959" i="9"/>
  <c r="F958" i="9"/>
  <c r="B958" i="9"/>
  <c r="E958" i="9" s="1"/>
  <c r="D957" i="9"/>
  <c r="F956" i="9"/>
  <c r="B956" i="9"/>
  <c r="E956" i="9" s="1"/>
  <c r="D955" i="9"/>
  <c r="F954" i="9"/>
  <c r="B954" i="9"/>
  <c r="E954" i="9" s="1"/>
  <c r="D953" i="9"/>
  <c r="F952" i="9"/>
  <c r="B952" i="9"/>
  <c r="E952" i="9" s="1"/>
  <c r="D951" i="9"/>
  <c r="F950" i="9"/>
  <c r="B950" i="9"/>
  <c r="E950" i="9" s="1"/>
  <c r="D949" i="9"/>
  <c r="F948" i="9"/>
  <c r="B948" i="9"/>
  <c r="E948" i="9" s="1"/>
  <c r="D947" i="9"/>
  <c r="F946" i="9"/>
  <c r="B946" i="9"/>
  <c r="E946" i="9" s="1"/>
  <c r="D945" i="9"/>
  <c r="F944" i="9"/>
  <c r="B944" i="9"/>
  <c r="E944" i="9" s="1"/>
  <c r="D943" i="9"/>
  <c r="F942" i="9"/>
  <c r="B942" i="9"/>
  <c r="E942" i="9" s="1"/>
  <c r="D941" i="9"/>
  <c r="F940" i="9"/>
  <c r="B940" i="9"/>
  <c r="E940" i="9" s="1"/>
  <c r="D939" i="9"/>
  <c r="F938" i="9"/>
  <c r="B938" i="9"/>
  <c r="E938" i="9" s="1"/>
  <c r="D937" i="9"/>
  <c r="F936" i="9"/>
  <c r="B936" i="9"/>
  <c r="E936" i="9" s="1"/>
  <c r="D935" i="9"/>
  <c r="F934" i="9"/>
  <c r="B934" i="9"/>
  <c r="E934" i="9" s="1"/>
  <c r="D933" i="9"/>
  <c r="F932" i="9"/>
  <c r="B932" i="9"/>
  <c r="E932" i="9" s="1"/>
  <c r="D931" i="9"/>
  <c r="F930" i="9"/>
  <c r="B930" i="9"/>
  <c r="E930" i="9" s="1"/>
  <c r="D929" i="9"/>
  <c r="F928" i="9"/>
  <c r="B928" i="9"/>
  <c r="E928" i="9" s="1"/>
  <c r="D927" i="9"/>
  <c r="F926" i="9"/>
  <c r="B926" i="9"/>
  <c r="E926" i="9" s="1"/>
  <c r="D925" i="9"/>
  <c r="F924" i="9"/>
  <c r="B924" i="9"/>
  <c r="E924" i="9" s="1"/>
  <c r="D923" i="9"/>
  <c r="F922" i="9"/>
  <c r="B922" i="9"/>
  <c r="E922" i="9" s="1"/>
  <c r="D921" i="9"/>
  <c r="F920" i="9"/>
  <c r="B920" i="9"/>
  <c r="E920" i="9" s="1"/>
  <c r="D919" i="9"/>
  <c r="F918" i="9"/>
  <c r="B918" i="9"/>
  <c r="E918" i="9" s="1"/>
  <c r="D917" i="9"/>
  <c r="F916" i="9"/>
  <c r="B916" i="9"/>
  <c r="E916" i="9" s="1"/>
  <c r="D915" i="9"/>
  <c r="F914" i="9"/>
  <c r="B914" i="9"/>
  <c r="E914" i="9" s="1"/>
  <c r="D913" i="9"/>
  <c r="F912" i="9"/>
  <c r="B912" i="9"/>
  <c r="E912" i="9" s="1"/>
  <c r="D911" i="9"/>
  <c r="F910" i="9"/>
  <c r="B910" i="9"/>
  <c r="E910" i="9" s="1"/>
  <c r="D909" i="9"/>
  <c r="F908" i="9"/>
  <c r="B908" i="9"/>
  <c r="E908" i="9" s="1"/>
  <c r="D907" i="9"/>
  <c r="F906" i="9"/>
  <c r="B906" i="9"/>
  <c r="E906" i="9" s="1"/>
  <c r="D905" i="9"/>
  <c r="F904" i="9"/>
  <c r="B904" i="9"/>
  <c r="E904" i="9" s="1"/>
  <c r="D903" i="9"/>
  <c r="F902" i="9"/>
  <c r="B902" i="9"/>
  <c r="E902" i="9" s="1"/>
  <c r="D901" i="9"/>
  <c r="F900" i="9"/>
  <c r="B900" i="9"/>
  <c r="E900" i="9" s="1"/>
  <c r="D899" i="9"/>
  <c r="F898" i="9"/>
  <c r="B898" i="9"/>
  <c r="E898" i="9" s="1"/>
  <c r="D897" i="9"/>
  <c r="F896" i="9"/>
  <c r="B896" i="9"/>
  <c r="E896" i="9" s="1"/>
  <c r="D895" i="9"/>
  <c r="F894" i="9"/>
  <c r="B894" i="9"/>
  <c r="E894" i="9" s="1"/>
  <c r="D893" i="9"/>
  <c r="F892" i="9"/>
  <c r="B892" i="9"/>
  <c r="E892" i="9" s="1"/>
  <c r="D891" i="9"/>
  <c r="F890" i="9"/>
  <c r="B890" i="9"/>
  <c r="E890" i="9" s="1"/>
  <c r="D889" i="9"/>
  <c r="F888" i="9"/>
  <c r="B888" i="9"/>
  <c r="E888" i="9" s="1"/>
  <c r="D887" i="9"/>
  <c r="F886" i="9"/>
  <c r="B886" i="9"/>
  <c r="E886" i="9" s="1"/>
  <c r="D885" i="9"/>
  <c r="F884" i="9"/>
  <c r="B884" i="9"/>
  <c r="E884" i="9" s="1"/>
  <c r="D883" i="9"/>
  <c r="F882" i="9"/>
  <c r="B882" i="9"/>
  <c r="E882" i="9" s="1"/>
  <c r="D881" i="9"/>
  <c r="F880" i="9"/>
  <c r="B880" i="9"/>
  <c r="E880" i="9" s="1"/>
  <c r="D879" i="9"/>
  <c r="F878" i="9"/>
  <c r="B878" i="9"/>
  <c r="E878" i="9" s="1"/>
  <c r="D877" i="9"/>
  <c r="F876" i="9"/>
  <c r="B876" i="9"/>
  <c r="E876" i="9" s="1"/>
  <c r="D875" i="9"/>
  <c r="F874" i="9"/>
  <c r="B874" i="9"/>
  <c r="E874" i="9" s="1"/>
  <c r="D873" i="9"/>
  <c r="F872" i="9"/>
  <c r="B872" i="9"/>
  <c r="E872" i="9" s="1"/>
  <c r="D871" i="9"/>
  <c r="F870" i="9"/>
  <c r="B870" i="9"/>
  <c r="E870" i="9" s="1"/>
  <c r="D869" i="9"/>
  <c r="F868" i="9"/>
  <c r="B868" i="9"/>
  <c r="E868" i="9" s="1"/>
  <c r="D867" i="9"/>
  <c r="F866" i="9"/>
  <c r="B866" i="9"/>
  <c r="E866" i="9" s="1"/>
  <c r="D865" i="9"/>
  <c r="F864" i="9"/>
  <c r="B864" i="9"/>
  <c r="E864" i="9" s="1"/>
  <c r="D863" i="9"/>
  <c r="F862" i="9"/>
  <c r="B862" i="9"/>
  <c r="E862" i="9" s="1"/>
  <c r="D861" i="9"/>
  <c r="F860" i="9"/>
  <c r="B860" i="9"/>
  <c r="E860" i="9" s="1"/>
  <c r="D859" i="9"/>
  <c r="F858" i="9"/>
  <c r="B858" i="9"/>
  <c r="E858" i="9" s="1"/>
  <c r="D857" i="9"/>
  <c r="F856" i="9"/>
  <c r="B856" i="9"/>
  <c r="E856" i="9" s="1"/>
  <c r="D855" i="9"/>
  <c r="F854" i="9"/>
  <c r="B854" i="9"/>
  <c r="E854" i="9" s="1"/>
  <c r="D853" i="9"/>
  <c r="F852" i="9"/>
  <c r="B852" i="9"/>
  <c r="E852" i="9" s="1"/>
  <c r="D851" i="9"/>
  <c r="F850" i="9"/>
  <c r="B850" i="9"/>
  <c r="E850" i="9" s="1"/>
  <c r="D849" i="9"/>
  <c r="F848" i="9"/>
  <c r="B848" i="9"/>
  <c r="E848" i="9" s="1"/>
  <c r="D847" i="9"/>
  <c r="F846" i="9"/>
  <c r="B846" i="9"/>
  <c r="E846" i="9" s="1"/>
  <c r="D845" i="9"/>
  <c r="F844" i="9"/>
  <c r="B844" i="9"/>
  <c r="E844" i="9" s="1"/>
  <c r="D843" i="9"/>
  <c r="F842" i="9"/>
  <c r="B842" i="9"/>
  <c r="E842" i="9" s="1"/>
  <c r="D841" i="9"/>
  <c r="F840" i="9"/>
  <c r="B840" i="9"/>
  <c r="E840" i="9" s="1"/>
  <c r="D839" i="9"/>
  <c r="F838" i="9"/>
  <c r="B838" i="9"/>
  <c r="E838" i="9" s="1"/>
  <c r="D837" i="9"/>
  <c r="F836" i="9"/>
  <c r="B836" i="9"/>
  <c r="E836" i="9" s="1"/>
  <c r="D835" i="9"/>
  <c r="F834" i="9"/>
  <c r="B834" i="9"/>
  <c r="E834" i="9" s="1"/>
  <c r="D833" i="9"/>
  <c r="F832" i="9"/>
  <c r="B832" i="9"/>
  <c r="E832" i="9" s="1"/>
  <c r="D831" i="9"/>
  <c r="F830" i="9"/>
  <c r="B830" i="9"/>
  <c r="E830" i="9" s="1"/>
  <c r="D829" i="9"/>
  <c r="F828" i="9"/>
  <c r="B828" i="9"/>
  <c r="E828" i="9" s="1"/>
  <c r="D827" i="9"/>
  <c r="F826" i="9"/>
  <c r="B826" i="9"/>
  <c r="E826" i="9" s="1"/>
  <c r="D825" i="9"/>
  <c r="F824" i="9"/>
  <c r="B824" i="9"/>
  <c r="E824" i="9" s="1"/>
  <c r="D823" i="9"/>
  <c r="F822" i="9"/>
  <c r="B822" i="9"/>
  <c r="E822" i="9" s="1"/>
  <c r="D821" i="9"/>
  <c r="F820" i="9"/>
  <c r="B820" i="9"/>
  <c r="E820" i="9" s="1"/>
  <c r="D819" i="9"/>
  <c r="F818" i="9"/>
  <c r="B818" i="9"/>
  <c r="E818" i="9" s="1"/>
  <c r="D817" i="9"/>
  <c r="F816" i="9"/>
  <c r="B816" i="9"/>
  <c r="E816" i="9" s="1"/>
  <c r="D815" i="9"/>
  <c r="F814" i="9"/>
  <c r="B814" i="9"/>
  <c r="E814" i="9" s="1"/>
  <c r="D813" i="9"/>
  <c r="F812" i="9"/>
  <c r="B812" i="9"/>
  <c r="E812" i="9" s="1"/>
  <c r="D811" i="9"/>
  <c r="F810" i="9"/>
  <c r="B810" i="9"/>
  <c r="E810" i="9" s="1"/>
  <c r="D809" i="9"/>
  <c r="F808" i="9"/>
  <c r="B808" i="9"/>
  <c r="E808" i="9" s="1"/>
  <c r="D807" i="9"/>
  <c r="F806" i="9"/>
  <c r="B806" i="9"/>
  <c r="E806" i="9" s="1"/>
  <c r="D805" i="9"/>
  <c r="F804" i="9"/>
  <c r="B804" i="9"/>
  <c r="E804" i="9" s="1"/>
  <c r="D803" i="9"/>
  <c r="F802" i="9"/>
  <c r="B802" i="9"/>
  <c r="E802" i="9" s="1"/>
  <c r="D801" i="9"/>
  <c r="F800" i="9"/>
  <c r="B800" i="9"/>
  <c r="E800" i="9" s="1"/>
  <c r="D799" i="9"/>
  <c r="F798" i="9"/>
  <c r="B798" i="9"/>
  <c r="E798" i="9" s="1"/>
  <c r="D797" i="9"/>
  <c r="F796" i="9"/>
  <c r="B796" i="9"/>
  <c r="E796" i="9" s="1"/>
  <c r="D795" i="9"/>
  <c r="F794" i="9"/>
  <c r="B794" i="9"/>
  <c r="E794" i="9" s="1"/>
  <c r="D793" i="9"/>
  <c r="F792" i="9"/>
  <c r="B792" i="9"/>
  <c r="E792" i="9" s="1"/>
  <c r="D791" i="9"/>
  <c r="F790" i="9"/>
  <c r="B790" i="9"/>
  <c r="E790" i="9" s="1"/>
  <c r="D789" i="9"/>
  <c r="F788" i="9"/>
  <c r="B788" i="9"/>
  <c r="E788" i="9" s="1"/>
  <c r="D787" i="9"/>
  <c r="F786" i="9"/>
  <c r="B786" i="9"/>
  <c r="E786" i="9" s="1"/>
  <c r="D785" i="9"/>
  <c r="F784" i="9"/>
  <c r="B784" i="9"/>
  <c r="E784" i="9" s="1"/>
  <c r="D783" i="9"/>
  <c r="F782" i="9"/>
  <c r="B782" i="9"/>
  <c r="E782" i="9" s="1"/>
  <c r="D781" i="9"/>
  <c r="F780" i="9"/>
  <c r="B780" i="9"/>
  <c r="E780" i="9" s="1"/>
  <c r="D779" i="9"/>
  <c r="F778" i="9"/>
  <c r="B778" i="9"/>
  <c r="E778" i="9" s="1"/>
  <c r="D777" i="9"/>
  <c r="F776" i="9"/>
  <c r="B776" i="9"/>
  <c r="E776" i="9" s="1"/>
  <c r="D775" i="9"/>
  <c r="F774" i="9"/>
  <c r="B774" i="9"/>
  <c r="E774" i="9" s="1"/>
  <c r="D773" i="9"/>
  <c r="F772" i="9"/>
  <c r="B772" i="9"/>
  <c r="E772" i="9" s="1"/>
  <c r="D771" i="9"/>
  <c r="F770" i="9"/>
  <c r="B770" i="9"/>
  <c r="E770" i="9" s="1"/>
  <c r="D769" i="9"/>
  <c r="F768" i="9"/>
  <c r="B768" i="9"/>
  <c r="E768" i="9" s="1"/>
  <c r="D767" i="9"/>
  <c r="F766" i="9"/>
  <c r="B766" i="9"/>
  <c r="E766" i="9" s="1"/>
  <c r="D765" i="9"/>
  <c r="F764" i="9"/>
  <c r="B764" i="9"/>
  <c r="E764" i="9" s="1"/>
  <c r="D763" i="9"/>
  <c r="F762" i="9"/>
  <c r="B762" i="9"/>
  <c r="E762" i="9" s="1"/>
  <c r="D761" i="9"/>
  <c r="F760" i="9"/>
  <c r="B760" i="9"/>
  <c r="E760" i="9" s="1"/>
  <c r="D759" i="9"/>
  <c r="F758" i="9"/>
  <c r="B758" i="9"/>
  <c r="E758" i="9" s="1"/>
  <c r="D757" i="9"/>
  <c r="F756" i="9"/>
  <c r="B756" i="9"/>
  <c r="E756" i="9" s="1"/>
  <c r="D755" i="9"/>
  <c r="F754" i="9"/>
  <c r="B754" i="9"/>
  <c r="E754" i="9" s="1"/>
  <c r="D753" i="9"/>
  <c r="F752" i="9"/>
  <c r="B752" i="9"/>
  <c r="E752" i="9" s="1"/>
  <c r="D751" i="9"/>
  <c r="F750" i="9"/>
  <c r="B750" i="9"/>
  <c r="E750" i="9" s="1"/>
  <c r="D749" i="9"/>
  <c r="F748" i="9"/>
  <c r="B748" i="9"/>
  <c r="E748" i="9" s="1"/>
  <c r="D747" i="9"/>
  <c r="F746" i="9"/>
  <c r="B746" i="9"/>
  <c r="E746" i="9" s="1"/>
  <c r="D745" i="9"/>
  <c r="F744" i="9"/>
  <c r="B744" i="9"/>
  <c r="E744" i="9" s="1"/>
  <c r="D743" i="9"/>
  <c r="F742" i="9"/>
  <c r="B742" i="9"/>
  <c r="E742" i="9" s="1"/>
  <c r="D741" i="9"/>
  <c r="F740" i="9"/>
  <c r="B740" i="9"/>
  <c r="E740" i="9" s="1"/>
  <c r="D739" i="9"/>
  <c r="F738" i="9"/>
  <c r="B738" i="9"/>
  <c r="E738" i="9" s="1"/>
  <c r="D737" i="9"/>
  <c r="F736" i="9"/>
  <c r="B736" i="9"/>
  <c r="E736" i="9" s="1"/>
  <c r="D735" i="9"/>
  <c r="F734" i="9"/>
  <c r="B734" i="9"/>
  <c r="E734" i="9" s="1"/>
  <c r="D733" i="9"/>
  <c r="F732" i="9"/>
  <c r="B732" i="9"/>
  <c r="E732" i="9" s="1"/>
  <c r="D731" i="9"/>
  <c r="F730" i="9"/>
  <c r="B730" i="9"/>
  <c r="E730" i="9" s="1"/>
  <c r="D729" i="9"/>
  <c r="F728" i="9"/>
  <c r="B728" i="9"/>
  <c r="E728" i="9" s="1"/>
  <c r="D727" i="9"/>
  <c r="F726" i="9"/>
  <c r="B726" i="9"/>
  <c r="E726" i="9" s="1"/>
  <c r="D725" i="9"/>
  <c r="F2000" i="9"/>
  <c r="D1996" i="9"/>
  <c r="F1992" i="9"/>
  <c r="F1988" i="9"/>
  <c r="F1984" i="9"/>
  <c r="F1981" i="9"/>
  <c r="F1977" i="9"/>
  <c r="F1973" i="9"/>
  <c r="A1970" i="9"/>
  <c r="F1962" i="9"/>
  <c r="B1955" i="9"/>
  <c r="E1955" i="9" s="1"/>
  <c r="B1951" i="9"/>
  <c r="E1951" i="9" s="1"/>
  <c r="F1947" i="9"/>
  <c r="B1944" i="9"/>
  <c r="E1944" i="9" s="1"/>
  <c r="F1939" i="9"/>
  <c r="B1936" i="9"/>
  <c r="E1936" i="9" s="1"/>
  <c r="C1933" i="9"/>
  <c r="F1928" i="9"/>
  <c r="C1925" i="9"/>
  <c r="F1921" i="9"/>
  <c r="C1917" i="9"/>
  <c r="B1914" i="9"/>
  <c r="E1914" i="9" s="1"/>
  <c r="B1906" i="9"/>
  <c r="E1906" i="9" s="1"/>
  <c r="D1899" i="9"/>
  <c r="C1895" i="9"/>
  <c r="F1891" i="9"/>
  <c r="D1887" i="9"/>
  <c r="F1883" i="9"/>
  <c r="D1880" i="9"/>
  <c r="F1872" i="9"/>
  <c r="F1865" i="9"/>
  <c r="D1861" i="9"/>
  <c r="F1857" i="9"/>
  <c r="B1854" i="9"/>
  <c r="E1854" i="9" s="1"/>
  <c r="F1849" i="9"/>
  <c r="D1847" i="9"/>
  <c r="F1844" i="9"/>
  <c r="D1841" i="9"/>
  <c r="F1838" i="9"/>
  <c r="D1836" i="9"/>
  <c r="C1833" i="9"/>
  <c r="A1828" i="9"/>
  <c r="B1822" i="9"/>
  <c r="E1822" i="9" s="1"/>
  <c r="D1819" i="9"/>
  <c r="D1816" i="9"/>
  <c r="F1813" i="9"/>
  <c r="C1811" i="9"/>
  <c r="A1808" i="9"/>
  <c r="C1805" i="9"/>
  <c r="D1802" i="9"/>
  <c r="D1799" i="9"/>
  <c r="B1797" i="9"/>
  <c r="E1797" i="9" s="1"/>
  <c r="B1794" i="9"/>
  <c r="E1794" i="9" s="1"/>
  <c r="B1791" i="9"/>
  <c r="E1791" i="9" s="1"/>
  <c r="B1788" i="9"/>
  <c r="E1788" i="9" s="1"/>
  <c r="F1785" i="9"/>
  <c r="F1782" i="9"/>
  <c r="A1780" i="9"/>
  <c r="C1777" i="9"/>
  <c r="A1774" i="9"/>
  <c r="D1771" i="9"/>
  <c r="F1768" i="9"/>
  <c r="F1765" i="9"/>
  <c r="B1763" i="9"/>
  <c r="E1763" i="9" s="1"/>
  <c r="C1757" i="9"/>
  <c r="A1752" i="9"/>
  <c r="F1748" i="9"/>
  <c r="D1746" i="9"/>
  <c r="F1743" i="9"/>
  <c r="D1740" i="9"/>
  <c r="F1737" i="9"/>
  <c r="D1735" i="9"/>
  <c r="B1732" i="9"/>
  <c r="E1732" i="9" s="1"/>
  <c r="D1729" i="9"/>
  <c r="D1723" i="9"/>
  <c r="C1721" i="9"/>
  <c r="B1718" i="9"/>
  <c r="E1718" i="9" s="1"/>
  <c r="C1715" i="9"/>
  <c r="D1712" i="9"/>
  <c r="A1710" i="9"/>
  <c r="B1707" i="9"/>
  <c r="E1707" i="9" s="1"/>
  <c r="A1704" i="9"/>
  <c r="C1701" i="9"/>
  <c r="B1698" i="9"/>
  <c r="E1698" i="9" s="1"/>
  <c r="F1695" i="9"/>
  <c r="B1693" i="9"/>
  <c r="E1693" i="9" s="1"/>
  <c r="F1689" i="9"/>
  <c r="B1687" i="9"/>
  <c r="E1687" i="9" s="1"/>
  <c r="C1685" i="9"/>
  <c r="F1682" i="9"/>
  <c r="F1680" i="9"/>
  <c r="F1678" i="9"/>
  <c r="D1676" i="9"/>
  <c r="B1670" i="9"/>
  <c r="E1670" i="9" s="1"/>
  <c r="B1668" i="9"/>
  <c r="E1668" i="9" s="1"/>
  <c r="D1666" i="9"/>
  <c r="A1664" i="9"/>
  <c r="A1662" i="9"/>
  <c r="F1659" i="9"/>
  <c r="D1657" i="9"/>
  <c r="F1655" i="9"/>
  <c r="D1653" i="9"/>
  <c r="C1651" i="9"/>
  <c r="B1649" i="9"/>
  <c r="E1649" i="9" s="1"/>
  <c r="C1647" i="9"/>
  <c r="B1645" i="9"/>
  <c r="E1645" i="9" s="1"/>
  <c r="F1642" i="9"/>
  <c r="F1640" i="9"/>
  <c r="D1638" i="9"/>
  <c r="B1632" i="9"/>
  <c r="E1632" i="9" s="1"/>
  <c r="B1630" i="9"/>
  <c r="E1630" i="9" s="1"/>
  <c r="D1628" i="9"/>
  <c r="A1626" i="9"/>
  <c r="A1624" i="9"/>
  <c r="A1622" i="9"/>
  <c r="D1619" i="9"/>
  <c r="F1617" i="9"/>
  <c r="F1615" i="9"/>
  <c r="C1613" i="9"/>
  <c r="C1611" i="9"/>
  <c r="D1609" i="9"/>
  <c r="B1607" i="9"/>
  <c r="E1607" i="9" s="1"/>
  <c r="B1605" i="9"/>
  <c r="E1605" i="9" s="1"/>
  <c r="F1602" i="9"/>
  <c r="F1598" i="9"/>
  <c r="B1593" i="9"/>
  <c r="E1593" i="9" s="1"/>
  <c r="F1591" i="9"/>
  <c r="A1590" i="9"/>
  <c r="D1588" i="9"/>
  <c r="F1586" i="9"/>
  <c r="B1585" i="9"/>
  <c r="E1585" i="9" s="1"/>
  <c r="F1583" i="9"/>
  <c r="B1582" i="9"/>
  <c r="E1582" i="9" s="1"/>
  <c r="D1580" i="9"/>
  <c r="F1578" i="9"/>
  <c r="D1577" i="9"/>
  <c r="F1575" i="9"/>
  <c r="B1574" i="9"/>
  <c r="E1574" i="9" s="1"/>
  <c r="F1570" i="9"/>
  <c r="D1569" i="9"/>
  <c r="A1568" i="9"/>
  <c r="B1566" i="9"/>
  <c r="E1566" i="9" s="1"/>
  <c r="C1563" i="9"/>
  <c r="D1561" i="9"/>
  <c r="A1560" i="9"/>
  <c r="D1558" i="9"/>
  <c r="C1555" i="9"/>
  <c r="F1553" i="9"/>
  <c r="A1552" i="9"/>
  <c r="D1550" i="9"/>
  <c r="B1549" i="9"/>
  <c r="E1549" i="9" s="1"/>
  <c r="C1547" i="9"/>
  <c r="F1545" i="9"/>
  <c r="B1544" i="9"/>
  <c r="E1544" i="9" s="1"/>
  <c r="D1542" i="9"/>
  <c r="B1541" i="9"/>
  <c r="E1541" i="9" s="1"/>
  <c r="D1539" i="9"/>
  <c r="F1537" i="9"/>
  <c r="B1536" i="9"/>
  <c r="E1536" i="9" s="1"/>
  <c r="A1535" i="9"/>
  <c r="D1532" i="9"/>
  <c r="C1531" i="9"/>
  <c r="A1530" i="9"/>
  <c r="A1529" i="9"/>
  <c r="F1527" i="9"/>
  <c r="D1526" i="9"/>
  <c r="C1525" i="9"/>
  <c r="C1524" i="9"/>
  <c r="A1523" i="9"/>
  <c r="F1521" i="9"/>
  <c r="C1519" i="9"/>
  <c r="C1518" i="9"/>
  <c r="B1517" i="9"/>
  <c r="E1517" i="9" s="1"/>
  <c r="F1515" i="9"/>
  <c r="C1512" i="9"/>
  <c r="B1511" i="9"/>
  <c r="E1511" i="9" s="1"/>
  <c r="A1510" i="9"/>
  <c r="D1506" i="9"/>
  <c r="B1505" i="9"/>
  <c r="E1505" i="9" s="1"/>
  <c r="A1504" i="9"/>
  <c r="A1503" i="9"/>
  <c r="D1500" i="9"/>
  <c r="C1499" i="9"/>
  <c r="A1498" i="9"/>
  <c r="A1497" i="9"/>
  <c r="F1495" i="9"/>
  <c r="D1494" i="9"/>
  <c r="C1493" i="9"/>
  <c r="C1492" i="9"/>
  <c r="A1491" i="9"/>
  <c r="F1489" i="9"/>
  <c r="C1487" i="9"/>
  <c r="C1486" i="9"/>
  <c r="B1485" i="9"/>
  <c r="E1485" i="9" s="1"/>
  <c r="F1483" i="9"/>
  <c r="C1480" i="9"/>
  <c r="B1479" i="9"/>
  <c r="E1479" i="9" s="1"/>
  <c r="A1478" i="9"/>
  <c r="D1474" i="9"/>
  <c r="B1473" i="9"/>
  <c r="E1473" i="9" s="1"/>
  <c r="A1472" i="9"/>
  <c r="A1471" i="9"/>
  <c r="D1468" i="9"/>
  <c r="C1467" i="9"/>
  <c r="A1466" i="9"/>
  <c r="A1465" i="9"/>
  <c r="F1463" i="9"/>
  <c r="D1462" i="9"/>
  <c r="C1461" i="9"/>
  <c r="C1460" i="9"/>
  <c r="A1459" i="9"/>
  <c r="F1457" i="9"/>
  <c r="C1455" i="9"/>
  <c r="C1454" i="9"/>
  <c r="B1453" i="9"/>
  <c r="E1453" i="9" s="1"/>
  <c r="F1451" i="9"/>
  <c r="C1448" i="9"/>
  <c r="B1447" i="9"/>
  <c r="E1447" i="9" s="1"/>
  <c r="A1446" i="9"/>
  <c r="D1442" i="9"/>
  <c r="B1441" i="9"/>
  <c r="E1441" i="9" s="1"/>
  <c r="A1440" i="9"/>
  <c r="A1439" i="9"/>
  <c r="D1436" i="9"/>
  <c r="C1435" i="9"/>
  <c r="A1434" i="9"/>
  <c r="A1433" i="9"/>
  <c r="F1431" i="9"/>
  <c r="D1430" i="9"/>
  <c r="C1429" i="9"/>
  <c r="C1428" i="9"/>
  <c r="A1427" i="9"/>
  <c r="F1425" i="9"/>
  <c r="C1423" i="9"/>
  <c r="C1422" i="9"/>
  <c r="B1421" i="9"/>
  <c r="E1421" i="9" s="1"/>
  <c r="F1419" i="9"/>
  <c r="C1416" i="9"/>
  <c r="B1415" i="9"/>
  <c r="E1415" i="9" s="1"/>
  <c r="A1414" i="9"/>
  <c r="D1410" i="9"/>
  <c r="B1409" i="9"/>
  <c r="E1409" i="9" s="1"/>
  <c r="A1408" i="9"/>
  <c r="A1407" i="9"/>
  <c r="D1404" i="9"/>
  <c r="C1403" i="9"/>
  <c r="A1402" i="9"/>
  <c r="A1401" i="9"/>
  <c r="F1399" i="9"/>
  <c r="D1398" i="9"/>
  <c r="C1397" i="9"/>
  <c r="C1396" i="9"/>
  <c r="A1395" i="9"/>
  <c r="F1393" i="9"/>
  <c r="C1391" i="9"/>
  <c r="C1390" i="9"/>
  <c r="B1389" i="9"/>
  <c r="E1389" i="9" s="1"/>
  <c r="F1387" i="9"/>
  <c r="C1384" i="9"/>
  <c r="B1383" i="9"/>
  <c r="E1383" i="9" s="1"/>
  <c r="A1382" i="9"/>
  <c r="D1378" i="9"/>
  <c r="B1377" i="9"/>
  <c r="E1377" i="9" s="1"/>
  <c r="A1376" i="9"/>
  <c r="A1375" i="9"/>
  <c r="D1372" i="9"/>
  <c r="C1371" i="9"/>
  <c r="A1370" i="9"/>
  <c r="A1369" i="9"/>
  <c r="F1367" i="9"/>
  <c r="D1366" i="9"/>
  <c r="C1365" i="9"/>
  <c r="C1364" i="9"/>
  <c r="A1363" i="9"/>
  <c r="F1361" i="9"/>
  <c r="C1359" i="9"/>
  <c r="C1358" i="9"/>
  <c r="B1357" i="9"/>
  <c r="E1357" i="9" s="1"/>
  <c r="F1355" i="9"/>
  <c r="C1352" i="9"/>
  <c r="B1351" i="9"/>
  <c r="E1351" i="9" s="1"/>
  <c r="A1350" i="9"/>
  <c r="D1346" i="9"/>
  <c r="B1345" i="9"/>
  <c r="E1345" i="9" s="1"/>
  <c r="A1344" i="9"/>
  <c r="A1343" i="9"/>
  <c r="D1340" i="9"/>
  <c r="C1339" i="9"/>
  <c r="A1338" i="9"/>
  <c r="A1337" i="9"/>
  <c r="F1335" i="9"/>
  <c r="D1334" i="9"/>
  <c r="C1333" i="9"/>
  <c r="C1332" i="9"/>
  <c r="A1331" i="9"/>
  <c r="F1329" i="9"/>
  <c r="C1327" i="9"/>
  <c r="C1326" i="9"/>
  <c r="B1325" i="9"/>
  <c r="E1325" i="9" s="1"/>
  <c r="F1323" i="9"/>
  <c r="C1320" i="9"/>
  <c r="B1319" i="9"/>
  <c r="E1319" i="9" s="1"/>
  <c r="A1318" i="9"/>
  <c r="D1314" i="9"/>
  <c r="B1313" i="9"/>
  <c r="E1313" i="9" s="1"/>
  <c r="A1312" i="9"/>
  <c r="A1311" i="9"/>
  <c r="D1308" i="9"/>
  <c r="C1307" i="9"/>
  <c r="A1306" i="9"/>
  <c r="A1305" i="9"/>
  <c r="F1303" i="9"/>
  <c r="D1302" i="9"/>
  <c r="C1301" i="9"/>
  <c r="C1300" i="9"/>
  <c r="A1299" i="9"/>
  <c r="F1297" i="9"/>
  <c r="C1295" i="9"/>
  <c r="D1294" i="9"/>
  <c r="F1291" i="9"/>
  <c r="A1291" i="9"/>
  <c r="A1290" i="9"/>
  <c r="B1289" i="9"/>
  <c r="E1289" i="9" s="1"/>
  <c r="C1288" i="9"/>
  <c r="C1287" i="9"/>
  <c r="D1286" i="9"/>
  <c r="F1283" i="9"/>
  <c r="A1283" i="9"/>
  <c r="A1282" i="9"/>
  <c r="B1281" i="9"/>
  <c r="E1281" i="9" s="1"/>
  <c r="C1280" i="9"/>
  <c r="C1279" i="9"/>
  <c r="D1278" i="9"/>
  <c r="F1275" i="9"/>
  <c r="A1275" i="9"/>
  <c r="A1274" i="9"/>
  <c r="B1273" i="9"/>
  <c r="E1273" i="9" s="1"/>
  <c r="C1272" i="9"/>
  <c r="C1271" i="9"/>
  <c r="D1270" i="9"/>
  <c r="F1267" i="9"/>
  <c r="A1267" i="9"/>
  <c r="A1266" i="9"/>
  <c r="B1265" i="9"/>
  <c r="E1265" i="9" s="1"/>
  <c r="C1264" i="9"/>
  <c r="C1263" i="9"/>
  <c r="D1262" i="9"/>
  <c r="F1259" i="9"/>
  <c r="A1259" i="9"/>
  <c r="A1258" i="9"/>
  <c r="B1257" i="9"/>
  <c r="E1257" i="9" s="1"/>
  <c r="C1256" i="9"/>
  <c r="C1255" i="9"/>
  <c r="D1254" i="9"/>
  <c r="F1251" i="9"/>
  <c r="A1251" i="9"/>
  <c r="A1250" i="9"/>
  <c r="B1249" i="9"/>
  <c r="E1249" i="9" s="1"/>
  <c r="C1248" i="9"/>
  <c r="C1247" i="9"/>
  <c r="D1246" i="9"/>
  <c r="F1243" i="9"/>
  <c r="A1243" i="9"/>
  <c r="A1242" i="9"/>
  <c r="B1241" i="9"/>
  <c r="E1241" i="9" s="1"/>
  <c r="C1240" i="9"/>
  <c r="C1239" i="9"/>
  <c r="D1238" i="9"/>
  <c r="F1235" i="9"/>
  <c r="A1235" i="9"/>
  <c r="A1234" i="9"/>
  <c r="B1233" i="9"/>
  <c r="E1233" i="9" s="1"/>
  <c r="C1232" i="9"/>
  <c r="C1231" i="9"/>
  <c r="D1230" i="9"/>
  <c r="F1227" i="9"/>
  <c r="A1227" i="9"/>
  <c r="A1226" i="9"/>
  <c r="B1225" i="9"/>
  <c r="E1225" i="9" s="1"/>
  <c r="C1224" i="9"/>
  <c r="C1223" i="9"/>
  <c r="D1222" i="9"/>
  <c r="F1219" i="9"/>
  <c r="A1219" i="9"/>
  <c r="A1218" i="9"/>
  <c r="B1217" i="9"/>
  <c r="E1217" i="9" s="1"/>
  <c r="C1216" i="9"/>
  <c r="C1215" i="9"/>
  <c r="D1214" i="9"/>
  <c r="F1211" i="9"/>
  <c r="A1211" i="9"/>
  <c r="A1210" i="9"/>
  <c r="B1209" i="9"/>
  <c r="E1209" i="9" s="1"/>
  <c r="C1208" i="9"/>
  <c r="C1207" i="9"/>
  <c r="D1206" i="9"/>
  <c r="F1203" i="9"/>
  <c r="A1203" i="9"/>
  <c r="A1202" i="9"/>
  <c r="B1201" i="9"/>
  <c r="E1201" i="9" s="1"/>
  <c r="C1200" i="9"/>
  <c r="C1199" i="9"/>
  <c r="D1198" i="9"/>
  <c r="F1195" i="9"/>
  <c r="A1195" i="9"/>
  <c r="A1194" i="9"/>
  <c r="B1193" i="9"/>
  <c r="E1193" i="9" s="1"/>
  <c r="C1192" i="9"/>
  <c r="C1191" i="9"/>
  <c r="D1190" i="9"/>
  <c r="F1187" i="9"/>
  <c r="A1187" i="9"/>
  <c r="A1186" i="9"/>
  <c r="B1185" i="9"/>
  <c r="E1185" i="9" s="1"/>
  <c r="C1184" i="9"/>
  <c r="C1183" i="9"/>
  <c r="D1182" i="9"/>
  <c r="F1179" i="9"/>
  <c r="A1179" i="9"/>
  <c r="A1178" i="9"/>
  <c r="B1177" i="9"/>
  <c r="E1177" i="9" s="1"/>
  <c r="C1176" i="9"/>
  <c r="C1175" i="9"/>
  <c r="D1174" i="9"/>
  <c r="F1171" i="9"/>
  <c r="A1171" i="9"/>
  <c r="A1170" i="9"/>
  <c r="B1169" i="9"/>
  <c r="E1169" i="9" s="1"/>
  <c r="C1168" i="9"/>
  <c r="C1167" i="9"/>
  <c r="D1166" i="9"/>
  <c r="F1163" i="9"/>
  <c r="A1163" i="9"/>
  <c r="A1162" i="9"/>
  <c r="B1161" i="9"/>
  <c r="E1161" i="9" s="1"/>
  <c r="C1160" i="9"/>
  <c r="C1159" i="9"/>
  <c r="D1158" i="9"/>
  <c r="F1155" i="9"/>
  <c r="A1155" i="9"/>
  <c r="A1154" i="9"/>
  <c r="B1153" i="9"/>
  <c r="E1153" i="9" s="1"/>
  <c r="C1152" i="9"/>
  <c r="C1151" i="9"/>
  <c r="D1150" i="9"/>
  <c r="F1147" i="9"/>
  <c r="A1147" i="9"/>
  <c r="A1146" i="9"/>
  <c r="B1145" i="9"/>
  <c r="E1145" i="9" s="1"/>
  <c r="C1144" i="9"/>
  <c r="C1143" i="9"/>
  <c r="D1142" i="9"/>
  <c r="F1139" i="9"/>
  <c r="A1139" i="9"/>
  <c r="A1138" i="9"/>
  <c r="B1137" i="9"/>
  <c r="E1137" i="9" s="1"/>
  <c r="C1136" i="9"/>
  <c r="C1135" i="9"/>
  <c r="D1134" i="9"/>
  <c r="F1131" i="9"/>
  <c r="A1131" i="9"/>
  <c r="A1130" i="9"/>
  <c r="B1129" i="9"/>
  <c r="E1129" i="9" s="1"/>
  <c r="C1128" i="9"/>
  <c r="C1127" i="9"/>
  <c r="D1126" i="9"/>
  <c r="F1123" i="9"/>
  <c r="A1123" i="9"/>
  <c r="A1122" i="9"/>
  <c r="B1121" i="9"/>
  <c r="E1121" i="9" s="1"/>
  <c r="C1120" i="9"/>
  <c r="C1119" i="9"/>
  <c r="D1118" i="9"/>
  <c r="F1115" i="9"/>
  <c r="A1115" i="9"/>
  <c r="A1114" i="9"/>
  <c r="B1113" i="9"/>
  <c r="E1113" i="9" s="1"/>
  <c r="C1112" i="9"/>
  <c r="C1111" i="9"/>
  <c r="D1110" i="9"/>
  <c r="F1107" i="9"/>
  <c r="A1107" i="9"/>
  <c r="A1106" i="9"/>
  <c r="B1105" i="9"/>
  <c r="E1105" i="9" s="1"/>
  <c r="C1104" i="9"/>
  <c r="C1103" i="9"/>
  <c r="D1102" i="9"/>
  <c r="F1099" i="9"/>
  <c r="A1099" i="9"/>
  <c r="A1098" i="9"/>
  <c r="B1097" i="9"/>
  <c r="E1097" i="9" s="1"/>
  <c r="C1096" i="9"/>
  <c r="C1095" i="9"/>
  <c r="D1094" i="9"/>
  <c r="F1091" i="9"/>
  <c r="A1091" i="9"/>
  <c r="A1090" i="9"/>
  <c r="B1089" i="9"/>
  <c r="E1089" i="9" s="1"/>
  <c r="C1088" i="9"/>
  <c r="C1087" i="9"/>
  <c r="D1086" i="9"/>
  <c r="F1083" i="9"/>
  <c r="A1083" i="9"/>
  <c r="A1082" i="9"/>
  <c r="B1081" i="9"/>
  <c r="E1081" i="9" s="1"/>
  <c r="C1080" i="9"/>
  <c r="C1079" i="9"/>
  <c r="D1078" i="9"/>
  <c r="F1075" i="9"/>
  <c r="A1075" i="9"/>
  <c r="A1074" i="9"/>
  <c r="B1073" i="9"/>
  <c r="E1073" i="9" s="1"/>
  <c r="C1072" i="9"/>
  <c r="C1071" i="9"/>
  <c r="D1070" i="9"/>
  <c r="F1067" i="9"/>
  <c r="A1067" i="9"/>
  <c r="A1066" i="9"/>
  <c r="B1065" i="9"/>
  <c r="E1065" i="9" s="1"/>
  <c r="C1064" i="9"/>
  <c r="C1063" i="9"/>
  <c r="D1062" i="9"/>
  <c r="F1059" i="9"/>
  <c r="A1059" i="9"/>
  <c r="A1058" i="9"/>
  <c r="B1057" i="9"/>
  <c r="E1057" i="9" s="1"/>
  <c r="C1056" i="9"/>
  <c r="C1055" i="9"/>
  <c r="D1054" i="9"/>
  <c r="F1051" i="9"/>
  <c r="A1051" i="9"/>
  <c r="A1050" i="9"/>
  <c r="B1049" i="9"/>
  <c r="E1049" i="9" s="1"/>
  <c r="C1048" i="9"/>
  <c r="C1047" i="9"/>
  <c r="D1046" i="9"/>
  <c r="F1043" i="9"/>
  <c r="A1043" i="9"/>
  <c r="A1042" i="9"/>
  <c r="B1041" i="9"/>
  <c r="E1041" i="9" s="1"/>
  <c r="C1040" i="9"/>
  <c r="C1039" i="9"/>
  <c r="D1038" i="9"/>
  <c r="F1035" i="9"/>
  <c r="A1035" i="9"/>
  <c r="A1034" i="9"/>
  <c r="B1033" i="9"/>
  <c r="E1033" i="9" s="1"/>
  <c r="C1032" i="9"/>
  <c r="C1031" i="9"/>
  <c r="D1030" i="9"/>
  <c r="F1027" i="9"/>
  <c r="A1027" i="9"/>
  <c r="A1026" i="9"/>
  <c r="B1025" i="9"/>
  <c r="E1025" i="9" s="1"/>
  <c r="C1024" i="9"/>
  <c r="C1023" i="9"/>
  <c r="D1022" i="9"/>
  <c r="F1019" i="9"/>
  <c r="A1019" i="9"/>
  <c r="A1018" i="9"/>
  <c r="B1017" i="9"/>
  <c r="E1017" i="9" s="1"/>
  <c r="C1016" i="9"/>
  <c r="C1015" i="9"/>
  <c r="D1014" i="9"/>
  <c r="F1011" i="9"/>
  <c r="A1011" i="9"/>
  <c r="A1010" i="9"/>
  <c r="B1009" i="9"/>
  <c r="E1009" i="9" s="1"/>
  <c r="C1008" i="9"/>
  <c r="C1007" i="9"/>
  <c r="D1006" i="9"/>
  <c r="F1003" i="9"/>
  <c r="A1003" i="9"/>
  <c r="A1002" i="9"/>
  <c r="B1001" i="9"/>
  <c r="E1001" i="9" s="1"/>
  <c r="C1000" i="9"/>
  <c r="C999" i="9"/>
  <c r="D998" i="9"/>
  <c r="F995" i="9"/>
  <c r="A995" i="9"/>
  <c r="A994" i="9"/>
  <c r="B993" i="9"/>
  <c r="E993" i="9" s="1"/>
  <c r="C992" i="9"/>
  <c r="C991" i="9"/>
  <c r="D990" i="9"/>
  <c r="F987" i="9"/>
  <c r="A987" i="9"/>
  <c r="A986" i="9"/>
  <c r="B985" i="9"/>
  <c r="E985" i="9" s="1"/>
  <c r="C984" i="9"/>
  <c r="C983" i="9"/>
  <c r="D982" i="9"/>
  <c r="F979" i="9"/>
  <c r="A979" i="9"/>
  <c r="A978" i="9"/>
  <c r="B977" i="9"/>
  <c r="E977" i="9" s="1"/>
  <c r="C976" i="9"/>
  <c r="C975" i="9"/>
  <c r="D974" i="9"/>
  <c r="F971" i="9"/>
  <c r="A971" i="9"/>
  <c r="A970" i="9"/>
  <c r="B969" i="9"/>
  <c r="E969" i="9" s="1"/>
  <c r="C968" i="9"/>
  <c r="C967" i="9"/>
  <c r="D966" i="9"/>
  <c r="F963" i="9"/>
  <c r="A963" i="9"/>
  <c r="A962" i="9"/>
  <c r="B961" i="9"/>
  <c r="E961" i="9" s="1"/>
  <c r="C960" i="9"/>
  <c r="C959" i="9"/>
  <c r="D958" i="9"/>
  <c r="F955" i="9"/>
  <c r="A955" i="9"/>
  <c r="A954" i="9"/>
  <c r="B953" i="9"/>
  <c r="E953" i="9" s="1"/>
  <c r="C952" i="9"/>
  <c r="C951" i="9"/>
  <c r="D950" i="9"/>
  <c r="F947" i="9"/>
  <c r="A947" i="9"/>
  <c r="A946" i="9"/>
  <c r="B945" i="9"/>
  <c r="E945" i="9" s="1"/>
  <c r="C944" i="9"/>
  <c r="C943" i="9"/>
  <c r="D942" i="9"/>
  <c r="F939" i="9"/>
  <c r="A939" i="9"/>
  <c r="A938" i="9"/>
  <c r="B937" i="9"/>
  <c r="E937" i="9" s="1"/>
  <c r="C936" i="9"/>
  <c r="C935" i="9"/>
  <c r="D934" i="9"/>
  <c r="F931" i="9"/>
  <c r="A931" i="9"/>
  <c r="A930" i="9"/>
  <c r="B929" i="9"/>
  <c r="E929" i="9" s="1"/>
  <c r="C928" i="9"/>
  <c r="C927" i="9"/>
  <c r="D926" i="9"/>
  <c r="F923" i="9"/>
  <c r="A923" i="9"/>
  <c r="A922" i="9"/>
  <c r="B921" i="9"/>
  <c r="E921" i="9" s="1"/>
  <c r="C920" i="9"/>
  <c r="C919" i="9"/>
  <c r="D918" i="9"/>
  <c r="F915" i="9"/>
  <c r="A915" i="9"/>
  <c r="A914" i="9"/>
  <c r="B913" i="9"/>
  <c r="E913" i="9" s="1"/>
  <c r="C912" i="9"/>
  <c r="C911" i="9"/>
  <c r="D910" i="9"/>
  <c r="F907" i="9"/>
  <c r="A907" i="9"/>
  <c r="A906" i="9"/>
  <c r="B905" i="9"/>
  <c r="E905" i="9" s="1"/>
  <c r="C904" i="9"/>
  <c r="C903" i="9"/>
  <c r="D902" i="9"/>
  <c r="F899" i="9"/>
  <c r="A899" i="9"/>
  <c r="A898" i="9"/>
  <c r="B897" i="9"/>
  <c r="E897" i="9" s="1"/>
  <c r="C896" i="9"/>
  <c r="C895" i="9"/>
  <c r="D894" i="9"/>
  <c r="F891" i="9"/>
  <c r="A891" i="9"/>
  <c r="A890" i="9"/>
  <c r="B889" i="9"/>
  <c r="E889" i="9" s="1"/>
  <c r="C888" i="9"/>
  <c r="C887" i="9"/>
  <c r="D886" i="9"/>
  <c r="F883" i="9"/>
  <c r="A883" i="9"/>
  <c r="A882" i="9"/>
  <c r="B881" i="9"/>
  <c r="E881" i="9" s="1"/>
  <c r="C880" i="9"/>
  <c r="C879" i="9"/>
  <c r="D878" i="9"/>
  <c r="F875" i="9"/>
  <c r="A875" i="9"/>
  <c r="A874" i="9"/>
  <c r="B873" i="9"/>
  <c r="E873" i="9" s="1"/>
  <c r="C872" i="9"/>
  <c r="C871" i="9"/>
  <c r="D870" i="9"/>
  <c r="F867" i="9"/>
  <c r="A867" i="9"/>
  <c r="A866" i="9"/>
  <c r="B865" i="9"/>
  <c r="E865" i="9" s="1"/>
  <c r="C864" i="9"/>
  <c r="C863" i="9"/>
  <c r="D862" i="9"/>
  <c r="F859" i="9"/>
  <c r="A859" i="9"/>
  <c r="A858" i="9"/>
  <c r="B857" i="9"/>
  <c r="E857" i="9" s="1"/>
  <c r="C856" i="9"/>
  <c r="C855" i="9"/>
  <c r="D854" i="9"/>
  <c r="F851" i="9"/>
  <c r="A851" i="9"/>
  <c r="A850" i="9"/>
  <c r="B849" i="9"/>
  <c r="E849" i="9" s="1"/>
  <c r="C848" i="9"/>
  <c r="C847" i="9"/>
  <c r="D846" i="9"/>
  <c r="F843" i="9"/>
  <c r="A843" i="9"/>
  <c r="A842" i="9"/>
  <c r="B841" i="9"/>
  <c r="E841" i="9" s="1"/>
  <c r="C840" i="9"/>
  <c r="C839" i="9"/>
  <c r="D838" i="9"/>
  <c r="F835" i="9"/>
  <c r="A835" i="9"/>
  <c r="A834" i="9"/>
  <c r="B833" i="9"/>
  <c r="E833" i="9" s="1"/>
  <c r="C832" i="9"/>
  <c r="C831" i="9"/>
  <c r="D830" i="9"/>
  <c r="F827" i="9"/>
  <c r="A827" i="9"/>
  <c r="A826" i="9"/>
  <c r="B825" i="9"/>
  <c r="E825" i="9" s="1"/>
  <c r="C824" i="9"/>
  <c r="C823" i="9"/>
  <c r="D822" i="9"/>
  <c r="F819" i="9"/>
  <c r="A819" i="9"/>
  <c r="A818" i="9"/>
  <c r="B817" i="9"/>
  <c r="E817" i="9" s="1"/>
  <c r="C816" i="9"/>
  <c r="C815" i="9"/>
  <c r="D814" i="9"/>
  <c r="F811" i="9"/>
  <c r="A811" i="9"/>
  <c r="A810" i="9"/>
  <c r="B809" i="9"/>
  <c r="E809" i="9" s="1"/>
  <c r="C808" i="9"/>
  <c r="C807" i="9"/>
  <c r="D806" i="9"/>
  <c r="F803" i="9"/>
  <c r="A803" i="9"/>
  <c r="A802" i="9"/>
  <c r="B801" i="9"/>
  <c r="E801" i="9" s="1"/>
  <c r="C800" i="9"/>
  <c r="C799" i="9"/>
  <c r="D798" i="9"/>
  <c r="F795" i="9"/>
  <c r="A795" i="9"/>
  <c r="A794" i="9"/>
  <c r="B793" i="9"/>
  <c r="E793" i="9" s="1"/>
  <c r="C792" i="9"/>
  <c r="C791" i="9"/>
  <c r="D790" i="9"/>
  <c r="F787" i="9"/>
  <c r="A787" i="9"/>
  <c r="A786" i="9"/>
  <c r="B785" i="9"/>
  <c r="E785" i="9" s="1"/>
  <c r="C784" i="9"/>
  <c r="C783" i="9"/>
  <c r="D782" i="9"/>
  <c r="F779" i="9"/>
  <c r="A779" i="9"/>
  <c r="A778" i="9"/>
  <c r="B777" i="9"/>
  <c r="E777" i="9" s="1"/>
  <c r="C776" i="9"/>
  <c r="C775" i="9"/>
  <c r="D774" i="9"/>
  <c r="F771" i="9"/>
  <c r="A771" i="9"/>
  <c r="A770" i="9"/>
  <c r="B769" i="9"/>
  <c r="E769" i="9" s="1"/>
  <c r="C768" i="9"/>
  <c r="C767" i="9"/>
  <c r="D766" i="9"/>
  <c r="F763" i="9"/>
  <c r="A763" i="9"/>
  <c r="A762" i="9"/>
  <c r="B761" i="9"/>
  <c r="E761" i="9" s="1"/>
  <c r="C760" i="9"/>
  <c r="C759" i="9"/>
  <c r="D758" i="9"/>
  <c r="F755" i="9"/>
  <c r="A755" i="9"/>
  <c r="A754" i="9"/>
  <c r="B753" i="9"/>
  <c r="E753" i="9" s="1"/>
  <c r="C752" i="9"/>
  <c r="C751" i="9"/>
  <c r="D750" i="9"/>
  <c r="F747" i="9"/>
  <c r="A747" i="9"/>
  <c r="A746" i="9"/>
  <c r="B745" i="9"/>
  <c r="E745" i="9" s="1"/>
  <c r="C744" i="9"/>
  <c r="C743" i="9"/>
  <c r="D742" i="9"/>
  <c r="F739" i="9"/>
  <c r="A739" i="9"/>
  <c r="A738" i="9"/>
  <c r="B737" i="9"/>
  <c r="E737" i="9" s="1"/>
  <c r="C736" i="9"/>
  <c r="C735" i="9"/>
  <c r="D734" i="9"/>
  <c r="F731" i="9"/>
  <c r="A731" i="9"/>
  <c r="A730" i="9"/>
  <c r="B729" i="9"/>
  <c r="E729" i="9" s="1"/>
  <c r="C728" i="9"/>
  <c r="C727" i="9"/>
  <c r="D726" i="9"/>
  <c r="F724" i="9"/>
  <c r="B724" i="9"/>
  <c r="E724" i="9" s="1"/>
  <c r="D723" i="9"/>
  <c r="F722" i="9"/>
  <c r="B722" i="9"/>
  <c r="E722" i="9" s="1"/>
  <c r="D721" i="9"/>
  <c r="F720" i="9"/>
  <c r="B720" i="9"/>
  <c r="E720" i="9" s="1"/>
  <c r="D719" i="9"/>
  <c r="F718" i="9"/>
  <c r="B718" i="9"/>
  <c r="E718" i="9" s="1"/>
  <c r="D717" i="9"/>
  <c r="F716" i="9"/>
  <c r="B716" i="9"/>
  <c r="E716" i="9" s="1"/>
  <c r="D715" i="9"/>
  <c r="F714" i="9"/>
  <c r="B714" i="9"/>
  <c r="E714" i="9" s="1"/>
  <c r="D713" i="9"/>
  <c r="F712" i="9"/>
  <c r="B712" i="9"/>
  <c r="E712" i="9" s="1"/>
  <c r="D711" i="9"/>
  <c r="F710" i="9"/>
  <c r="B710" i="9"/>
  <c r="E710" i="9" s="1"/>
  <c r="D709" i="9"/>
  <c r="F708" i="9"/>
  <c r="B708" i="9"/>
  <c r="E708" i="9" s="1"/>
  <c r="D707" i="9"/>
  <c r="F706" i="9"/>
  <c r="B706" i="9"/>
  <c r="E706" i="9" s="1"/>
  <c r="D705" i="9"/>
  <c r="F704" i="9"/>
  <c r="B704" i="9"/>
  <c r="E704" i="9" s="1"/>
  <c r="D703" i="9"/>
  <c r="F702" i="9"/>
  <c r="B702" i="9"/>
  <c r="E702" i="9" s="1"/>
  <c r="D701" i="9"/>
  <c r="F700" i="9"/>
  <c r="B700" i="9"/>
  <c r="E700" i="9" s="1"/>
  <c r="D699" i="9"/>
  <c r="F698" i="9"/>
  <c r="B698" i="9"/>
  <c r="E698" i="9" s="1"/>
  <c r="D697" i="9"/>
  <c r="F696" i="9"/>
  <c r="B696" i="9"/>
  <c r="E696" i="9" s="1"/>
  <c r="D695" i="9"/>
  <c r="F694" i="9"/>
  <c r="B694" i="9"/>
  <c r="E694" i="9" s="1"/>
  <c r="D693" i="9"/>
  <c r="F692" i="9"/>
  <c r="B692" i="9"/>
  <c r="E692" i="9" s="1"/>
  <c r="D691" i="9"/>
  <c r="F690" i="9"/>
  <c r="B690" i="9"/>
  <c r="E690" i="9" s="1"/>
  <c r="D689" i="9"/>
  <c r="F688" i="9"/>
  <c r="B688" i="9"/>
  <c r="E688" i="9" s="1"/>
  <c r="D687" i="9"/>
  <c r="F686" i="9"/>
  <c r="B686" i="9"/>
  <c r="E686" i="9" s="1"/>
  <c r="D685" i="9"/>
  <c r="F684" i="9"/>
  <c r="B684" i="9"/>
  <c r="E684" i="9" s="1"/>
  <c r="D683" i="9"/>
  <c r="F682" i="9"/>
  <c r="B682" i="9"/>
  <c r="E682" i="9" s="1"/>
  <c r="D681" i="9"/>
  <c r="F680" i="9"/>
  <c r="B680" i="9"/>
  <c r="E680" i="9" s="1"/>
  <c r="D679" i="9"/>
  <c r="F678" i="9"/>
  <c r="B678" i="9"/>
  <c r="E678" i="9" s="1"/>
  <c r="D677" i="9"/>
  <c r="F676" i="9"/>
  <c r="B676" i="9"/>
  <c r="E676" i="9" s="1"/>
  <c r="D675" i="9"/>
  <c r="F674" i="9"/>
  <c r="B674" i="9"/>
  <c r="E674" i="9" s="1"/>
  <c r="D673" i="9"/>
  <c r="F672" i="9"/>
  <c r="B672" i="9"/>
  <c r="E672" i="9" s="1"/>
  <c r="D671" i="9"/>
  <c r="F670" i="9"/>
  <c r="B670" i="9"/>
  <c r="E670" i="9" s="1"/>
  <c r="D669" i="9"/>
  <c r="F668" i="9"/>
  <c r="B668" i="9"/>
  <c r="E668" i="9" s="1"/>
  <c r="D667" i="9"/>
  <c r="F666" i="9"/>
  <c r="B666" i="9"/>
  <c r="E666" i="9" s="1"/>
  <c r="D665" i="9"/>
  <c r="F664" i="9"/>
  <c r="B664" i="9"/>
  <c r="E664" i="9" s="1"/>
  <c r="D663" i="9"/>
  <c r="F662" i="9"/>
  <c r="B662" i="9"/>
  <c r="E662" i="9" s="1"/>
  <c r="D661" i="9"/>
  <c r="F660" i="9"/>
  <c r="B660" i="9"/>
  <c r="E660" i="9" s="1"/>
  <c r="D659" i="9"/>
  <c r="F658" i="9"/>
  <c r="B658" i="9"/>
  <c r="E658" i="9" s="1"/>
  <c r="D657" i="9"/>
  <c r="F656" i="9"/>
  <c r="B656" i="9"/>
  <c r="E656" i="9" s="1"/>
  <c r="D655" i="9"/>
  <c r="F654" i="9"/>
  <c r="B654" i="9"/>
  <c r="E654" i="9" s="1"/>
  <c r="D653" i="9"/>
  <c r="F652" i="9"/>
  <c r="B652" i="9"/>
  <c r="E652" i="9" s="1"/>
  <c r="D651" i="9"/>
  <c r="F650" i="9"/>
  <c r="B650" i="9"/>
  <c r="E650" i="9" s="1"/>
  <c r="D649" i="9"/>
  <c r="F648" i="9"/>
  <c r="B648" i="9"/>
  <c r="E648" i="9" s="1"/>
  <c r="D647" i="9"/>
  <c r="F646" i="9"/>
  <c r="B646" i="9"/>
  <c r="E646" i="9" s="1"/>
  <c r="D645" i="9"/>
  <c r="F644" i="9"/>
  <c r="B644" i="9"/>
  <c r="E644" i="9" s="1"/>
  <c r="D643" i="9"/>
  <c r="F642" i="9"/>
  <c r="B642" i="9"/>
  <c r="E642" i="9" s="1"/>
  <c r="D641" i="9"/>
  <c r="F640" i="9"/>
  <c r="B640" i="9"/>
  <c r="E640" i="9" s="1"/>
  <c r="D639" i="9"/>
  <c r="F638" i="9"/>
  <c r="B638" i="9"/>
  <c r="E638" i="9" s="1"/>
  <c r="D637" i="9"/>
  <c r="F636" i="9"/>
  <c r="B636" i="9"/>
  <c r="E636" i="9" s="1"/>
  <c r="D635" i="9"/>
  <c r="F634" i="9"/>
  <c r="B634" i="9"/>
  <c r="E634" i="9" s="1"/>
  <c r="D633" i="9"/>
  <c r="F632" i="9"/>
  <c r="B632" i="9"/>
  <c r="E632" i="9" s="1"/>
  <c r="D631" i="9"/>
  <c r="F630" i="9"/>
  <c r="B630" i="9"/>
  <c r="E630" i="9" s="1"/>
  <c r="D629" i="9"/>
  <c r="F628" i="9"/>
  <c r="B628" i="9"/>
  <c r="E628" i="9" s="1"/>
  <c r="D627" i="9"/>
  <c r="F626" i="9"/>
  <c r="B626" i="9"/>
  <c r="E626" i="9" s="1"/>
  <c r="D625" i="9"/>
  <c r="F624" i="9"/>
  <c r="B624" i="9"/>
  <c r="E624" i="9" s="1"/>
  <c r="D623" i="9"/>
  <c r="F622" i="9"/>
  <c r="B622" i="9"/>
  <c r="E622" i="9" s="1"/>
  <c r="D621" i="9"/>
  <c r="F620" i="9"/>
  <c r="B620" i="9"/>
  <c r="E620" i="9" s="1"/>
  <c r="D619" i="9"/>
  <c r="F618" i="9"/>
  <c r="B618" i="9"/>
  <c r="E618" i="9" s="1"/>
  <c r="D617" i="9"/>
  <c r="F616" i="9"/>
  <c r="B616" i="9"/>
  <c r="E616" i="9" s="1"/>
  <c r="D615" i="9"/>
  <c r="F614" i="9"/>
  <c r="B614" i="9"/>
  <c r="E614" i="9" s="1"/>
  <c r="D613" i="9"/>
  <c r="F612" i="9"/>
  <c r="B612" i="9"/>
  <c r="E612" i="9" s="1"/>
  <c r="D611" i="9"/>
  <c r="F610" i="9"/>
  <c r="B610" i="9"/>
  <c r="E610" i="9" s="1"/>
  <c r="D609" i="9"/>
  <c r="F608" i="9"/>
  <c r="B608" i="9"/>
  <c r="E608" i="9" s="1"/>
  <c r="D607" i="9"/>
  <c r="F606" i="9"/>
  <c r="B606" i="9"/>
  <c r="E606" i="9" s="1"/>
  <c r="D605" i="9"/>
  <c r="F604" i="9"/>
  <c r="B604" i="9"/>
  <c r="E604" i="9" s="1"/>
  <c r="D603" i="9"/>
  <c r="F602" i="9"/>
  <c r="B602" i="9"/>
  <c r="E602" i="9" s="1"/>
  <c r="D601" i="9"/>
  <c r="F600" i="9"/>
  <c r="B600" i="9"/>
  <c r="E600" i="9" s="1"/>
  <c r="D599" i="9"/>
  <c r="F598" i="9"/>
  <c r="B598" i="9"/>
  <c r="E598" i="9" s="1"/>
  <c r="D597" i="9"/>
  <c r="F596" i="9"/>
  <c r="B596" i="9"/>
  <c r="E596" i="9" s="1"/>
  <c r="D595" i="9"/>
  <c r="F594" i="9"/>
  <c r="B594" i="9"/>
  <c r="E594" i="9" s="1"/>
  <c r="D593" i="9"/>
  <c r="F592" i="9"/>
  <c r="B592" i="9"/>
  <c r="E592" i="9" s="1"/>
  <c r="D591" i="9"/>
  <c r="F590" i="9"/>
  <c r="B590" i="9"/>
  <c r="E590" i="9" s="1"/>
  <c r="D589" i="9"/>
  <c r="F588" i="9"/>
  <c r="B588" i="9"/>
  <c r="E588" i="9" s="1"/>
  <c r="D587" i="9"/>
  <c r="F586" i="9"/>
  <c r="B586" i="9"/>
  <c r="E586" i="9" s="1"/>
  <c r="D585" i="9"/>
  <c r="F584" i="9"/>
  <c r="B584" i="9"/>
  <c r="E584" i="9" s="1"/>
  <c r="D583" i="9"/>
  <c r="F582" i="9"/>
  <c r="B582" i="9"/>
  <c r="E582" i="9" s="1"/>
  <c r="D581" i="9"/>
  <c r="F580" i="9"/>
  <c r="B580" i="9"/>
  <c r="E580" i="9" s="1"/>
  <c r="D579" i="9"/>
  <c r="F578" i="9"/>
  <c r="B578" i="9"/>
  <c r="E578" i="9" s="1"/>
  <c r="D577" i="9"/>
  <c r="F576" i="9"/>
  <c r="B576" i="9"/>
  <c r="E576" i="9" s="1"/>
  <c r="D575" i="9"/>
  <c r="F574" i="9"/>
  <c r="B574" i="9"/>
  <c r="E574" i="9" s="1"/>
  <c r="D573" i="9"/>
  <c r="F572" i="9"/>
  <c r="B572" i="9"/>
  <c r="E572" i="9" s="1"/>
  <c r="D571" i="9"/>
  <c r="F570" i="9"/>
  <c r="B570" i="9"/>
  <c r="E570" i="9" s="1"/>
  <c r="D569" i="9"/>
  <c r="F568" i="9"/>
  <c r="B568" i="9"/>
  <c r="E568" i="9" s="1"/>
  <c r="D567" i="9"/>
  <c r="F566" i="9"/>
  <c r="B566" i="9"/>
  <c r="E566" i="9" s="1"/>
  <c r="D565" i="9"/>
  <c r="F564" i="9"/>
  <c r="B564" i="9"/>
  <c r="E564" i="9" s="1"/>
  <c r="D563" i="9"/>
  <c r="F562" i="9"/>
  <c r="B562" i="9"/>
  <c r="E562" i="9" s="1"/>
  <c r="D561" i="9"/>
  <c r="F560" i="9"/>
  <c r="B560" i="9"/>
  <c r="E560" i="9" s="1"/>
  <c r="D559" i="9"/>
  <c r="F558" i="9"/>
  <c r="B558" i="9"/>
  <c r="E558" i="9" s="1"/>
  <c r="D557" i="9"/>
  <c r="F556" i="9"/>
  <c r="B556" i="9"/>
  <c r="E556" i="9" s="1"/>
  <c r="D555" i="9"/>
  <c r="F554" i="9"/>
  <c r="B554" i="9"/>
  <c r="E554" i="9" s="1"/>
  <c r="D553" i="9"/>
  <c r="F552" i="9"/>
  <c r="B552" i="9"/>
  <c r="E552" i="9" s="1"/>
  <c r="D551" i="9"/>
  <c r="F550" i="9"/>
  <c r="B550" i="9"/>
  <c r="E550" i="9" s="1"/>
  <c r="D549" i="9"/>
  <c r="F548" i="9"/>
  <c r="B548" i="9"/>
  <c r="E548" i="9" s="1"/>
  <c r="D547" i="9"/>
  <c r="F546" i="9"/>
  <c r="B546" i="9"/>
  <c r="E546" i="9" s="1"/>
  <c r="D545" i="9"/>
  <c r="F544" i="9"/>
  <c r="B544" i="9"/>
  <c r="E544" i="9" s="1"/>
  <c r="D543" i="9"/>
  <c r="F542" i="9"/>
  <c r="B542" i="9"/>
  <c r="E542" i="9" s="1"/>
  <c r="D541" i="9"/>
  <c r="F540" i="9"/>
  <c r="B540" i="9"/>
  <c r="E540" i="9" s="1"/>
  <c r="D539" i="9"/>
  <c r="F538" i="9"/>
  <c r="B538" i="9"/>
  <c r="E538" i="9" s="1"/>
  <c r="D537" i="9"/>
  <c r="F536" i="9"/>
  <c r="B536" i="9"/>
  <c r="E536" i="9" s="1"/>
  <c r="D535" i="9"/>
  <c r="F534" i="9"/>
  <c r="B534" i="9"/>
  <c r="E534" i="9" s="1"/>
  <c r="D533" i="9"/>
  <c r="F532" i="9"/>
  <c r="B532" i="9"/>
  <c r="E532" i="9" s="1"/>
  <c r="D531" i="9"/>
  <c r="F530" i="9"/>
  <c r="B530" i="9"/>
  <c r="E530" i="9" s="1"/>
  <c r="D529" i="9"/>
  <c r="F528" i="9"/>
  <c r="B528" i="9"/>
  <c r="E528" i="9" s="1"/>
  <c r="D527" i="9"/>
  <c r="F526" i="9"/>
  <c r="B526" i="9"/>
  <c r="E526" i="9" s="1"/>
  <c r="D525" i="9"/>
  <c r="F524" i="9"/>
  <c r="B524" i="9"/>
  <c r="E524" i="9" s="1"/>
  <c r="D523" i="9"/>
  <c r="F522" i="9"/>
  <c r="B522" i="9"/>
  <c r="E522" i="9" s="1"/>
  <c r="D521" i="9"/>
  <c r="F520" i="9"/>
  <c r="B520" i="9"/>
  <c r="E520" i="9" s="1"/>
  <c r="D519" i="9"/>
  <c r="F518" i="9"/>
  <c r="B518" i="9"/>
  <c r="E518" i="9" s="1"/>
  <c r="D517" i="9"/>
  <c r="F516" i="9"/>
  <c r="B516" i="9"/>
  <c r="E516" i="9" s="1"/>
  <c r="D515" i="9"/>
  <c r="F514" i="9"/>
  <c r="B514" i="9"/>
  <c r="E514" i="9" s="1"/>
  <c r="D513" i="9"/>
  <c r="F512" i="9"/>
  <c r="B512" i="9"/>
  <c r="E512" i="9" s="1"/>
  <c r="D511" i="9"/>
  <c r="F510" i="9"/>
  <c r="B510" i="9"/>
  <c r="E510" i="9" s="1"/>
  <c r="D509" i="9"/>
  <c r="F508" i="9"/>
  <c r="B508" i="9"/>
  <c r="E508" i="9" s="1"/>
  <c r="D507" i="9"/>
  <c r="F506" i="9"/>
  <c r="B506" i="9"/>
  <c r="E506" i="9" s="1"/>
  <c r="D505" i="9"/>
  <c r="F504" i="9"/>
  <c r="B504" i="9"/>
  <c r="E504" i="9" s="1"/>
  <c r="D503" i="9"/>
  <c r="F502" i="9"/>
  <c r="B502" i="9"/>
  <c r="E502" i="9" s="1"/>
  <c r="D501" i="9"/>
  <c r="F500" i="9"/>
  <c r="B500" i="9"/>
  <c r="E500" i="9" s="1"/>
  <c r="D499" i="9"/>
  <c r="B1999" i="9"/>
  <c r="E1999" i="9" s="1"/>
  <c r="B1995" i="9"/>
  <c r="E1995" i="9" s="1"/>
  <c r="A1992" i="9"/>
  <c r="A1988" i="9"/>
  <c r="B1984" i="9"/>
  <c r="E1984" i="9" s="1"/>
  <c r="B1976" i="9"/>
  <c r="E1976" i="9" s="1"/>
  <c r="F1972" i="9"/>
  <c r="C1969" i="9"/>
  <c r="C1965" i="9"/>
  <c r="F1961" i="9"/>
  <c r="D1958" i="9"/>
  <c r="A1954" i="9"/>
  <c r="D1950" i="9"/>
  <c r="F1946" i="9"/>
  <c r="D1939" i="9"/>
  <c r="A1936" i="9"/>
  <c r="D1931" i="9"/>
  <c r="A1928" i="9"/>
  <c r="F1924" i="9"/>
  <c r="D1920" i="9"/>
  <c r="F1916" i="9"/>
  <c r="B1913" i="9"/>
  <c r="E1913" i="9" s="1"/>
  <c r="F1908" i="9"/>
  <c r="A1906" i="9"/>
  <c r="F1901" i="9"/>
  <c r="A1898" i="9"/>
  <c r="B1894" i="9"/>
  <c r="E1894" i="9" s="1"/>
  <c r="F1890" i="9"/>
  <c r="B1887" i="9"/>
  <c r="E1887" i="9" s="1"/>
  <c r="F1882" i="9"/>
  <c r="C1879" i="9"/>
  <c r="B1875" i="9"/>
  <c r="E1875" i="9" s="1"/>
  <c r="A1872" i="9"/>
  <c r="D1868" i="9"/>
  <c r="A1864" i="9"/>
  <c r="D1860" i="9"/>
  <c r="C1857" i="9"/>
  <c r="F1852" i="9"/>
  <c r="D1849" i="9"/>
  <c r="F1846" i="9"/>
  <c r="D1843" i="9"/>
  <c r="C1841" i="9"/>
  <c r="C1835" i="9"/>
  <c r="B1830" i="9"/>
  <c r="E1830" i="9" s="1"/>
  <c r="B1827" i="9"/>
  <c r="E1827" i="9" s="1"/>
  <c r="D1824" i="9"/>
  <c r="C1821" i="9"/>
  <c r="D1818" i="9"/>
  <c r="A1816" i="9"/>
  <c r="B1813" i="9"/>
  <c r="E1813" i="9" s="1"/>
  <c r="B1810" i="9"/>
  <c r="E1810" i="9" s="1"/>
  <c r="B1807" i="9"/>
  <c r="E1807" i="9" s="1"/>
  <c r="F1804" i="9"/>
  <c r="F1801" i="9"/>
  <c r="F1798" i="9"/>
  <c r="B1796" i="9"/>
  <c r="E1796" i="9" s="1"/>
  <c r="F1792" i="9"/>
  <c r="A1788" i="9"/>
  <c r="A1782" i="9"/>
  <c r="D1779" i="9"/>
  <c r="D1776" i="9"/>
  <c r="F1773" i="9"/>
  <c r="B1771" i="9"/>
  <c r="E1771" i="9" s="1"/>
  <c r="F1767" i="9"/>
  <c r="C1765" i="9"/>
  <c r="D1759" i="9"/>
  <c r="F1756" i="9"/>
  <c r="D1754" i="9"/>
  <c r="B1751" i="9"/>
  <c r="E1751" i="9" s="1"/>
  <c r="D1748" i="9"/>
  <c r="D1745" i="9"/>
  <c r="B1740" i="9"/>
  <c r="E1740" i="9" s="1"/>
  <c r="C1737" i="9"/>
  <c r="B1734" i="9"/>
  <c r="E1734" i="9" s="1"/>
  <c r="C1731" i="9"/>
  <c r="F1728" i="9"/>
  <c r="A1726" i="9"/>
  <c r="B1723" i="9"/>
  <c r="E1723" i="9" s="1"/>
  <c r="D1720" i="9"/>
  <c r="B1717" i="9"/>
  <c r="E1717" i="9" s="1"/>
  <c r="A1712" i="9"/>
  <c r="F1708" i="9"/>
  <c r="B1706" i="9"/>
  <c r="E1706" i="9" s="1"/>
  <c r="F1703" i="9"/>
  <c r="D1700" i="9"/>
  <c r="F1697" i="9"/>
  <c r="B1695" i="9"/>
  <c r="E1695" i="9" s="1"/>
  <c r="A1692" i="9"/>
  <c r="D1689" i="9"/>
  <c r="F1686" i="9"/>
  <c r="D1684" i="9"/>
  <c r="D1682" i="9"/>
  <c r="B1678" i="9"/>
  <c r="E1678" i="9" s="1"/>
  <c r="B1676" i="9"/>
  <c r="E1676" i="9" s="1"/>
  <c r="A1674" i="9"/>
  <c r="F1671" i="9"/>
  <c r="A1670" i="9"/>
  <c r="F1667" i="9"/>
  <c r="D1665" i="9"/>
  <c r="C1663" i="9"/>
  <c r="D1661" i="9"/>
  <c r="C1659" i="9"/>
  <c r="B1657" i="9"/>
  <c r="E1657" i="9" s="1"/>
  <c r="B1655" i="9"/>
  <c r="E1655" i="9" s="1"/>
  <c r="F1650" i="9"/>
  <c r="F1648" i="9"/>
  <c r="D1646" i="9"/>
  <c r="D1644" i="9"/>
  <c r="B1640" i="9"/>
  <c r="E1640" i="9" s="1"/>
  <c r="B1638" i="9"/>
  <c r="E1638" i="9" s="1"/>
  <c r="B1636" i="9"/>
  <c r="E1636" i="9" s="1"/>
  <c r="F1633" i="9"/>
  <c r="A1632" i="9"/>
  <c r="A1630" i="9"/>
  <c r="D1627" i="9"/>
  <c r="D1625" i="9"/>
  <c r="F1623" i="9"/>
  <c r="C1621" i="9"/>
  <c r="C1619" i="9"/>
  <c r="B1617" i="9"/>
  <c r="E1617" i="9" s="1"/>
  <c r="F1614" i="9"/>
  <c r="B1613" i="9"/>
  <c r="E1613" i="9" s="1"/>
  <c r="F1610" i="9"/>
  <c r="D1606" i="9"/>
  <c r="D1602" i="9"/>
  <c r="B1600" i="9"/>
  <c r="E1600" i="9" s="1"/>
  <c r="B1598" i="9"/>
  <c r="E1598" i="9" s="1"/>
  <c r="F1595" i="9"/>
  <c r="D1594" i="9"/>
  <c r="F1592" i="9"/>
  <c r="B1591" i="9"/>
  <c r="E1591" i="9" s="1"/>
  <c r="D1589" i="9"/>
  <c r="B1588" i="9"/>
  <c r="E1588" i="9" s="1"/>
  <c r="D1586" i="9"/>
  <c r="F1584" i="9"/>
  <c r="C1583" i="9"/>
  <c r="D1581" i="9"/>
  <c r="B1580" i="9"/>
  <c r="E1580" i="9" s="1"/>
  <c r="F1576" i="9"/>
  <c r="C1575" i="9"/>
  <c r="A1574" i="9"/>
  <c r="B1572" i="9"/>
  <c r="E1572" i="9" s="1"/>
  <c r="B1569" i="9"/>
  <c r="E1569" i="9" s="1"/>
  <c r="C1567" i="9"/>
  <c r="A1566" i="9"/>
  <c r="D1564" i="9"/>
  <c r="B1561" i="9"/>
  <c r="E1561" i="9" s="1"/>
  <c r="F1559" i="9"/>
  <c r="A1558" i="9"/>
  <c r="D1556" i="9"/>
  <c r="F1554" i="9"/>
  <c r="B1553" i="9"/>
  <c r="E1553" i="9" s="1"/>
  <c r="F1551" i="9"/>
  <c r="B1550" i="9"/>
  <c r="E1550" i="9" s="1"/>
  <c r="D1548" i="9"/>
  <c r="F1546" i="9"/>
  <c r="D1545" i="9"/>
  <c r="F1543" i="9"/>
  <c r="B1542" i="9"/>
  <c r="E1542" i="9" s="1"/>
  <c r="F1538" i="9"/>
  <c r="D1537" i="9"/>
  <c r="A1536" i="9"/>
  <c r="D1534" i="9"/>
  <c r="C1533" i="9"/>
  <c r="C1532" i="9"/>
  <c r="A1531" i="9"/>
  <c r="F1529" i="9"/>
  <c r="C1527" i="9"/>
  <c r="C1526" i="9"/>
  <c r="B1525" i="9"/>
  <c r="E1525" i="9" s="1"/>
  <c r="F1523" i="9"/>
  <c r="C1520" i="9"/>
  <c r="B1519" i="9"/>
  <c r="E1519" i="9" s="1"/>
  <c r="A1518" i="9"/>
  <c r="D1514" i="9"/>
  <c r="B1513" i="9"/>
  <c r="E1513" i="9" s="1"/>
  <c r="A1512" i="9"/>
  <c r="A1511" i="9"/>
  <c r="D1508" i="9"/>
  <c r="C1507" i="9"/>
  <c r="A1506" i="9"/>
  <c r="A1505" i="9"/>
  <c r="F1503" i="9"/>
  <c r="D1502" i="9"/>
  <c r="C1501" i="9"/>
  <c r="C1500" i="9"/>
  <c r="A1499" i="9"/>
  <c r="F1497" i="9"/>
  <c r="C1495" i="9"/>
  <c r="C1494" i="9"/>
  <c r="B1493" i="9"/>
  <c r="E1493" i="9" s="1"/>
  <c r="F1491" i="9"/>
  <c r="C1488" i="9"/>
  <c r="B1487" i="9"/>
  <c r="E1487" i="9" s="1"/>
  <c r="A1486" i="9"/>
  <c r="D1482" i="9"/>
  <c r="B1481" i="9"/>
  <c r="E1481" i="9" s="1"/>
  <c r="A1480" i="9"/>
  <c r="A1479" i="9"/>
  <c r="D1476" i="9"/>
  <c r="C1475" i="9"/>
  <c r="A1474" i="9"/>
  <c r="A1473" i="9"/>
  <c r="F1471" i="9"/>
  <c r="D1470" i="9"/>
  <c r="C1469" i="9"/>
  <c r="C1468" i="9"/>
  <c r="A1467" i="9"/>
  <c r="F1465" i="9"/>
  <c r="C1463" i="9"/>
  <c r="C1462" i="9"/>
  <c r="B1461" i="9"/>
  <c r="E1461" i="9" s="1"/>
  <c r="F1459" i="9"/>
  <c r="C1456" i="9"/>
  <c r="B1455" i="9"/>
  <c r="E1455" i="9" s="1"/>
  <c r="A1454" i="9"/>
  <c r="D1450" i="9"/>
  <c r="B1449" i="9"/>
  <c r="E1449" i="9" s="1"/>
  <c r="A1448" i="9"/>
  <c r="A1447" i="9"/>
  <c r="D1444" i="9"/>
  <c r="C1443" i="9"/>
  <c r="A1442" i="9"/>
  <c r="A1441" i="9"/>
  <c r="F1439" i="9"/>
  <c r="D1438" i="9"/>
  <c r="C1437" i="9"/>
  <c r="C1436" i="9"/>
  <c r="A1435" i="9"/>
  <c r="F1433" i="9"/>
  <c r="C1431" i="9"/>
  <c r="C1430" i="9"/>
  <c r="B1429" i="9"/>
  <c r="E1429" i="9" s="1"/>
  <c r="F1427" i="9"/>
  <c r="C1424" i="9"/>
  <c r="B1423" i="9"/>
  <c r="E1423" i="9" s="1"/>
  <c r="A1422" i="9"/>
  <c r="D1418" i="9"/>
  <c r="B1417" i="9"/>
  <c r="E1417" i="9" s="1"/>
  <c r="A1416" i="9"/>
  <c r="A1415" i="9"/>
  <c r="D1412" i="9"/>
  <c r="C1411" i="9"/>
  <c r="A1410" i="9"/>
  <c r="A1409" i="9"/>
  <c r="F1407" i="9"/>
  <c r="D1406" i="9"/>
  <c r="C1405" i="9"/>
  <c r="C1404" i="9"/>
  <c r="A1403" i="9"/>
  <c r="F1401" i="9"/>
  <c r="C1399" i="9"/>
  <c r="C1398" i="9"/>
  <c r="B1397" i="9"/>
  <c r="E1397" i="9" s="1"/>
  <c r="F1395" i="9"/>
  <c r="C1392" i="9"/>
  <c r="B1391" i="9"/>
  <c r="E1391" i="9" s="1"/>
  <c r="A1390" i="9"/>
  <c r="D1386" i="9"/>
  <c r="B1385" i="9"/>
  <c r="E1385" i="9" s="1"/>
  <c r="A1384" i="9"/>
  <c r="A1383" i="9"/>
  <c r="D1380" i="9"/>
  <c r="C1379" i="9"/>
  <c r="A1378" i="9"/>
  <c r="A1377" i="9"/>
  <c r="F1375" i="9"/>
  <c r="D1374" i="9"/>
  <c r="C1373" i="9"/>
  <c r="C1372" i="9"/>
  <c r="A1371" i="9"/>
  <c r="F1369" i="9"/>
  <c r="C1367" i="9"/>
  <c r="C1366" i="9"/>
  <c r="B1365" i="9"/>
  <c r="E1365" i="9" s="1"/>
  <c r="F1363" i="9"/>
  <c r="C1360" i="9"/>
  <c r="B1359" i="9"/>
  <c r="E1359" i="9" s="1"/>
  <c r="A1358" i="9"/>
  <c r="D1354" i="9"/>
  <c r="B1353" i="9"/>
  <c r="E1353" i="9" s="1"/>
  <c r="A1352" i="9"/>
  <c r="A1351" i="9"/>
  <c r="D1348" i="9"/>
  <c r="C1347" i="9"/>
  <c r="A1346" i="9"/>
  <c r="A1345" i="9"/>
  <c r="F1343" i="9"/>
  <c r="D1342" i="9"/>
  <c r="C1341" i="9"/>
  <c r="C1340" i="9"/>
  <c r="A1339" i="9"/>
  <c r="F1337" i="9"/>
  <c r="C1335" i="9"/>
  <c r="C1334" i="9"/>
  <c r="B1333" i="9"/>
  <c r="E1333" i="9" s="1"/>
  <c r="F1331" i="9"/>
  <c r="C1328" i="9"/>
  <c r="B1327" i="9"/>
  <c r="E1327" i="9" s="1"/>
  <c r="A1326" i="9"/>
  <c r="D1322" i="9"/>
  <c r="B1321" i="9"/>
  <c r="E1321" i="9" s="1"/>
  <c r="A1320" i="9"/>
  <c r="A1319" i="9"/>
  <c r="D1316" i="9"/>
  <c r="C1315" i="9"/>
  <c r="A1314" i="9"/>
  <c r="A1313" i="9"/>
  <c r="F1311" i="9"/>
  <c r="D1310" i="9"/>
  <c r="C1309" i="9"/>
  <c r="C1308" i="9"/>
  <c r="A1307" i="9"/>
  <c r="F1305" i="9"/>
  <c r="C1303" i="9"/>
  <c r="C1302" i="9"/>
  <c r="B1301" i="9"/>
  <c r="E1301" i="9" s="1"/>
  <c r="F1299" i="9"/>
  <c r="C1296" i="9"/>
  <c r="B1295" i="9"/>
  <c r="E1295" i="9" s="1"/>
  <c r="C1294" i="9"/>
  <c r="C1293" i="9"/>
  <c r="D1292" i="9"/>
  <c r="F1289" i="9"/>
  <c r="A1289" i="9"/>
  <c r="A1288" i="9"/>
  <c r="B1287" i="9"/>
  <c r="E1287" i="9" s="1"/>
  <c r="C1286" i="9"/>
  <c r="C1285" i="9"/>
  <c r="D1284" i="9"/>
  <c r="F1281" i="9"/>
  <c r="A1281" i="9"/>
  <c r="A1280" i="9"/>
  <c r="B1279" i="9"/>
  <c r="E1279" i="9" s="1"/>
  <c r="C1278" i="9"/>
  <c r="C1277" i="9"/>
  <c r="D1276" i="9"/>
  <c r="F1273" i="9"/>
  <c r="A1273" i="9"/>
  <c r="A1272" i="9"/>
  <c r="B1271" i="9"/>
  <c r="E1271" i="9" s="1"/>
  <c r="C1270" i="9"/>
  <c r="C1269" i="9"/>
  <c r="D1268" i="9"/>
  <c r="F1265" i="9"/>
  <c r="A1265" i="9"/>
  <c r="A1264" i="9"/>
  <c r="B1263" i="9"/>
  <c r="E1263" i="9" s="1"/>
  <c r="C1262" i="9"/>
  <c r="C1261" i="9"/>
  <c r="D1260" i="9"/>
  <c r="F1257" i="9"/>
  <c r="A1257" i="9"/>
  <c r="A1256" i="9"/>
  <c r="B1255" i="9"/>
  <c r="E1255" i="9" s="1"/>
  <c r="C1254" i="9"/>
  <c r="C1253" i="9"/>
  <c r="D1252" i="9"/>
  <c r="F1249" i="9"/>
  <c r="A1249" i="9"/>
  <c r="A1248" i="9"/>
  <c r="B1247" i="9"/>
  <c r="E1247" i="9" s="1"/>
  <c r="C1246" i="9"/>
  <c r="C1245" i="9"/>
  <c r="D1244" i="9"/>
  <c r="F1241" i="9"/>
  <c r="A1241" i="9"/>
  <c r="A1240" i="9"/>
  <c r="B1239" i="9"/>
  <c r="E1239" i="9" s="1"/>
  <c r="C1238" i="9"/>
  <c r="C1237" i="9"/>
  <c r="D1236" i="9"/>
  <c r="F1233" i="9"/>
  <c r="A1233" i="9"/>
  <c r="A1232" i="9"/>
  <c r="B1231" i="9"/>
  <c r="E1231" i="9" s="1"/>
  <c r="C1230" i="9"/>
  <c r="C1229" i="9"/>
  <c r="D1228" i="9"/>
  <c r="F1225" i="9"/>
  <c r="A1225" i="9"/>
  <c r="A1224" i="9"/>
  <c r="B1223" i="9"/>
  <c r="E1223" i="9" s="1"/>
  <c r="C1222" i="9"/>
  <c r="C1221" i="9"/>
  <c r="D1220" i="9"/>
  <c r="F1217" i="9"/>
  <c r="A1217" i="9"/>
  <c r="A1216" i="9"/>
  <c r="B1215" i="9"/>
  <c r="E1215" i="9" s="1"/>
  <c r="C1214" i="9"/>
  <c r="C1213" i="9"/>
  <c r="D1212" i="9"/>
  <c r="F1209" i="9"/>
  <c r="A1209" i="9"/>
  <c r="A1208" i="9"/>
  <c r="B1207" i="9"/>
  <c r="E1207" i="9" s="1"/>
  <c r="C1206" i="9"/>
  <c r="C1205" i="9"/>
  <c r="D1204" i="9"/>
  <c r="F1201" i="9"/>
  <c r="A1201" i="9"/>
  <c r="A1200" i="9"/>
  <c r="B1199" i="9"/>
  <c r="E1199" i="9" s="1"/>
  <c r="C1198" i="9"/>
  <c r="C1197" i="9"/>
  <c r="D1196" i="9"/>
  <c r="F1193" i="9"/>
  <c r="A1193" i="9"/>
  <c r="A1192" i="9"/>
  <c r="B1191" i="9"/>
  <c r="E1191" i="9" s="1"/>
  <c r="C1190" i="9"/>
  <c r="C1189" i="9"/>
  <c r="D1188" i="9"/>
  <c r="F1185" i="9"/>
  <c r="A1185" i="9"/>
  <c r="A1184" i="9"/>
  <c r="B1183" i="9"/>
  <c r="E1183" i="9" s="1"/>
  <c r="C1182" i="9"/>
  <c r="C1181" i="9"/>
  <c r="D1180" i="9"/>
  <c r="F1177" i="9"/>
  <c r="A1177" i="9"/>
  <c r="A1176" i="9"/>
  <c r="B1175" i="9"/>
  <c r="E1175" i="9" s="1"/>
  <c r="C1174" i="9"/>
  <c r="C1173" i="9"/>
  <c r="D1172" i="9"/>
  <c r="F1169" i="9"/>
  <c r="A1169" i="9"/>
  <c r="A1168" i="9"/>
  <c r="B1167" i="9"/>
  <c r="E1167" i="9" s="1"/>
  <c r="C1166" i="9"/>
  <c r="C1165" i="9"/>
  <c r="D1164" i="9"/>
  <c r="F1161" i="9"/>
  <c r="A1161" i="9"/>
  <c r="A1160" i="9"/>
  <c r="B1159" i="9"/>
  <c r="E1159" i="9" s="1"/>
  <c r="C1158" i="9"/>
  <c r="C1157" i="9"/>
  <c r="D1156" i="9"/>
  <c r="F1153" i="9"/>
  <c r="A1153" i="9"/>
  <c r="A1152" i="9"/>
  <c r="B1151" i="9"/>
  <c r="E1151" i="9" s="1"/>
  <c r="C1150" i="9"/>
  <c r="C1149" i="9"/>
  <c r="D1148" i="9"/>
  <c r="F1145" i="9"/>
  <c r="A1145" i="9"/>
  <c r="A1144" i="9"/>
  <c r="B1143" i="9"/>
  <c r="E1143" i="9" s="1"/>
  <c r="C1142" i="9"/>
  <c r="C1141" i="9"/>
  <c r="D1140" i="9"/>
  <c r="F1137" i="9"/>
  <c r="A1137" i="9"/>
  <c r="A1136" i="9"/>
  <c r="B1135" i="9"/>
  <c r="E1135" i="9" s="1"/>
  <c r="C1134" i="9"/>
  <c r="C1133" i="9"/>
  <c r="D1132" i="9"/>
  <c r="F1129" i="9"/>
  <c r="A1129" i="9"/>
  <c r="A1128" i="9"/>
  <c r="B1127" i="9"/>
  <c r="E1127" i="9" s="1"/>
  <c r="C1126" i="9"/>
  <c r="C1125" i="9"/>
  <c r="D1124" i="9"/>
  <c r="F1121" i="9"/>
  <c r="A1121" i="9"/>
  <c r="A1120" i="9"/>
  <c r="B1119" i="9"/>
  <c r="E1119" i="9" s="1"/>
  <c r="C1118" i="9"/>
  <c r="C1117" i="9"/>
  <c r="D1116" i="9"/>
  <c r="F1113" i="9"/>
  <c r="A1113" i="9"/>
  <c r="A1112" i="9"/>
  <c r="B1111" i="9"/>
  <c r="E1111" i="9" s="1"/>
  <c r="C1110" i="9"/>
  <c r="C1109" i="9"/>
  <c r="D1108" i="9"/>
  <c r="F1105" i="9"/>
  <c r="A1105" i="9"/>
  <c r="A1104" i="9"/>
  <c r="B1103" i="9"/>
  <c r="E1103" i="9" s="1"/>
  <c r="C1102" i="9"/>
  <c r="C1101" i="9"/>
  <c r="D1100" i="9"/>
  <c r="F1097" i="9"/>
  <c r="A1097" i="9"/>
  <c r="A1096" i="9"/>
  <c r="B1095" i="9"/>
  <c r="E1095" i="9" s="1"/>
  <c r="C1094" i="9"/>
  <c r="C1093" i="9"/>
  <c r="D1092" i="9"/>
  <c r="F1089" i="9"/>
  <c r="A1089" i="9"/>
  <c r="A1088" i="9"/>
  <c r="B1087" i="9"/>
  <c r="E1087" i="9" s="1"/>
  <c r="C1086" i="9"/>
  <c r="C1085" i="9"/>
  <c r="D1084" i="9"/>
  <c r="F1081" i="9"/>
  <c r="A1081" i="9"/>
  <c r="A1080" i="9"/>
  <c r="B1079" i="9"/>
  <c r="E1079" i="9" s="1"/>
  <c r="C1078" i="9"/>
  <c r="C1077" i="9"/>
  <c r="D1076" i="9"/>
  <c r="F1073" i="9"/>
  <c r="A1073" i="9"/>
  <c r="A1072" i="9"/>
  <c r="B1071" i="9"/>
  <c r="E1071" i="9" s="1"/>
  <c r="C1070" i="9"/>
  <c r="C1069" i="9"/>
  <c r="D1068" i="9"/>
  <c r="F1065" i="9"/>
  <c r="A1065" i="9"/>
  <c r="A1064" i="9"/>
  <c r="B1063" i="9"/>
  <c r="E1063" i="9" s="1"/>
  <c r="C1062" i="9"/>
  <c r="C1061" i="9"/>
  <c r="D1060" i="9"/>
  <c r="F1057" i="9"/>
  <c r="A1057" i="9"/>
  <c r="A1056" i="9"/>
  <c r="B1055" i="9"/>
  <c r="E1055" i="9" s="1"/>
  <c r="C1054" i="9"/>
  <c r="C1053" i="9"/>
  <c r="D1052" i="9"/>
  <c r="F1049" i="9"/>
  <c r="A1049" i="9"/>
  <c r="A1048" i="9"/>
  <c r="B1047" i="9"/>
  <c r="E1047" i="9" s="1"/>
  <c r="C1046" i="9"/>
  <c r="C1045" i="9"/>
  <c r="D1044" i="9"/>
  <c r="F1041" i="9"/>
  <c r="A1041" i="9"/>
  <c r="A1040" i="9"/>
  <c r="B1039" i="9"/>
  <c r="E1039" i="9" s="1"/>
  <c r="C1038" i="9"/>
  <c r="C1037" i="9"/>
  <c r="D1036" i="9"/>
  <c r="F1033" i="9"/>
  <c r="A1033" i="9"/>
  <c r="A1032" i="9"/>
  <c r="B1031" i="9"/>
  <c r="E1031" i="9" s="1"/>
  <c r="C1030" i="9"/>
  <c r="C1029" i="9"/>
  <c r="D1028" i="9"/>
  <c r="F1025" i="9"/>
  <c r="A1025" i="9"/>
  <c r="A1024" i="9"/>
  <c r="B1023" i="9"/>
  <c r="E1023" i="9" s="1"/>
  <c r="C1022" i="9"/>
  <c r="C1021" i="9"/>
  <c r="D1020" i="9"/>
  <c r="F1017" i="9"/>
  <c r="A1017" i="9"/>
  <c r="A1016" i="9"/>
  <c r="B1015" i="9"/>
  <c r="E1015" i="9" s="1"/>
  <c r="C1014" i="9"/>
  <c r="C1013" i="9"/>
  <c r="D1012" i="9"/>
  <c r="F1009" i="9"/>
  <c r="A1009" i="9"/>
  <c r="A1008" i="9"/>
  <c r="B1007" i="9"/>
  <c r="E1007" i="9" s="1"/>
  <c r="C1006" i="9"/>
  <c r="C1005" i="9"/>
  <c r="D1004" i="9"/>
  <c r="F1001" i="9"/>
  <c r="A1001" i="9"/>
  <c r="A1000" i="9"/>
  <c r="B999" i="9"/>
  <c r="E999" i="9" s="1"/>
  <c r="C998" i="9"/>
  <c r="C997" i="9"/>
  <c r="D996" i="9"/>
  <c r="F993" i="9"/>
  <c r="A993" i="9"/>
  <c r="A992" i="9"/>
  <c r="B991" i="9"/>
  <c r="E991" i="9" s="1"/>
  <c r="C990" i="9"/>
  <c r="C989" i="9"/>
  <c r="D988" i="9"/>
  <c r="F985" i="9"/>
  <c r="A985" i="9"/>
  <c r="A984" i="9"/>
  <c r="B983" i="9"/>
  <c r="E983" i="9" s="1"/>
  <c r="C982" i="9"/>
  <c r="C981" i="9"/>
  <c r="D980" i="9"/>
  <c r="F977" i="9"/>
  <c r="A977" i="9"/>
  <c r="A976" i="9"/>
  <c r="B975" i="9"/>
  <c r="E975" i="9" s="1"/>
  <c r="C974" i="9"/>
  <c r="C973" i="9"/>
  <c r="D972" i="9"/>
  <c r="F969" i="9"/>
  <c r="A969" i="9"/>
  <c r="A968" i="9"/>
  <c r="B967" i="9"/>
  <c r="E967" i="9" s="1"/>
  <c r="C966" i="9"/>
  <c r="C965" i="9"/>
  <c r="D964" i="9"/>
  <c r="F961" i="9"/>
  <c r="A961" i="9"/>
  <c r="A960" i="9"/>
  <c r="B959" i="9"/>
  <c r="E959" i="9" s="1"/>
  <c r="C958" i="9"/>
  <c r="C957" i="9"/>
  <c r="D956" i="9"/>
  <c r="F953" i="9"/>
  <c r="A953" i="9"/>
  <c r="A952" i="9"/>
  <c r="B951" i="9"/>
  <c r="E951" i="9" s="1"/>
  <c r="C950" i="9"/>
  <c r="C949" i="9"/>
  <c r="D948" i="9"/>
  <c r="F945" i="9"/>
  <c r="A945" i="9"/>
  <c r="A944" i="9"/>
  <c r="B943" i="9"/>
  <c r="E943" i="9" s="1"/>
  <c r="C942" i="9"/>
  <c r="C941" i="9"/>
  <c r="D940" i="9"/>
  <c r="F937" i="9"/>
  <c r="A937" i="9"/>
  <c r="A936" i="9"/>
  <c r="B935" i="9"/>
  <c r="E935" i="9" s="1"/>
  <c r="C934" i="9"/>
  <c r="C933" i="9"/>
  <c r="D932" i="9"/>
  <c r="F929" i="9"/>
  <c r="A929" i="9"/>
  <c r="A928" i="9"/>
  <c r="B927" i="9"/>
  <c r="E927" i="9" s="1"/>
  <c r="C926" i="9"/>
  <c r="C925" i="9"/>
  <c r="D924" i="9"/>
  <c r="F921" i="9"/>
  <c r="A921" i="9"/>
  <c r="A920" i="9"/>
  <c r="B919" i="9"/>
  <c r="E919" i="9" s="1"/>
  <c r="C918" i="9"/>
  <c r="C917" i="9"/>
  <c r="D916" i="9"/>
  <c r="F913" i="9"/>
  <c r="A913" i="9"/>
  <c r="A912" i="9"/>
  <c r="B911" i="9"/>
  <c r="E911" i="9" s="1"/>
  <c r="C910" i="9"/>
  <c r="C909" i="9"/>
  <c r="D908" i="9"/>
  <c r="F905" i="9"/>
  <c r="A905" i="9"/>
  <c r="A904" i="9"/>
  <c r="B903" i="9"/>
  <c r="E903" i="9" s="1"/>
  <c r="C902" i="9"/>
  <c r="C901" i="9"/>
  <c r="D900" i="9"/>
  <c r="F897" i="9"/>
  <c r="A897" i="9"/>
  <c r="A896" i="9"/>
  <c r="B895" i="9"/>
  <c r="E895" i="9" s="1"/>
  <c r="C894" i="9"/>
  <c r="C893" i="9"/>
  <c r="D892" i="9"/>
  <c r="F889" i="9"/>
  <c r="A889" i="9"/>
  <c r="A888" i="9"/>
  <c r="B887" i="9"/>
  <c r="E887" i="9" s="1"/>
  <c r="C886" i="9"/>
  <c r="C885" i="9"/>
  <c r="D884" i="9"/>
  <c r="F881" i="9"/>
  <c r="A881" i="9"/>
  <c r="A880" i="9"/>
  <c r="B879" i="9"/>
  <c r="E879" i="9" s="1"/>
  <c r="C878" i="9"/>
  <c r="C877" i="9"/>
  <c r="D876" i="9"/>
  <c r="F873" i="9"/>
  <c r="A873" i="9"/>
  <c r="A872" i="9"/>
  <c r="B871" i="9"/>
  <c r="E871" i="9" s="1"/>
  <c r="C870" i="9"/>
  <c r="C869" i="9"/>
  <c r="D868" i="9"/>
  <c r="F865" i="9"/>
  <c r="A865" i="9"/>
  <c r="A864" i="9"/>
  <c r="B863" i="9"/>
  <c r="E863" i="9" s="1"/>
  <c r="C862" i="9"/>
  <c r="C861" i="9"/>
  <c r="D860" i="9"/>
  <c r="F857" i="9"/>
  <c r="A857" i="9"/>
  <c r="A856" i="9"/>
  <c r="B855" i="9"/>
  <c r="E855" i="9" s="1"/>
  <c r="C854" i="9"/>
  <c r="C853" i="9"/>
  <c r="D852" i="9"/>
  <c r="F849" i="9"/>
  <c r="A849" i="9"/>
  <c r="A848" i="9"/>
  <c r="B847" i="9"/>
  <c r="E847" i="9" s="1"/>
  <c r="C846" i="9"/>
  <c r="C845" i="9"/>
  <c r="D844" i="9"/>
  <c r="F841" i="9"/>
  <c r="A841" i="9"/>
  <c r="A840" i="9"/>
  <c r="B839" i="9"/>
  <c r="E839" i="9" s="1"/>
  <c r="C838" i="9"/>
  <c r="C837" i="9"/>
  <c r="D836" i="9"/>
  <c r="F833" i="9"/>
  <c r="A833" i="9"/>
  <c r="A832" i="9"/>
  <c r="B831" i="9"/>
  <c r="E831" i="9" s="1"/>
  <c r="C830" i="9"/>
  <c r="C829" i="9"/>
  <c r="D828" i="9"/>
  <c r="F825" i="9"/>
  <c r="A825" i="9"/>
  <c r="A824" i="9"/>
  <c r="B823" i="9"/>
  <c r="E823" i="9" s="1"/>
  <c r="C822" i="9"/>
  <c r="C821" i="9"/>
  <c r="D820" i="9"/>
  <c r="F817" i="9"/>
  <c r="A817" i="9"/>
  <c r="A816" i="9"/>
  <c r="B815" i="9"/>
  <c r="E815" i="9" s="1"/>
  <c r="C814" i="9"/>
  <c r="C813" i="9"/>
  <c r="D812" i="9"/>
  <c r="F809" i="9"/>
  <c r="A809" i="9"/>
  <c r="A808" i="9"/>
  <c r="B807" i="9"/>
  <c r="E807" i="9" s="1"/>
  <c r="C806" i="9"/>
  <c r="C805" i="9"/>
  <c r="D804" i="9"/>
  <c r="F801" i="9"/>
  <c r="A801" i="9"/>
  <c r="A800" i="9"/>
  <c r="B799" i="9"/>
  <c r="E799" i="9" s="1"/>
  <c r="C798" i="9"/>
  <c r="C797" i="9"/>
  <c r="D796" i="9"/>
  <c r="F793" i="9"/>
  <c r="A793" i="9"/>
  <c r="A792" i="9"/>
  <c r="B791" i="9"/>
  <c r="E791" i="9" s="1"/>
  <c r="C790" i="9"/>
  <c r="C789" i="9"/>
  <c r="D788" i="9"/>
  <c r="F785" i="9"/>
  <c r="A785" i="9"/>
  <c r="A784" i="9"/>
  <c r="B783" i="9"/>
  <c r="E783" i="9" s="1"/>
  <c r="C782" i="9"/>
  <c r="C781" i="9"/>
  <c r="D780" i="9"/>
  <c r="F777" i="9"/>
  <c r="A777" i="9"/>
  <c r="A776" i="9"/>
  <c r="B775" i="9"/>
  <c r="E775" i="9" s="1"/>
  <c r="C774" i="9"/>
  <c r="C773" i="9"/>
  <c r="D772" i="9"/>
  <c r="F769" i="9"/>
  <c r="A769" i="9"/>
  <c r="A768" i="9"/>
  <c r="B767" i="9"/>
  <c r="E767" i="9" s="1"/>
  <c r="C766" i="9"/>
  <c r="C765" i="9"/>
  <c r="D764" i="9"/>
  <c r="F761" i="9"/>
  <c r="A761" i="9"/>
  <c r="A760" i="9"/>
  <c r="B759" i="9"/>
  <c r="E759" i="9" s="1"/>
  <c r="C758" i="9"/>
  <c r="C757" i="9"/>
  <c r="D756" i="9"/>
  <c r="F753" i="9"/>
  <c r="A753" i="9"/>
  <c r="A752" i="9"/>
  <c r="B751" i="9"/>
  <c r="E751" i="9" s="1"/>
  <c r="C750" i="9"/>
  <c r="C749" i="9"/>
  <c r="D748" i="9"/>
  <c r="F745" i="9"/>
  <c r="A745" i="9"/>
  <c r="A744" i="9"/>
  <c r="B743" i="9"/>
  <c r="E743" i="9" s="1"/>
  <c r="C742" i="9"/>
  <c r="C741" i="9"/>
  <c r="D740" i="9"/>
  <c r="F737" i="9"/>
  <c r="A737" i="9"/>
  <c r="A736" i="9"/>
  <c r="B735" i="9"/>
  <c r="E735" i="9" s="1"/>
  <c r="C734" i="9"/>
  <c r="C733" i="9"/>
  <c r="D732" i="9"/>
  <c r="F729" i="9"/>
  <c r="A729" i="9"/>
  <c r="A728" i="9"/>
  <c r="B727" i="9"/>
  <c r="E727" i="9" s="1"/>
  <c r="C726" i="9"/>
  <c r="C725" i="9"/>
  <c r="A724" i="9"/>
  <c r="C723" i="9"/>
  <c r="A722" i="9"/>
  <c r="C721" i="9"/>
  <c r="A720" i="9"/>
  <c r="C719" i="9"/>
  <c r="A718" i="9"/>
  <c r="C717" i="9"/>
  <c r="A716" i="9"/>
  <c r="C715" i="9"/>
  <c r="A714" i="9"/>
  <c r="C713" i="9"/>
  <c r="A712" i="9"/>
  <c r="C711" i="9"/>
  <c r="A710" i="9"/>
  <c r="C709" i="9"/>
  <c r="A708" i="9"/>
  <c r="C707" i="9"/>
  <c r="A706" i="9"/>
  <c r="C705" i="9"/>
  <c r="A704" i="9"/>
  <c r="C703" i="9"/>
  <c r="A702" i="9"/>
  <c r="C701" i="9"/>
  <c r="A700" i="9"/>
  <c r="C699" i="9"/>
  <c r="A698" i="9"/>
  <c r="C697" i="9"/>
  <c r="A696" i="9"/>
  <c r="C695" i="9"/>
  <c r="A694" i="9"/>
  <c r="C693" i="9"/>
  <c r="A692" i="9"/>
  <c r="C691" i="9"/>
  <c r="A690" i="9"/>
  <c r="C689" i="9"/>
  <c r="A688" i="9"/>
  <c r="C687" i="9"/>
  <c r="A686" i="9"/>
  <c r="C685" i="9"/>
  <c r="A684" i="9"/>
  <c r="C683" i="9"/>
  <c r="A682" i="9"/>
  <c r="C681" i="9"/>
  <c r="A680" i="9"/>
  <c r="C679" i="9"/>
  <c r="A678" i="9"/>
  <c r="C677" i="9"/>
  <c r="A676" i="9"/>
  <c r="C675" i="9"/>
  <c r="A674" i="9"/>
  <c r="C673" i="9"/>
  <c r="A672" i="9"/>
  <c r="C671" i="9"/>
  <c r="A670" i="9"/>
  <c r="C669" i="9"/>
  <c r="A668" i="9"/>
  <c r="C667" i="9"/>
  <c r="A666" i="9"/>
  <c r="C665" i="9"/>
  <c r="A664" i="9"/>
  <c r="C663" i="9"/>
  <c r="A662" i="9"/>
  <c r="C661" i="9"/>
  <c r="A660" i="9"/>
  <c r="C659" i="9"/>
  <c r="A658" i="9"/>
  <c r="C657" i="9"/>
  <c r="A656" i="9"/>
  <c r="C655" i="9"/>
  <c r="A654" i="9"/>
  <c r="C653" i="9"/>
  <c r="A652" i="9"/>
  <c r="C651" i="9"/>
  <c r="A650" i="9"/>
  <c r="C649" i="9"/>
  <c r="A648" i="9"/>
  <c r="C647" i="9"/>
  <c r="A646" i="9"/>
  <c r="C645" i="9"/>
  <c r="A644" i="9"/>
  <c r="C643" i="9"/>
  <c r="A642" i="9"/>
  <c r="C641" i="9"/>
  <c r="A640" i="9"/>
  <c r="C639" i="9"/>
  <c r="A638" i="9"/>
  <c r="C637" i="9"/>
  <c r="A636" i="9"/>
  <c r="C635" i="9"/>
  <c r="A634" i="9"/>
  <c r="C633" i="9"/>
  <c r="A632" i="9"/>
  <c r="C631" i="9"/>
  <c r="A630" i="9"/>
  <c r="C629" i="9"/>
  <c r="A628" i="9"/>
  <c r="C627" i="9"/>
  <c r="A626" i="9"/>
  <c r="C625" i="9"/>
  <c r="A624" i="9"/>
  <c r="C623" i="9"/>
  <c r="A622" i="9"/>
  <c r="C621" i="9"/>
  <c r="A620" i="9"/>
  <c r="C619" i="9"/>
  <c r="A618" i="9"/>
  <c r="C617" i="9"/>
  <c r="A616" i="9"/>
  <c r="C615" i="9"/>
  <c r="A614" i="9"/>
  <c r="C613" i="9"/>
  <c r="A612" i="9"/>
  <c r="C611" i="9"/>
  <c r="A610" i="9"/>
  <c r="C609" i="9"/>
  <c r="A608" i="9"/>
  <c r="C607" i="9"/>
  <c r="A606" i="9"/>
  <c r="C605" i="9"/>
  <c r="A604" i="9"/>
  <c r="C603" i="9"/>
  <c r="A602" i="9"/>
  <c r="C601" i="9"/>
  <c r="A600" i="9"/>
  <c r="C599" i="9"/>
  <c r="A598" i="9"/>
  <c r="C597" i="9"/>
  <c r="A596" i="9"/>
  <c r="C595" i="9"/>
  <c r="A594" i="9"/>
  <c r="C593" i="9"/>
  <c r="A592" i="9"/>
  <c r="C591" i="9"/>
  <c r="A590" i="9"/>
  <c r="C589" i="9"/>
  <c r="A588" i="9"/>
  <c r="C587" i="9"/>
  <c r="A586" i="9"/>
  <c r="C585" i="9"/>
  <c r="C2001" i="9"/>
  <c r="F1994" i="9"/>
  <c r="F1986" i="9"/>
  <c r="D1979" i="9"/>
  <c r="D1972" i="9"/>
  <c r="F1956" i="9"/>
  <c r="B1950" i="9"/>
  <c r="E1950" i="9" s="1"/>
  <c r="B1942" i="9"/>
  <c r="E1942" i="9" s="1"/>
  <c r="D1934" i="9"/>
  <c r="C1927" i="9"/>
  <c r="C1919" i="9"/>
  <c r="B1912" i="9"/>
  <c r="E1912" i="9" s="1"/>
  <c r="F1904" i="9"/>
  <c r="B1897" i="9"/>
  <c r="E1897" i="9" s="1"/>
  <c r="C1889" i="9"/>
  <c r="F1866" i="9"/>
  <c r="A1860" i="9"/>
  <c r="A1852" i="9"/>
  <c r="A1846" i="9"/>
  <c r="D1840" i="9"/>
  <c r="B1835" i="9"/>
  <c r="E1835" i="9" s="1"/>
  <c r="B1829" i="9"/>
  <c r="E1829" i="9" s="1"/>
  <c r="F1823" i="9"/>
  <c r="F1817" i="9"/>
  <c r="A1812" i="9"/>
  <c r="F1806" i="9"/>
  <c r="F1800" i="9"/>
  <c r="C1795" i="9"/>
  <c r="A1790" i="9"/>
  <c r="D1784" i="9"/>
  <c r="D1778" i="9"/>
  <c r="C1773" i="9"/>
  <c r="D1767" i="9"/>
  <c r="D1761" i="9"/>
  <c r="B1756" i="9"/>
  <c r="E1756" i="9" s="1"/>
  <c r="B1750" i="9"/>
  <c r="E1750" i="9" s="1"/>
  <c r="F1744" i="9"/>
  <c r="C1739" i="9"/>
  <c r="F1733" i="9"/>
  <c r="F1727" i="9"/>
  <c r="F1716" i="9"/>
  <c r="F1710" i="9"/>
  <c r="F1705" i="9"/>
  <c r="A1700" i="9"/>
  <c r="B1694" i="9"/>
  <c r="E1694" i="9" s="1"/>
  <c r="B1684" i="9"/>
  <c r="E1684" i="9" s="1"/>
  <c r="F1679" i="9"/>
  <c r="F1675" i="9"/>
  <c r="C1671" i="9"/>
  <c r="F1666" i="9"/>
  <c r="B1663" i="9"/>
  <c r="E1663" i="9" s="1"/>
  <c r="D1654" i="9"/>
  <c r="D1650" i="9"/>
  <c r="B1646" i="9"/>
  <c r="E1646" i="9" s="1"/>
  <c r="F1641" i="9"/>
  <c r="A1638" i="9"/>
  <c r="D1633" i="9"/>
  <c r="B1629" i="9"/>
  <c r="E1629" i="9" s="1"/>
  <c r="B1625" i="9"/>
  <c r="E1625" i="9" s="1"/>
  <c r="D1612" i="9"/>
  <c r="B1608" i="9"/>
  <c r="E1608" i="9" s="1"/>
  <c r="F1603" i="9"/>
  <c r="A1600" i="9"/>
  <c r="D1595" i="9"/>
  <c r="B1592" i="9"/>
  <c r="E1592" i="9" s="1"/>
  <c r="C1589" i="9"/>
  <c r="A1586" i="9"/>
  <c r="F1582" i="9"/>
  <c r="F1579" i="9"/>
  <c r="C1573" i="9"/>
  <c r="D1570" i="9"/>
  <c r="B1567" i="9"/>
  <c r="E1567" i="9" s="1"/>
  <c r="F1563" i="9"/>
  <c r="F1560" i="9"/>
  <c r="D1557" i="9"/>
  <c r="D1554" i="9"/>
  <c r="C1551" i="9"/>
  <c r="B1548" i="9"/>
  <c r="E1548" i="9" s="1"/>
  <c r="F1544" i="9"/>
  <c r="A1542" i="9"/>
  <c r="C1535" i="9"/>
  <c r="B1533" i="9"/>
  <c r="E1533" i="9" s="1"/>
  <c r="C1528" i="9"/>
  <c r="A1526" i="9"/>
  <c r="B1521" i="9"/>
  <c r="E1521" i="9" s="1"/>
  <c r="A1519" i="9"/>
  <c r="D1516" i="9"/>
  <c r="A1514" i="9"/>
  <c r="F1511" i="9"/>
  <c r="C1509" i="9"/>
  <c r="A1507" i="9"/>
  <c r="C1502" i="9"/>
  <c r="F1499" i="9"/>
  <c r="B1495" i="9"/>
  <c r="E1495" i="9" s="1"/>
  <c r="D1490" i="9"/>
  <c r="A1488" i="9"/>
  <c r="C1483" i="9"/>
  <c r="A1481" i="9"/>
  <c r="D1478" i="9"/>
  <c r="C1476" i="9"/>
  <c r="F1473" i="9"/>
  <c r="C1471" i="9"/>
  <c r="B1469" i="9"/>
  <c r="E1469" i="9" s="1"/>
  <c r="C1464" i="9"/>
  <c r="A1462" i="9"/>
  <c r="B1457" i="9"/>
  <c r="E1457" i="9" s="1"/>
  <c r="A1455" i="9"/>
  <c r="D1452" i="9"/>
  <c r="A1450" i="9"/>
  <c r="F1447" i="9"/>
  <c r="C1445" i="9"/>
  <c r="A1443" i="9"/>
  <c r="C1438" i="9"/>
  <c r="F1435" i="9"/>
  <c r="B1431" i="9"/>
  <c r="E1431" i="9" s="1"/>
  <c r="D1426" i="9"/>
  <c r="A1424" i="9"/>
  <c r="C1419" i="9"/>
  <c r="A1417" i="9"/>
  <c r="D1414" i="9"/>
  <c r="C1412" i="9"/>
  <c r="F1409" i="9"/>
  <c r="C1407" i="9"/>
  <c r="B1405" i="9"/>
  <c r="E1405" i="9" s="1"/>
  <c r="C1400" i="9"/>
  <c r="A1398" i="9"/>
  <c r="B1393" i="9"/>
  <c r="E1393" i="9" s="1"/>
  <c r="A1391" i="9"/>
  <c r="B2001" i="9"/>
  <c r="E2001" i="9" s="1"/>
  <c r="B1993" i="9"/>
  <c r="E1993" i="9" s="1"/>
  <c r="B1971" i="9"/>
  <c r="E1971" i="9" s="1"/>
  <c r="D1963" i="9"/>
  <c r="D1956" i="9"/>
  <c r="D1941" i="9"/>
  <c r="D1933" i="9"/>
  <c r="D1925" i="9"/>
  <c r="B1919" i="9"/>
  <c r="E1919" i="9" s="1"/>
  <c r="B1911" i="9"/>
  <c r="E1911" i="9" s="1"/>
  <c r="D1903" i="9"/>
  <c r="D1896" i="9"/>
  <c r="F1888" i="9"/>
  <c r="B1881" i="9"/>
  <c r="E1881" i="9" s="1"/>
  <c r="B1874" i="9"/>
  <c r="E1874" i="9" s="1"/>
  <c r="B1866" i="9"/>
  <c r="E1866" i="9" s="1"/>
  <c r="D1851" i="9"/>
  <c r="B1845" i="9"/>
  <c r="E1845" i="9" s="1"/>
  <c r="F1839" i="9"/>
  <c r="B1834" i="9"/>
  <c r="E1834" i="9" s="1"/>
  <c r="D1828" i="9"/>
  <c r="D1817" i="9"/>
  <c r="D1811" i="9"/>
  <c r="F1805" i="9"/>
  <c r="B1789" i="9"/>
  <c r="E1789" i="9" s="1"/>
  <c r="D1783" i="9"/>
  <c r="B1778" i="9"/>
  <c r="E1778" i="9" s="1"/>
  <c r="B1772" i="9"/>
  <c r="E1772" i="9" s="1"/>
  <c r="F1766" i="9"/>
  <c r="F1760" i="9"/>
  <c r="B1755" i="9"/>
  <c r="E1755" i="9" s="1"/>
  <c r="A1750" i="9"/>
  <c r="A1744" i="9"/>
  <c r="D1738" i="9"/>
  <c r="B1733" i="9"/>
  <c r="E1733" i="9" s="1"/>
  <c r="D1727" i="9"/>
  <c r="D1721" i="9"/>
  <c r="D1716" i="9"/>
  <c r="C1699" i="9"/>
  <c r="C1693" i="9"/>
  <c r="A1688" i="9"/>
  <c r="D1683" i="9"/>
  <c r="C1679" i="9"/>
  <c r="F1674" i="9"/>
  <c r="B1671" i="9"/>
  <c r="E1671" i="9" s="1"/>
  <c r="B1662" i="9"/>
  <c r="E1662" i="9" s="1"/>
  <c r="D1658" i="9"/>
  <c r="A1654" i="9"/>
  <c r="F1649" i="9"/>
  <c r="D1645" i="9"/>
  <c r="D1641" i="9"/>
  <c r="B1637" i="9"/>
  <c r="E1637" i="9" s="1"/>
  <c r="B1633" i="9"/>
  <c r="E1633" i="9" s="1"/>
  <c r="B1624" i="9"/>
  <c r="E1624" i="9" s="1"/>
  <c r="D1620" i="9"/>
  <c r="A1616" i="9"/>
  <c r="F1611" i="9"/>
  <c r="F1607" i="9"/>
  <c r="D1603" i="9"/>
  <c r="B1599" i="9"/>
  <c r="E1599" i="9" s="1"/>
  <c r="C1595" i="9"/>
  <c r="A1592" i="9"/>
  <c r="F1585" i="9"/>
  <c r="D1582" i="9"/>
  <c r="C1579" i="9"/>
  <c r="B1576" i="9"/>
  <c r="E1576" i="9" s="1"/>
  <c r="B1573" i="9"/>
  <c r="E1573" i="9" s="1"/>
  <c r="F1569" i="9"/>
  <c r="F1566" i="9"/>
  <c r="D1563" i="9"/>
  <c r="B1560" i="9"/>
  <c r="E1560" i="9" s="1"/>
  <c r="C1557" i="9"/>
  <c r="A1554" i="9"/>
  <c r="F1550" i="9"/>
  <c r="F1547" i="9"/>
  <c r="C1541" i="9"/>
  <c r="D1538" i="9"/>
  <c r="B1535" i="9"/>
  <c r="E1535" i="9" s="1"/>
  <c r="D1530" i="9"/>
  <c r="A1528" i="9"/>
  <c r="C1523" i="9"/>
  <c r="A1521" i="9"/>
  <c r="D1518" i="9"/>
  <c r="C1516" i="9"/>
  <c r="F1513" i="9"/>
  <c r="C1511" i="9"/>
  <c r="B1509" i="9"/>
  <c r="E1509" i="9" s="1"/>
  <c r="C1504" i="9"/>
  <c r="A1502" i="9"/>
  <c r="B1497" i="9"/>
  <c r="E1497" i="9" s="1"/>
  <c r="A1495" i="9"/>
  <c r="D1492" i="9"/>
  <c r="A1490" i="9"/>
  <c r="F1487" i="9"/>
  <c r="C1485" i="9"/>
  <c r="A1483" i="9"/>
  <c r="C1478" i="9"/>
  <c r="F1475" i="9"/>
  <c r="B1471" i="9"/>
  <c r="E1471" i="9" s="1"/>
  <c r="D1466" i="9"/>
  <c r="A1464" i="9"/>
  <c r="C1459" i="9"/>
  <c r="A1457" i="9"/>
  <c r="D1454" i="9"/>
  <c r="C1452" i="9"/>
  <c r="F1449" i="9"/>
  <c r="C1447" i="9"/>
  <c r="B1445" i="9"/>
  <c r="E1445" i="9" s="1"/>
  <c r="C1440" i="9"/>
  <c r="A1438" i="9"/>
  <c r="B1433" i="9"/>
  <c r="E1433" i="9" s="1"/>
  <c r="A1431" i="9"/>
  <c r="D1428" i="9"/>
  <c r="A1426" i="9"/>
  <c r="F1423" i="9"/>
  <c r="C1421" i="9"/>
  <c r="A1419" i="9"/>
  <c r="C1414" i="9"/>
  <c r="F1411" i="9"/>
  <c r="B1407" i="9"/>
  <c r="E1407" i="9" s="1"/>
  <c r="D1402" i="9"/>
  <c r="A1400" i="9"/>
  <c r="C1395" i="9"/>
  <c r="A1393" i="9"/>
  <c r="D1390" i="9"/>
  <c r="C1388" i="9"/>
  <c r="F1385" i="9"/>
  <c r="C1383" i="9"/>
  <c r="B1381" i="9"/>
  <c r="E1381" i="9" s="1"/>
  <c r="C1376" i="9"/>
  <c r="A1374" i="9"/>
  <c r="B1369" i="9"/>
  <c r="E1369" i="9" s="1"/>
  <c r="A1367" i="9"/>
  <c r="D1364" i="9"/>
  <c r="A1362" i="9"/>
  <c r="F1359" i="9"/>
  <c r="C1357" i="9"/>
  <c r="A1355" i="9"/>
  <c r="C1350" i="9"/>
  <c r="F1347" i="9"/>
  <c r="D1998" i="9"/>
  <c r="D1990" i="9"/>
  <c r="D1983" i="9"/>
  <c r="A1976" i="9"/>
  <c r="A1968" i="9"/>
  <c r="B1961" i="9"/>
  <c r="E1961" i="9" s="1"/>
  <c r="C1953" i="9"/>
  <c r="F1945" i="9"/>
  <c r="B1938" i="9"/>
  <c r="E1938" i="9" s="1"/>
  <c r="B1931" i="9"/>
  <c r="E1931" i="9" s="1"/>
  <c r="B1923" i="9"/>
  <c r="E1923" i="9" s="1"/>
  <c r="A1916" i="9"/>
  <c r="D1908" i="9"/>
  <c r="D1900" i="9"/>
  <c r="D1893" i="9"/>
  <c r="F1885" i="9"/>
  <c r="B1878" i="9"/>
  <c r="E1878" i="9" s="1"/>
  <c r="B1871" i="9"/>
  <c r="E1871" i="9" s="1"/>
  <c r="D1863" i="9"/>
  <c r="D1855" i="9"/>
  <c r="C1849" i="9"/>
  <c r="C1843" i="9"/>
  <c r="C1837" i="9"/>
  <c r="A1832" i="9"/>
  <c r="B1826" i="9"/>
  <c r="E1826" i="9" s="1"/>
  <c r="F1820" i="9"/>
  <c r="B1815" i="9"/>
  <c r="E1815" i="9" s="1"/>
  <c r="D1809" i="9"/>
  <c r="D1803" i="9"/>
  <c r="F1781" i="9"/>
  <c r="F1775" i="9"/>
  <c r="B1770" i="9"/>
  <c r="E1770" i="9" s="1"/>
  <c r="D1764" i="9"/>
  <c r="B1759" i="9"/>
  <c r="E1759" i="9" s="1"/>
  <c r="C1753" i="9"/>
  <c r="A1748" i="9"/>
  <c r="A1742" i="9"/>
  <c r="A1736" i="9"/>
  <c r="B1731" i="9"/>
  <c r="E1731" i="9" s="1"/>
  <c r="B1725" i="9"/>
  <c r="E1725" i="9" s="1"/>
  <c r="D1719" i="9"/>
  <c r="B1714" i="9"/>
  <c r="E1714" i="9" s="1"/>
  <c r="D1708" i="9"/>
  <c r="D1697" i="9"/>
  <c r="D1691" i="9"/>
  <c r="A1686" i="9"/>
  <c r="A1682" i="9"/>
  <c r="D1677" i="9"/>
  <c r="D1673" i="9"/>
  <c r="C1669" i="9"/>
  <c r="B1665" i="9"/>
  <c r="E1665" i="9" s="1"/>
  <c r="F1656" i="9"/>
  <c r="D1652" i="9"/>
  <c r="A1648" i="9"/>
  <c r="B1644" i="9"/>
  <c r="E1644" i="9" s="1"/>
  <c r="F1639" i="9"/>
  <c r="D1635" i="9"/>
  <c r="C1631" i="9"/>
  <c r="C1627" i="9"/>
  <c r="F1622" i="9"/>
  <c r="F1618" i="9"/>
  <c r="D1614" i="9"/>
  <c r="A1610" i="9"/>
  <c r="B1606" i="9"/>
  <c r="E1606" i="9" s="1"/>
  <c r="F1601" i="9"/>
  <c r="D1597" i="9"/>
  <c r="A1594" i="9"/>
  <c r="F1590" i="9"/>
  <c r="D1587" i="9"/>
  <c r="C1581" i="9"/>
  <c r="A1578" i="9"/>
  <c r="B1575" i="9"/>
  <c r="E1575" i="9" s="1"/>
  <c r="F1571" i="9"/>
  <c r="D1565" i="9"/>
  <c r="D1562" i="9"/>
  <c r="B1559" i="9"/>
  <c r="E1559" i="9" s="1"/>
  <c r="B1556" i="9"/>
  <c r="E1556" i="9" s="1"/>
  <c r="F1552" i="9"/>
  <c r="D1549" i="9"/>
  <c r="C1543" i="9"/>
  <c r="B1540" i="9"/>
  <c r="E1540" i="9" s="1"/>
  <c r="B1537" i="9"/>
  <c r="E1537" i="9" s="1"/>
  <c r="C1534" i="9"/>
  <c r="F1531" i="9"/>
  <c r="B1527" i="9"/>
  <c r="E1527" i="9" s="1"/>
  <c r="D1522" i="9"/>
  <c r="A1520" i="9"/>
  <c r="C1515" i="9"/>
  <c r="A1513" i="9"/>
  <c r="D1510" i="9"/>
  <c r="C1508" i="9"/>
  <c r="F1505" i="9"/>
  <c r="C1503" i="9"/>
  <c r="B1501" i="9"/>
  <c r="E1501" i="9" s="1"/>
  <c r="C1496" i="9"/>
  <c r="A1494" i="9"/>
  <c r="B1489" i="9"/>
  <c r="E1489" i="9" s="1"/>
  <c r="A1487" i="9"/>
  <c r="D1484" i="9"/>
  <c r="A1482" i="9"/>
  <c r="F1479" i="9"/>
  <c r="C1477" i="9"/>
  <c r="A1475" i="9"/>
  <c r="C1470" i="9"/>
  <c r="F1467" i="9"/>
  <c r="B1463" i="9"/>
  <c r="E1463" i="9" s="1"/>
  <c r="D1458" i="9"/>
  <c r="A1456" i="9"/>
  <c r="C1451" i="9"/>
  <c r="A1449" i="9"/>
  <c r="D1446" i="9"/>
  <c r="C1444" i="9"/>
  <c r="F1441" i="9"/>
  <c r="C1439" i="9"/>
  <c r="B1437" i="9"/>
  <c r="E1437" i="9" s="1"/>
  <c r="C1432" i="9"/>
  <c r="A1430" i="9"/>
  <c r="B1425" i="9"/>
  <c r="E1425" i="9" s="1"/>
  <c r="A1423" i="9"/>
  <c r="D1420" i="9"/>
  <c r="A1418" i="9"/>
  <c r="F1415" i="9"/>
  <c r="C1413" i="9"/>
  <c r="A1411" i="9"/>
  <c r="C1406" i="9"/>
  <c r="F1403" i="9"/>
  <c r="B1399" i="9"/>
  <c r="E1399" i="9" s="1"/>
  <c r="D1394" i="9"/>
  <c r="A1392" i="9"/>
  <c r="C1387" i="9"/>
  <c r="D1997" i="9"/>
  <c r="B1990" i="9"/>
  <c r="E1990" i="9" s="1"/>
  <c r="B1982" i="9"/>
  <c r="E1982" i="9" s="1"/>
  <c r="C1975" i="9"/>
  <c r="D1967" i="9"/>
  <c r="D1959" i="9"/>
  <c r="D1952" i="9"/>
  <c r="D1944" i="9"/>
  <c r="C1937" i="9"/>
  <c r="A1930" i="9"/>
  <c r="F1907" i="9"/>
  <c r="A1900" i="9"/>
  <c r="A1892" i="9"/>
  <c r="C1885" i="9"/>
  <c r="D1877" i="9"/>
  <c r="F1869" i="9"/>
  <c r="D1862" i="9"/>
  <c r="C1855" i="9"/>
  <c r="A1848" i="9"/>
  <c r="F1836" i="9"/>
  <c r="F1830" i="9"/>
  <c r="F1825" i="9"/>
  <c r="A1820" i="9"/>
  <c r="B1814" i="9"/>
  <c r="E1814" i="9" s="1"/>
  <c r="F1808" i="9"/>
  <c r="C1803" i="9"/>
  <c r="C1797" i="9"/>
  <c r="D1792" i="9"/>
  <c r="D1786" i="9"/>
  <c r="D1780" i="9"/>
  <c r="B1775" i="9"/>
  <c r="E1775" i="9" s="1"/>
  <c r="C1769" i="9"/>
  <c r="A1764" i="9"/>
  <c r="B1758" i="9"/>
  <c r="E1758" i="9" s="1"/>
  <c r="F1741" i="9"/>
  <c r="F1735" i="9"/>
  <c r="F1729" i="9"/>
  <c r="F1724" i="9"/>
  <c r="F1718" i="9"/>
  <c r="C1713" i="9"/>
  <c r="D1707" i="9"/>
  <c r="B1702" i="9"/>
  <c r="E1702" i="9" s="1"/>
  <c r="D1696" i="9"/>
  <c r="B1691" i="9"/>
  <c r="E1691" i="9" s="1"/>
  <c r="D1685" i="9"/>
  <c r="B1681" i="9"/>
  <c r="E1681" i="9" s="1"/>
  <c r="C1677" i="9"/>
  <c r="F1672" i="9"/>
  <c r="D1660" i="9"/>
  <c r="A1656" i="9"/>
  <c r="B1652" i="9"/>
  <c r="E1652" i="9" s="1"/>
  <c r="F1647" i="9"/>
  <c r="C1643" i="9"/>
  <c r="C1639" i="9"/>
  <c r="F1634" i="9"/>
  <c r="F1630" i="9"/>
  <c r="D1622" i="9"/>
  <c r="A1618" i="9"/>
  <c r="B1614" i="9"/>
  <c r="E1614" i="9" s="1"/>
  <c r="F1609" i="9"/>
  <c r="C1605" i="9"/>
  <c r="D1601" i="9"/>
  <c r="B1597" i="9"/>
  <c r="E1597" i="9" s="1"/>
  <c r="D1593" i="9"/>
  <c r="D1590" i="9"/>
  <c r="C1587" i="9"/>
  <c r="A1584" i="9"/>
  <c r="B1581" i="9"/>
  <c r="E1581" i="9" s="1"/>
  <c r="F1577" i="9"/>
  <c r="D1574" i="9"/>
  <c r="D1571" i="9"/>
  <c r="B1568" i="9"/>
  <c r="E1568" i="9" s="1"/>
  <c r="B1565" i="9"/>
  <c r="E1565" i="9" s="1"/>
  <c r="A1562" i="9"/>
  <c r="F1558" i="9"/>
  <c r="D1555" i="9"/>
  <c r="C1549" i="9"/>
  <c r="A1546" i="9"/>
  <c r="B1543" i="9"/>
  <c r="E1543" i="9" s="1"/>
  <c r="F1539" i="9"/>
  <c r="A1534" i="9"/>
  <c r="B1529" i="9"/>
  <c r="E1529" i="9" s="1"/>
  <c r="A1527" i="9"/>
  <c r="D1524" i="9"/>
  <c r="A1522" i="9"/>
  <c r="F1519" i="9"/>
  <c r="C1517" i="9"/>
  <c r="A1515" i="9"/>
  <c r="C1510" i="9"/>
  <c r="F1507" i="9"/>
  <c r="B1503" i="9"/>
  <c r="E1503" i="9" s="1"/>
  <c r="D1498" i="9"/>
  <c r="A1496" i="9"/>
  <c r="C1491" i="9"/>
  <c r="A1489" i="9"/>
  <c r="D1486" i="9"/>
  <c r="C1484" i="9"/>
  <c r="F1481" i="9"/>
  <c r="C1479" i="9"/>
  <c r="B1477" i="9"/>
  <c r="E1477" i="9" s="1"/>
  <c r="C1472" i="9"/>
  <c r="A1470" i="9"/>
  <c r="B1465" i="9"/>
  <c r="E1465" i="9" s="1"/>
  <c r="A1463" i="9"/>
  <c r="D1460" i="9"/>
  <c r="A1458" i="9"/>
  <c r="F1455" i="9"/>
  <c r="C1453" i="9"/>
  <c r="A1451" i="9"/>
  <c r="C1446" i="9"/>
  <c r="F1443" i="9"/>
  <c r="B1439" i="9"/>
  <c r="E1439" i="9" s="1"/>
  <c r="D1434" i="9"/>
  <c r="A1432" i="9"/>
  <c r="C1427" i="9"/>
  <c r="A1425" i="9"/>
  <c r="D1422" i="9"/>
  <c r="C1420" i="9"/>
  <c r="F1417" i="9"/>
  <c r="C1415" i="9"/>
  <c r="B1413" i="9"/>
  <c r="E1413" i="9" s="1"/>
  <c r="C1408" i="9"/>
  <c r="A1406" i="9"/>
  <c r="B1401" i="9"/>
  <c r="E1401" i="9" s="1"/>
  <c r="A1399" i="9"/>
  <c r="D1396" i="9"/>
  <c r="A1394" i="9"/>
  <c r="F1391" i="9"/>
  <c r="C1389" i="9"/>
  <c r="A1387" i="9"/>
  <c r="C1382" i="9"/>
  <c r="F1379" i="9"/>
  <c r="B1375" i="9"/>
  <c r="E1375" i="9" s="1"/>
  <c r="D1370" i="9"/>
  <c r="A1368" i="9"/>
  <c r="C1363" i="9"/>
  <c r="A1361" i="9"/>
  <c r="D1358" i="9"/>
  <c r="C1356" i="9"/>
  <c r="F1353" i="9"/>
  <c r="C1351" i="9"/>
  <c r="B1349" i="9"/>
  <c r="E1349" i="9" s="1"/>
  <c r="F1383" i="9"/>
  <c r="A1379" i="9"/>
  <c r="C1374" i="9"/>
  <c r="A1360" i="9"/>
  <c r="C1355" i="9"/>
  <c r="D1350" i="9"/>
  <c r="C1343" i="9"/>
  <c r="B1341" i="9"/>
  <c r="E1341" i="9" s="1"/>
  <c r="C1336" i="9"/>
  <c r="A1334" i="9"/>
  <c r="B1329" i="9"/>
  <c r="E1329" i="9" s="1"/>
  <c r="A1327" i="9"/>
  <c r="D1324" i="9"/>
  <c r="A1322" i="9"/>
  <c r="F1319" i="9"/>
  <c r="C1317" i="9"/>
  <c r="A1315" i="9"/>
  <c r="C1310" i="9"/>
  <c r="F1307" i="9"/>
  <c r="B1303" i="9"/>
  <c r="E1303" i="9" s="1"/>
  <c r="D1298" i="9"/>
  <c r="A1296" i="9"/>
  <c r="A1294" i="9"/>
  <c r="C1292" i="9"/>
  <c r="D1290" i="9"/>
  <c r="A1287" i="9"/>
  <c r="B1285" i="9"/>
  <c r="E1285" i="9" s="1"/>
  <c r="C1283" i="9"/>
  <c r="F1279" i="9"/>
  <c r="A1278" i="9"/>
  <c r="C1276" i="9"/>
  <c r="D1274" i="9"/>
  <c r="A1271" i="9"/>
  <c r="B1269" i="9"/>
  <c r="E1269" i="9" s="1"/>
  <c r="C1267" i="9"/>
  <c r="F1263" i="9"/>
  <c r="A1262" i="9"/>
  <c r="C1260" i="9"/>
  <c r="D1258" i="9"/>
  <c r="A1255" i="9"/>
  <c r="B1253" i="9"/>
  <c r="E1253" i="9" s="1"/>
  <c r="C1251" i="9"/>
  <c r="F1247" i="9"/>
  <c r="A1246" i="9"/>
  <c r="C1244" i="9"/>
  <c r="D1242" i="9"/>
  <c r="A1239" i="9"/>
  <c r="B1237" i="9"/>
  <c r="E1237" i="9" s="1"/>
  <c r="C1235" i="9"/>
  <c r="F1231" i="9"/>
  <c r="A1230" i="9"/>
  <c r="C1228" i="9"/>
  <c r="D1226" i="9"/>
  <c r="A1223" i="9"/>
  <c r="B1221" i="9"/>
  <c r="E1221" i="9" s="1"/>
  <c r="C1219" i="9"/>
  <c r="F1215" i="9"/>
  <c r="A1214" i="9"/>
  <c r="C1212" i="9"/>
  <c r="D1210" i="9"/>
  <c r="A1207" i="9"/>
  <c r="B1205" i="9"/>
  <c r="E1205" i="9" s="1"/>
  <c r="C1203" i="9"/>
  <c r="F1199" i="9"/>
  <c r="A1198" i="9"/>
  <c r="C1196" i="9"/>
  <c r="D1194" i="9"/>
  <c r="A1191" i="9"/>
  <c r="B1189" i="9"/>
  <c r="E1189" i="9" s="1"/>
  <c r="C1187" i="9"/>
  <c r="F1183" i="9"/>
  <c r="A1182" i="9"/>
  <c r="C1180" i="9"/>
  <c r="D1178" i="9"/>
  <c r="A1175" i="9"/>
  <c r="B1173" i="9"/>
  <c r="E1173" i="9" s="1"/>
  <c r="C1171" i="9"/>
  <c r="F1167" i="9"/>
  <c r="A1166" i="9"/>
  <c r="C1164" i="9"/>
  <c r="D1162" i="9"/>
  <c r="A1159" i="9"/>
  <c r="B1157" i="9"/>
  <c r="E1157" i="9" s="1"/>
  <c r="C1155" i="9"/>
  <c r="F1151" i="9"/>
  <c r="A1150" i="9"/>
  <c r="C1148" i="9"/>
  <c r="D1146" i="9"/>
  <c r="A1143" i="9"/>
  <c r="B1141" i="9"/>
  <c r="E1141" i="9" s="1"/>
  <c r="C1139" i="9"/>
  <c r="F1135" i="9"/>
  <c r="A1134" i="9"/>
  <c r="C1132" i="9"/>
  <c r="D1130" i="9"/>
  <c r="A1127" i="9"/>
  <c r="B1125" i="9"/>
  <c r="E1125" i="9" s="1"/>
  <c r="C1123" i="9"/>
  <c r="F1119" i="9"/>
  <c r="A1118" i="9"/>
  <c r="C1116" i="9"/>
  <c r="D1114" i="9"/>
  <c r="A1111" i="9"/>
  <c r="B1109" i="9"/>
  <c r="E1109" i="9" s="1"/>
  <c r="C1107" i="9"/>
  <c r="F1103" i="9"/>
  <c r="A1102" i="9"/>
  <c r="C1100" i="9"/>
  <c r="D1098" i="9"/>
  <c r="A1095" i="9"/>
  <c r="B1093" i="9"/>
  <c r="E1093" i="9" s="1"/>
  <c r="C1091" i="9"/>
  <c r="F1087" i="9"/>
  <c r="A1086" i="9"/>
  <c r="C1084" i="9"/>
  <c r="D1082" i="9"/>
  <c r="A1079" i="9"/>
  <c r="B1077" i="9"/>
  <c r="E1077" i="9" s="1"/>
  <c r="C1075" i="9"/>
  <c r="F1071" i="9"/>
  <c r="A1070" i="9"/>
  <c r="C1068" i="9"/>
  <c r="D1066" i="9"/>
  <c r="A1063" i="9"/>
  <c r="B1061" i="9"/>
  <c r="E1061" i="9" s="1"/>
  <c r="C1059" i="9"/>
  <c r="F1055" i="9"/>
  <c r="A1054" i="9"/>
  <c r="C1052" i="9"/>
  <c r="D1050" i="9"/>
  <c r="A1047" i="9"/>
  <c r="B1045" i="9"/>
  <c r="E1045" i="9" s="1"/>
  <c r="C1043" i="9"/>
  <c r="F1039" i="9"/>
  <c r="A1038" i="9"/>
  <c r="C1036" i="9"/>
  <c r="D1034" i="9"/>
  <c r="A1031" i="9"/>
  <c r="B1029" i="9"/>
  <c r="E1029" i="9" s="1"/>
  <c r="C1027" i="9"/>
  <c r="F1023" i="9"/>
  <c r="A1022" i="9"/>
  <c r="C1020" i="9"/>
  <c r="D1018" i="9"/>
  <c r="A1015" i="9"/>
  <c r="B1013" i="9"/>
  <c r="E1013" i="9" s="1"/>
  <c r="C1011" i="9"/>
  <c r="F1007" i="9"/>
  <c r="A1006" i="9"/>
  <c r="C1004" i="9"/>
  <c r="D1002" i="9"/>
  <c r="A999" i="9"/>
  <c r="B997" i="9"/>
  <c r="E997" i="9" s="1"/>
  <c r="C995" i="9"/>
  <c r="F991" i="9"/>
  <c r="A990" i="9"/>
  <c r="C988" i="9"/>
  <c r="D986" i="9"/>
  <c r="A983" i="9"/>
  <c r="B981" i="9"/>
  <c r="E981" i="9" s="1"/>
  <c r="C979" i="9"/>
  <c r="F975" i="9"/>
  <c r="A974" i="9"/>
  <c r="C972" i="9"/>
  <c r="D970" i="9"/>
  <c r="A967" i="9"/>
  <c r="B965" i="9"/>
  <c r="E965" i="9" s="1"/>
  <c r="C963" i="9"/>
  <c r="F959" i="9"/>
  <c r="A958" i="9"/>
  <c r="C956" i="9"/>
  <c r="D954" i="9"/>
  <c r="A951" i="9"/>
  <c r="B949" i="9"/>
  <c r="E949" i="9" s="1"/>
  <c r="C947" i="9"/>
  <c r="F943" i="9"/>
  <c r="A942" i="9"/>
  <c r="C940" i="9"/>
  <c r="D938" i="9"/>
  <c r="A935" i="9"/>
  <c r="B933" i="9"/>
  <c r="E933" i="9" s="1"/>
  <c r="C931" i="9"/>
  <c r="F927" i="9"/>
  <c r="A926" i="9"/>
  <c r="C924" i="9"/>
  <c r="D922" i="9"/>
  <c r="A919" i="9"/>
  <c r="B917" i="9"/>
  <c r="E917" i="9" s="1"/>
  <c r="C915" i="9"/>
  <c r="F911" i="9"/>
  <c r="A910" i="9"/>
  <c r="C908" i="9"/>
  <c r="D906" i="9"/>
  <c r="A903" i="9"/>
  <c r="B901" i="9"/>
  <c r="E901" i="9" s="1"/>
  <c r="C899" i="9"/>
  <c r="F895" i="9"/>
  <c r="A894" i="9"/>
  <c r="C892" i="9"/>
  <c r="D890" i="9"/>
  <c r="A887" i="9"/>
  <c r="B885" i="9"/>
  <c r="E885" i="9" s="1"/>
  <c r="C883" i="9"/>
  <c r="F879" i="9"/>
  <c r="A878" i="9"/>
  <c r="C876" i="9"/>
  <c r="D874" i="9"/>
  <c r="A871" i="9"/>
  <c r="B869" i="9"/>
  <c r="E869" i="9" s="1"/>
  <c r="C867" i="9"/>
  <c r="F863" i="9"/>
  <c r="A862" i="9"/>
  <c r="C860" i="9"/>
  <c r="D858" i="9"/>
  <c r="A855" i="9"/>
  <c r="B853" i="9"/>
  <c r="E853" i="9" s="1"/>
  <c r="C851" i="9"/>
  <c r="F847" i="9"/>
  <c r="A846" i="9"/>
  <c r="C844" i="9"/>
  <c r="D842" i="9"/>
  <c r="A839" i="9"/>
  <c r="B837" i="9"/>
  <c r="E837" i="9" s="1"/>
  <c r="C835" i="9"/>
  <c r="F831" i="9"/>
  <c r="A830" i="9"/>
  <c r="C828" i="9"/>
  <c r="D826" i="9"/>
  <c r="A823" i="9"/>
  <c r="B821" i="9"/>
  <c r="E821" i="9" s="1"/>
  <c r="C819" i="9"/>
  <c r="F815" i="9"/>
  <c r="A814" i="9"/>
  <c r="C812" i="9"/>
  <c r="D810" i="9"/>
  <c r="A807" i="9"/>
  <c r="B805" i="9"/>
  <c r="E805" i="9" s="1"/>
  <c r="C803" i="9"/>
  <c r="F799" i="9"/>
  <c r="A798" i="9"/>
  <c r="C796" i="9"/>
  <c r="D794" i="9"/>
  <c r="A791" i="9"/>
  <c r="B789" i="9"/>
  <c r="E789" i="9" s="1"/>
  <c r="C787" i="9"/>
  <c r="F783" i="9"/>
  <c r="A782" i="9"/>
  <c r="C780" i="9"/>
  <c r="D778" i="9"/>
  <c r="A775" i="9"/>
  <c r="B773" i="9"/>
  <c r="E773" i="9" s="1"/>
  <c r="C771" i="9"/>
  <c r="D1388" i="9"/>
  <c r="D1382" i="9"/>
  <c r="F1377" i="9"/>
  <c r="B1373" i="9"/>
  <c r="E1373" i="9" s="1"/>
  <c r="C1368" i="9"/>
  <c r="A1359" i="9"/>
  <c r="A1354" i="9"/>
  <c r="C1349" i="9"/>
  <c r="F1345" i="9"/>
  <c r="B1343" i="9"/>
  <c r="E1343" i="9" s="1"/>
  <c r="D1338" i="9"/>
  <c r="A1336" i="9"/>
  <c r="C1331" i="9"/>
  <c r="A1329" i="9"/>
  <c r="D1326" i="9"/>
  <c r="C1324" i="9"/>
  <c r="F1321" i="9"/>
  <c r="C1319" i="9"/>
  <c r="B1317" i="9"/>
  <c r="E1317" i="9" s="1"/>
  <c r="C1312" i="9"/>
  <c r="A1310" i="9"/>
  <c r="B1305" i="9"/>
  <c r="E1305" i="9" s="1"/>
  <c r="A1303" i="9"/>
  <c r="D1300" i="9"/>
  <c r="A1298" i="9"/>
  <c r="F1295" i="9"/>
  <c r="F1293" i="9"/>
  <c r="A1292" i="9"/>
  <c r="C1290" i="9"/>
  <c r="D1288" i="9"/>
  <c r="A1285" i="9"/>
  <c r="B1283" i="9"/>
  <c r="E1283" i="9" s="1"/>
  <c r="C1281" i="9"/>
  <c r="F1277" i="9"/>
  <c r="A1276" i="9"/>
  <c r="C1274" i="9"/>
  <c r="D1272" i="9"/>
  <c r="A1269" i="9"/>
  <c r="B1267" i="9"/>
  <c r="E1267" i="9" s="1"/>
  <c r="C1265" i="9"/>
  <c r="F1261" i="9"/>
  <c r="A1260" i="9"/>
  <c r="C1258" i="9"/>
  <c r="D1256" i="9"/>
  <c r="A1253" i="9"/>
  <c r="B1251" i="9"/>
  <c r="E1251" i="9" s="1"/>
  <c r="C1249" i="9"/>
  <c r="F1245" i="9"/>
  <c r="A1244" i="9"/>
  <c r="C1242" i="9"/>
  <c r="D1240" i="9"/>
  <c r="A1237" i="9"/>
  <c r="B1235" i="9"/>
  <c r="E1235" i="9" s="1"/>
  <c r="C1233" i="9"/>
  <c r="F1229" i="9"/>
  <c r="A1228" i="9"/>
  <c r="C1226" i="9"/>
  <c r="D1224" i="9"/>
  <c r="A1221" i="9"/>
  <c r="B1219" i="9"/>
  <c r="E1219" i="9" s="1"/>
  <c r="C1217" i="9"/>
  <c r="F1213" i="9"/>
  <c r="A1212" i="9"/>
  <c r="C1210" i="9"/>
  <c r="D1208" i="9"/>
  <c r="A1205" i="9"/>
  <c r="B1203" i="9"/>
  <c r="E1203" i="9" s="1"/>
  <c r="C1201" i="9"/>
  <c r="F1197" i="9"/>
  <c r="A1196" i="9"/>
  <c r="C1194" i="9"/>
  <c r="D1192" i="9"/>
  <c r="A1189" i="9"/>
  <c r="B1187" i="9"/>
  <c r="E1187" i="9" s="1"/>
  <c r="C1185" i="9"/>
  <c r="F1181" i="9"/>
  <c r="A1180" i="9"/>
  <c r="C1178" i="9"/>
  <c r="D1176" i="9"/>
  <c r="A1173" i="9"/>
  <c r="B1171" i="9"/>
  <c r="E1171" i="9" s="1"/>
  <c r="C1169" i="9"/>
  <c r="F1165" i="9"/>
  <c r="A1164" i="9"/>
  <c r="C1162" i="9"/>
  <c r="D1160" i="9"/>
  <c r="A1157" i="9"/>
  <c r="B1155" i="9"/>
  <c r="E1155" i="9" s="1"/>
  <c r="C1153" i="9"/>
  <c r="F1149" i="9"/>
  <c r="A1148" i="9"/>
  <c r="C1146" i="9"/>
  <c r="D1144" i="9"/>
  <c r="A1141" i="9"/>
  <c r="B1139" i="9"/>
  <c r="E1139" i="9" s="1"/>
  <c r="C1137" i="9"/>
  <c r="F1133" i="9"/>
  <c r="A1132" i="9"/>
  <c r="C1130" i="9"/>
  <c r="D1128" i="9"/>
  <c r="A1125" i="9"/>
  <c r="B1123" i="9"/>
  <c r="E1123" i="9" s="1"/>
  <c r="C1121" i="9"/>
  <c r="F1117" i="9"/>
  <c r="A1116" i="9"/>
  <c r="A1386" i="9"/>
  <c r="C1381" i="9"/>
  <c r="F1371" i="9"/>
  <c r="B1367" i="9"/>
  <c r="E1367" i="9" s="1"/>
  <c r="D1362" i="9"/>
  <c r="A1353" i="9"/>
  <c r="C1348" i="9"/>
  <c r="C1342" i="9"/>
  <c r="F1339" i="9"/>
  <c r="B1335" i="9"/>
  <c r="E1335" i="9" s="1"/>
  <c r="D1330" i="9"/>
  <c r="A1328" i="9"/>
  <c r="C1323" i="9"/>
  <c r="A1321" i="9"/>
  <c r="D1318" i="9"/>
  <c r="C1316" i="9"/>
  <c r="F1313" i="9"/>
  <c r="C1311" i="9"/>
  <c r="B1309" i="9"/>
  <c r="E1309" i="9" s="1"/>
  <c r="C1304" i="9"/>
  <c r="A1302" i="9"/>
  <c r="B1297" i="9"/>
  <c r="E1297" i="9" s="1"/>
  <c r="A1295" i="9"/>
  <c r="B1293" i="9"/>
  <c r="E1293" i="9" s="1"/>
  <c r="C1291" i="9"/>
  <c r="F1287" i="9"/>
  <c r="A1286" i="9"/>
  <c r="C1284" i="9"/>
  <c r="D1282" i="9"/>
  <c r="A1279" i="9"/>
  <c r="B1277" i="9"/>
  <c r="E1277" i="9" s="1"/>
  <c r="C1275" i="9"/>
  <c r="F1271" i="9"/>
  <c r="A1270" i="9"/>
  <c r="C1268" i="9"/>
  <c r="D1266" i="9"/>
  <c r="A1263" i="9"/>
  <c r="B1261" i="9"/>
  <c r="E1261" i="9" s="1"/>
  <c r="C1259" i="9"/>
  <c r="F1255" i="9"/>
  <c r="A1254" i="9"/>
  <c r="C1252" i="9"/>
  <c r="D1250" i="9"/>
  <c r="A1247" i="9"/>
  <c r="B1245" i="9"/>
  <c r="E1245" i="9" s="1"/>
  <c r="C1243" i="9"/>
  <c r="F1239" i="9"/>
  <c r="A1238" i="9"/>
  <c r="C1236" i="9"/>
  <c r="D1234" i="9"/>
  <c r="A1231" i="9"/>
  <c r="B1229" i="9"/>
  <c r="E1229" i="9" s="1"/>
  <c r="C1227" i="9"/>
  <c r="F1223" i="9"/>
  <c r="A1222" i="9"/>
  <c r="C1220" i="9"/>
  <c r="D1218" i="9"/>
  <c r="A1215" i="9"/>
  <c r="B1213" i="9"/>
  <c r="E1213" i="9" s="1"/>
  <c r="C1211" i="9"/>
  <c r="F1207" i="9"/>
  <c r="A1206" i="9"/>
  <c r="C1204" i="9"/>
  <c r="D1202" i="9"/>
  <c r="A1199" i="9"/>
  <c r="B1197" i="9"/>
  <c r="E1197" i="9" s="1"/>
  <c r="C1195" i="9"/>
  <c r="F1191" i="9"/>
  <c r="A1190" i="9"/>
  <c r="C1188" i="9"/>
  <c r="D1186" i="9"/>
  <c r="A1183" i="9"/>
  <c r="B1181" i="9"/>
  <c r="E1181" i="9" s="1"/>
  <c r="C1179" i="9"/>
  <c r="F1175" i="9"/>
  <c r="A1174" i="9"/>
  <c r="C1172" i="9"/>
  <c r="D1170" i="9"/>
  <c r="A1167" i="9"/>
  <c r="B1165" i="9"/>
  <c r="E1165" i="9" s="1"/>
  <c r="C1163" i="9"/>
  <c r="F1159" i="9"/>
  <c r="A1158" i="9"/>
  <c r="C1156" i="9"/>
  <c r="D1154" i="9"/>
  <c r="A1151" i="9"/>
  <c r="B1149" i="9"/>
  <c r="E1149" i="9" s="1"/>
  <c r="C1147" i="9"/>
  <c r="F1143" i="9"/>
  <c r="A1142" i="9"/>
  <c r="C1140" i="9"/>
  <c r="D1138" i="9"/>
  <c r="A1135" i="9"/>
  <c r="B1133" i="9"/>
  <c r="E1133" i="9" s="1"/>
  <c r="C1131" i="9"/>
  <c r="F1127" i="9"/>
  <c r="A1126" i="9"/>
  <c r="C1124" i="9"/>
  <c r="D1122" i="9"/>
  <c r="A1119" i="9"/>
  <c r="B1117" i="9"/>
  <c r="E1117" i="9" s="1"/>
  <c r="C1115" i="9"/>
  <c r="F1111" i="9"/>
  <c r="A1110" i="9"/>
  <c r="C1108" i="9"/>
  <c r="D1106" i="9"/>
  <c r="A1103" i="9"/>
  <c r="B1101" i="9"/>
  <c r="E1101" i="9" s="1"/>
  <c r="C1099" i="9"/>
  <c r="F1095" i="9"/>
  <c r="A1094" i="9"/>
  <c r="C1092" i="9"/>
  <c r="D1090" i="9"/>
  <c r="A1087" i="9"/>
  <c r="B1085" i="9"/>
  <c r="E1085" i="9" s="1"/>
  <c r="C1083" i="9"/>
  <c r="F1079" i="9"/>
  <c r="A1078" i="9"/>
  <c r="C1076" i="9"/>
  <c r="D1074" i="9"/>
  <c r="A1071" i="9"/>
  <c r="B1069" i="9"/>
  <c r="E1069" i="9" s="1"/>
  <c r="C1067" i="9"/>
  <c r="F1063" i="9"/>
  <c r="A1062" i="9"/>
  <c r="C1060" i="9"/>
  <c r="D1058" i="9"/>
  <c r="A1055" i="9"/>
  <c r="B1053" i="9"/>
  <c r="E1053" i="9" s="1"/>
  <c r="C1051" i="9"/>
  <c r="F1047" i="9"/>
  <c r="A1046" i="9"/>
  <c r="C1044" i="9"/>
  <c r="D1042" i="9"/>
  <c r="A1039" i="9"/>
  <c r="B1037" i="9"/>
  <c r="E1037" i="9" s="1"/>
  <c r="C1035" i="9"/>
  <c r="F1031" i="9"/>
  <c r="A1030" i="9"/>
  <c r="C1028" i="9"/>
  <c r="D1026" i="9"/>
  <c r="A1023" i="9"/>
  <c r="B1021" i="9"/>
  <c r="E1021" i="9" s="1"/>
  <c r="C1019" i="9"/>
  <c r="F1015" i="9"/>
  <c r="A1014" i="9"/>
  <c r="C1012" i="9"/>
  <c r="D1010" i="9"/>
  <c r="A1007" i="9"/>
  <c r="B1005" i="9"/>
  <c r="E1005" i="9" s="1"/>
  <c r="C1003" i="9"/>
  <c r="F999" i="9"/>
  <c r="A998" i="9"/>
  <c r="C996" i="9"/>
  <c r="D994" i="9"/>
  <c r="A991" i="9"/>
  <c r="B989" i="9"/>
  <c r="E989" i="9" s="1"/>
  <c r="C987" i="9"/>
  <c r="F983" i="9"/>
  <c r="A982" i="9"/>
  <c r="C980" i="9"/>
  <c r="D978" i="9"/>
  <c r="A975" i="9"/>
  <c r="B973" i="9"/>
  <c r="E973" i="9" s="1"/>
  <c r="C971" i="9"/>
  <c r="F967" i="9"/>
  <c r="A966" i="9"/>
  <c r="C964" i="9"/>
  <c r="D962" i="9"/>
  <c r="A959" i="9"/>
  <c r="B957" i="9"/>
  <c r="E957" i="9" s="1"/>
  <c r="C955" i="9"/>
  <c r="F951" i="9"/>
  <c r="A950" i="9"/>
  <c r="C948" i="9"/>
  <c r="D946" i="9"/>
  <c r="A943" i="9"/>
  <c r="B941" i="9"/>
  <c r="E941" i="9" s="1"/>
  <c r="C939" i="9"/>
  <c r="F935" i="9"/>
  <c r="A934" i="9"/>
  <c r="C932" i="9"/>
  <c r="D930" i="9"/>
  <c r="A927" i="9"/>
  <c r="B925" i="9"/>
  <c r="E925" i="9" s="1"/>
  <c r="C923" i="9"/>
  <c r="F919" i="9"/>
  <c r="A918" i="9"/>
  <c r="C916" i="9"/>
  <c r="D914" i="9"/>
  <c r="A911" i="9"/>
  <c r="B909" i="9"/>
  <c r="E909" i="9" s="1"/>
  <c r="C907" i="9"/>
  <c r="F903" i="9"/>
  <c r="A902" i="9"/>
  <c r="C900" i="9"/>
  <c r="D898" i="9"/>
  <c r="A895" i="9"/>
  <c r="B893" i="9"/>
  <c r="E893" i="9" s="1"/>
  <c r="C891" i="9"/>
  <c r="F887" i="9"/>
  <c r="A886" i="9"/>
  <c r="C884" i="9"/>
  <c r="D882" i="9"/>
  <c r="A879" i="9"/>
  <c r="B877" i="9"/>
  <c r="E877" i="9" s="1"/>
  <c r="C875" i="9"/>
  <c r="F871" i="9"/>
  <c r="A870" i="9"/>
  <c r="C868" i="9"/>
  <c r="D866" i="9"/>
  <c r="A863" i="9"/>
  <c r="B861" i="9"/>
  <c r="E861" i="9" s="1"/>
  <c r="C859" i="9"/>
  <c r="F855" i="9"/>
  <c r="A854" i="9"/>
  <c r="C852" i="9"/>
  <c r="D850" i="9"/>
  <c r="A847" i="9"/>
  <c r="B845" i="9"/>
  <c r="E845" i="9" s="1"/>
  <c r="C843" i="9"/>
  <c r="F839" i="9"/>
  <c r="A838" i="9"/>
  <c r="C836" i="9"/>
  <c r="D834" i="9"/>
  <c r="A831" i="9"/>
  <c r="B829" i="9"/>
  <c r="E829" i="9" s="1"/>
  <c r="C827" i="9"/>
  <c r="F823" i="9"/>
  <c r="A822" i="9"/>
  <c r="C820" i="9"/>
  <c r="D818" i="9"/>
  <c r="A815" i="9"/>
  <c r="B813" i="9"/>
  <c r="E813" i="9" s="1"/>
  <c r="C811" i="9"/>
  <c r="F807" i="9"/>
  <c r="A806" i="9"/>
  <c r="C804" i="9"/>
  <c r="D802" i="9"/>
  <c r="A799" i="9"/>
  <c r="B797" i="9"/>
  <c r="E797" i="9" s="1"/>
  <c r="C795" i="9"/>
  <c r="F791" i="9"/>
  <c r="A790" i="9"/>
  <c r="C788" i="9"/>
  <c r="D786" i="9"/>
  <c r="A783" i="9"/>
  <c r="B781" i="9"/>
  <c r="E781" i="9" s="1"/>
  <c r="C779" i="9"/>
  <c r="F775" i="9"/>
  <c r="A774" i="9"/>
  <c r="C772" i="9"/>
  <c r="D770" i="9"/>
  <c r="A767" i="9"/>
  <c r="B765" i="9"/>
  <c r="E765" i="9" s="1"/>
  <c r="C763" i="9"/>
  <c r="F759" i="9"/>
  <c r="A758" i="9"/>
  <c r="C756" i="9"/>
  <c r="D754" i="9"/>
  <c r="A751" i="9"/>
  <c r="B749" i="9"/>
  <c r="E749" i="9" s="1"/>
  <c r="C747" i="9"/>
  <c r="F743" i="9"/>
  <c r="C1375" i="9"/>
  <c r="D1356" i="9"/>
  <c r="A1342" i="9"/>
  <c r="D1332" i="9"/>
  <c r="A1323" i="9"/>
  <c r="A1304" i="9"/>
  <c r="D1280" i="9"/>
  <c r="C1273" i="9"/>
  <c r="C1266" i="9"/>
  <c r="B1259" i="9"/>
  <c r="E1259" i="9" s="1"/>
  <c r="A1252" i="9"/>
  <c r="A1245" i="9"/>
  <c r="F1237" i="9"/>
  <c r="D1216" i="9"/>
  <c r="C1209" i="9"/>
  <c r="C1202" i="9"/>
  <c r="B1195" i="9"/>
  <c r="E1195" i="9" s="1"/>
  <c r="A1188" i="9"/>
  <c r="A1181" i="9"/>
  <c r="F1173" i="9"/>
  <c r="D1152" i="9"/>
  <c r="C1145" i="9"/>
  <c r="C1138" i="9"/>
  <c r="B1131" i="9"/>
  <c r="E1131" i="9" s="1"/>
  <c r="A1124" i="9"/>
  <c r="A1117" i="9"/>
  <c r="D1112" i="9"/>
  <c r="A1109" i="9"/>
  <c r="C1105" i="9"/>
  <c r="F1101" i="9"/>
  <c r="C1098" i="9"/>
  <c r="B1091" i="9"/>
  <c r="E1091" i="9" s="1"/>
  <c r="A1084" i="9"/>
  <c r="D1080" i="9"/>
  <c r="A1077" i="9"/>
  <c r="C1073" i="9"/>
  <c r="F1069" i="9"/>
  <c r="C1066" i="9"/>
  <c r="B1059" i="9"/>
  <c r="E1059" i="9" s="1"/>
  <c r="A1052" i="9"/>
  <c r="D1048" i="9"/>
  <c r="A1045" i="9"/>
  <c r="C1041" i="9"/>
  <c r="F1037" i="9"/>
  <c r="C1034" i="9"/>
  <c r="B1027" i="9"/>
  <c r="E1027" i="9" s="1"/>
  <c r="A1020" i="9"/>
  <c r="D1016" i="9"/>
  <c r="A1013" i="9"/>
  <c r="C1009" i="9"/>
  <c r="F1005" i="9"/>
  <c r="C1002" i="9"/>
  <c r="B995" i="9"/>
  <c r="E995" i="9" s="1"/>
  <c r="A988" i="9"/>
  <c r="D984" i="9"/>
  <c r="A981" i="9"/>
  <c r="C977" i="9"/>
  <c r="F973" i="9"/>
  <c r="C970" i="9"/>
  <c r="B963" i="9"/>
  <c r="E963" i="9" s="1"/>
  <c r="A956" i="9"/>
  <c r="D952" i="9"/>
  <c r="A949" i="9"/>
  <c r="C945" i="9"/>
  <c r="F941" i="9"/>
  <c r="C938" i="9"/>
  <c r="B931" i="9"/>
  <c r="E931" i="9" s="1"/>
  <c r="A924" i="9"/>
  <c r="D920" i="9"/>
  <c r="A917" i="9"/>
  <c r="C913" i="9"/>
  <c r="F909" i="9"/>
  <c r="C906" i="9"/>
  <c r="B899" i="9"/>
  <c r="E899" i="9" s="1"/>
  <c r="A892" i="9"/>
  <c r="D888" i="9"/>
  <c r="A885" i="9"/>
  <c r="C881" i="9"/>
  <c r="F877" i="9"/>
  <c r="C874" i="9"/>
  <c r="B867" i="9"/>
  <c r="E867" i="9" s="1"/>
  <c r="A860" i="9"/>
  <c r="D856" i="9"/>
  <c r="A853" i="9"/>
  <c r="C849" i="9"/>
  <c r="F845" i="9"/>
  <c r="C842" i="9"/>
  <c r="B835" i="9"/>
  <c r="E835" i="9" s="1"/>
  <c r="A828" i="9"/>
  <c r="D824" i="9"/>
  <c r="A821" i="9"/>
  <c r="C817" i="9"/>
  <c r="F813" i="9"/>
  <c r="C810" i="9"/>
  <c r="B803" i="9"/>
  <c r="E803" i="9" s="1"/>
  <c r="A796" i="9"/>
  <c r="D792" i="9"/>
  <c r="A789" i="9"/>
  <c r="C785" i="9"/>
  <c r="F781" i="9"/>
  <c r="C778" i="9"/>
  <c r="B771" i="9"/>
  <c r="E771" i="9" s="1"/>
  <c r="D768" i="9"/>
  <c r="A766" i="9"/>
  <c r="A764" i="9"/>
  <c r="C761" i="9"/>
  <c r="A759" i="9"/>
  <c r="A757" i="9"/>
  <c r="C754" i="9"/>
  <c r="F751" i="9"/>
  <c r="F749" i="9"/>
  <c r="B747" i="9"/>
  <c r="E747" i="9" s="1"/>
  <c r="A741" i="9"/>
  <c r="B739" i="9"/>
  <c r="E739" i="9" s="1"/>
  <c r="C737" i="9"/>
  <c r="F733" i="9"/>
  <c r="A732" i="9"/>
  <c r="C730" i="9"/>
  <c r="D728" i="9"/>
  <c r="A725" i="9"/>
  <c r="C722" i="9"/>
  <c r="A721" i="9"/>
  <c r="C718" i="9"/>
  <c r="A717" i="9"/>
  <c r="C714" i="9"/>
  <c r="A713" i="9"/>
  <c r="C710" i="9"/>
  <c r="A709" i="9"/>
  <c r="C706" i="9"/>
  <c r="A705" i="9"/>
  <c r="C702" i="9"/>
  <c r="A701" i="9"/>
  <c r="C698" i="9"/>
  <c r="A697" i="9"/>
  <c r="C694" i="9"/>
  <c r="A693" i="9"/>
  <c r="C690" i="9"/>
  <c r="A689" i="9"/>
  <c r="C686" i="9"/>
  <c r="A685" i="9"/>
  <c r="C682" i="9"/>
  <c r="A681" i="9"/>
  <c r="C678" i="9"/>
  <c r="A677" i="9"/>
  <c r="C674" i="9"/>
  <c r="A673" i="9"/>
  <c r="C670" i="9"/>
  <c r="A669" i="9"/>
  <c r="C666" i="9"/>
  <c r="A665" i="9"/>
  <c r="C662" i="9"/>
  <c r="A661" i="9"/>
  <c r="C658" i="9"/>
  <c r="A657" i="9"/>
  <c r="C654" i="9"/>
  <c r="A653" i="9"/>
  <c r="C650" i="9"/>
  <c r="A649" i="9"/>
  <c r="C646" i="9"/>
  <c r="A645" i="9"/>
  <c r="C642" i="9"/>
  <c r="A641" i="9"/>
  <c r="C638" i="9"/>
  <c r="A637" i="9"/>
  <c r="C634" i="9"/>
  <c r="A633" i="9"/>
  <c r="C630" i="9"/>
  <c r="A629" i="9"/>
  <c r="C626" i="9"/>
  <c r="A625" i="9"/>
  <c r="C622" i="9"/>
  <c r="A621" i="9"/>
  <c r="C618" i="9"/>
  <c r="A617" i="9"/>
  <c r="C614" i="9"/>
  <c r="A613" i="9"/>
  <c r="C610" i="9"/>
  <c r="A609" i="9"/>
  <c r="C606" i="9"/>
  <c r="A605" i="9"/>
  <c r="C602" i="9"/>
  <c r="A601" i="9"/>
  <c r="C598" i="9"/>
  <c r="A597" i="9"/>
  <c r="C594" i="9"/>
  <c r="A593" i="9"/>
  <c r="C590" i="9"/>
  <c r="A589" i="9"/>
  <c r="C586" i="9"/>
  <c r="A585" i="9"/>
  <c r="F583" i="9"/>
  <c r="A583" i="9"/>
  <c r="A582" i="9"/>
  <c r="B581" i="9"/>
  <c r="E581" i="9" s="1"/>
  <c r="C580" i="9"/>
  <c r="C579" i="9"/>
  <c r="D578" i="9"/>
  <c r="F575" i="9"/>
  <c r="A575" i="9"/>
  <c r="A574" i="9"/>
  <c r="B573" i="9"/>
  <c r="E573" i="9" s="1"/>
  <c r="C572" i="9"/>
  <c r="C571" i="9"/>
  <c r="D570" i="9"/>
  <c r="F567" i="9"/>
  <c r="A567" i="9"/>
  <c r="A566" i="9"/>
  <c r="B565" i="9"/>
  <c r="E565" i="9" s="1"/>
  <c r="C564" i="9"/>
  <c r="C563" i="9"/>
  <c r="D562" i="9"/>
  <c r="F559" i="9"/>
  <c r="A559" i="9"/>
  <c r="A558" i="9"/>
  <c r="B557" i="9"/>
  <c r="E557" i="9" s="1"/>
  <c r="C556" i="9"/>
  <c r="C555" i="9"/>
  <c r="D554" i="9"/>
  <c r="F551" i="9"/>
  <c r="A551" i="9"/>
  <c r="A550" i="9"/>
  <c r="B549" i="9"/>
  <c r="E549" i="9" s="1"/>
  <c r="C548" i="9"/>
  <c r="C547" i="9"/>
  <c r="D546" i="9"/>
  <c r="F543" i="9"/>
  <c r="A543" i="9"/>
  <c r="A542" i="9"/>
  <c r="B541" i="9"/>
  <c r="E541" i="9" s="1"/>
  <c r="C540" i="9"/>
  <c r="C539" i="9"/>
  <c r="D538" i="9"/>
  <c r="F535" i="9"/>
  <c r="A535" i="9"/>
  <c r="A534" i="9"/>
  <c r="B533" i="9"/>
  <c r="E533" i="9" s="1"/>
  <c r="C532" i="9"/>
  <c r="C531" i="9"/>
  <c r="D530" i="9"/>
  <c r="F527" i="9"/>
  <c r="A527" i="9"/>
  <c r="A526" i="9"/>
  <c r="B525" i="9"/>
  <c r="E525" i="9" s="1"/>
  <c r="C524" i="9"/>
  <c r="C523" i="9"/>
  <c r="D522" i="9"/>
  <c r="F519" i="9"/>
  <c r="A519" i="9"/>
  <c r="A518" i="9"/>
  <c r="B517" i="9"/>
  <c r="E517" i="9" s="1"/>
  <c r="C516" i="9"/>
  <c r="C515" i="9"/>
  <c r="D514" i="9"/>
  <c r="F511" i="9"/>
  <c r="A511" i="9"/>
  <c r="A510" i="9"/>
  <c r="B509" i="9"/>
  <c r="E509" i="9" s="1"/>
  <c r="C508" i="9"/>
  <c r="C507" i="9"/>
  <c r="D506" i="9"/>
  <c r="F503" i="9"/>
  <c r="A503" i="9"/>
  <c r="A502" i="9"/>
  <c r="B501" i="9"/>
  <c r="E501" i="9" s="1"/>
  <c r="C500" i="9"/>
  <c r="C499" i="9"/>
  <c r="A498" i="9"/>
  <c r="C497" i="9"/>
  <c r="A496" i="9"/>
  <c r="C495" i="9"/>
  <c r="A494" i="9"/>
  <c r="C493" i="9"/>
  <c r="A492" i="9"/>
  <c r="C491" i="9"/>
  <c r="A490" i="9"/>
  <c r="C489" i="9"/>
  <c r="A488" i="9"/>
  <c r="C487" i="9"/>
  <c r="A486" i="9"/>
  <c r="C485" i="9"/>
  <c r="A484" i="9"/>
  <c r="C483" i="9"/>
  <c r="A482" i="9"/>
  <c r="C481" i="9"/>
  <c r="A480" i="9"/>
  <c r="C479" i="9"/>
  <c r="A478" i="9"/>
  <c r="C477" i="9"/>
  <c r="A476" i="9"/>
  <c r="C475" i="9"/>
  <c r="A474" i="9"/>
  <c r="C473" i="9"/>
  <c r="A472" i="9"/>
  <c r="C471" i="9"/>
  <c r="A470" i="9"/>
  <c r="C469" i="9"/>
  <c r="A468" i="9"/>
  <c r="C467" i="9"/>
  <c r="A466" i="9"/>
  <c r="C465" i="9"/>
  <c r="A464" i="9"/>
  <c r="C463" i="9"/>
  <c r="A462" i="9"/>
  <c r="C461" i="9"/>
  <c r="A460" i="9"/>
  <c r="C459" i="9"/>
  <c r="A458" i="9"/>
  <c r="C457" i="9"/>
  <c r="A456" i="9"/>
  <c r="C455" i="9"/>
  <c r="A454" i="9"/>
  <c r="C453" i="9"/>
  <c r="A452" i="9"/>
  <c r="C451" i="9"/>
  <c r="A450" i="9"/>
  <c r="C449" i="9"/>
  <c r="A448" i="9"/>
  <c r="C447" i="9"/>
  <c r="A446" i="9"/>
  <c r="C445" i="9"/>
  <c r="A444" i="9"/>
  <c r="C443" i="9"/>
  <c r="A442" i="9"/>
  <c r="C441" i="9"/>
  <c r="A440" i="9"/>
  <c r="C439" i="9"/>
  <c r="A438" i="9"/>
  <c r="C437" i="9"/>
  <c r="A436" i="9"/>
  <c r="C435" i="9"/>
  <c r="A434" i="9"/>
  <c r="C433" i="9"/>
  <c r="A432" i="9"/>
  <c r="C431" i="9"/>
  <c r="A430" i="9"/>
  <c r="C429" i="9"/>
  <c r="A428" i="9"/>
  <c r="C427" i="9"/>
  <c r="A426" i="9"/>
  <c r="C425" i="9"/>
  <c r="A424" i="9"/>
  <c r="C423" i="9"/>
  <c r="A422" i="9"/>
  <c r="C421" i="9"/>
  <c r="A420" i="9"/>
  <c r="C419" i="9"/>
  <c r="A418" i="9"/>
  <c r="C417" i="9"/>
  <c r="A416" i="9"/>
  <c r="C415" i="9"/>
  <c r="A414" i="9"/>
  <c r="C413" i="9"/>
  <c r="A412" i="9"/>
  <c r="C411" i="9"/>
  <c r="A410" i="9"/>
  <c r="C409" i="9"/>
  <c r="A408" i="9"/>
  <c r="C407" i="9"/>
  <c r="A406" i="9"/>
  <c r="C405" i="9"/>
  <c r="A404" i="9"/>
  <c r="C403" i="9"/>
  <c r="A402" i="9"/>
  <c r="C401" i="9"/>
  <c r="A400" i="9"/>
  <c r="C399" i="9"/>
  <c r="A398" i="9"/>
  <c r="C397" i="9"/>
  <c r="A396" i="9"/>
  <c r="C395" i="9"/>
  <c r="A394" i="9"/>
  <c r="C393" i="9"/>
  <c r="A392" i="9"/>
  <c r="C391" i="9"/>
  <c r="A390" i="9"/>
  <c r="C389" i="9"/>
  <c r="A388" i="9"/>
  <c r="C387" i="9"/>
  <c r="A386" i="9"/>
  <c r="C385" i="9"/>
  <c r="A384" i="9"/>
  <c r="C383" i="9"/>
  <c r="A382" i="9"/>
  <c r="C381" i="9"/>
  <c r="A380" i="9"/>
  <c r="C379" i="9"/>
  <c r="A378" i="9"/>
  <c r="C377" i="9"/>
  <c r="A376" i="9"/>
  <c r="C375" i="9"/>
  <c r="A374" i="9"/>
  <c r="C373" i="9"/>
  <c r="A372" i="9"/>
  <c r="C371" i="9"/>
  <c r="A370" i="9"/>
  <c r="C369" i="9"/>
  <c r="A368" i="9"/>
  <c r="C367" i="9"/>
  <c r="A366" i="9"/>
  <c r="C365" i="9"/>
  <c r="A364" i="9"/>
  <c r="C363" i="9"/>
  <c r="A362" i="9"/>
  <c r="C361" i="9"/>
  <c r="A360" i="9"/>
  <c r="C359" i="9"/>
  <c r="A358" i="9"/>
  <c r="C357" i="9"/>
  <c r="A356" i="9"/>
  <c r="C355" i="9"/>
  <c r="A354" i="9"/>
  <c r="C353" i="9"/>
  <c r="A352" i="9"/>
  <c r="C351" i="9"/>
  <c r="A350" i="9"/>
  <c r="C349" i="9"/>
  <c r="A348" i="9"/>
  <c r="C347" i="9"/>
  <c r="A346" i="9"/>
  <c r="C345" i="9"/>
  <c r="A344" i="9"/>
  <c r="C343" i="9"/>
  <c r="A342" i="9"/>
  <c r="C341" i="9"/>
  <c r="A340" i="9"/>
  <c r="C339" i="9"/>
  <c r="A338" i="9"/>
  <c r="C337" i="9"/>
  <c r="A336" i="9"/>
  <c r="C335" i="9"/>
  <c r="A334" i="9"/>
  <c r="C333" i="9"/>
  <c r="A332" i="9"/>
  <c r="C331" i="9"/>
  <c r="A330" i="9"/>
  <c r="C329" i="9"/>
  <c r="A328" i="9"/>
  <c r="C327" i="9"/>
  <c r="A326" i="9"/>
  <c r="C325" i="9"/>
  <c r="A324" i="9"/>
  <c r="C323" i="9"/>
  <c r="A322" i="9"/>
  <c r="C321" i="9"/>
  <c r="A320" i="9"/>
  <c r="C319" i="9"/>
  <c r="A318" i="9"/>
  <c r="C317" i="9"/>
  <c r="A316" i="9"/>
  <c r="C315" i="9"/>
  <c r="A314" i="9"/>
  <c r="C313" i="9"/>
  <c r="A312" i="9"/>
  <c r="C311" i="9"/>
  <c r="A310" i="9"/>
  <c r="C309" i="9"/>
  <c r="A308" i="9"/>
  <c r="C307" i="9"/>
  <c r="A306" i="9"/>
  <c r="C305" i="9"/>
  <c r="A304" i="9"/>
  <c r="C303" i="9"/>
  <c r="A302" i="9"/>
  <c r="C301" i="9"/>
  <c r="A300" i="9"/>
  <c r="C299" i="9"/>
  <c r="A298" i="9"/>
  <c r="C297" i="9"/>
  <c r="A296" i="9"/>
  <c r="C295" i="9"/>
  <c r="A294" i="9"/>
  <c r="C293" i="9"/>
  <c r="A292" i="9"/>
  <c r="C291" i="9"/>
  <c r="A290" i="9"/>
  <c r="C289" i="9"/>
  <c r="A288" i="9"/>
  <c r="C287" i="9"/>
  <c r="A286" i="9"/>
  <c r="C285" i="9"/>
  <c r="A284" i="9"/>
  <c r="C283" i="9"/>
  <c r="A282" i="9"/>
  <c r="C281" i="9"/>
  <c r="F1351" i="9"/>
  <c r="A1330" i="9"/>
  <c r="B1311" i="9"/>
  <c r="E1311" i="9" s="1"/>
  <c r="A1293" i="9"/>
  <c r="F1285" i="9"/>
  <c r="D1264" i="9"/>
  <c r="C1257" i="9"/>
  <c r="C1250" i="9"/>
  <c r="B1243" i="9"/>
  <c r="E1243" i="9" s="1"/>
  <c r="A1236" i="9"/>
  <c r="A1229" i="9"/>
  <c r="F1221" i="9"/>
  <c r="D1200" i="9"/>
  <c r="C1193" i="9"/>
  <c r="C1186" i="9"/>
  <c r="B1179" i="9"/>
  <c r="E1179" i="9" s="1"/>
  <c r="A1172" i="9"/>
  <c r="A1165" i="9"/>
  <c r="F1157" i="9"/>
  <c r="D1136" i="9"/>
  <c r="C1129" i="9"/>
  <c r="C1122" i="9"/>
  <c r="B1115" i="9"/>
  <c r="E1115" i="9" s="1"/>
  <c r="A1108" i="9"/>
  <c r="D1104" i="9"/>
  <c r="A1101" i="9"/>
  <c r="C1097" i="9"/>
  <c r="F1093" i="9"/>
  <c r="C1090" i="9"/>
  <c r="B1083" i="9"/>
  <c r="E1083" i="9" s="1"/>
  <c r="A1076" i="9"/>
  <c r="D1072" i="9"/>
  <c r="A1069" i="9"/>
  <c r="C1065" i="9"/>
  <c r="F1061" i="9"/>
  <c r="C1058" i="9"/>
  <c r="B1051" i="9"/>
  <c r="E1051" i="9" s="1"/>
  <c r="A1044" i="9"/>
  <c r="D1040" i="9"/>
  <c r="A1037" i="9"/>
  <c r="C1033" i="9"/>
  <c r="F1029" i="9"/>
  <c r="C1026" i="9"/>
  <c r="B1019" i="9"/>
  <c r="E1019" i="9" s="1"/>
  <c r="A1012" i="9"/>
  <c r="D1008" i="9"/>
  <c r="A1005" i="9"/>
  <c r="C1001" i="9"/>
  <c r="F997" i="9"/>
  <c r="C994" i="9"/>
  <c r="B987" i="9"/>
  <c r="E987" i="9" s="1"/>
  <c r="A980" i="9"/>
  <c r="D976" i="9"/>
  <c r="A973" i="9"/>
  <c r="C969" i="9"/>
  <c r="F965" i="9"/>
  <c r="C962" i="9"/>
  <c r="B955" i="9"/>
  <c r="E955" i="9" s="1"/>
  <c r="A948" i="9"/>
  <c r="D944" i="9"/>
  <c r="A941" i="9"/>
  <c r="C937" i="9"/>
  <c r="F933" i="9"/>
  <c r="C930" i="9"/>
  <c r="B923" i="9"/>
  <c r="E923" i="9" s="1"/>
  <c r="A916" i="9"/>
  <c r="D912" i="9"/>
  <c r="A909" i="9"/>
  <c r="C905" i="9"/>
  <c r="F901" i="9"/>
  <c r="C898" i="9"/>
  <c r="B891" i="9"/>
  <c r="E891" i="9" s="1"/>
  <c r="A884" i="9"/>
  <c r="D880" i="9"/>
  <c r="A877" i="9"/>
  <c r="C873" i="9"/>
  <c r="F869" i="9"/>
  <c r="C866" i="9"/>
  <c r="B859" i="9"/>
  <c r="E859" i="9" s="1"/>
  <c r="A852" i="9"/>
  <c r="D848" i="9"/>
  <c r="A845" i="9"/>
  <c r="C841" i="9"/>
  <c r="F837" i="9"/>
  <c r="C834" i="9"/>
  <c r="B827" i="9"/>
  <c r="E827" i="9" s="1"/>
  <c r="A820" i="9"/>
  <c r="D816" i="9"/>
  <c r="A813" i="9"/>
  <c r="C809" i="9"/>
  <c r="F805" i="9"/>
  <c r="C802" i="9"/>
  <c r="B795" i="9"/>
  <c r="E795" i="9" s="1"/>
  <c r="A788" i="9"/>
  <c r="D784" i="9"/>
  <c r="A781" i="9"/>
  <c r="C777" i="9"/>
  <c r="F773" i="9"/>
  <c r="C770" i="9"/>
  <c r="F767" i="9"/>
  <c r="F765" i="9"/>
  <c r="B763" i="9"/>
  <c r="E763" i="9" s="1"/>
  <c r="A756" i="9"/>
  <c r="A749" i="9"/>
  <c r="D746" i="9"/>
  <c r="D744" i="9"/>
  <c r="A742" i="9"/>
  <c r="C740" i="9"/>
  <c r="D738" i="9"/>
  <c r="A735" i="9"/>
  <c r="B733" i="9"/>
  <c r="E733" i="9" s="1"/>
  <c r="C731" i="9"/>
  <c r="F727" i="9"/>
  <c r="A726" i="9"/>
  <c r="D724" i="9"/>
  <c r="B723" i="9"/>
  <c r="E723" i="9" s="1"/>
  <c r="F721" i="9"/>
  <c r="D720" i="9"/>
  <c r="B719" i="9"/>
  <c r="E719" i="9" s="1"/>
  <c r="F717" i="9"/>
  <c r="D716" i="9"/>
  <c r="B715" i="9"/>
  <c r="E715" i="9" s="1"/>
  <c r="F713" i="9"/>
  <c r="D712" i="9"/>
  <c r="B711" i="9"/>
  <c r="E711" i="9" s="1"/>
  <c r="F709" i="9"/>
  <c r="D708" i="9"/>
  <c r="B707" i="9"/>
  <c r="E707" i="9" s="1"/>
  <c r="F705" i="9"/>
  <c r="D704" i="9"/>
  <c r="B703" i="9"/>
  <c r="E703" i="9" s="1"/>
  <c r="F701" i="9"/>
  <c r="D700" i="9"/>
  <c r="B699" i="9"/>
  <c r="E699" i="9" s="1"/>
  <c r="F697" i="9"/>
  <c r="D696" i="9"/>
  <c r="B695" i="9"/>
  <c r="E695" i="9" s="1"/>
  <c r="F693" i="9"/>
  <c r="D692" i="9"/>
  <c r="B691" i="9"/>
  <c r="E691" i="9" s="1"/>
  <c r="F689" i="9"/>
  <c r="D688" i="9"/>
  <c r="B687" i="9"/>
  <c r="E687" i="9" s="1"/>
  <c r="F685" i="9"/>
  <c r="D684" i="9"/>
  <c r="B683" i="9"/>
  <c r="E683" i="9" s="1"/>
  <c r="F681" i="9"/>
  <c r="D680" i="9"/>
  <c r="B679" i="9"/>
  <c r="E679" i="9" s="1"/>
  <c r="F677" i="9"/>
  <c r="D676" i="9"/>
  <c r="B675" i="9"/>
  <c r="E675" i="9" s="1"/>
  <c r="F673" i="9"/>
  <c r="D672" i="9"/>
  <c r="B671" i="9"/>
  <c r="E671" i="9" s="1"/>
  <c r="F669" i="9"/>
  <c r="D668" i="9"/>
  <c r="B667" i="9"/>
  <c r="E667" i="9" s="1"/>
  <c r="F665" i="9"/>
  <c r="D664" i="9"/>
  <c r="B663" i="9"/>
  <c r="E663" i="9" s="1"/>
  <c r="F661" i="9"/>
  <c r="D660" i="9"/>
  <c r="B659" i="9"/>
  <c r="E659" i="9" s="1"/>
  <c r="F657" i="9"/>
  <c r="D656" i="9"/>
  <c r="B655" i="9"/>
  <c r="E655" i="9" s="1"/>
  <c r="F653" i="9"/>
  <c r="D652" i="9"/>
  <c r="B651" i="9"/>
  <c r="E651" i="9" s="1"/>
  <c r="F649" i="9"/>
  <c r="D648" i="9"/>
  <c r="B647" i="9"/>
  <c r="E647" i="9" s="1"/>
  <c r="F645" i="9"/>
  <c r="D644" i="9"/>
  <c r="B643" i="9"/>
  <c r="E643" i="9" s="1"/>
  <c r="F641" i="9"/>
  <c r="D640" i="9"/>
  <c r="B639" i="9"/>
  <c r="E639" i="9" s="1"/>
  <c r="F637" i="9"/>
  <c r="D636" i="9"/>
  <c r="B635" i="9"/>
  <c r="E635" i="9" s="1"/>
  <c r="F633" i="9"/>
  <c r="D632" i="9"/>
  <c r="B631" i="9"/>
  <c r="E631" i="9" s="1"/>
  <c r="F629" i="9"/>
  <c r="D628" i="9"/>
  <c r="B627" i="9"/>
  <c r="E627" i="9" s="1"/>
  <c r="F625" i="9"/>
  <c r="D624" i="9"/>
  <c r="B623" i="9"/>
  <c r="E623" i="9" s="1"/>
  <c r="F621" i="9"/>
  <c r="D620" i="9"/>
  <c r="B619" i="9"/>
  <c r="E619" i="9" s="1"/>
  <c r="F617" i="9"/>
  <c r="D616" i="9"/>
  <c r="B615" i="9"/>
  <c r="E615" i="9" s="1"/>
  <c r="F613" i="9"/>
  <c r="D612" i="9"/>
  <c r="B611" i="9"/>
  <c r="E611" i="9" s="1"/>
  <c r="F609" i="9"/>
  <c r="D608" i="9"/>
  <c r="B607" i="9"/>
  <c r="E607" i="9" s="1"/>
  <c r="F605" i="9"/>
  <c r="D604" i="9"/>
  <c r="B603" i="9"/>
  <c r="E603" i="9" s="1"/>
  <c r="F601" i="9"/>
  <c r="D600" i="9"/>
  <c r="B599" i="9"/>
  <c r="E599" i="9" s="1"/>
  <c r="F597" i="9"/>
  <c r="D596" i="9"/>
  <c r="B595" i="9"/>
  <c r="E595" i="9" s="1"/>
  <c r="F593" i="9"/>
  <c r="D592" i="9"/>
  <c r="B591" i="9"/>
  <c r="E591" i="9" s="1"/>
  <c r="F589" i="9"/>
  <c r="D588" i="9"/>
  <c r="B587" i="9"/>
  <c r="E587" i="9" s="1"/>
  <c r="F585" i="9"/>
  <c r="D584" i="9"/>
  <c r="F581" i="9"/>
  <c r="A581" i="9"/>
  <c r="A580" i="9"/>
  <c r="B579" i="9"/>
  <c r="E579" i="9" s="1"/>
  <c r="C578" i="9"/>
  <c r="C577" i="9"/>
  <c r="D576" i="9"/>
  <c r="F573" i="9"/>
  <c r="A573" i="9"/>
  <c r="A572" i="9"/>
  <c r="B571" i="9"/>
  <c r="E571" i="9" s="1"/>
  <c r="C570" i="9"/>
  <c r="C569" i="9"/>
  <c r="D568" i="9"/>
  <c r="F565" i="9"/>
  <c r="A565" i="9"/>
  <c r="A564" i="9"/>
  <c r="B563" i="9"/>
  <c r="E563" i="9" s="1"/>
  <c r="C562" i="9"/>
  <c r="C561" i="9"/>
  <c r="D560" i="9"/>
  <c r="F557" i="9"/>
  <c r="A557" i="9"/>
  <c r="A556" i="9"/>
  <c r="B555" i="9"/>
  <c r="E555" i="9" s="1"/>
  <c r="C554" i="9"/>
  <c r="C553" i="9"/>
  <c r="D552" i="9"/>
  <c r="F549" i="9"/>
  <c r="A549" i="9"/>
  <c r="A548" i="9"/>
  <c r="B547" i="9"/>
  <c r="E547" i="9" s="1"/>
  <c r="C546" i="9"/>
  <c r="C545" i="9"/>
  <c r="D544" i="9"/>
  <c r="F541" i="9"/>
  <c r="A541" i="9"/>
  <c r="A540" i="9"/>
  <c r="B539" i="9"/>
  <c r="E539" i="9" s="1"/>
  <c r="C538" i="9"/>
  <c r="C537" i="9"/>
  <c r="D536" i="9"/>
  <c r="F533" i="9"/>
  <c r="A533" i="9"/>
  <c r="A532" i="9"/>
  <c r="B531" i="9"/>
  <c r="E531" i="9" s="1"/>
  <c r="C530" i="9"/>
  <c r="C529" i="9"/>
  <c r="D528" i="9"/>
  <c r="F525" i="9"/>
  <c r="A525" i="9"/>
  <c r="A524" i="9"/>
  <c r="B523" i="9"/>
  <c r="E523" i="9" s="1"/>
  <c r="C522" i="9"/>
  <c r="C521" i="9"/>
  <c r="D520" i="9"/>
  <c r="F517" i="9"/>
  <c r="A517" i="9"/>
  <c r="A516" i="9"/>
  <c r="B515" i="9"/>
  <c r="E515" i="9" s="1"/>
  <c r="C514" i="9"/>
  <c r="C513" i="9"/>
  <c r="D512" i="9"/>
  <c r="F509" i="9"/>
  <c r="A509" i="9"/>
  <c r="A508" i="9"/>
  <c r="B507" i="9"/>
  <c r="E507" i="9" s="1"/>
  <c r="C506" i="9"/>
  <c r="C505" i="9"/>
  <c r="D504" i="9"/>
  <c r="F501" i="9"/>
  <c r="A501" i="9"/>
  <c r="A500" i="9"/>
  <c r="B499" i="9"/>
  <c r="E499" i="9" s="1"/>
  <c r="D498" i="9"/>
  <c r="F497" i="9"/>
  <c r="B497" i="9"/>
  <c r="E497" i="9" s="1"/>
  <c r="D496" i="9"/>
  <c r="F495" i="9"/>
  <c r="B495" i="9"/>
  <c r="E495" i="9" s="1"/>
  <c r="D494" i="9"/>
  <c r="F493" i="9"/>
  <c r="B493" i="9"/>
  <c r="E493" i="9" s="1"/>
  <c r="D492" i="9"/>
  <c r="F491" i="9"/>
  <c r="B491" i="9"/>
  <c r="E491" i="9" s="1"/>
  <c r="D490" i="9"/>
  <c r="F489" i="9"/>
  <c r="B489" i="9"/>
  <c r="E489" i="9" s="1"/>
  <c r="D488" i="9"/>
  <c r="F487" i="9"/>
  <c r="B487" i="9"/>
  <c r="E487" i="9" s="1"/>
  <c r="D486" i="9"/>
  <c r="F485" i="9"/>
  <c r="B485" i="9"/>
  <c r="E485" i="9" s="1"/>
  <c r="D484" i="9"/>
  <c r="F483" i="9"/>
  <c r="B483" i="9"/>
  <c r="E483" i="9" s="1"/>
  <c r="D482" i="9"/>
  <c r="F481" i="9"/>
  <c r="B481" i="9"/>
  <c r="E481" i="9" s="1"/>
  <c r="D480" i="9"/>
  <c r="F479" i="9"/>
  <c r="B479" i="9"/>
  <c r="E479" i="9" s="1"/>
  <c r="D478" i="9"/>
  <c r="F477" i="9"/>
  <c r="B477" i="9"/>
  <c r="E477" i="9" s="1"/>
  <c r="D476" i="9"/>
  <c r="F475" i="9"/>
  <c r="B475" i="9"/>
  <c r="E475" i="9" s="1"/>
  <c r="D474" i="9"/>
  <c r="F473" i="9"/>
  <c r="B473" i="9"/>
  <c r="E473" i="9" s="1"/>
  <c r="D472" i="9"/>
  <c r="F471" i="9"/>
  <c r="B471" i="9"/>
  <c r="E471" i="9" s="1"/>
  <c r="D470" i="9"/>
  <c r="F469" i="9"/>
  <c r="B469" i="9"/>
  <c r="E469" i="9" s="1"/>
  <c r="D468" i="9"/>
  <c r="F467" i="9"/>
  <c r="B467" i="9"/>
  <c r="E467" i="9" s="1"/>
  <c r="D466" i="9"/>
  <c r="F465" i="9"/>
  <c r="B465" i="9"/>
  <c r="E465" i="9" s="1"/>
  <c r="D464" i="9"/>
  <c r="F463" i="9"/>
  <c r="B463" i="9"/>
  <c r="E463" i="9" s="1"/>
  <c r="D462" i="9"/>
  <c r="F461" i="9"/>
  <c r="B461" i="9"/>
  <c r="E461" i="9" s="1"/>
  <c r="D460" i="9"/>
  <c r="F459" i="9"/>
  <c r="B459" i="9"/>
  <c r="E459" i="9" s="1"/>
  <c r="D458" i="9"/>
  <c r="F457" i="9"/>
  <c r="B457" i="9"/>
  <c r="E457" i="9" s="1"/>
  <c r="D456" i="9"/>
  <c r="F455" i="9"/>
  <c r="B455" i="9"/>
  <c r="E455" i="9" s="1"/>
  <c r="D454" i="9"/>
  <c r="F453" i="9"/>
  <c r="B453" i="9"/>
  <c r="E453" i="9" s="1"/>
  <c r="D452" i="9"/>
  <c r="F451" i="9"/>
  <c r="B451" i="9"/>
  <c r="E451" i="9" s="1"/>
  <c r="D450" i="9"/>
  <c r="F449" i="9"/>
  <c r="B449" i="9"/>
  <c r="E449" i="9" s="1"/>
  <c r="D448" i="9"/>
  <c r="F447" i="9"/>
  <c r="B447" i="9"/>
  <c r="E447" i="9" s="1"/>
  <c r="D446" i="9"/>
  <c r="F445" i="9"/>
  <c r="B445" i="9"/>
  <c r="E445" i="9" s="1"/>
  <c r="D444" i="9"/>
  <c r="F443" i="9"/>
  <c r="B443" i="9"/>
  <c r="E443" i="9" s="1"/>
  <c r="D442" i="9"/>
  <c r="F441" i="9"/>
  <c r="B441" i="9"/>
  <c r="E441" i="9" s="1"/>
  <c r="D440" i="9"/>
  <c r="F439" i="9"/>
  <c r="B439" i="9"/>
  <c r="E439" i="9" s="1"/>
  <c r="D438" i="9"/>
  <c r="F437" i="9"/>
  <c r="B437" i="9"/>
  <c r="E437" i="9" s="1"/>
  <c r="D436" i="9"/>
  <c r="F435" i="9"/>
  <c r="B435" i="9"/>
  <c r="E435" i="9" s="1"/>
  <c r="D434" i="9"/>
  <c r="F433" i="9"/>
  <c r="B433" i="9"/>
  <c r="E433" i="9" s="1"/>
  <c r="D432" i="9"/>
  <c r="F431" i="9"/>
  <c r="B431" i="9"/>
  <c r="E431" i="9" s="1"/>
  <c r="D430" i="9"/>
  <c r="F429" i="9"/>
  <c r="B429" i="9"/>
  <c r="E429" i="9" s="1"/>
  <c r="D428" i="9"/>
  <c r="F427" i="9"/>
  <c r="B427" i="9"/>
  <c r="E427" i="9" s="1"/>
  <c r="D426" i="9"/>
  <c r="F425" i="9"/>
  <c r="B425" i="9"/>
  <c r="E425" i="9" s="1"/>
  <c r="D424" i="9"/>
  <c r="F423" i="9"/>
  <c r="B423" i="9"/>
  <c r="E423" i="9" s="1"/>
  <c r="D422" i="9"/>
  <c r="F421" i="9"/>
  <c r="B421" i="9"/>
  <c r="E421" i="9" s="1"/>
  <c r="D420" i="9"/>
  <c r="F419" i="9"/>
  <c r="B419" i="9"/>
  <c r="E419" i="9" s="1"/>
  <c r="D418" i="9"/>
  <c r="F417" i="9"/>
  <c r="B417" i="9"/>
  <c r="E417" i="9" s="1"/>
  <c r="D416" i="9"/>
  <c r="F415" i="9"/>
  <c r="B415" i="9"/>
  <c r="E415" i="9" s="1"/>
  <c r="D414" i="9"/>
  <c r="F413" i="9"/>
  <c r="B413" i="9"/>
  <c r="E413" i="9" s="1"/>
  <c r="D412" i="9"/>
  <c r="F411" i="9"/>
  <c r="B411" i="9"/>
  <c r="E411" i="9" s="1"/>
  <c r="D410" i="9"/>
  <c r="F409" i="9"/>
  <c r="B409" i="9"/>
  <c r="E409" i="9" s="1"/>
  <c r="D408" i="9"/>
  <c r="F407" i="9"/>
  <c r="B407" i="9"/>
  <c r="E407" i="9" s="1"/>
  <c r="D406" i="9"/>
  <c r="F405" i="9"/>
  <c r="B405" i="9"/>
  <c r="E405" i="9" s="1"/>
  <c r="D404" i="9"/>
  <c r="F403" i="9"/>
  <c r="B403" i="9"/>
  <c r="E403" i="9" s="1"/>
  <c r="D402" i="9"/>
  <c r="F401" i="9"/>
  <c r="B401" i="9"/>
  <c r="E401" i="9" s="1"/>
  <c r="D400" i="9"/>
  <c r="F399" i="9"/>
  <c r="B399" i="9"/>
  <c r="E399" i="9" s="1"/>
  <c r="D398" i="9"/>
  <c r="F397" i="9"/>
  <c r="B397" i="9"/>
  <c r="E397" i="9" s="1"/>
  <c r="D396" i="9"/>
  <c r="F395" i="9"/>
  <c r="B395" i="9"/>
  <c r="E395" i="9" s="1"/>
  <c r="D394" i="9"/>
  <c r="F393" i="9"/>
  <c r="B393" i="9"/>
  <c r="E393" i="9" s="1"/>
  <c r="D392" i="9"/>
  <c r="F391" i="9"/>
  <c r="B391" i="9"/>
  <c r="E391" i="9" s="1"/>
  <c r="D390" i="9"/>
  <c r="F389" i="9"/>
  <c r="B389" i="9"/>
  <c r="E389" i="9" s="1"/>
  <c r="D388" i="9"/>
  <c r="F387" i="9"/>
  <c r="B387" i="9"/>
  <c r="E387" i="9" s="1"/>
  <c r="D386" i="9"/>
  <c r="F385" i="9"/>
  <c r="B385" i="9"/>
  <c r="E385" i="9" s="1"/>
  <c r="D384" i="9"/>
  <c r="F383" i="9"/>
  <c r="B383" i="9"/>
  <c r="E383" i="9" s="1"/>
  <c r="D382" i="9"/>
  <c r="F381" i="9"/>
  <c r="B381" i="9"/>
  <c r="E381" i="9" s="1"/>
  <c r="D380" i="9"/>
  <c r="F379" i="9"/>
  <c r="B379" i="9"/>
  <c r="E379" i="9" s="1"/>
  <c r="D378" i="9"/>
  <c r="F377" i="9"/>
  <c r="B377" i="9"/>
  <c r="E377" i="9" s="1"/>
  <c r="D376" i="9"/>
  <c r="F375" i="9"/>
  <c r="B375" i="9"/>
  <c r="E375" i="9" s="1"/>
  <c r="D374" i="9"/>
  <c r="F373" i="9"/>
  <c r="B373" i="9"/>
  <c r="E373" i="9" s="1"/>
  <c r="D372" i="9"/>
  <c r="F371" i="9"/>
  <c r="B371" i="9"/>
  <c r="E371" i="9" s="1"/>
  <c r="D370" i="9"/>
  <c r="F369" i="9"/>
  <c r="B369" i="9"/>
  <c r="E369" i="9" s="1"/>
  <c r="D368" i="9"/>
  <c r="F367" i="9"/>
  <c r="B367" i="9"/>
  <c r="E367" i="9" s="1"/>
  <c r="D366" i="9"/>
  <c r="F365" i="9"/>
  <c r="B365" i="9"/>
  <c r="E365" i="9" s="1"/>
  <c r="D364" i="9"/>
  <c r="F363" i="9"/>
  <c r="B363" i="9"/>
  <c r="E363" i="9" s="1"/>
  <c r="D362" i="9"/>
  <c r="F361" i="9"/>
  <c r="B361" i="9"/>
  <c r="E361" i="9" s="1"/>
  <c r="D360" i="9"/>
  <c r="F359" i="9"/>
  <c r="B359" i="9"/>
  <c r="E359" i="9" s="1"/>
  <c r="D358" i="9"/>
  <c r="F357" i="9"/>
  <c r="B357" i="9"/>
  <c r="E357" i="9" s="1"/>
  <c r="D356" i="9"/>
  <c r="F355" i="9"/>
  <c r="B355" i="9"/>
  <c r="E355" i="9" s="1"/>
  <c r="D354" i="9"/>
  <c r="F353" i="9"/>
  <c r="B353" i="9"/>
  <c r="E353" i="9" s="1"/>
  <c r="D352" i="9"/>
  <c r="F351" i="9"/>
  <c r="B351" i="9"/>
  <c r="E351" i="9" s="1"/>
  <c r="D350" i="9"/>
  <c r="F349" i="9"/>
  <c r="B349" i="9"/>
  <c r="E349" i="9" s="1"/>
  <c r="D348" i="9"/>
  <c r="F347" i="9"/>
  <c r="B347" i="9"/>
  <c r="E347" i="9" s="1"/>
  <c r="D346" i="9"/>
  <c r="F345" i="9"/>
  <c r="B345" i="9"/>
  <c r="E345" i="9" s="1"/>
  <c r="D344" i="9"/>
  <c r="F343" i="9"/>
  <c r="B343" i="9"/>
  <c r="E343" i="9" s="1"/>
  <c r="D342" i="9"/>
  <c r="F341" i="9"/>
  <c r="B341" i="9"/>
  <c r="E341" i="9" s="1"/>
  <c r="D340" i="9"/>
  <c r="F339" i="9"/>
  <c r="B339" i="9"/>
  <c r="E339" i="9" s="1"/>
  <c r="D338" i="9"/>
  <c r="F337" i="9"/>
  <c r="B337" i="9"/>
  <c r="E337" i="9" s="1"/>
  <c r="D336" i="9"/>
  <c r="A1385" i="9"/>
  <c r="A1366" i="9"/>
  <c r="A1347" i="9"/>
  <c r="B1337" i="9"/>
  <c r="E1337" i="9" s="1"/>
  <c r="F1327" i="9"/>
  <c r="C1318" i="9"/>
  <c r="C1299" i="9"/>
  <c r="B1291" i="9"/>
  <c r="E1291" i="9" s="1"/>
  <c r="A1284" i="9"/>
  <c r="A1277" i="9"/>
  <c r="F1269" i="9"/>
  <c r="D1248" i="9"/>
  <c r="C1241" i="9"/>
  <c r="C1234" i="9"/>
  <c r="B1227" i="9"/>
  <c r="E1227" i="9" s="1"/>
  <c r="A1220" i="9"/>
  <c r="A1213" i="9"/>
  <c r="F1205" i="9"/>
  <c r="D1184" i="9"/>
  <c r="C1177" i="9"/>
  <c r="C1170" i="9"/>
  <c r="B1163" i="9"/>
  <c r="E1163" i="9" s="1"/>
  <c r="A1156" i="9"/>
  <c r="A1149" i="9"/>
  <c r="F1141" i="9"/>
  <c r="D1120" i="9"/>
  <c r="C1114" i="9"/>
  <c r="B1107" i="9"/>
  <c r="E1107" i="9" s="1"/>
  <c r="A1100" i="9"/>
  <c r="D1096" i="9"/>
  <c r="A1093" i="9"/>
  <c r="C1089" i="9"/>
  <c r="F1085" i="9"/>
  <c r="C1082" i="9"/>
  <c r="B1075" i="9"/>
  <c r="E1075" i="9" s="1"/>
  <c r="A1068" i="9"/>
  <c r="D1064" i="9"/>
  <c r="A1061" i="9"/>
  <c r="C1057" i="9"/>
  <c r="F1053" i="9"/>
  <c r="C1050" i="9"/>
  <c r="B1043" i="9"/>
  <c r="E1043" i="9" s="1"/>
  <c r="A1036" i="9"/>
  <c r="D1032" i="9"/>
  <c r="A1029" i="9"/>
  <c r="C1025" i="9"/>
  <c r="F1021" i="9"/>
  <c r="C1018" i="9"/>
  <c r="B1011" i="9"/>
  <c r="E1011" i="9" s="1"/>
  <c r="A1004" i="9"/>
  <c r="D1000" i="9"/>
  <c r="A997" i="9"/>
  <c r="C993" i="9"/>
  <c r="F989" i="9"/>
  <c r="C986" i="9"/>
  <c r="B979" i="9"/>
  <c r="E979" i="9" s="1"/>
  <c r="A972" i="9"/>
  <c r="D968" i="9"/>
  <c r="A965" i="9"/>
  <c r="C961" i="9"/>
  <c r="F957" i="9"/>
  <c r="C954" i="9"/>
  <c r="B947" i="9"/>
  <c r="E947" i="9" s="1"/>
  <c r="A940" i="9"/>
  <c r="D936" i="9"/>
  <c r="A933" i="9"/>
  <c r="C929" i="9"/>
  <c r="F925" i="9"/>
  <c r="C922" i="9"/>
  <c r="B915" i="9"/>
  <c r="E915" i="9" s="1"/>
  <c r="A908" i="9"/>
  <c r="D904" i="9"/>
  <c r="A901" i="9"/>
  <c r="C897" i="9"/>
  <c r="F893" i="9"/>
  <c r="C890" i="9"/>
  <c r="B883" i="9"/>
  <c r="E883" i="9" s="1"/>
  <c r="A876" i="9"/>
  <c r="D872" i="9"/>
  <c r="A869" i="9"/>
  <c r="C865" i="9"/>
  <c r="F861" i="9"/>
  <c r="C858" i="9"/>
  <c r="B851" i="9"/>
  <c r="E851" i="9" s="1"/>
  <c r="A844" i="9"/>
  <c r="D840" i="9"/>
  <c r="A837" i="9"/>
  <c r="C833" i="9"/>
  <c r="F829" i="9"/>
  <c r="C826" i="9"/>
  <c r="B819" i="9"/>
  <c r="E819" i="9" s="1"/>
  <c r="A812" i="9"/>
  <c r="D808" i="9"/>
  <c r="A805" i="9"/>
  <c r="C801" i="9"/>
  <c r="F797" i="9"/>
  <c r="C794" i="9"/>
  <c r="B787" i="9"/>
  <c r="E787" i="9" s="1"/>
  <c r="A780" i="9"/>
  <c r="D776" i="9"/>
  <c r="A773" i="9"/>
  <c r="A765" i="9"/>
  <c r="D762" i="9"/>
  <c r="D760" i="9"/>
  <c r="F757" i="9"/>
  <c r="C755" i="9"/>
  <c r="C753" i="9"/>
  <c r="C748" i="9"/>
  <c r="C746" i="9"/>
  <c r="F741" i="9"/>
  <c r="A740" i="9"/>
  <c r="C738" i="9"/>
  <c r="D736" i="9"/>
  <c r="A733" i="9"/>
  <c r="B731" i="9"/>
  <c r="E731" i="9" s="1"/>
  <c r="C729" i="9"/>
  <c r="F725" i="9"/>
  <c r="C724" i="9"/>
  <c r="A723" i="9"/>
  <c r="C720" i="9"/>
  <c r="A719" i="9"/>
  <c r="C716" i="9"/>
  <c r="A715" i="9"/>
  <c r="C712" i="9"/>
  <c r="A711" i="9"/>
  <c r="C708" i="9"/>
  <c r="A707" i="9"/>
  <c r="C704" i="9"/>
  <c r="A703" i="9"/>
  <c r="C700" i="9"/>
  <c r="A699" i="9"/>
  <c r="C696" i="9"/>
  <c r="A695" i="9"/>
  <c r="C692" i="9"/>
  <c r="A691" i="9"/>
  <c r="C688" i="9"/>
  <c r="A687" i="9"/>
  <c r="C684" i="9"/>
  <c r="A683" i="9"/>
  <c r="C680" i="9"/>
  <c r="A679" i="9"/>
  <c r="C676" i="9"/>
  <c r="A675" i="9"/>
  <c r="C672" i="9"/>
  <c r="A671" i="9"/>
  <c r="C668" i="9"/>
  <c r="A667" i="9"/>
  <c r="C664" i="9"/>
  <c r="A663" i="9"/>
  <c r="C660" i="9"/>
  <c r="A659" i="9"/>
  <c r="C656" i="9"/>
  <c r="A655" i="9"/>
  <c r="C652" i="9"/>
  <c r="A651" i="9"/>
  <c r="C648" i="9"/>
  <c r="A647" i="9"/>
  <c r="C644" i="9"/>
  <c r="A643" i="9"/>
  <c r="C640" i="9"/>
  <c r="A639" i="9"/>
  <c r="C636" i="9"/>
  <c r="A635" i="9"/>
  <c r="C632" i="9"/>
  <c r="A631" i="9"/>
  <c r="C628" i="9"/>
  <c r="A627" i="9"/>
  <c r="C624" i="9"/>
  <c r="A623" i="9"/>
  <c r="C620" i="9"/>
  <c r="A619" i="9"/>
  <c r="C616" i="9"/>
  <c r="A615" i="9"/>
  <c r="C612" i="9"/>
  <c r="A611" i="9"/>
  <c r="C608" i="9"/>
  <c r="A607" i="9"/>
  <c r="C604" i="9"/>
  <c r="A603" i="9"/>
  <c r="C600" i="9"/>
  <c r="A599" i="9"/>
  <c r="C596" i="9"/>
  <c r="A595" i="9"/>
  <c r="C592" i="9"/>
  <c r="A591" i="9"/>
  <c r="C588" i="9"/>
  <c r="A587" i="9"/>
  <c r="C584" i="9"/>
  <c r="C583" i="9"/>
  <c r="D582" i="9"/>
  <c r="F579" i="9"/>
  <c r="A579" i="9"/>
  <c r="A578" i="9"/>
  <c r="B577" i="9"/>
  <c r="E577" i="9" s="1"/>
  <c r="C576" i="9"/>
  <c r="C575" i="9"/>
  <c r="D574" i="9"/>
  <c r="F571" i="9"/>
  <c r="A571" i="9"/>
  <c r="A570" i="9"/>
  <c r="B569" i="9"/>
  <c r="E569" i="9" s="1"/>
  <c r="C568" i="9"/>
  <c r="C567" i="9"/>
  <c r="D566" i="9"/>
  <c r="F563" i="9"/>
  <c r="A563" i="9"/>
  <c r="A562" i="9"/>
  <c r="B561" i="9"/>
  <c r="E561" i="9" s="1"/>
  <c r="C560" i="9"/>
  <c r="C559" i="9"/>
  <c r="D558" i="9"/>
  <c r="F555" i="9"/>
  <c r="A555" i="9"/>
  <c r="A554" i="9"/>
  <c r="B553" i="9"/>
  <c r="E553" i="9" s="1"/>
  <c r="C552" i="9"/>
  <c r="C551" i="9"/>
  <c r="D550" i="9"/>
  <c r="F547" i="9"/>
  <c r="A547" i="9"/>
  <c r="A546" i="9"/>
  <c r="B545" i="9"/>
  <c r="E545" i="9" s="1"/>
  <c r="C544" i="9"/>
  <c r="C543" i="9"/>
  <c r="D542" i="9"/>
  <c r="F539" i="9"/>
  <c r="A539" i="9"/>
  <c r="A538" i="9"/>
  <c r="B537" i="9"/>
  <c r="E537" i="9" s="1"/>
  <c r="C536" i="9"/>
  <c r="C535" i="9"/>
  <c r="D534" i="9"/>
  <c r="F531" i="9"/>
  <c r="A531" i="9"/>
  <c r="A530" i="9"/>
  <c r="B529" i="9"/>
  <c r="E529" i="9" s="1"/>
  <c r="C528" i="9"/>
  <c r="C527" i="9"/>
  <c r="D526" i="9"/>
  <c r="F523" i="9"/>
  <c r="A523" i="9"/>
  <c r="A522" i="9"/>
  <c r="B521" i="9"/>
  <c r="E521" i="9" s="1"/>
  <c r="C520" i="9"/>
  <c r="C519" i="9"/>
  <c r="D518" i="9"/>
  <c r="F515" i="9"/>
  <c r="A515" i="9"/>
  <c r="A514" i="9"/>
  <c r="B513" i="9"/>
  <c r="E513" i="9" s="1"/>
  <c r="C512" i="9"/>
  <c r="C511" i="9"/>
  <c r="D510" i="9"/>
  <c r="F507" i="9"/>
  <c r="A507" i="9"/>
  <c r="A506" i="9"/>
  <c r="B505" i="9"/>
  <c r="E505" i="9" s="1"/>
  <c r="C504" i="9"/>
  <c r="C503" i="9"/>
  <c r="D502" i="9"/>
  <c r="F499" i="9"/>
  <c r="A499" i="9"/>
  <c r="C498" i="9"/>
  <c r="A497" i="9"/>
  <c r="C496" i="9"/>
  <c r="A495" i="9"/>
  <c r="C494" i="9"/>
  <c r="A493" i="9"/>
  <c r="C492" i="9"/>
  <c r="A491" i="9"/>
  <c r="C490" i="9"/>
  <c r="A489" i="9"/>
  <c r="C488" i="9"/>
  <c r="A487" i="9"/>
  <c r="C486" i="9"/>
  <c r="A485" i="9"/>
  <c r="C484" i="9"/>
  <c r="A483" i="9"/>
  <c r="C482" i="9"/>
  <c r="A481" i="9"/>
  <c r="C480" i="9"/>
  <c r="A479" i="9"/>
  <c r="C478" i="9"/>
  <c r="A477" i="9"/>
  <c r="C476" i="9"/>
  <c r="A475" i="9"/>
  <c r="C474" i="9"/>
  <c r="A473" i="9"/>
  <c r="C472" i="9"/>
  <c r="A471" i="9"/>
  <c r="C470" i="9"/>
  <c r="A469" i="9"/>
  <c r="C468" i="9"/>
  <c r="A467" i="9"/>
  <c r="C466" i="9"/>
  <c r="A465" i="9"/>
  <c r="C464" i="9"/>
  <c r="A463" i="9"/>
  <c r="C462" i="9"/>
  <c r="A461" i="9"/>
  <c r="C460" i="9"/>
  <c r="A459" i="9"/>
  <c r="C458" i="9"/>
  <c r="A457" i="9"/>
  <c r="C456" i="9"/>
  <c r="A455" i="9"/>
  <c r="C454" i="9"/>
  <c r="A453" i="9"/>
  <c r="C452" i="9"/>
  <c r="A451" i="9"/>
  <c r="C450" i="9"/>
  <c r="A449" i="9"/>
  <c r="C448" i="9"/>
  <c r="A447" i="9"/>
  <c r="C446" i="9"/>
  <c r="A445" i="9"/>
  <c r="C444" i="9"/>
  <c r="A443" i="9"/>
  <c r="C442" i="9"/>
  <c r="A441" i="9"/>
  <c r="C440" i="9"/>
  <c r="A439" i="9"/>
  <c r="C438" i="9"/>
  <c r="A437" i="9"/>
  <c r="C436" i="9"/>
  <c r="A435" i="9"/>
  <c r="C434" i="9"/>
  <c r="A433" i="9"/>
  <c r="C432" i="9"/>
  <c r="A431" i="9"/>
  <c r="C430" i="9"/>
  <c r="A429" i="9"/>
  <c r="C428" i="9"/>
  <c r="A427" i="9"/>
  <c r="C426" i="9"/>
  <c r="A425" i="9"/>
  <c r="C424" i="9"/>
  <c r="A423" i="9"/>
  <c r="C422" i="9"/>
  <c r="A421" i="9"/>
  <c r="C420" i="9"/>
  <c r="A419" i="9"/>
  <c r="C418" i="9"/>
  <c r="A417" i="9"/>
  <c r="C416" i="9"/>
  <c r="A415" i="9"/>
  <c r="C414" i="9"/>
  <c r="A413" i="9"/>
  <c r="C412" i="9"/>
  <c r="A411" i="9"/>
  <c r="C410" i="9"/>
  <c r="A409" i="9"/>
  <c r="C408" i="9"/>
  <c r="A407" i="9"/>
  <c r="C406" i="9"/>
  <c r="A405" i="9"/>
  <c r="C404" i="9"/>
  <c r="A403" i="9"/>
  <c r="C402" i="9"/>
  <c r="A401" i="9"/>
  <c r="C400" i="9"/>
  <c r="A399" i="9"/>
  <c r="C398" i="9"/>
  <c r="A397" i="9"/>
  <c r="C396" i="9"/>
  <c r="A395" i="9"/>
  <c r="C394" i="9"/>
  <c r="A393" i="9"/>
  <c r="C392" i="9"/>
  <c r="A391" i="9"/>
  <c r="C390" i="9"/>
  <c r="A389" i="9"/>
  <c r="C388" i="9"/>
  <c r="A387" i="9"/>
  <c r="C386" i="9"/>
  <c r="A385" i="9"/>
  <c r="C384" i="9"/>
  <c r="A383" i="9"/>
  <c r="C382" i="9"/>
  <c r="A381" i="9"/>
  <c r="C380" i="9"/>
  <c r="A379" i="9"/>
  <c r="C378" i="9"/>
  <c r="A377" i="9"/>
  <c r="C376" i="9"/>
  <c r="A375" i="9"/>
  <c r="C374" i="9"/>
  <c r="A373" i="9"/>
  <c r="C372" i="9"/>
  <c r="A371" i="9"/>
  <c r="C370" i="9"/>
  <c r="A369" i="9"/>
  <c r="C368" i="9"/>
  <c r="A367" i="9"/>
  <c r="C366" i="9"/>
  <c r="A365" i="9"/>
  <c r="C364" i="9"/>
  <c r="A363" i="9"/>
  <c r="C362" i="9"/>
  <c r="A361" i="9"/>
  <c r="C360" i="9"/>
  <c r="A359" i="9"/>
  <c r="C358" i="9"/>
  <c r="A357" i="9"/>
  <c r="C356" i="9"/>
  <c r="A355" i="9"/>
  <c r="C354" i="9"/>
  <c r="A353" i="9"/>
  <c r="C352" i="9"/>
  <c r="A351" i="9"/>
  <c r="C350" i="9"/>
  <c r="A349" i="9"/>
  <c r="C348" i="9"/>
  <c r="A347" i="9"/>
  <c r="C346" i="9"/>
  <c r="A345" i="9"/>
  <c r="C344" i="9"/>
  <c r="A343" i="9"/>
  <c r="C342" i="9"/>
  <c r="A341" i="9"/>
  <c r="C340" i="9"/>
  <c r="A339" i="9"/>
  <c r="C338" i="9"/>
  <c r="A337" i="9"/>
  <c r="C336" i="9"/>
  <c r="A335" i="9"/>
  <c r="C334" i="9"/>
  <c r="A333" i="9"/>
  <c r="C332" i="9"/>
  <c r="A331" i="9"/>
  <c r="C330" i="9"/>
  <c r="A329" i="9"/>
  <c r="C328" i="9"/>
  <c r="A327" i="9"/>
  <c r="C326" i="9"/>
  <c r="A325" i="9"/>
  <c r="C324" i="9"/>
  <c r="A323" i="9"/>
  <c r="C322" i="9"/>
  <c r="A321" i="9"/>
  <c r="C320" i="9"/>
  <c r="A319" i="9"/>
  <c r="C318" i="9"/>
  <c r="A317" i="9"/>
  <c r="C316" i="9"/>
  <c r="A315" i="9"/>
  <c r="C314" i="9"/>
  <c r="A313" i="9"/>
  <c r="C312" i="9"/>
  <c r="A311" i="9"/>
  <c r="C310" i="9"/>
  <c r="A309" i="9"/>
  <c r="C308" i="9"/>
  <c r="A307" i="9"/>
  <c r="C306" i="9"/>
  <c r="A305" i="9"/>
  <c r="C304" i="9"/>
  <c r="A303" i="9"/>
  <c r="C302" i="9"/>
  <c r="A301" i="9"/>
  <c r="C300" i="9"/>
  <c r="A299" i="9"/>
  <c r="C298" i="9"/>
  <c r="A297" i="9"/>
  <c r="C296" i="9"/>
  <c r="A295" i="9"/>
  <c r="C294" i="9"/>
  <c r="A293" i="9"/>
  <c r="C292" i="9"/>
  <c r="A291" i="9"/>
  <c r="C290" i="9"/>
  <c r="A289" i="9"/>
  <c r="C288" i="9"/>
  <c r="A287" i="9"/>
  <c r="C286" i="9"/>
  <c r="A285" i="9"/>
  <c r="C284" i="9"/>
  <c r="A283" i="9"/>
  <c r="C282" i="9"/>
  <c r="A281" i="9"/>
  <c r="C280" i="9"/>
  <c r="C1380" i="9"/>
  <c r="B1361" i="9"/>
  <c r="E1361" i="9" s="1"/>
  <c r="C1344" i="9"/>
  <c r="A1335" i="9"/>
  <c r="C1325" i="9"/>
  <c r="F1315" i="9"/>
  <c r="D1306" i="9"/>
  <c r="A1297" i="9"/>
  <c r="C1289" i="9"/>
  <c r="C1282" i="9"/>
  <c r="B1275" i="9"/>
  <c r="E1275" i="9" s="1"/>
  <c r="A1268" i="9"/>
  <c r="A1261" i="9"/>
  <c r="F1253" i="9"/>
  <c r="D1232" i="9"/>
  <c r="C1225" i="9"/>
  <c r="C1218" i="9"/>
  <c r="B1211" i="9"/>
  <c r="E1211" i="9" s="1"/>
  <c r="A1204" i="9"/>
  <c r="A1197" i="9"/>
  <c r="F1189" i="9"/>
  <c r="D1168" i="9"/>
  <c r="C1161" i="9"/>
  <c r="C1154" i="9"/>
  <c r="B1147" i="9"/>
  <c r="E1147" i="9" s="1"/>
  <c r="A1140" i="9"/>
  <c r="A1133" i="9"/>
  <c r="F1125" i="9"/>
  <c r="C1113" i="9"/>
  <c r="F1109" i="9"/>
  <c r="C1106" i="9"/>
  <c r="B1099" i="9"/>
  <c r="E1099" i="9" s="1"/>
  <c r="A1092" i="9"/>
  <c r="D1088" i="9"/>
  <c r="A1085" i="9"/>
  <c r="C1081" i="9"/>
  <c r="F1077" i="9"/>
  <c r="C1074" i="9"/>
  <c r="B1067" i="9"/>
  <c r="E1067" i="9" s="1"/>
  <c r="A1060" i="9"/>
  <c r="D1056" i="9"/>
  <c r="A1053" i="9"/>
  <c r="C1049" i="9"/>
  <c r="F1045" i="9"/>
  <c r="C1042" i="9"/>
  <c r="B1035" i="9"/>
  <c r="E1035" i="9" s="1"/>
  <c r="A1028" i="9"/>
  <c r="D1024" i="9"/>
  <c r="A1021" i="9"/>
  <c r="C1017" i="9"/>
  <c r="F1013" i="9"/>
  <c r="C1010" i="9"/>
  <c r="B1003" i="9"/>
  <c r="E1003" i="9" s="1"/>
  <c r="A996" i="9"/>
  <c r="D992" i="9"/>
  <c r="A989" i="9"/>
  <c r="C985" i="9"/>
  <c r="F981" i="9"/>
  <c r="C978" i="9"/>
  <c r="B971" i="9"/>
  <c r="E971" i="9" s="1"/>
  <c r="A964" i="9"/>
  <c r="D960" i="9"/>
  <c r="A957" i="9"/>
  <c r="C953" i="9"/>
  <c r="F949" i="9"/>
  <c r="C946" i="9"/>
  <c r="B939" i="9"/>
  <c r="E939" i="9" s="1"/>
  <c r="A932" i="9"/>
  <c r="D928" i="9"/>
  <c r="A925" i="9"/>
  <c r="C921" i="9"/>
  <c r="F917" i="9"/>
  <c r="C914" i="9"/>
  <c r="B907" i="9"/>
  <c r="E907" i="9" s="1"/>
  <c r="A900" i="9"/>
  <c r="D896" i="9"/>
  <c r="A893" i="9"/>
  <c r="C889" i="9"/>
  <c r="F885" i="9"/>
  <c r="C882" i="9"/>
  <c r="B875" i="9"/>
  <c r="E875" i="9" s="1"/>
  <c r="A868" i="9"/>
  <c r="D864" i="9"/>
  <c r="A861" i="9"/>
  <c r="C857" i="9"/>
  <c r="F853" i="9"/>
  <c r="C850" i="9"/>
  <c r="B843" i="9"/>
  <c r="E843" i="9" s="1"/>
  <c r="A836" i="9"/>
  <c r="D832" i="9"/>
  <c r="A829" i="9"/>
  <c r="C825" i="9"/>
  <c r="F821" i="9"/>
  <c r="C818" i="9"/>
  <c r="B811" i="9"/>
  <c r="E811" i="9" s="1"/>
  <c r="A804" i="9"/>
  <c r="D800" i="9"/>
  <c r="A797" i="9"/>
  <c r="C793" i="9"/>
  <c r="F789" i="9"/>
  <c r="C786" i="9"/>
  <c r="B779" i="9"/>
  <c r="E779" i="9" s="1"/>
  <c r="A772" i="9"/>
  <c r="C769" i="9"/>
  <c r="C764" i="9"/>
  <c r="C762" i="9"/>
  <c r="B757" i="9"/>
  <c r="E757" i="9" s="1"/>
  <c r="B755" i="9"/>
  <c r="E755" i="9" s="1"/>
  <c r="D752" i="9"/>
  <c r="A750" i="9"/>
  <c r="A748" i="9"/>
  <c r="C745" i="9"/>
  <c r="A743" i="9"/>
  <c r="B741" i="9"/>
  <c r="E741" i="9" s="1"/>
  <c r="C739" i="9"/>
  <c r="F735" i="9"/>
  <c r="A734" i="9"/>
  <c r="C732" i="9"/>
  <c r="D730" i="9"/>
  <c r="A727" i="9"/>
  <c r="B725" i="9"/>
  <c r="E725" i="9" s="1"/>
  <c r="F723" i="9"/>
  <c r="D722" i="9"/>
  <c r="B721" i="9"/>
  <c r="E721" i="9" s="1"/>
  <c r="F719" i="9"/>
  <c r="D718" i="9"/>
  <c r="B717" i="9"/>
  <c r="E717" i="9" s="1"/>
  <c r="F715" i="9"/>
  <c r="D714" i="9"/>
  <c r="B713" i="9"/>
  <c r="E713" i="9" s="1"/>
  <c r="F711" i="9"/>
  <c r="D710" i="9"/>
  <c r="B709" i="9"/>
  <c r="E709" i="9" s="1"/>
  <c r="F707" i="9"/>
  <c r="D706" i="9"/>
  <c r="B705" i="9"/>
  <c r="E705" i="9" s="1"/>
  <c r="F703" i="9"/>
  <c r="D702" i="9"/>
  <c r="B701" i="9"/>
  <c r="E701" i="9" s="1"/>
  <c r="F699" i="9"/>
  <c r="D698" i="9"/>
  <c r="B697" i="9"/>
  <c r="E697" i="9" s="1"/>
  <c r="F695" i="9"/>
  <c r="D694" i="9"/>
  <c r="B693" i="9"/>
  <c r="E693" i="9" s="1"/>
  <c r="F691" i="9"/>
  <c r="D690" i="9"/>
  <c r="B689" i="9"/>
  <c r="E689" i="9" s="1"/>
  <c r="F687" i="9"/>
  <c r="D686" i="9"/>
  <c r="B685" i="9"/>
  <c r="E685" i="9" s="1"/>
  <c r="F683" i="9"/>
  <c r="D682" i="9"/>
  <c r="B681" i="9"/>
  <c r="E681" i="9" s="1"/>
  <c r="F679" i="9"/>
  <c r="D678" i="9"/>
  <c r="B677" i="9"/>
  <c r="E677" i="9" s="1"/>
  <c r="F675" i="9"/>
  <c r="D674" i="9"/>
  <c r="B673" i="9"/>
  <c r="E673" i="9" s="1"/>
  <c r="F671" i="9"/>
  <c r="D670" i="9"/>
  <c r="B669" i="9"/>
  <c r="E669" i="9" s="1"/>
  <c r="F667" i="9"/>
  <c r="D666" i="9"/>
  <c r="B665" i="9"/>
  <c r="E665" i="9" s="1"/>
  <c r="F663" i="9"/>
  <c r="D662" i="9"/>
  <c r="B661" i="9"/>
  <c r="E661" i="9" s="1"/>
  <c r="F659" i="9"/>
  <c r="D658" i="9"/>
  <c r="B657" i="9"/>
  <c r="E657" i="9" s="1"/>
  <c r="F655" i="9"/>
  <c r="D654" i="9"/>
  <c r="B653" i="9"/>
  <c r="E653" i="9" s="1"/>
  <c r="F651" i="9"/>
  <c r="D650" i="9"/>
  <c r="B649" i="9"/>
  <c r="E649" i="9" s="1"/>
  <c r="F647" i="9"/>
  <c r="D646" i="9"/>
  <c r="B645" i="9"/>
  <c r="E645" i="9" s="1"/>
  <c r="F643" i="9"/>
  <c r="D642" i="9"/>
  <c r="B641" i="9"/>
  <c r="E641" i="9" s="1"/>
  <c r="F639" i="9"/>
  <c r="D638" i="9"/>
  <c r="B637" i="9"/>
  <c r="E637" i="9" s="1"/>
  <c r="F635" i="9"/>
  <c r="D634" i="9"/>
  <c r="B633" i="9"/>
  <c r="E633" i="9" s="1"/>
  <c r="F631" i="9"/>
  <c r="D630" i="9"/>
  <c r="B629" i="9"/>
  <c r="E629" i="9" s="1"/>
  <c r="F627" i="9"/>
  <c r="D626" i="9"/>
  <c r="B625" i="9"/>
  <c r="E625" i="9" s="1"/>
  <c r="F623" i="9"/>
  <c r="D622" i="9"/>
  <c r="B621" i="9"/>
  <c r="E621" i="9" s="1"/>
  <c r="F619" i="9"/>
  <c r="D618" i="9"/>
  <c r="B617" i="9"/>
  <c r="E617" i="9" s="1"/>
  <c r="F615" i="9"/>
  <c r="D614" i="9"/>
  <c r="B613" i="9"/>
  <c r="E613" i="9" s="1"/>
  <c r="F611" i="9"/>
  <c r="D610" i="9"/>
  <c r="B609" i="9"/>
  <c r="E609" i="9" s="1"/>
  <c r="F607" i="9"/>
  <c r="D606" i="9"/>
  <c r="B605" i="9"/>
  <c r="E605" i="9" s="1"/>
  <c r="F603" i="9"/>
  <c r="D602" i="9"/>
  <c r="B601" i="9"/>
  <c r="E601" i="9" s="1"/>
  <c r="F599" i="9"/>
  <c r="D598" i="9"/>
  <c r="B597" i="9"/>
  <c r="E597" i="9" s="1"/>
  <c r="F595" i="9"/>
  <c r="D594" i="9"/>
  <c r="B593" i="9"/>
  <c r="E593" i="9" s="1"/>
  <c r="F591" i="9"/>
  <c r="D590" i="9"/>
  <c r="B589" i="9"/>
  <c r="E589" i="9" s="1"/>
  <c r="F587" i="9"/>
  <c r="D586" i="9"/>
  <c r="B585" i="9"/>
  <c r="E585" i="9" s="1"/>
  <c r="A584" i="9"/>
  <c r="B583" i="9"/>
  <c r="E583" i="9" s="1"/>
  <c r="C582" i="9"/>
  <c r="C581" i="9"/>
  <c r="D580" i="9"/>
  <c r="F577" i="9"/>
  <c r="A577" i="9"/>
  <c r="A576" i="9"/>
  <c r="B575" i="9"/>
  <c r="E575" i="9" s="1"/>
  <c r="C574" i="9"/>
  <c r="C573" i="9"/>
  <c r="D572" i="9"/>
  <c r="F569" i="9"/>
  <c r="A569" i="9"/>
  <c r="A568" i="9"/>
  <c r="B567" i="9"/>
  <c r="E567" i="9" s="1"/>
  <c r="C566" i="9"/>
  <c r="C565" i="9"/>
  <c r="D564" i="9"/>
  <c r="F561" i="9"/>
  <c r="A561" i="9"/>
  <c r="A560" i="9"/>
  <c r="B559" i="9"/>
  <c r="E559" i="9" s="1"/>
  <c r="C558" i="9"/>
  <c r="C557" i="9"/>
  <c r="D556" i="9"/>
  <c r="F553" i="9"/>
  <c r="A553" i="9"/>
  <c r="A552" i="9"/>
  <c r="B551" i="9"/>
  <c r="E551" i="9" s="1"/>
  <c r="C550" i="9"/>
  <c r="C549" i="9"/>
  <c r="D548" i="9"/>
  <c r="F545" i="9"/>
  <c r="A545" i="9"/>
  <c r="A544" i="9"/>
  <c r="B543" i="9"/>
  <c r="E543" i="9" s="1"/>
  <c r="C542" i="9"/>
  <c r="C541" i="9"/>
  <c r="D540" i="9"/>
  <c r="F537" i="9"/>
  <c r="A537" i="9"/>
  <c r="A536" i="9"/>
  <c r="B535" i="9"/>
  <c r="E535" i="9" s="1"/>
  <c r="C534" i="9"/>
  <c r="C533" i="9"/>
  <c r="D532" i="9"/>
  <c r="F529" i="9"/>
  <c r="A529" i="9"/>
  <c r="A528" i="9"/>
  <c r="B527" i="9"/>
  <c r="E527" i="9" s="1"/>
  <c r="C526" i="9"/>
  <c r="C525" i="9"/>
  <c r="D524" i="9"/>
  <c r="F521" i="9"/>
  <c r="A521" i="9"/>
  <c r="A520" i="9"/>
  <c r="B519" i="9"/>
  <c r="E519" i="9" s="1"/>
  <c r="C518" i="9"/>
  <c r="C517" i="9"/>
  <c r="D516" i="9"/>
  <c r="F513" i="9"/>
  <c r="A513" i="9"/>
  <c r="A512" i="9"/>
  <c r="B511" i="9"/>
  <c r="E511" i="9" s="1"/>
  <c r="C510" i="9"/>
  <c r="C509" i="9"/>
  <c r="D508" i="9"/>
  <c r="F505" i="9"/>
  <c r="A505" i="9"/>
  <c r="A504" i="9"/>
  <c r="B503" i="9"/>
  <c r="E503" i="9" s="1"/>
  <c r="C502" i="9"/>
  <c r="C501" i="9"/>
  <c r="D500" i="9"/>
  <c r="F498" i="9"/>
  <c r="B498" i="9"/>
  <c r="E498" i="9" s="1"/>
  <c r="D497" i="9"/>
  <c r="F496" i="9"/>
  <c r="B496" i="9"/>
  <c r="E496" i="9" s="1"/>
  <c r="D495" i="9"/>
  <c r="F494" i="9"/>
  <c r="B494" i="9"/>
  <c r="E494" i="9" s="1"/>
  <c r="D493" i="9"/>
  <c r="F492" i="9"/>
  <c r="B492" i="9"/>
  <c r="E492" i="9" s="1"/>
  <c r="D491" i="9"/>
  <c r="F490" i="9"/>
  <c r="B490" i="9"/>
  <c r="E490" i="9" s="1"/>
  <c r="D489" i="9"/>
  <c r="F488" i="9"/>
  <c r="B488" i="9"/>
  <c r="E488" i="9" s="1"/>
  <c r="D487" i="9"/>
  <c r="F486" i="9"/>
  <c r="B486" i="9"/>
  <c r="E486" i="9" s="1"/>
  <c r="D485" i="9"/>
  <c r="F484" i="9"/>
  <c r="B484" i="9"/>
  <c r="E484" i="9" s="1"/>
  <c r="D483" i="9"/>
  <c r="F482" i="9"/>
  <c r="B482" i="9"/>
  <c r="E482" i="9" s="1"/>
  <c r="D481" i="9"/>
  <c r="F480" i="9"/>
  <c r="B480" i="9"/>
  <c r="E480" i="9" s="1"/>
  <c r="D479" i="9"/>
  <c r="F478" i="9"/>
  <c r="B478" i="9"/>
  <c r="E478" i="9" s="1"/>
  <c r="D477" i="9"/>
  <c r="F476" i="9"/>
  <c r="B476" i="9"/>
  <c r="E476" i="9" s="1"/>
  <c r="D475" i="9"/>
  <c r="F474" i="9"/>
  <c r="B474" i="9"/>
  <c r="E474" i="9" s="1"/>
  <c r="D473" i="9"/>
  <c r="F472" i="9"/>
  <c r="B472" i="9"/>
  <c r="E472" i="9" s="1"/>
  <c r="D471" i="9"/>
  <c r="F470" i="9"/>
  <c r="B470" i="9"/>
  <c r="E470" i="9" s="1"/>
  <c r="D469" i="9"/>
  <c r="F468" i="9"/>
  <c r="B468" i="9"/>
  <c r="E468" i="9" s="1"/>
  <c r="D467" i="9"/>
  <c r="F466" i="9"/>
  <c r="B466" i="9"/>
  <c r="E466" i="9" s="1"/>
  <c r="D465" i="9"/>
  <c r="F464" i="9"/>
  <c r="B464" i="9"/>
  <c r="E464" i="9" s="1"/>
  <c r="D463" i="9"/>
  <c r="F462" i="9"/>
  <c r="B462" i="9"/>
  <c r="E462" i="9" s="1"/>
  <c r="D461" i="9"/>
  <c r="F460" i="9"/>
  <c r="B460" i="9"/>
  <c r="E460" i="9" s="1"/>
  <c r="D459" i="9"/>
  <c r="F458" i="9"/>
  <c r="B458" i="9"/>
  <c r="E458" i="9" s="1"/>
  <c r="D457" i="9"/>
  <c r="F456" i="9"/>
  <c r="B456" i="9"/>
  <c r="E456" i="9" s="1"/>
  <c r="D455" i="9"/>
  <c r="F454" i="9"/>
  <c r="B454" i="9"/>
  <c r="E454" i="9" s="1"/>
  <c r="D453" i="9"/>
  <c r="F452" i="9"/>
  <c r="B452" i="9"/>
  <c r="E452" i="9" s="1"/>
  <c r="D451" i="9"/>
  <c r="F450" i="9"/>
  <c r="B450" i="9"/>
  <c r="E450" i="9" s="1"/>
  <c r="D449" i="9"/>
  <c r="F448" i="9"/>
  <c r="B448" i="9"/>
  <c r="E448" i="9" s="1"/>
  <c r="D447" i="9"/>
  <c r="F446" i="9"/>
  <c r="B446" i="9"/>
  <c r="E446" i="9" s="1"/>
  <c r="D445" i="9"/>
  <c r="F444" i="9"/>
  <c r="B444" i="9"/>
  <c r="E444" i="9" s="1"/>
  <c r="D443" i="9"/>
  <c r="F442" i="9"/>
  <c r="B442" i="9"/>
  <c r="E442" i="9" s="1"/>
  <c r="D441" i="9"/>
  <c r="F440" i="9"/>
  <c r="B440" i="9"/>
  <c r="E440" i="9" s="1"/>
  <c r="D439" i="9"/>
  <c r="F438" i="9"/>
  <c r="B438" i="9"/>
  <c r="E438" i="9" s="1"/>
  <c r="D437" i="9"/>
  <c r="F436" i="9"/>
  <c r="B436" i="9"/>
  <c r="E436" i="9" s="1"/>
  <c r="D435" i="9"/>
  <c r="F434" i="9"/>
  <c r="B434" i="9"/>
  <c r="E434" i="9" s="1"/>
  <c r="D433" i="9"/>
  <c r="F432" i="9"/>
  <c r="B432" i="9"/>
  <c r="E432" i="9" s="1"/>
  <c r="D431" i="9"/>
  <c r="F430" i="9"/>
  <c r="B430" i="9"/>
  <c r="E430" i="9" s="1"/>
  <c r="D429" i="9"/>
  <c r="F428" i="9"/>
  <c r="B428" i="9"/>
  <c r="E428" i="9" s="1"/>
  <c r="D427" i="9"/>
  <c r="F426" i="9"/>
  <c r="B426" i="9"/>
  <c r="E426" i="9" s="1"/>
  <c r="D425" i="9"/>
  <c r="F424" i="9"/>
  <c r="B424" i="9"/>
  <c r="E424" i="9" s="1"/>
  <c r="D423" i="9"/>
  <c r="F422" i="9"/>
  <c r="B422" i="9"/>
  <c r="E422" i="9" s="1"/>
  <c r="D421" i="9"/>
  <c r="F420" i="9"/>
  <c r="B420" i="9"/>
  <c r="E420" i="9" s="1"/>
  <c r="D419" i="9"/>
  <c r="F418" i="9"/>
  <c r="B418" i="9"/>
  <c r="E418" i="9" s="1"/>
  <c r="D417" i="9"/>
  <c r="F416" i="9"/>
  <c r="B416" i="9"/>
  <c r="E416" i="9" s="1"/>
  <c r="D415" i="9"/>
  <c r="F414" i="9"/>
  <c r="B414" i="9"/>
  <c r="E414" i="9" s="1"/>
  <c r="D413" i="9"/>
  <c r="F412" i="9"/>
  <c r="B412" i="9"/>
  <c r="E412" i="9" s="1"/>
  <c r="D411" i="9"/>
  <c r="F410" i="9"/>
  <c r="B410" i="9"/>
  <c r="E410" i="9" s="1"/>
  <c r="D409" i="9"/>
  <c r="F408" i="9"/>
  <c r="B408" i="9"/>
  <c r="E408" i="9" s="1"/>
  <c r="D407" i="9"/>
  <c r="F406" i="9"/>
  <c r="B406" i="9"/>
  <c r="E406" i="9" s="1"/>
  <c r="D405" i="9"/>
  <c r="F404" i="9"/>
  <c r="B404" i="9"/>
  <c r="E404" i="9" s="1"/>
  <c r="D403" i="9"/>
  <c r="F402" i="9"/>
  <c r="B402" i="9"/>
  <c r="E402" i="9" s="1"/>
  <c r="D401" i="9"/>
  <c r="F400" i="9"/>
  <c r="B400" i="9"/>
  <c r="E400" i="9" s="1"/>
  <c r="D399" i="9"/>
  <c r="F398" i="9"/>
  <c r="B398" i="9"/>
  <c r="E398" i="9" s="1"/>
  <c r="D397" i="9"/>
  <c r="F396" i="9"/>
  <c r="B396" i="9"/>
  <c r="E396" i="9" s="1"/>
  <c r="D395" i="9"/>
  <c r="F394" i="9"/>
  <c r="B394" i="9"/>
  <c r="E394" i="9" s="1"/>
  <c r="D393" i="9"/>
  <c r="F392" i="9"/>
  <c r="B392" i="9"/>
  <c r="E392" i="9" s="1"/>
  <c r="D391" i="9"/>
  <c r="F390" i="9"/>
  <c r="B390" i="9"/>
  <c r="E390" i="9" s="1"/>
  <c r="D389" i="9"/>
  <c r="F388" i="9"/>
  <c r="B388" i="9"/>
  <c r="E388" i="9" s="1"/>
  <c r="D387" i="9"/>
  <c r="F386" i="9"/>
  <c r="B386" i="9"/>
  <c r="E386" i="9" s="1"/>
  <c r="D385" i="9"/>
  <c r="F384" i="9"/>
  <c r="B384" i="9"/>
  <c r="E384" i="9" s="1"/>
  <c r="D383" i="9"/>
  <c r="F382" i="9"/>
  <c r="B382" i="9"/>
  <c r="E382" i="9" s="1"/>
  <c r="D381" i="9"/>
  <c r="F380" i="9"/>
  <c r="B380" i="9"/>
  <c r="E380" i="9" s="1"/>
  <c r="D379" i="9"/>
  <c r="F378" i="9"/>
  <c r="B378" i="9"/>
  <c r="E378" i="9" s="1"/>
  <c r="D377" i="9"/>
  <c r="F376" i="9"/>
  <c r="B376" i="9"/>
  <c r="E376" i="9" s="1"/>
  <c r="D375" i="9"/>
  <c r="F374" i="9"/>
  <c r="B374" i="9"/>
  <c r="E374" i="9" s="1"/>
  <c r="D373" i="9"/>
  <c r="F372" i="9"/>
  <c r="B372" i="9"/>
  <c r="E372" i="9" s="1"/>
  <c r="D371" i="9"/>
  <c r="F370" i="9"/>
  <c r="B370" i="9"/>
  <c r="E370" i="9" s="1"/>
  <c r="D369" i="9"/>
  <c r="F368" i="9"/>
  <c r="B368" i="9"/>
  <c r="E368" i="9" s="1"/>
  <c r="D367" i="9"/>
  <c r="F366" i="9"/>
  <c r="B366" i="9"/>
  <c r="E366" i="9" s="1"/>
  <c r="D365" i="9"/>
  <c r="F364" i="9"/>
  <c r="B364" i="9"/>
  <c r="E364" i="9" s="1"/>
  <c r="D363" i="9"/>
  <c r="F362" i="9"/>
  <c r="B362" i="9"/>
  <c r="E362" i="9" s="1"/>
  <c r="D361" i="9"/>
  <c r="F360" i="9"/>
  <c r="B360" i="9"/>
  <c r="E360" i="9" s="1"/>
  <c r="D359" i="9"/>
  <c r="F358" i="9"/>
  <c r="B358" i="9"/>
  <c r="E358" i="9" s="1"/>
  <c r="D357" i="9"/>
  <c r="F356" i="9"/>
  <c r="B356" i="9"/>
  <c r="E356" i="9" s="1"/>
  <c r="D355" i="9"/>
  <c r="F354" i="9"/>
  <c r="B354" i="9"/>
  <c r="E354" i="9" s="1"/>
  <c r="D353" i="9"/>
  <c r="F352" i="9"/>
  <c r="B352" i="9"/>
  <c r="E352" i="9" s="1"/>
  <c r="D351" i="9"/>
  <c r="F350" i="9"/>
  <c r="B350" i="9"/>
  <c r="E350" i="9" s="1"/>
  <c r="D349" i="9"/>
  <c r="F348" i="9"/>
  <c r="B348" i="9"/>
  <c r="E348" i="9" s="1"/>
  <c r="D347" i="9"/>
  <c r="F346" i="9"/>
  <c r="B346" i="9"/>
  <c r="E346" i="9" s="1"/>
  <c r="D345" i="9"/>
  <c r="F344" i="9"/>
  <c r="B344" i="9"/>
  <c r="E344" i="9" s="1"/>
  <c r="D343" i="9"/>
  <c r="F342" i="9"/>
  <c r="B342" i="9"/>
  <c r="E342" i="9" s="1"/>
  <c r="D341" i="9"/>
  <c r="F340" i="9"/>
  <c r="B340" i="9"/>
  <c r="E340" i="9" s="1"/>
  <c r="D339" i="9"/>
  <c r="F338" i="9"/>
  <c r="B338" i="9"/>
  <c r="E338" i="9" s="1"/>
  <c r="B336" i="9"/>
  <c r="E336" i="9" s="1"/>
  <c r="F334" i="9"/>
  <c r="D333" i="9"/>
  <c r="B332" i="9"/>
  <c r="E332" i="9" s="1"/>
  <c r="F330" i="9"/>
  <c r="D329" i="9"/>
  <c r="B328" i="9"/>
  <c r="E328" i="9" s="1"/>
  <c r="F326" i="9"/>
  <c r="D325" i="9"/>
  <c r="B324" i="9"/>
  <c r="E324" i="9" s="1"/>
  <c r="F322" i="9"/>
  <c r="D321" i="9"/>
  <c r="B320" i="9"/>
  <c r="E320" i="9" s="1"/>
  <c r="F318" i="9"/>
  <c r="D317" i="9"/>
  <c r="B316" i="9"/>
  <c r="E316" i="9" s="1"/>
  <c r="F314" i="9"/>
  <c r="D313" i="9"/>
  <c r="B312" i="9"/>
  <c r="E312" i="9" s="1"/>
  <c r="F310" i="9"/>
  <c r="D309" i="9"/>
  <c r="B308" i="9"/>
  <c r="E308" i="9" s="1"/>
  <c r="F306" i="9"/>
  <c r="D305" i="9"/>
  <c r="B304" i="9"/>
  <c r="E304" i="9" s="1"/>
  <c r="F302" i="9"/>
  <c r="D301" i="9"/>
  <c r="B300" i="9"/>
  <c r="E300" i="9" s="1"/>
  <c r="F298" i="9"/>
  <c r="D297" i="9"/>
  <c r="B296" i="9"/>
  <c r="E296" i="9" s="1"/>
  <c r="F294" i="9"/>
  <c r="D293" i="9"/>
  <c r="B292" i="9"/>
  <c r="E292" i="9" s="1"/>
  <c r="F290" i="9"/>
  <c r="D289" i="9"/>
  <c r="B288" i="9"/>
  <c r="E288" i="9" s="1"/>
  <c r="F286" i="9"/>
  <c r="D285" i="9"/>
  <c r="B284" i="9"/>
  <c r="E284" i="9" s="1"/>
  <c r="F282" i="9"/>
  <c r="D281" i="9"/>
  <c r="B280" i="9"/>
  <c r="E280" i="9" s="1"/>
  <c r="D279" i="9"/>
  <c r="F278" i="9"/>
  <c r="B278" i="9"/>
  <c r="E278" i="9" s="1"/>
  <c r="D277" i="9"/>
  <c r="F276" i="9"/>
  <c r="B276" i="9"/>
  <c r="E276" i="9" s="1"/>
  <c r="D275" i="9"/>
  <c r="F274" i="9"/>
  <c r="B274" i="9"/>
  <c r="E274" i="9" s="1"/>
  <c r="D273" i="9"/>
  <c r="F272" i="9"/>
  <c r="B272" i="9"/>
  <c r="E272" i="9" s="1"/>
  <c r="D271" i="9"/>
  <c r="F270" i="9"/>
  <c r="B270" i="9"/>
  <c r="E270" i="9" s="1"/>
  <c r="D269" i="9"/>
  <c r="F268" i="9"/>
  <c r="B268" i="9"/>
  <c r="E268" i="9" s="1"/>
  <c r="D267" i="9"/>
  <c r="F266" i="9"/>
  <c r="B266" i="9"/>
  <c r="E266" i="9" s="1"/>
  <c r="D265" i="9"/>
  <c r="F264" i="9"/>
  <c r="B264" i="9"/>
  <c r="E264" i="9" s="1"/>
  <c r="D263" i="9"/>
  <c r="F262" i="9"/>
  <c r="B262" i="9"/>
  <c r="E262" i="9" s="1"/>
  <c r="D261" i="9"/>
  <c r="F260" i="9"/>
  <c r="B260" i="9"/>
  <c r="E260" i="9" s="1"/>
  <c r="D259" i="9"/>
  <c r="F258" i="9"/>
  <c r="B258" i="9"/>
  <c r="E258" i="9" s="1"/>
  <c r="D257" i="9"/>
  <c r="F256" i="9"/>
  <c r="B256" i="9"/>
  <c r="E256" i="9" s="1"/>
  <c r="D255" i="9"/>
  <c r="F254" i="9"/>
  <c r="B254" i="9"/>
  <c r="E254" i="9" s="1"/>
  <c r="D253" i="9"/>
  <c r="F252" i="9"/>
  <c r="B252" i="9"/>
  <c r="E252" i="9" s="1"/>
  <c r="D251" i="9"/>
  <c r="F250" i="9"/>
  <c r="B250" i="9"/>
  <c r="E250" i="9" s="1"/>
  <c r="D249" i="9"/>
  <c r="F248" i="9"/>
  <c r="B248" i="9"/>
  <c r="E248" i="9" s="1"/>
  <c r="D247" i="9"/>
  <c r="F246" i="9"/>
  <c r="B246" i="9"/>
  <c r="E246" i="9" s="1"/>
  <c r="D245" i="9"/>
  <c r="F244" i="9"/>
  <c r="B244" i="9"/>
  <c r="E244" i="9" s="1"/>
  <c r="D243" i="9"/>
  <c r="F242" i="9"/>
  <c r="B242" i="9"/>
  <c r="E242" i="9" s="1"/>
  <c r="D241" i="9"/>
  <c r="F240" i="9"/>
  <c r="B240" i="9"/>
  <c r="E240" i="9" s="1"/>
  <c r="D239" i="9"/>
  <c r="F238" i="9"/>
  <c r="B238" i="9"/>
  <c r="E238" i="9" s="1"/>
  <c r="D237" i="9"/>
  <c r="F236" i="9"/>
  <c r="B236" i="9"/>
  <c r="E236" i="9" s="1"/>
  <c r="D235" i="9"/>
  <c r="F234" i="9"/>
  <c r="B234" i="9"/>
  <c r="E234" i="9" s="1"/>
  <c r="D233" i="9"/>
  <c r="F232" i="9"/>
  <c r="B232" i="9"/>
  <c r="E232" i="9" s="1"/>
  <c r="D231" i="9"/>
  <c r="F230" i="9"/>
  <c r="B230" i="9"/>
  <c r="E230" i="9" s="1"/>
  <c r="D229" i="9"/>
  <c r="F228" i="9"/>
  <c r="B228" i="9"/>
  <c r="E228" i="9" s="1"/>
  <c r="D227" i="9"/>
  <c r="F226" i="9"/>
  <c r="B226" i="9"/>
  <c r="E226" i="9" s="1"/>
  <c r="D225" i="9"/>
  <c r="F224" i="9"/>
  <c r="B224" i="9"/>
  <c r="E224" i="9" s="1"/>
  <c r="D223" i="9"/>
  <c r="F222" i="9"/>
  <c r="B222" i="9"/>
  <c r="E222" i="9" s="1"/>
  <c r="D221" i="9"/>
  <c r="F220" i="9"/>
  <c r="B220" i="9"/>
  <c r="E220" i="9" s="1"/>
  <c r="D219" i="9"/>
  <c r="F218" i="9"/>
  <c r="B218" i="9"/>
  <c r="E218" i="9" s="1"/>
  <c r="D217" i="9"/>
  <c r="F216" i="9"/>
  <c r="B216" i="9"/>
  <c r="E216" i="9" s="1"/>
  <c r="D215" i="9"/>
  <c r="F214" i="9"/>
  <c r="B214" i="9"/>
  <c r="E214" i="9" s="1"/>
  <c r="D213" i="9"/>
  <c r="F212" i="9"/>
  <c r="B212" i="9"/>
  <c r="E212" i="9" s="1"/>
  <c r="D211" i="9"/>
  <c r="F210" i="9"/>
  <c r="B210" i="9"/>
  <c r="E210" i="9" s="1"/>
  <c r="D209" i="9"/>
  <c r="F208" i="9"/>
  <c r="B208" i="9"/>
  <c r="E208" i="9" s="1"/>
  <c r="D207" i="9"/>
  <c r="F206" i="9"/>
  <c r="B206" i="9"/>
  <c r="E206" i="9" s="1"/>
  <c r="D205" i="9"/>
  <c r="F204" i="9"/>
  <c r="B204" i="9"/>
  <c r="E204" i="9" s="1"/>
  <c r="D203" i="9"/>
  <c r="F202" i="9"/>
  <c r="B202" i="9"/>
  <c r="E202" i="9" s="1"/>
  <c r="D201" i="9"/>
  <c r="F200" i="9"/>
  <c r="B200" i="9"/>
  <c r="E200" i="9" s="1"/>
  <c r="D199" i="9"/>
  <c r="F198" i="9"/>
  <c r="B198" i="9"/>
  <c r="E198" i="9" s="1"/>
  <c r="D197" i="9"/>
  <c r="F196" i="9"/>
  <c r="B196" i="9"/>
  <c r="E196" i="9" s="1"/>
  <c r="D195" i="9"/>
  <c r="F194" i="9"/>
  <c r="B194" i="9"/>
  <c r="E194" i="9" s="1"/>
  <c r="D193" i="9"/>
  <c r="F192" i="9"/>
  <c r="B192" i="9"/>
  <c r="E192" i="9" s="1"/>
  <c r="D191" i="9"/>
  <c r="F190" i="9"/>
  <c r="B190" i="9"/>
  <c r="E190" i="9" s="1"/>
  <c r="D189" i="9"/>
  <c r="F188" i="9"/>
  <c r="B188" i="9"/>
  <c r="E188" i="9" s="1"/>
  <c r="D187" i="9"/>
  <c r="F186" i="9"/>
  <c r="B186" i="9"/>
  <c r="E186" i="9" s="1"/>
  <c r="D185" i="9"/>
  <c r="F184" i="9"/>
  <c r="B184" i="9"/>
  <c r="E184" i="9" s="1"/>
  <c r="D183" i="9"/>
  <c r="F182" i="9"/>
  <c r="B182" i="9"/>
  <c r="E182" i="9" s="1"/>
  <c r="D181" i="9"/>
  <c r="F180" i="9"/>
  <c r="B180" i="9"/>
  <c r="E180" i="9" s="1"/>
  <c r="D179" i="9"/>
  <c r="F178" i="9"/>
  <c r="B178" i="9"/>
  <c r="E178" i="9" s="1"/>
  <c r="D177" i="9"/>
  <c r="F176" i="9"/>
  <c r="B176" i="9"/>
  <c r="E176" i="9" s="1"/>
  <c r="D175" i="9"/>
  <c r="F174" i="9"/>
  <c r="B174" i="9"/>
  <c r="E174" i="9" s="1"/>
  <c r="D173" i="9"/>
  <c r="F172" i="9"/>
  <c r="B172" i="9"/>
  <c r="E172" i="9" s="1"/>
  <c r="D171" i="9"/>
  <c r="F170" i="9"/>
  <c r="B170" i="9"/>
  <c r="E170" i="9" s="1"/>
  <c r="D169" i="9"/>
  <c r="F168" i="9"/>
  <c r="B168" i="9"/>
  <c r="E168" i="9" s="1"/>
  <c r="D167" i="9"/>
  <c r="F166" i="9"/>
  <c r="B166" i="9"/>
  <c r="E166" i="9" s="1"/>
  <c r="D165" i="9"/>
  <c r="F164" i="9"/>
  <c r="B164" i="9"/>
  <c r="E164" i="9" s="1"/>
  <c r="D163" i="9"/>
  <c r="F162" i="9"/>
  <c r="B162" i="9"/>
  <c r="E162" i="9" s="1"/>
  <c r="D161" i="9"/>
  <c r="F160" i="9"/>
  <c r="B160" i="9"/>
  <c r="E160" i="9" s="1"/>
  <c r="D159" i="9"/>
  <c r="F158" i="9"/>
  <c r="B158" i="9"/>
  <c r="E158" i="9" s="1"/>
  <c r="D157" i="9"/>
  <c r="F156" i="9"/>
  <c r="B156" i="9"/>
  <c r="E156" i="9" s="1"/>
  <c r="D155" i="9"/>
  <c r="F154" i="9"/>
  <c r="B154" i="9"/>
  <c r="E154" i="9" s="1"/>
  <c r="D153" i="9"/>
  <c r="F152" i="9"/>
  <c r="B152" i="9"/>
  <c r="E152" i="9" s="1"/>
  <c r="D151" i="9"/>
  <c r="F150" i="9"/>
  <c r="B150" i="9"/>
  <c r="E150" i="9" s="1"/>
  <c r="D149" i="9"/>
  <c r="F148" i="9"/>
  <c r="B148" i="9"/>
  <c r="E148" i="9" s="1"/>
  <c r="D147" i="9"/>
  <c r="F146" i="9"/>
  <c r="B146" i="9"/>
  <c r="E146" i="9" s="1"/>
  <c r="D145" i="9"/>
  <c r="F144" i="9"/>
  <c r="B144" i="9"/>
  <c r="E144" i="9" s="1"/>
  <c r="D143" i="9"/>
  <c r="F142" i="9"/>
  <c r="B142" i="9"/>
  <c r="E142" i="9" s="1"/>
  <c r="D141" i="9"/>
  <c r="F140" i="9"/>
  <c r="B140" i="9"/>
  <c r="E140" i="9" s="1"/>
  <c r="D139" i="9"/>
  <c r="F138" i="9"/>
  <c r="B138" i="9"/>
  <c r="E138" i="9" s="1"/>
  <c r="D137" i="9"/>
  <c r="F136" i="9"/>
  <c r="B136" i="9"/>
  <c r="E136" i="9" s="1"/>
  <c r="D135" i="9"/>
  <c r="F134" i="9"/>
  <c r="B134" i="9"/>
  <c r="E134" i="9" s="1"/>
  <c r="D133" i="9"/>
  <c r="F132" i="9"/>
  <c r="B132" i="9"/>
  <c r="E132" i="9" s="1"/>
  <c r="D131" i="9"/>
  <c r="F130" i="9"/>
  <c r="B130" i="9"/>
  <c r="E130" i="9" s="1"/>
  <c r="D129" i="9"/>
  <c r="F128" i="9"/>
  <c r="B128" i="9"/>
  <c r="E128" i="9" s="1"/>
  <c r="D127" i="9"/>
  <c r="F126" i="9"/>
  <c r="B126" i="9"/>
  <c r="E126" i="9" s="1"/>
  <c r="D125" i="9"/>
  <c r="F124" i="9"/>
  <c r="B124" i="9"/>
  <c r="E124" i="9" s="1"/>
  <c r="D123" i="9"/>
  <c r="F122" i="9"/>
  <c r="B122" i="9"/>
  <c r="E122" i="9" s="1"/>
  <c r="D121" i="9"/>
  <c r="F120" i="9"/>
  <c r="B120" i="9"/>
  <c r="E120" i="9" s="1"/>
  <c r="D119" i="9"/>
  <c r="F118" i="9"/>
  <c r="B118" i="9"/>
  <c r="E118" i="9" s="1"/>
  <c r="D117" i="9"/>
  <c r="F116" i="9"/>
  <c r="B116" i="9"/>
  <c r="E116" i="9" s="1"/>
  <c r="D115" i="9"/>
  <c r="F114" i="9"/>
  <c r="B114" i="9"/>
  <c r="E114" i="9" s="1"/>
  <c r="D113" i="9"/>
  <c r="F112" i="9"/>
  <c r="B112" i="9"/>
  <c r="E112" i="9" s="1"/>
  <c r="D111" i="9"/>
  <c r="F110" i="9"/>
  <c r="B110" i="9"/>
  <c r="E110" i="9" s="1"/>
  <c r="D109" i="9"/>
  <c r="F108" i="9"/>
  <c r="B108" i="9"/>
  <c r="E108" i="9" s="1"/>
  <c r="D107" i="9"/>
  <c r="F106" i="9"/>
  <c r="B106" i="9"/>
  <c r="E106" i="9" s="1"/>
  <c r="D105" i="9"/>
  <c r="F104" i="9"/>
  <c r="B104" i="9"/>
  <c r="E104" i="9" s="1"/>
  <c r="D103" i="9"/>
  <c r="F102" i="9"/>
  <c r="B102" i="9"/>
  <c r="E102" i="9" s="1"/>
  <c r="D101" i="9"/>
  <c r="F100" i="9"/>
  <c r="B100" i="9"/>
  <c r="E100" i="9" s="1"/>
  <c r="D99" i="9"/>
  <c r="F98" i="9"/>
  <c r="B98" i="9"/>
  <c r="E98" i="9" s="1"/>
  <c r="D97" i="9"/>
  <c r="F96" i="9"/>
  <c r="B96" i="9"/>
  <c r="E96" i="9" s="1"/>
  <c r="D95" i="9"/>
  <c r="F94" i="9"/>
  <c r="B94" i="9"/>
  <c r="E94" i="9" s="1"/>
  <c r="D93" i="9"/>
  <c r="F92" i="9"/>
  <c r="B92" i="9"/>
  <c r="E92" i="9" s="1"/>
  <c r="D91" i="9"/>
  <c r="F90" i="9"/>
  <c r="B90" i="9"/>
  <c r="E90" i="9" s="1"/>
  <c r="D89" i="9"/>
  <c r="F88" i="9"/>
  <c r="B88" i="9"/>
  <c r="E88" i="9" s="1"/>
  <c r="D87" i="9"/>
  <c r="F86" i="9"/>
  <c r="B86" i="9"/>
  <c r="E86" i="9" s="1"/>
  <c r="D85" i="9"/>
  <c r="F84" i="9"/>
  <c r="B84" i="9"/>
  <c r="E84" i="9" s="1"/>
  <c r="D83" i="9"/>
  <c r="F82" i="9"/>
  <c r="B82" i="9"/>
  <c r="E82" i="9" s="1"/>
  <c r="D81" i="9"/>
  <c r="F80" i="9"/>
  <c r="B80" i="9"/>
  <c r="E80" i="9" s="1"/>
  <c r="D79" i="9"/>
  <c r="F78" i="9"/>
  <c r="B78" i="9"/>
  <c r="E78" i="9" s="1"/>
  <c r="D77" i="9"/>
  <c r="F76" i="9"/>
  <c r="B76" i="9"/>
  <c r="E76" i="9" s="1"/>
  <c r="D75" i="9"/>
  <c r="F74" i="9"/>
  <c r="B74" i="9"/>
  <c r="E74" i="9" s="1"/>
  <c r="D73" i="9"/>
  <c r="F72" i="9"/>
  <c r="B72" i="9"/>
  <c r="E72" i="9" s="1"/>
  <c r="D71" i="9"/>
  <c r="F70" i="9"/>
  <c r="B70" i="9"/>
  <c r="E70" i="9" s="1"/>
  <c r="D69" i="9"/>
  <c r="F68" i="9"/>
  <c r="B68" i="9"/>
  <c r="E68" i="9" s="1"/>
  <c r="D67" i="9"/>
  <c r="F66" i="9"/>
  <c r="B66" i="9"/>
  <c r="E66" i="9" s="1"/>
  <c r="D65" i="9"/>
  <c r="F64" i="9"/>
  <c r="B64" i="9"/>
  <c r="E64" i="9" s="1"/>
  <c r="D63" i="9"/>
  <c r="F62" i="9"/>
  <c r="B62" i="9"/>
  <c r="E62" i="9" s="1"/>
  <c r="D61" i="9"/>
  <c r="F60" i="9"/>
  <c r="B60" i="9"/>
  <c r="E60" i="9" s="1"/>
  <c r="D59" i="9"/>
  <c r="F58" i="9"/>
  <c r="B58" i="9"/>
  <c r="E58" i="9" s="1"/>
  <c r="D57" i="9"/>
  <c r="F56" i="9"/>
  <c r="B56" i="9"/>
  <c r="E56" i="9" s="1"/>
  <c r="D55" i="9"/>
  <c r="F54" i="9"/>
  <c r="B54" i="9"/>
  <c r="E54" i="9" s="1"/>
  <c r="D53" i="9"/>
  <c r="F52" i="9"/>
  <c r="B52" i="9"/>
  <c r="E52" i="9" s="1"/>
  <c r="D51" i="9"/>
  <c r="F50" i="9"/>
  <c r="B50" i="9"/>
  <c r="E50" i="9" s="1"/>
  <c r="D49" i="9"/>
  <c r="F48" i="9"/>
  <c r="B48" i="9"/>
  <c r="E48" i="9" s="1"/>
  <c r="D47" i="9"/>
  <c r="F46" i="9"/>
  <c r="B46" i="9"/>
  <c r="E46" i="9" s="1"/>
  <c r="D45" i="9"/>
  <c r="F44" i="9"/>
  <c r="B44" i="9"/>
  <c r="E44" i="9" s="1"/>
  <c r="D43" i="9"/>
  <c r="F42" i="9"/>
  <c r="B42" i="9"/>
  <c r="E42" i="9" s="1"/>
  <c r="D41" i="9"/>
  <c r="F40" i="9"/>
  <c r="B40" i="9"/>
  <c r="E40" i="9" s="1"/>
  <c r="D39" i="9"/>
  <c r="F38" i="9"/>
  <c r="B38" i="9"/>
  <c r="E38" i="9" s="1"/>
  <c r="D37" i="9"/>
  <c r="F36" i="9"/>
  <c r="B36" i="9"/>
  <c r="E36" i="9" s="1"/>
  <c r="D35" i="9"/>
  <c r="F34" i="9"/>
  <c r="B34" i="9"/>
  <c r="E34" i="9" s="1"/>
  <c r="D33" i="9"/>
  <c r="F32" i="9"/>
  <c r="B32" i="9"/>
  <c r="E32" i="9" s="1"/>
  <c r="D31" i="9"/>
  <c r="F30" i="9"/>
  <c r="B30" i="9"/>
  <c r="E30" i="9" s="1"/>
  <c r="D29" i="9"/>
  <c r="F28" i="9"/>
  <c r="B28" i="9"/>
  <c r="E28" i="9" s="1"/>
  <c r="D27" i="9"/>
  <c r="F26" i="9"/>
  <c r="B26" i="9"/>
  <c r="E26" i="9" s="1"/>
  <c r="D25" i="9"/>
  <c r="F24" i="9"/>
  <c r="B24" i="9"/>
  <c r="E24" i="9" s="1"/>
  <c r="D23" i="9"/>
  <c r="F22" i="9"/>
  <c r="B22" i="9"/>
  <c r="E22" i="9" s="1"/>
  <c r="D21" i="9"/>
  <c r="F20" i="9"/>
  <c r="B20" i="9"/>
  <c r="E20" i="9" s="1"/>
  <c r="D19" i="9"/>
  <c r="F18" i="9"/>
  <c r="B18" i="9"/>
  <c r="E18" i="9" s="1"/>
  <c r="D17" i="9"/>
  <c r="F16" i="9"/>
  <c r="B16" i="9"/>
  <c r="E16" i="9" s="1"/>
  <c r="D15" i="9"/>
  <c r="F14" i="9"/>
  <c r="B14" i="9"/>
  <c r="E14" i="9" s="1"/>
  <c r="D13" i="9"/>
  <c r="F12" i="9"/>
  <c r="B12" i="9"/>
  <c r="E12" i="9" s="1"/>
  <c r="D11" i="9"/>
  <c r="F10" i="9"/>
  <c r="B10" i="9"/>
  <c r="E10" i="9" s="1"/>
  <c r="D9" i="9"/>
  <c r="F8" i="9"/>
  <c r="B8" i="9"/>
  <c r="E8" i="9" s="1"/>
  <c r="D7" i="9"/>
  <c r="F6" i="9"/>
  <c r="B6" i="9"/>
  <c r="E6" i="9" s="1"/>
  <c r="D5" i="9"/>
  <c r="F4" i="9"/>
  <c r="B4" i="9"/>
  <c r="E4" i="9" s="1"/>
  <c r="D3" i="9"/>
  <c r="F2" i="9"/>
  <c r="B2" i="9"/>
  <c r="E2" i="9" s="1"/>
  <c r="F335" i="9"/>
  <c r="D334" i="9"/>
  <c r="B333" i="9"/>
  <c r="E333" i="9" s="1"/>
  <c r="F331" i="9"/>
  <c r="D330" i="9"/>
  <c r="B329" i="9"/>
  <c r="E329" i="9" s="1"/>
  <c r="F327" i="9"/>
  <c r="D326" i="9"/>
  <c r="B325" i="9"/>
  <c r="E325" i="9" s="1"/>
  <c r="F323" i="9"/>
  <c r="D322" i="9"/>
  <c r="B321" i="9"/>
  <c r="E321" i="9" s="1"/>
  <c r="F319" i="9"/>
  <c r="D318" i="9"/>
  <c r="B317" i="9"/>
  <c r="E317" i="9" s="1"/>
  <c r="F315" i="9"/>
  <c r="D314" i="9"/>
  <c r="B313" i="9"/>
  <c r="E313" i="9" s="1"/>
  <c r="F311" i="9"/>
  <c r="D310" i="9"/>
  <c r="B309" i="9"/>
  <c r="E309" i="9" s="1"/>
  <c r="F307" i="9"/>
  <c r="D306" i="9"/>
  <c r="B305" i="9"/>
  <c r="E305" i="9" s="1"/>
  <c r="F303" i="9"/>
  <c r="D302" i="9"/>
  <c r="B301" i="9"/>
  <c r="E301" i="9" s="1"/>
  <c r="F299" i="9"/>
  <c r="D298" i="9"/>
  <c r="B297" i="9"/>
  <c r="E297" i="9" s="1"/>
  <c r="F295" i="9"/>
  <c r="D294" i="9"/>
  <c r="B293" i="9"/>
  <c r="E293" i="9" s="1"/>
  <c r="F291" i="9"/>
  <c r="D290" i="9"/>
  <c r="B289" i="9"/>
  <c r="E289" i="9" s="1"/>
  <c r="F287" i="9"/>
  <c r="D286" i="9"/>
  <c r="B285" i="9"/>
  <c r="E285" i="9" s="1"/>
  <c r="F283" i="9"/>
  <c r="D282" i="9"/>
  <c r="B281" i="9"/>
  <c r="E281" i="9" s="1"/>
  <c r="A280" i="9"/>
  <c r="C279" i="9"/>
  <c r="A278" i="9"/>
  <c r="C277" i="9"/>
  <c r="A276" i="9"/>
  <c r="C275" i="9"/>
  <c r="A274" i="9"/>
  <c r="C273" i="9"/>
  <c r="A272" i="9"/>
  <c r="C271" i="9"/>
  <c r="A270" i="9"/>
  <c r="C269" i="9"/>
  <c r="A268" i="9"/>
  <c r="C267" i="9"/>
  <c r="A266" i="9"/>
  <c r="C265" i="9"/>
  <c r="A264" i="9"/>
  <c r="C263" i="9"/>
  <c r="A262" i="9"/>
  <c r="C261" i="9"/>
  <c r="A260" i="9"/>
  <c r="C259" i="9"/>
  <c r="A258" i="9"/>
  <c r="C257" i="9"/>
  <c r="A256" i="9"/>
  <c r="C255" i="9"/>
  <c r="A254" i="9"/>
  <c r="C253" i="9"/>
  <c r="A252" i="9"/>
  <c r="C251" i="9"/>
  <c r="A250" i="9"/>
  <c r="C249" i="9"/>
  <c r="A248" i="9"/>
  <c r="C247" i="9"/>
  <c r="A246" i="9"/>
  <c r="C245" i="9"/>
  <c r="A244" i="9"/>
  <c r="C243" i="9"/>
  <c r="A242" i="9"/>
  <c r="C241" i="9"/>
  <c r="A240" i="9"/>
  <c r="C239" i="9"/>
  <c r="A238" i="9"/>
  <c r="C237" i="9"/>
  <c r="A236" i="9"/>
  <c r="C235" i="9"/>
  <c r="A234" i="9"/>
  <c r="C233" i="9"/>
  <c r="A232" i="9"/>
  <c r="C231" i="9"/>
  <c r="A230" i="9"/>
  <c r="C229" i="9"/>
  <c r="A228" i="9"/>
  <c r="C227" i="9"/>
  <c r="A226" i="9"/>
  <c r="C225" i="9"/>
  <c r="A224" i="9"/>
  <c r="C223" i="9"/>
  <c r="A222" i="9"/>
  <c r="C221" i="9"/>
  <c r="A220" i="9"/>
  <c r="C219" i="9"/>
  <c r="A218" i="9"/>
  <c r="C217" i="9"/>
  <c r="A216" i="9"/>
  <c r="C215" i="9"/>
  <c r="A214" i="9"/>
  <c r="C213" i="9"/>
  <c r="A212" i="9"/>
  <c r="C211" i="9"/>
  <c r="A210" i="9"/>
  <c r="C209" i="9"/>
  <c r="A208" i="9"/>
  <c r="C207" i="9"/>
  <c r="A206" i="9"/>
  <c r="C205" i="9"/>
  <c r="A204" i="9"/>
  <c r="C203" i="9"/>
  <c r="A202" i="9"/>
  <c r="C201" i="9"/>
  <c r="A200" i="9"/>
  <c r="C199" i="9"/>
  <c r="A198" i="9"/>
  <c r="C197" i="9"/>
  <c r="A196" i="9"/>
  <c r="C195" i="9"/>
  <c r="A194" i="9"/>
  <c r="C193" i="9"/>
  <c r="A192" i="9"/>
  <c r="C191" i="9"/>
  <c r="A190" i="9"/>
  <c r="C189" i="9"/>
  <c r="A188" i="9"/>
  <c r="C187" i="9"/>
  <c r="A186" i="9"/>
  <c r="C185" i="9"/>
  <c r="A184" i="9"/>
  <c r="C183" i="9"/>
  <c r="A182" i="9"/>
  <c r="C181" i="9"/>
  <c r="A180" i="9"/>
  <c r="C179" i="9"/>
  <c r="A178" i="9"/>
  <c r="C177" i="9"/>
  <c r="A176" i="9"/>
  <c r="C175" i="9"/>
  <c r="A174" i="9"/>
  <c r="C173" i="9"/>
  <c r="A172" i="9"/>
  <c r="C171" i="9"/>
  <c r="A170" i="9"/>
  <c r="C169" i="9"/>
  <c r="A168" i="9"/>
  <c r="C167" i="9"/>
  <c r="A166" i="9"/>
  <c r="C165" i="9"/>
  <c r="A164" i="9"/>
  <c r="C163" i="9"/>
  <c r="A162" i="9"/>
  <c r="C161" i="9"/>
  <c r="A160" i="9"/>
  <c r="C159" i="9"/>
  <c r="A158" i="9"/>
  <c r="C157" i="9"/>
  <c r="A156" i="9"/>
  <c r="C155" i="9"/>
  <c r="A154" i="9"/>
  <c r="C153" i="9"/>
  <c r="A152" i="9"/>
  <c r="C151" i="9"/>
  <c r="A150" i="9"/>
  <c r="C149" i="9"/>
  <c r="A148" i="9"/>
  <c r="C147" i="9"/>
  <c r="A146" i="9"/>
  <c r="C145" i="9"/>
  <c r="A144" i="9"/>
  <c r="C143" i="9"/>
  <c r="A142" i="9"/>
  <c r="C141" i="9"/>
  <c r="A140" i="9"/>
  <c r="C139" i="9"/>
  <c r="A138" i="9"/>
  <c r="C137" i="9"/>
  <c r="A136" i="9"/>
  <c r="C135" i="9"/>
  <c r="A134" i="9"/>
  <c r="C133" i="9"/>
  <c r="A132" i="9"/>
  <c r="C131" i="9"/>
  <c r="A130" i="9"/>
  <c r="C129" i="9"/>
  <c r="A128" i="9"/>
  <c r="C127" i="9"/>
  <c r="A126" i="9"/>
  <c r="C125" i="9"/>
  <c r="A124" i="9"/>
  <c r="C123" i="9"/>
  <c r="A122" i="9"/>
  <c r="C121" i="9"/>
  <c r="A120" i="9"/>
  <c r="C119" i="9"/>
  <c r="A118" i="9"/>
  <c r="C117" i="9"/>
  <c r="A116" i="9"/>
  <c r="C115" i="9"/>
  <c r="A114" i="9"/>
  <c r="C113" i="9"/>
  <c r="A112" i="9"/>
  <c r="C111" i="9"/>
  <c r="A110" i="9"/>
  <c r="C109" i="9"/>
  <c r="A108" i="9"/>
  <c r="C107" i="9"/>
  <c r="A106" i="9"/>
  <c r="C105" i="9"/>
  <c r="A104" i="9"/>
  <c r="C103" i="9"/>
  <c r="A102" i="9"/>
  <c r="C101" i="9"/>
  <c r="A100" i="9"/>
  <c r="C99" i="9"/>
  <c r="A98" i="9"/>
  <c r="C97" i="9"/>
  <c r="A96" i="9"/>
  <c r="C95" i="9"/>
  <c r="A94" i="9"/>
  <c r="C93" i="9"/>
  <c r="A92" i="9"/>
  <c r="C91" i="9"/>
  <c r="A90" i="9"/>
  <c r="C89" i="9"/>
  <c r="A88" i="9"/>
  <c r="C87" i="9"/>
  <c r="A86" i="9"/>
  <c r="C85" i="9"/>
  <c r="A84" i="9"/>
  <c r="C83" i="9"/>
  <c r="A82" i="9"/>
  <c r="C81" i="9"/>
  <c r="A80" i="9"/>
  <c r="C79" i="9"/>
  <c r="A78" i="9"/>
  <c r="C77" i="9"/>
  <c r="A76" i="9"/>
  <c r="C75" i="9"/>
  <c r="A74" i="9"/>
  <c r="C73" i="9"/>
  <c r="A72" i="9"/>
  <c r="C71" i="9"/>
  <c r="A70" i="9"/>
  <c r="C69" i="9"/>
  <c r="A68" i="9"/>
  <c r="C67" i="9"/>
  <c r="A66" i="9"/>
  <c r="C65" i="9"/>
  <c r="A64" i="9"/>
  <c r="C63" i="9"/>
  <c r="A62" i="9"/>
  <c r="C61" i="9"/>
  <c r="A60" i="9"/>
  <c r="C59" i="9"/>
  <c r="A58" i="9"/>
  <c r="C57" i="9"/>
  <c r="A56" i="9"/>
  <c r="C55" i="9"/>
  <c r="A54" i="9"/>
  <c r="C53" i="9"/>
  <c r="A52" i="9"/>
  <c r="C51" i="9"/>
  <c r="A50" i="9"/>
  <c r="C49" i="9"/>
  <c r="A48" i="9"/>
  <c r="C47" i="9"/>
  <c r="A46" i="9"/>
  <c r="C45" i="9"/>
  <c r="A44" i="9"/>
  <c r="C43" i="9"/>
  <c r="A42" i="9"/>
  <c r="C41" i="9"/>
  <c r="A40" i="9"/>
  <c r="C39" i="9"/>
  <c r="A38" i="9"/>
  <c r="C37" i="9"/>
  <c r="A36" i="9"/>
  <c r="C35" i="9"/>
  <c r="A34" i="9"/>
  <c r="C33" i="9"/>
  <c r="A32" i="9"/>
  <c r="C31" i="9"/>
  <c r="A30" i="9"/>
  <c r="C29" i="9"/>
  <c r="A28" i="9"/>
  <c r="C27" i="9"/>
  <c r="A26" i="9"/>
  <c r="C25" i="9"/>
  <c r="A24" i="9"/>
  <c r="C23" i="9"/>
  <c r="A22" i="9"/>
  <c r="C21" i="9"/>
  <c r="A20" i="9"/>
  <c r="C19" i="9"/>
  <c r="A18" i="9"/>
  <c r="C17" i="9"/>
  <c r="A16" i="9"/>
  <c r="C15" i="9"/>
  <c r="A14" i="9"/>
  <c r="C13" i="9"/>
  <c r="A12" i="9"/>
  <c r="C11" i="9"/>
  <c r="A10" i="9"/>
  <c r="C9" i="9"/>
  <c r="A8" i="9"/>
  <c r="C7" i="9"/>
  <c r="A6" i="9"/>
  <c r="C5" i="9"/>
  <c r="A4" i="9"/>
  <c r="C3" i="9"/>
  <c r="A2" i="9"/>
  <c r="D337" i="9"/>
  <c r="D335" i="9"/>
  <c r="B334" i="9"/>
  <c r="E334" i="9" s="1"/>
  <c r="F332" i="9"/>
  <c r="D331" i="9"/>
  <c r="B330" i="9"/>
  <c r="E330" i="9" s="1"/>
  <c r="F328" i="9"/>
  <c r="D327" i="9"/>
  <c r="B326" i="9"/>
  <c r="E326" i="9" s="1"/>
  <c r="F324" i="9"/>
  <c r="D323" i="9"/>
  <c r="B322" i="9"/>
  <c r="E322" i="9" s="1"/>
  <c r="F320" i="9"/>
  <c r="D319" i="9"/>
  <c r="B318" i="9"/>
  <c r="E318" i="9" s="1"/>
  <c r="F316" i="9"/>
  <c r="D315" i="9"/>
  <c r="B314" i="9"/>
  <c r="E314" i="9" s="1"/>
  <c r="F312" i="9"/>
  <c r="D311" i="9"/>
  <c r="B310" i="9"/>
  <c r="E310" i="9" s="1"/>
  <c r="F308" i="9"/>
  <c r="D307" i="9"/>
  <c r="B306" i="9"/>
  <c r="E306" i="9" s="1"/>
  <c r="F304" i="9"/>
  <c r="D303" i="9"/>
  <c r="B302" i="9"/>
  <c r="E302" i="9" s="1"/>
  <c r="F300" i="9"/>
  <c r="D299" i="9"/>
  <c r="B298" i="9"/>
  <c r="E298" i="9" s="1"/>
  <c r="F296" i="9"/>
  <c r="D295" i="9"/>
  <c r="B294" i="9"/>
  <c r="E294" i="9" s="1"/>
  <c r="F292" i="9"/>
  <c r="D291" i="9"/>
  <c r="B290" i="9"/>
  <c r="E290" i="9" s="1"/>
  <c r="F288" i="9"/>
  <c r="D287" i="9"/>
  <c r="B286" i="9"/>
  <c r="E286" i="9" s="1"/>
  <c r="F284" i="9"/>
  <c r="D283" i="9"/>
  <c r="B282" i="9"/>
  <c r="E282" i="9" s="1"/>
  <c r="F280" i="9"/>
  <c r="F279" i="9"/>
  <c r="B279" i="9"/>
  <c r="E279" i="9" s="1"/>
  <c r="D278" i="9"/>
  <c r="F277" i="9"/>
  <c r="B277" i="9"/>
  <c r="E277" i="9" s="1"/>
  <c r="D276" i="9"/>
  <c r="F275" i="9"/>
  <c r="B275" i="9"/>
  <c r="E275" i="9" s="1"/>
  <c r="D274" i="9"/>
  <c r="F273" i="9"/>
  <c r="B273" i="9"/>
  <c r="E273" i="9" s="1"/>
  <c r="D272" i="9"/>
  <c r="F271" i="9"/>
  <c r="B271" i="9"/>
  <c r="E271" i="9" s="1"/>
  <c r="D270" i="9"/>
  <c r="F269" i="9"/>
  <c r="B269" i="9"/>
  <c r="E269" i="9" s="1"/>
  <c r="D268" i="9"/>
  <c r="F267" i="9"/>
  <c r="B267" i="9"/>
  <c r="E267" i="9" s="1"/>
  <c r="D266" i="9"/>
  <c r="F265" i="9"/>
  <c r="B265" i="9"/>
  <c r="E265" i="9" s="1"/>
  <c r="D264" i="9"/>
  <c r="F263" i="9"/>
  <c r="B263" i="9"/>
  <c r="E263" i="9" s="1"/>
  <c r="D262" i="9"/>
  <c r="F261" i="9"/>
  <c r="B261" i="9"/>
  <c r="E261" i="9" s="1"/>
  <c r="D260" i="9"/>
  <c r="F259" i="9"/>
  <c r="B259" i="9"/>
  <c r="E259" i="9" s="1"/>
  <c r="D258" i="9"/>
  <c r="F257" i="9"/>
  <c r="B257" i="9"/>
  <c r="E257" i="9" s="1"/>
  <c r="D256" i="9"/>
  <c r="F255" i="9"/>
  <c r="B255" i="9"/>
  <c r="E255" i="9" s="1"/>
  <c r="D254" i="9"/>
  <c r="F253" i="9"/>
  <c r="B253" i="9"/>
  <c r="E253" i="9" s="1"/>
  <c r="D252" i="9"/>
  <c r="F251" i="9"/>
  <c r="B251" i="9"/>
  <c r="E251" i="9" s="1"/>
  <c r="D250" i="9"/>
  <c r="F249" i="9"/>
  <c r="B249" i="9"/>
  <c r="E249" i="9" s="1"/>
  <c r="D248" i="9"/>
  <c r="F247" i="9"/>
  <c r="B247" i="9"/>
  <c r="E247" i="9" s="1"/>
  <c r="D246" i="9"/>
  <c r="F245" i="9"/>
  <c r="B245" i="9"/>
  <c r="E245" i="9" s="1"/>
  <c r="D244" i="9"/>
  <c r="F243" i="9"/>
  <c r="B243" i="9"/>
  <c r="E243" i="9" s="1"/>
  <c r="D242" i="9"/>
  <c r="F241" i="9"/>
  <c r="B241" i="9"/>
  <c r="E241" i="9" s="1"/>
  <c r="D240" i="9"/>
  <c r="F239" i="9"/>
  <c r="B239" i="9"/>
  <c r="E239" i="9" s="1"/>
  <c r="D238" i="9"/>
  <c r="F237" i="9"/>
  <c r="B237" i="9"/>
  <c r="E237" i="9" s="1"/>
  <c r="D236" i="9"/>
  <c r="F235" i="9"/>
  <c r="B235" i="9"/>
  <c r="E235" i="9" s="1"/>
  <c r="D234" i="9"/>
  <c r="F233" i="9"/>
  <c r="B233" i="9"/>
  <c r="E233" i="9" s="1"/>
  <c r="D232" i="9"/>
  <c r="F231" i="9"/>
  <c r="B231" i="9"/>
  <c r="E231" i="9" s="1"/>
  <c r="D230" i="9"/>
  <c r="F229" i="9"/>
  <c r="B229" i="9"/>
  <c r="E229" i="9" s="1"/>
  <c r="D228" i="9"/>
  <c r="F227" i="9"/>
  <c r="B227" i="9"/>
  <c r="E227" i="9" s="1"/>
  <c r="D226" i="9"/>
  <c r="F225" i="9"/>
  <c r="B225" i="9"/>
  <c r="E225" i="9" s="1"/>
  <c r="D224" i="9"/>
  <c r="F223" i="9"/>
  <c r="B223" i="9"/>
  <c r="E223" i="9" s="1"/>
  <c r="D222" i="9"/>
  <c r="F221" i="9"/>
  <c r="B221" i="9"/>
  <c r="E221" i="9" s="1"/>
  <c r="D220" i="9"/>
  <c r="F219" i="9"/>
  <c r="B219" i="9"/>
  <c r="E219" i="9" s="1"/>
  <c r="D218" i="9"/>
  <c r="F217" i="9"/>
  <c r="B217" i="9"/>
  <c r="E217" i="9" s="1"/>
  <c r="D216" i="9"/>
  <c r="F215" i="9"/>
  <c r="B215" i="9"/>
  <c r="E215" i="9" s="1"/>
  <c r="D214" i="9"/>
  <c r="F213" i="9"/>
  <c r="B213" i="9"/>
  <c r="E213" i="9" s="1"/>
  <c r="D212" i="9"/>
  <c r="F211" i="9"/>
  <c r="B211" i="9"/>
  <c r="E211" i="9" s="1"/>
  <c r="D210" i="9"/>
  <c r="F209" i="9"/>
  <c r="B209" i="9"/>
  <c r="E209" i="9" s="1"/>
  <c r="D208" i="9"/>
  <c r="F207" i="9"/>
  <c r="B207" i="9"/>
  <c r="E207" i="9" s="1"/>
  <c r="D206" i="9"/>
  <c r="F205" i="9"/>
  <c r="B205" i="9"/>
  <c r="E205" i="9" s="1"/>
  <c r="D204" i="9"/>
  <c r="F203" i="9"/>
  <c r="B203" i="9"/>
  <c r="E203" i="9" s="1"/>
  <c r="D202" i="9"/>
  <c r="F201" i="9"/>
  <c r="B201" i="9"/>
  <c r="E201" i="9" s="1"/>
  <c r="D200" i="9"/>
  <c r="F199" i="9"/>
  <c r="B199" i="9"/>
  <c r="E199" i="9" s="1"/>
  <c r="D198" i="9"/>
  <c r="F197" i="9"/>
  <c r="B197" i="9"/>
  <c r="E197" i="9" s="1"/>
  <c r="D196" i="9"/>
  <c r="F195" i="9"/>
  <c r="B195" i="9"/>
  <c r="E195" i="9" s="1"/>
  <c r="D194" i="9"/>
  <c r="F193" i="9"/>
  <c r="B193" i="9"/>
  <c r="E193" i="9" s="1"/>
  <c r="D192" i="9"/>
  <c r="F191" i="9"/>
  <c r="B191" i="9"/>
  <c r="E191" i="9" s="1"/>
  <c r="D190" i="9"/>
  <c r="F189" i="9"/>
  <c r="B189" i="9"/>
  <c r="E189" i="9" s="1"/>
  <c r="D188" i="9"/>
  <c r="F187" i="9"/>
  <c r="B187" i="9"/>
  <c r="E187" i="9" s="1"/>
  <c r="D186" i="9"/>
  <c r="F185" i="9"/>
  <c r="B185" i="9"/>
  <c r="E185" i="9" s="1"/>
  <c r="D184" i="9"/>
  <c r="F183" i="9"/>
  <c r="B183" i="9"/>
  <c r="E183" i="9" s="1"/>
  <c r="D182" i="9"/>
  <c r="F181" i="9"/>
  <c r="B181" i="9"/>
  <c r="E181" i="9" s="1"/>
  <c r="D180" i="9"/>
  <c r="F179" i="9"/>
  <c r="B179" i="9"/>
  <c r="E179" i="9" s="1"/>
  <c r="D178" i="9"/>
  <c r="F177" i="9"/>
  <c r="B177" i="9"/>
  <c r="E177" i="9" s="1"/>
  <c r="D176" i="9"/>
  <c r="F175" i="9"/>
  <c r="B175" i="9"/>
  <c r="E175" i="9" s="1"/>
  <c r="D174" i="9"/>
  <c r="F173" i="9"/>
  <c r="B173" i="9"/>
  <c r="E173" i="9" s="1"/>
  <c r="D172" i="9"/>
  <c r="F171" i="9"/>
  <c r="B171" i="9"/>
  <c r="E171" i="9" s="1"/>
  <c r="D170" i="9"/>
  <c r="F169" i="9"/>
  <c r="B169" i="9"/>
  <c r="E169" i="9" s="1"/>
  <c r="D168" i="9"/>
  <c r="F167" i="9"/>
  <c r="B167" i="9"/>
  <c r="E167" i="9" s="1"/>
  <c r="D166" i="9"/>
  <c r="F165" i="9"/>
  <c r="B165" i="9"/>
  <c r="E165" i="9" s="1"/>
  <c r="D164" i="9"/>
  <c r="F163" i="9"/>
  <c r="B163" i="9"/>
  <c r="E163" i="9" s="1"/>
  <c r="D162" i="9"/>
  <c r="F161" i="9"/>
  <c r="B161" i="9"/>
  <c r="E161" i="9" s="1"/>
  <c r="D160" i="9"/>
  <c r="F159" i="9"/>
  <c r="B159" i="9"/>
  <c r="E159" i="9" s="1"/>
  <c r="D158" i="9"/>
  <c r="F157" i="9"/>
  <c r="B157" i="9"/>
  <c r="E157" i="9" s="1"/>
  <c r="D156" i="9"/>
  <c r="F155" i="9"/>
  <c r="B155" i="9"/>
  <c r="E155" i="9" s="1"/>
  <c r="D154" i="9"/>
  <c r="F153" i="9"/>
  <c r="B153" i="9"/>
  <c r="E153" i="9" s="1"/>
  <c r="D152" i="9"/>
  <c r="F151" i="9"/>
  <c r="B151" i="9"/>
  <c r="E151" i="9" s="1"/>
  <c r="D150" i="9"/>
  <c r="F149" i="9"/>
  <c r="B149" i="9"/>
  <c r="E149" i="9" s="1"/>
  <c r="D148" i="9"/>
  <c r="F147" i="9"/>
  <c r="B147" i="9"/>
  <c r="E147" i="9" s="1"/>
  <c r="D146" i="9"/>
  <c r="F145" i="9"/>
  <c r="B145" i="9"/>
  <c r="E145" i="9" s="1"/>
  <c r="D144" i="9"/>
  <c r="F143" i="9"/>
  <c r="B143" i="9"/>
  <c r="E143" i="9" s="1"/>
  <c r="D142" i="9"/>
  <c r="F141" i="9"/>
  <c r="B141" i="9"/>
  <c r="E141" i="9" s="1"/>
  <c r="D140" i="9"/>
  <c r="F139" i="9"/>
  <c r="B139" i="9"/>
  <c r="E139" i="9" s="1"/>
  <c r="D138" i="9"/>
  <c r="F137" i="9"/>
  <c r="B137" i="9"/>
  <c r="E137" i="9" s="1"/>
  <c r="D136" i="9"/>
  <c r="F135" i="9"/>
  <c r="B135" i="9"/>
  <c r="E135" i="9" s="1"/>
  <c r="D134" i="9"/>
  <c r="F133" i="9"/>
  <c r="B133" i="9"/>
  <c r="E133" i="9" s="1"/>
  <c r="D132" i="9"/>
  <c r="F131" i="9"/>
  <c r="B131" i="9"/>
  <c r="E131" i="9" s="1"/>
  <c r="D130" i="9"/>
  <c r="F129" i="9"/>
  <c r="B129" i="9"/>
  <c r="E129" i="9" s="1"/>
  <c r="D128" i="9"/>
  <c r="F127" i="9"/>
  <c r="B127" i="9"/>
  <c r="E127" i="9" s="1"/>
  <c r="D126" i="9"/>
  <c r="F125" i="9"/>
  <c r="B125" i="9"/>
  <c r="E125" i="9" s="1"/>
  <c r="D124" i="9"/>
  <c r="F123" i="9"/>
  <c r="B123" i="9"/>
  <c r="E123" i="9" s="1"/>
  <c r="D122" i="9"/>
  <c r="F121" i="9"/>
  <c r="B121" i="9"/>
  <c r="E121" i="9" s="1"/>
  <c r="D120" i="9"/>
  <c r="F119" i="9"/>
  <c r="B119" i="9"/>
  <c r="E119" i="9" s="1"/>
  <c r="D118" i="9"/>
  <c r="F117" i="9"/>
  <c r="B117" i="9"/>
  <c r="E117" i="9" s="1"/>
  <c r="D116" i="9"/>
  <c r="F115" i="9"/>
  <c r="B115" i="9"/>
  <c r="E115" i="9" s="1"/>
  <c r="D114" i="9"/>
  <c r="F113" i="9"/>
  <c r="B113" i="9"/>
  <c r="E113" i="9" s="1"/>
  <c r="D112" i="9"/>
  <c r="F111" i="9"/>
  <c r="B111" i="9"/>
  <c r="E111" i="9" s="1"/>
  <c r="D110" i="9"/>
  <c r="F109" i="9"/>
  <c r="B109" i="9"/>
  <c r="E109" i="9" s="1"/>
  <c r="D108" i="9"/>
  <c r="F107" i="9"/>
  <c r="B107" i="9"/>
  <c r="E107" i="9" s="1"/>
  <c r="D106" i="9"/>
  <c r="F105" i="9"/>
  <c r="B105" i="9"/>
  <c r="E105" i="9" s="1"/>
  <c r="D104" i="9"/>
  <c r="F103" i="9"/>
  <c r="B103" i="9"/>
  <c r="E103" i="9" s="1"/>
  <c r="D102" i="9"/>
  <c r="F101" i="9"/>
  <c r="B101" i="9"/>
  <c r="E101" i="9" s="1"/>
  <c r="D100" i="9"/>
  <c r="F99" i="9"/>
  <c r="B99" i="9"/>
  <c r="E99" i="9" s="1"/>
  <c r="D98" i="9"/>
  <c r="F97" i="9"/>
  <c r="B97" i="9"/>
  <c r="E97" i="9" s="1"/>
  <c r="D96" i="9"/>
  <c r="F95" i="9"/>
  <c r="B95" i="9"/>
  <c r="E95" i="9" s="1"/>
  <c r="D94" i="9"/>
  <c r="F93" i="9"/>
  <c r="B93" i="9"/>
  <c r="E93" i="9" s="1"/>
  <c r="D92" i="9"/>
  <c r="F91" i="9"/>
  <c r="B91" i="9"/>
  <c r="E91" i="9" s="1"/>
  <c r="D90" i="9"/>
  <c r="F89" i="9"/>
  <c r="B89" i="9"/>
  <c r="E89" i="9" s="1"/>
  <c r="D88" i="9"/>
  <c r="F87" i="9"/>
  <c r="B87" i="9"/>
  <c r="E87" i="9" s="1"/>
  <c r="D86" i="9"/>
  <c r="F85" i="9"/>
  <c r="B85" i="9"/>
  <c r="E85" i="9" s="1"/>
  <c r="D84" i="9"/>
  <c r="F83" i="9"/>
  <c r="B83" i="9"/>
  <c r="E83" i="9" s="1"/>
  <c r="D82" i="9"/>
  <c r="F81" i="9"/>
  <c r="B81" i="9"/>
  <c r="E81" i="9" s="1"/>
  <c r="D80" i="9"/>
  <c r="F79" i="9"/>
  <c r="B79" i="9"/>
  <c r="E79" i="9" s="1"/>
  <c r="D78" i="9"/>
  <c r="F77" i="9"/>
  <c r="B77" i="9"/>
  <c r="E77" i="9" s="1"/>
  <c r="D76" i="9"/>
  <c r="F75" i="9"/>
  <c r="B75" i="9"/>
  <c r="E75" i="9" s="1"/>
  <c r="D74" i="9"/>
  <c r="F73" i="9"/>
  <c r="B73" i="9"/>
  <c r="E73" i="9" s="1"/>
  <c r="D72" i="9"/>
  <c r="F71" i="9"/>
  <c r="B71" i="9"/>
  <c r="E71" i="9" s="1"/>
  <c r="D70" i="9"/>
  <c r="F69" i="9"/>
  <c r="B69" i="9"/>
  <c r="E69" i="9" s="1"/>
  <c r="D68" i="9"/>
  <c r="F67" i="9"/>
  <c r="B67" i="9"/>
  <c r="E67" i="9" s="1"/>
  <c r="D66" i="9"/>
  <c r="F65" i="9"/>
  <c r="B65" i="9"/>
  <c r="E65" i="9" s="1"/>
  <c r="D64" i="9"/>
  <c r="F63" i="9"/>
  <c r="B63" i="9"/>
  <c r="E63" i="9" s="1"/>
  <c r="D62" i="9"/>
  <c r="F61" i="9"/>
  <c r="B61" i="9"/>
  <c r="E61" i="9" s="1"/>
  <c r="D60" i="9"/>
  <c r="F59" i="9"/>
  <c r="B59" i="9"/>
  <c r="E59" i="9" s="1"/>
  <c r="D58" i="9"/>
  <c r="F57" i="9"/>
  <c r="B57" i="9"/>
  <c r="E57" i="9" s="1"/>
  <c r="D56" i="9"/>
  <c r="F55" i="9"/>
  <c r="B55" i="9"/>
  <c r="E55" i="9" s="1"/>
  <c r="D54" i="9"/>
  <c r="F53" i="9"/>
  <c r="B53" i="9"/>
  <c r="E53" i="9" s="1"/>
  <c r="D52" i="9"/>
  <c r="F51" i="9"/>
  <c r="B51" i="9"/>
  <c r="E51" i="9" s="1"/>
  <c r="D50" i="9"/>
  <c r="F49" i="9"/>
  <c r="B49" i="9"/>
  <c r="E49" i="9" s="1"/>
  <c r="D48" i="9"/>
  <c r="F47" i="9"/>
  <c r="B47" i="9"/>
  <c r="E47" i="9" s="1"/>
  <c r="D46" i="9"/>
  <c r="F45" i="9"/>
  <c r="B45" i="9"/>
  <c r="E45" i="9" s="1"/>
  <c r="D44" i="9"/>
  <c r="F43" i="9"/>
  <c r="B43" i="9"/>
  <c r="E43" i="9" s="1"/>
  <c r="D42" i="9"/>
  <c r="F41" i="9"/>
  <c r="B41" i="9"/>
  <c r="E41" i="9" s="1"/>
  <c r="D40" i="9"/>
  <c r="F39" i="9"/>
  <c r="B39" i="9"/>
  <c r="E39" i="9" s="1"/>
  <c r="D38" i="9"/>
  <c r="F37" i="9"/>
  <c r="B37" i="9"/>
  <c r="E37" i="9" s="1"/>
  <c r="D36" i="9"/>
  <c r="F35" i="9"/>
  <c r="B35" i="9"/>
  <c r="E35" i="9" s="1"/>
  <c r="D34" i="9"/>
  <c r="F33" i="9"/>
  <c r="B33" i="9"/>
  <c r="E33" i="9" s="1"/>
  <c r="D32" i="9"/>
  <c r="F31" i="9"/>
  <c r="B31" i="9"/>
  <c r="E31" i="9" s="1"/>
  <c r="D30" i="9"/>
  <c r="F29" i="9"/>
  <c r="B29" i="9"/>
  <c r="E29" i="9" s="1"/>
  <c r="D28" i="9"/>
  <c r="F27" i="9"/>
  <c r="B27" i="9"/>
  <c r="E27" i="9" s="1"/>
  <c r="D26" i="9"/>
  <c r="F25" i="9"/>
  <c r="B25" i="9"/>
  <c r="E25" i="9" s="1"/>
  <c r="D24" i="9"/>
  <c r="F23" i="9"/>
  <c r="B23" i="9"/>
  <c r="E23" i="9" s="1"/>
  <c r="D22" i="9"/>
  <c r="F21" i="9"/>
  <c r="B21" i="9"/>
  <c r="E21" i="9" s="1"/>
  <c r="D20" i="9"/>
  <c r="F19" i="9"/>
  <c r="B19" i="9"/>
  <c r="E19" i="9" s="1"/>
  <c r="D18" i="9"/>
  <c r="F17" i="9"/>
  <c r="B17" i="9"/>
  <c r="E17" i="9" s="1"/>
  <c r="D16" i="9"/>
  <c r="F15" i="9"/>
  <c r="B15" i="9"/>
  <c r="E15" i="9" s="1"/>
  <c r="D14" i="9"/>
  <c r="F13" i="9"/>
  <c r="B13" i="9"/>
  <c r="E13" i="9" s="1"/>
  <c r="D12" i="9"/>
  <c r="F11" i="9"/>
  <c r="B11" i="9"/>
  <c r="E11" i="9" s="1"/>
  <c r="D10" i="9"/>
  <c r="F9" i="9"/>
  <c r="B9" i="9"/>
  <c r="E9" i="9" s="1"/>
  <c r="D8" i="9"/>
  <c r="F7" i="9"/>
  <c r="B7" i="9"/>
  <c r="E7" i="9" s="1"/>
  <c r="D6" i="9"/>
  <c r="F5" i="9"/>
  <c r="B5" i="9"/>
  <c r="E5" i="9" s="1"/>
  <c r="D4" i="9"/>
  <c r="F3" i="9"/>
  <c r="B3" i="9"/>
  <c r="E3" i="9" s="1"/>
  <c r="D2" i="9"/>
  <c r="F336" i="9"/>
  <c r="B335" i="9"/>
  <c r="E335" i="9" s="1"/>
  <c r="F333" i="9"/>
  <c r="D332" i="9"/>
  <c r="B331" i="9"/>
  <c r="E331" i="9" s="1"/>
  <c r="F329" i="9"/>
  <c r="D328" i="9"/>
  <c r="B327" i="9"/>
  <c r="E327" i="9" s="1"/>
  <c r="F325" i="9"/>
  <c r="D324" i="9"/>
  <c r="B323" i="9"/>
  <c r="E323" i="9" s="1"/>
  <c r="F321" i="9"/>
  <c r="D320" i="9"/>
  <c r="B319" i="9"/>
  <c r="E319" i="9" s="1"/>
  <c r="F317" i="9"/>
  <c r="D316" i="9"/>
  <c r="B315" i="9"/>
  <c r="E315" i="9" s="1"/>
  <c r="F313" i="9"/>
  <c r="D312" i="9"/>
  <c r="B311" i="9"/>
  <c r="E311" i="9" s="1"/>
  <c r="F309" i="9"/>
  <c r="D308" i="9"/>
  <c r="B307" i="9"/>
  <c r="E307" i="9" s="1"/>
  <c r="F305" i="9"/>
  <c r="D304" i="9"/>
  <c r="B303" i="9"/>
  <c r="E303" i="9" s="1"/>
  <c r="F301" i="9"/>
  <c r="D300" i="9"/>
  <c r="B299" i="9"/>
  <c r="E299" i="9" s="1"/>
  <c r="F297" i="9"/>
  <c r="D296" i="9"/>
  <c r="B295" i="9"/>
  <c r="E295" i="9" s="1"/>
  <c r="F293" i="9"/>
  <c r="D292" i="9"/>
  <c r="B291" i="9"/>
  <c r="E291" i="9" s="1"/>
  <c r="F289" i="9"/>
  <c r="D288" i="9"/>
  <c r="B287" i="9"/>
  <c r="E287" i="9" s="1"/>
  <c r="F285" i="9"/>
  <c r="D284" i="9"/>
  <c r="B283" i="9"/>
  <c r="E283" i="9" s="1"/>
  <c r="F281" i="9"/>
  <c r="D280" i="9"/>
  <c r="A279" i="9"/>
  <c r="C278" i="9"/>
  <c r="A277" i="9"/>
  <c r="C276" i="9"/>
  <c r="A275" i="9"/>
  <c r="C274" i="9"/>
  <c r="A273" i="9"/>
  <c r="C272" i="9"/>
  <c r="A271" i="9"/>
  <c r="C270" i="9"/>
  <c r="A269" i="9"/>
  <c r="C268" i="9"/>
  <c r="A267" i="9"/>
  <c r="C266" i="9"/>
  <c r="A265" i="9"/>
  <c r="C264" i="9"/>
  <c r="A263" i="9"/>
  <c r="C262" i="9"/>
  <c r="A261" i="9"/>
  <c r="C260" i="9"/>
  <c r="A259" i="9"/>
  <c r="C258" i="9"/>
  <c r="A257" i="9"/>
  <c r="C256" i="9"/>
  <c r="A255" i="9"/>
  <c r="C254" i="9"/>
  <c r="A253" i="9"/>
  <c r="C252" i="9"/>
  <c r="A251" i="9"/>
  <c r="C250" i="9"/>
  <c r="A249" i="9"/>
  <c r="C248" i="9"/>
  <c r="A247" i="9"/>
  <c r="C246" i="9"/>
  <c r="A245" i="9"/>
  <c r="C244" i="9"/>
  <c r="A243" i="9"/>
  <c r="C242" i="9"/>
  <c r="A241" i="9"/>
  <c r="C240" i="9"/>
  <c r="A239" i="9"/>
  <c r="C238" i="9"/>
  <c r="A237" i="9"/>
  <c r="C236" i="9"/>
  <c r="A235" i="9"/>
  <c r="C234" i="9"/>
  <c r="A233" i="9"/>
  <c r="C232" i="9"/>
  <c r="A231" i="9"/>
  <c r="C230" i="9"/>
  <c r="A229" i="9"/>
  <c r="C228" i="9"/>
  <c r="A227" i="9"/>
  <c r="C226" i="9"/>
  <c r="A225" i="9"/>
  <c r="C224" i="9"/>
  <c r="A223" i="9"/>
  <c r="C222" i="9"/>
  <c r="A221" i="9"/>
  <c r="C220" i="9"/>
  <c r="A219" i="9"/>
  <c r="C218" i="9"/>
  <c r="A217" i="9"/>
  <c r="C216" i="9"/>
  <c r="A215" i="9"/>
  <c r="C214" i="9"/>
  <c r="A213" i="9"/>
  <c r="C212" i="9"/>
  <c r="A211" i="9"/>
  <c r="C210" i="9"/>
  <c r="A209" i="9"/>
  <c r="C208" i="9"/>
  <c r="A207" i="9"/>
  <c r="C206" i="9"/>
  <c r="A205" i="9"/>
  <c r="C204" i="9"/>
  <c r="A203" i="9"/>
  <c r="C202" i="9"/>
  <c r="A201" i="9"/>
  <c r="C200" i="9"/>
  <c r="A199" i="9"/>
  <c r="C198" i="9"/>
  <c r="A197" i="9"/>
  <c r="C196" i="9"/>
  <c r="A195" i="9"/>
  <c r="C194" i="9"/>
  <c r="A193" i="9"/>
  <c r="C192" i="9"/>
  <c r="A191" i="9"/>
  <c r="C190" i="9"/>
  <c r="A189" i="9"/>
  <c r="C188" i="9"/>
  <c r="A187" i="9"/>
  <c r="C186" i="9"/>
  <c r="A185" i="9"/>
  <c r="C184" i="9"/>
  <c r="A183" i="9"/>
  <c r="C182" i="9"/>
  <c r="A181" i="9"/>
  <c r="C180" i="9"/>
  <c r="A179" i="9"/>
  <c r="C178" i="9"/>
  <c r="A177" i="9"/>
  <c r="C176" i="9"/>
  <c r="A175" i="9"/>
  <c r="C174" i="9"/>
  <c r="A173" i="9"/>
  <c r="C172" i="9"/>
  <c r="A171" i="9"/>
  <c r="C170" i="9"/>
  <c r="A169" i="9"/>
  <c r="C168" i="9"/>
  <c r="A167" i="9"/>
  <c r="C166" i="9"/>
  <c r="A165" i="9"/>
  <c r="C164" i="9"/>
  <c r="A163" i="9"/>
  <c r="C162" i="9"/>
  <c r="A161" i="9"/>
  <c r="C160" i="9"/>
  <c r="A159" i="9"/>
  <c r="C158" i="9"/>
  <c r="A157" i="9"/>
  <c r="C156" i="9"/>
  <c r="A155" i="9"/>
  <c r="C154" i="9"/>
  <c r="A153" i="9"/>
  <c r="C152" i="9"/>
  <c r="A151" i="9"/>
  <c r="C150" i="9"/>
  <c r="A149" i="9"/>
  <c r="C148" i="9"/>
  <c r="A147" i="9"/>
  <c r="C146" i="9"/>
  <c r="A145" i="9"/>
  <c r="C144" i="9"/>
  <c r="A143" i="9"/>
  <c r="C142" i="9"/>
  <c r="A141" i="9"/>
  <c r="C140" i="9"/>
  <c r="A139" i="9"/>
  <c r="C138" i="9"/>
  <c r="A137" i="9"/>
  <c r="C136" i="9"/>
  <c r="A135" i="9"/>
  <c r="C134" i="9"/>
  <c r="A133" i="9"/>
  <c r="C132" i="9"/>
  <c r="A131" i="9"/>
  <c r="C130" i="9"/>
  <c r="A129" i="9"/>
  <c r="C128" i="9"/>
  <c r="A127" i="9"/>
  <c r="C126" i="9"/>
  <c r="A125" i="9"/>
  <c r="C124" i="9"/>
  <c r="A123" i="9"/>
  <c r="C122" i="9"/>
  <c r="A121" i="9"/>
  <c r="C120" i="9"/>
  <c r="A119" i="9"/>
  <c r="C118" i="9"/>
  <c r="A117" i="9"/>
  <c r="C116" i="9"/>
  <c r="A115" i="9"/>
  <c r="C114" i="9"/>
  <c r="A113" i="9"/>
  <c r="C112" i="9"/>
  <c r="A111" i="9"/>
  <c r="C110" i="9"/>
  <c r="A109" i="9"/>
  <c r="C108" i="9"/>
  <c r="A107" i="9"/>
  <c r="C106" i="9"/>
  <c r="A105" i="9"/>
  <c r="C104" i="9"/>
  <c r="A103" i="9"/>
  <c r="C102" i="9"/>
  <c r="A101" i="9"/>
  <c r="C100" i="9"/>
  <c r="A99" i="9"/>
  <c r="C98" i="9"/>
  <c r="A97" i="9"/>
  <c r="C96" i="9"/>
  <c r="A95" i="9"/>
  <c r="C94" i="9"/>
  <c r="A93" i="9"/>
  <c r="C92" i="9"/>
  <c r="A91" i="9"/>
  <c r="C90" i="9"/>
  <c r="A89" i="9"/>
  <c r="C88" i="9"/>
  <c r="A87" i="9"/>
  <c r="C86" i="9"/>
  <c r="A85" i="9"/>
  <c r="C84" i="9"/>
  <c r="A83" i="9"/>
  <c r="C82" i="9"/>
  <c r="A81" i="9"/>
  <c r="C80" i="9"/>
  <c r="A79" i="9"/>
  <c r="C78" i="9"/>
  <c r="A77" i="9"/>
  <c r="C76" i="9"/>
  <c r="A75" i="9"/>
  <c r="C74" i="9"/>
  <c r="A73" i="9"/>
  <c r="C72" i="9"/>
  <c r="A71" i="9"/>
  <c r="C70" i="9"/>
  <c r="A69" i="9"/>
  <c r="C68" i="9"/>
  <c r="A67" i="9"/>
  <c r="C66" i="9"/>
  <c r="A65" i="9"/>
  <c r="C64" i="9"/>
  <c r="A63" i="9"/>
  <c r="C62" i="9"/>
  <c r="A61" i="9"/>
  <c r="C60" i="9"/>
  <c r="A59" i="9"/>
  <c r="C58" i="9"/>
  <c r="A57" i="9"/>
  <c r="C56" i="9"/>
  <c r="A55" i="9"/>
  <c r="C54" i="9"/>
  <c r="A53" i="9"/>
  <c r="C52" i="9"/>
  <c r="A51" i="9"/>
  <c r="C50" i="9"/>
  <c r="A49" i="9"/>
  <c r="C48" i="9"/>
  <c r="A47" i="9"/>
  <c r="C46" i="9"/>
  <c r="A45" i="9"/>
  <c r="C44" i="9"/>
  <c r="A43" i="9"/>
  <c r="C42" i="9"/>
  <c r="A41" i="9"/>
  <c r="C40" i="9"/>
  <c r="A39" i="9"/>
  <c r="C38" i="9"/>
  <c r="A37" i="9"/>
  <c r="C36" i="9"/>
  <c r="A35" i="9"/>
  <c r="C34" i="9"/>
  <c r="A33" i="9"/>
  <c r="C32" i="9"/>
  <c r="A31" i="9"/>
  <c r="C30" i="9"/>
  <c r="A29" i="9"/>
  <c r="C28" i="9"/>
  <c r="A27" i="9"/>
  <c r="C26" i="9"/>
  <c r="A25" i="9"/>
  <c r="C24" i="9"/>
  <c r="A23" i="9"/>
  <c r="C22" i="9"/>
  <c r="A21" i="9"/>
  <c r="C20" i="9"/>
  <c r="A19" i="9"/>
  <c r="C18" i="9"/>
  <c r="A17" i="9"/>
  <c r="C16" i="9"/>
  <c r="A15" i="9"/>
  <c r="C14" i="9"/>
  <c r="A13" i="9"/>
  <c r="C12" i="9"/>
  <c r="A11" i="9"/>
  <c r="C10" i="9"/>
  <c r="A9" i="9"/>
  <c r="C8" i="9"/>
  <c r="A7" i="9"/>
  <c r="C6" i="9"/>
  <c r="A5" i="9"/>
  <c r="C4" i="9"/>
  <c r="A3" i="9"/>
  <c r="C2" i="9"/>
  <c r="D2" i="11" l="1"/>
  <c r="E5" i="1"/>
  <c r="A28" i="1"/>
  <c r="A27" i="1"/>
  <c r="A26" i="1"/>
  <c r="A25" i="1"/>
  <c r="A24" i="1"/>
  <c r="A23" i="1"/>
  <c r="A22" i="1"/>
  <c r="A21" i="1"/>
  <c r="A20" i="1"/>
  <c r="A19" i="1"/>
  <c r="A18" i="1"/>
  <c r="A17" i="1"/>
  <c r="A16" i="1"/>
  <c r="A15" i="1"/>
  <c r="A14" i="1"/>
  <c r="B15" i="1" l="1"/>
  <c r="D15" i="1"/>
  <c r="C15" i="1"/>
  <c r="B27" i="1"/>
  <c r="D27" i="1"/>
  <c r="C27" i="1"/>
  <c r="B16" i="1"/>
  <c r="D16" i="1"/>
  <c r="C16" i="1"/>
  <c r="B20" i="1"/>
  <c r="D20" i="1"/>
  <c r="C20" i="1"/>
  <c r="B24" i="1"/>
  <c r="D24" i="1"/>
  <c r="C24" i="1"/>
  <c r="B28" i="1"/>
  <c r="D28" i="1"/>
  <c r="C28" i="1"/>
  <c r="B19" i="1"/>
  <c r="D19" i="1"/>
  <c r="C19" i="1"/>
  <c r="B23" i="1"/>
  <c r="D23" i="1"/>
  <c r="C23" i="1"/>
  <c r="B17" i="1"/>
  <c r="D17" i="1"/>
  <c r="C17" i="1"/>
  <c r="B21" i="1"/>
  <c r="D21" i="1"/>
  <c r="C21" i="1"/>
  <c r="B25" i="1"/>
  <c r="D25" i="1"/>
  <c r="C25" i="1"/>
  <c r="B14" i="1"/>
  <c r="D14" i="1"/>
  <c r="C14" i="1"/>
  <c r="B18" i="1"/>
  <c r="D18" i="1"/>
  <c r="C18" i="1"/>
  <c r="B22" i="1"/>
  <c r="D22" i="1"/>
  <c r="C22" i="1"/>
  <c r="B26" i="1"/>
  <c r="D26" i="1"/>
  <c r="C26" i="1"/>
  <c r="E36" i="1"/>
  <c r="D33" i="1"/>
  <c r="E32" i="1"/>
  <c r="D34" i="1"/>
  <c r="E33" i="1"/>
  <c r="D36" i="1"/>
  <c r="E35" i="1"/>
  <c r="D32" i="1"/>
  <c r="D35" i="1"/>
  <c r="E34" i="1"/>
</calcChain>
</file>

<file path=xl/sharedStrings.xml><?xml version="1.0" encoding="utf-8"?>
<sst xmlns="http://schemas.openxmlformats.org/spreadsheetml/2006/main" count="1721" uniqueCount="343">
  <si>
    <t>لوحة تحكم مستودع معمل المنظفات</t>
  </si>
  <si>
    <t>عدد الطبخات المسجلة: 43   |   عدد المواد الخام: 94   |   جميع الأرقام تُحدَّث تلقائياً</t>
  </si>
  <si>
    <t>إجمالي عدد المواد</t>
  </si>
  <si>
    <t>مواد برصيد سالب (تحتاج مراجعة)</t>
  </si>
  <si>
    <t>عدد الطبخات المعرّفة</t>
  </si>
  <si>
    <t>إجمالي عمليات الإدخال</t>
  </si>
  <si>
    <t>إجمالي عمليات الإنتاج</t>
  </si>
  <si>
    <t>إجمالي عمليات الصرف المباشر</t>
  </si>
  <si>
    <t>❌ تنبيه: مواد برصيد سالب - تحتاج مراجعة فورية</t>
  </si>
  <si>
    <t>اسم المادة</t>
  </si>
  <si>
    <t>الرصيد الحالي</t>
  </si>
  <si>
    <t>الوحدة</t>
  </si>
  <si>
    <t>الحالة</t>
  </si>
  <si>
    <t>📊 أكثر 5 مواد استهلاكاً</t>
  </si>
  <si>
    <t>🏆 أكثر 5 طبخات إنتاجاً</t>
  </si>
  <si>
    <t>إجمالي الاستهلاك</t>
  </si>
  <si>
    <t>اسم الطبخة</t>
  </si>
  <si>
    <t>عدد مرات الإنتاج</t>
  </si>
  <si>
    <t>🕓 آخر 5 عمليات إدخال (شراء)</t>
  </si>
  <si>
    <t>🕓 آخر 5 عمليات إنتاج</t>
  </si>
  <si>
    <t>التاريخ</t>
  </si>
  <si>
    <t>المادة</t>
  </si>
  <si>
    <t>الكمية</t>
  </si>
  <si>
    <t>الطبخة</t>
  </si>
  <si>
    <t>🕓 آخر 5 عمليات صرف مباشر</t>
  </si>
  <si>
    <t>وحدة القياس</t>
  </si>
  <si>
    <t>ملاحظات</t>
  </si>
  <si>
    <t>ايديتا</t>
  </si>
  <si>
    <t>كغ</t>
  </si>
  <si>
    <t>ايمولجين</t>
  </si>
  <si>
    <t>بربولين غيلمول</t>
  </si>
  <si>
    <t>بروبلين - فينب</t>
  </si>
  <si>
    <t>بلسم جامد</t>
  </si>
  <si>
    <t>بوتيل غليكول</t>
  </si>
  <si>
    <t>بيتائين</t>
  </si>
  <si>
    <t>تكسبون</t>
  </si>
  <si>
    <t>حبيبات ملونة</t>
  </si>
  <si>
    <t>حليب التين</t>
  </si>
  <si>
    <t>حمض الخل</t>
  </si>
  <si>
    <t>حمض الكبريت</t>
  </si>
  <si>
    <t>حمض الليمون</t>
  </si>
  <si>
    <t>دواء غسيل نصف مصنع</t>
  </si>
  <si>
    <t>ديباتيول فينب</t>
  </si>
  <si>
    <t>زفتة</t>
  </si>
  <si>
    <t>زيت الصنوبر</t>
  </si>
  <si>
    <t>صبغة</t>
  </si>
  <si>
    <t>طبالي خشب</t>
  </si>
  <si>
    <t>عطر - غير محدد (بحاجة لتأكيد)</t>
  </si>
  <si>
    <t>عطر Blue APC - 0001198620</t>
  </si>
  <si>
    <t>عطر be-apple-000320</t>
  </si>
  <si>
    <t>عطر billionair-000250</t>
  </si>
  <si>
    <t>عطر energy-000400</t>
  </si>
  <si>
    <t>عطر kavien-clein-eforia-000020</t>
  </si>
  <si>
    <t>عطر magic sprel - 6168581</t>
  </si>
  <si>
    <t>عطر ramani-kodi-000110</t>
  </si>
  <si>
    <t>عطر أريل</t>
  </si>
  <si>
    <t>عطر اوليفا</t>
  </si>
  <si>
    <t>عطر بانتين</t>
  </si>
  <si>
    <t>عطر جوز الهند</t>
  </si>
  <si>
    <t>عطر عسل</t>
  </si>
  <si>
    <t>عطر عود</t>
  </si>
  <si>
    <t>عطر ليمون ماكسي</t>
  </si>
  <si>
    <t>عطر مسك</t>
  </si>
  <si>
    <t>عطر مسك احمر</t>
  </si>
  <si>
    <t>عطر هامول</t>
  </si>
  <si>
    <t>عطر-ازهار-الربيع spring - 318643</t>
  </si>
  <si>
    <t>عطر-ببوري ultimate-mixture - 485797</t>
  </si>
  <si>
    <t>عطر-برنس</t>
  </si>
  <si>
    <t>عطر-توليب fresh-scent-amour - 485833</t>
  </si>
  <si>
    <t>عطر-رمان apple grandada - 322730</t>
  </si>
  <si>
    <t>عطر-زهور lovely-petals - 485718</t>
  </si>
  <si>
    <t>عطر-ليلك ariel-sensation - 318728</t>
  </si>
  <si>
    <t>عطر-ليمون citrus lemon new - 321639</t>
  </si>
  <si>
    <t>عطر-ليمون shiny-star - 485764</t>
  </si>
  <si>
    <t>غليسيرين</t>
  </si>
  <si>
    <t>فاتي كحول</t>
  </si>
  <si>
    <t>كحول (ايثانول)</t>
  </si>
  <si>
    <t>كلور خام</t>
  </si>
  <si>
    <t>كليمازول</t>
  </si>
  <si>
    <t>كمبرلان</t>
  </si>
  <si>
    <t>كوستيك-قطرونة</t>
  </si>
  <si>
    <t>لانيت 16 ماليزي</t>
  </si>
  <si>
    <t>ماء مقطرة</t>
  </si>
  <si>
    <t>مانع رغوة سيليكون</t>
  </si>
  <si>
    <t>مانع رغوة مائي</t>
  </si>
  <si>
    <t>مجمد</t>
  </si>
  <si>
    <t>مقصب</t>
  </si>
  <si>
    <t>ملح</t>
  </si>
  <si>
    <t>أول ظهور (مساعد - لا يُعدَّل)</t>
  </si>
  <si>
    <t>ترتيب مضغوط (مساعد - لا يُعدَّل)</t>
  </si>
  <si>
    <t>دوا غسيل بودرا 157 كغ - ببوري</t>
  </si>
  <si>
    <t>دوا غسيل بودرا 45كغ مصنع</t>
  </si>
  <si>
    <t>دوا غسيل بودرا 60 كغ -عطر ببوري</t>
  </si>
  <si>
    <t>صابون سائل رمان - لافندر</t>
  </si>
  <si>
    <t>صابون سائل عود</t>
  </si>
  <si>
    <t>صابون سائل ماء الذهب</t>
  </si>
  <si>
    <t>صابون سادة</t>
  </si>
  <si>
    <t>طبخة الشامبو</t>
  </si>
  <si>
    <t>طبخة دوا غسيل بودرا</t>
  </si>
  <si>
    <t>طبخة قاشط</t>
  </si>
  <si>
    <t>عملاق 200 كغ</t>
  </si>
  <si>
    <t>لودلين تفاح أول</t>
  </si>
  <si>
    <t xml:space="preserve"> عطر-تفاح apple - 317691  شركة fs يجب السؤال أيضا للتاكيد</t>
  </si>
  <si>
    <t>اخضر</t>
  </si>
  <si>
    <t>لودلين تفاح ثالث</t>
  </si>
  <si>
    <t>ماء + ملح</t>
  </si>
  <si>
    <t>لودلين تفاح ثاني</t>
  </si>
  <si>
    <t>تم تحديد اسم العطر بناءً على اسم الطبخة (الملاحظة الأصلية فارغة) - يرجى التأكيد</t>
  </si>
  <si>
    <t>لودلين تفاح رابع</t>
  </si>
  <si>
    <t>لودلين سادة أول</t>
  </si>
  <si>
    <t>لودلين سادة أول 500 كغ</t>
  </si>
  <si>
    <t>لودلين سادة ثالث</t>
  </si>
  <si>
    <t>لودلين سادة ثاني</t>
  </si>
  <si>
    <t>لودلين سادة رابع</t>
  </si>
  <si>
    <t>لودلين فريز أول</t>
  </si>
  <si>
    <t>⚠ العطر غير مؤكد - الملاحظة الأصلية: "؟؟؟ لا نعلم ؟؟؟ يجب السؤال" - يرجى التأكيد مع المورد</t>
  </si>
  <si>
    <t>احمر</t>
  </si>
  <si>
    <t>لودلين فريز ثالث</t>
  </si>
  <si>
    <t>لودلين فريز ثاني</t>
  </si>
  <si>
    <t>لودلين فريز رابع</t>
  </si>
  <si>
    <t>لودلين ليلك أول</t>
  </si>
  <si>
    <t xml:space="preserve"> عطر-ازهار-الربيع spring - 318643</t>
  </si>
  <si>
    <t>بنفسجي</t>
  </si>
  <si>
    <t>لودلين ليلك ثالث</t>
  </si>
  <si>
    <t>لودلين ليلك ثاني</t>
  </si>
  <si>
    <t>لودلين ليلك رابع</t>
  </si>
  <si>
    <t>لودلين ليمون أول</t>
  </si>
  <si>
    <t>اصفر</t>
  </si>
  <si>
    <t>لودلين ليمون ثالث</t>
  </si>
  <si>
    <t>لودلين ليمون ثاني</t>
  </si>
  <si>
    <t xml:space="preserve"> عطر-ليمون shiny-star - 485764</t>
  </si>
  <si>
    <t>لودلين ليمون رابع</t>
  </si>
  <si>
    <t>ببوري</t>
  </si>
  <si>
    <t>معطر ارضيات أبيض - ازهار النرجس</t>
  </si>
  <si>
    <t>جزء من عملية خلط (الملاحظة الأصلية: ببوري 10 كغ + سبرينغ 10 كغ)</t>
  </si>
  <si>
    <t>معطر ارضيات ازرق - نسيم المحيط</t>
  </si>
  <si>
    <t>جزء من عملية خلط (الملاحظة الأصلية:  ocean-breeze 10كغ ببوري + 10 كغ نسيم المحيط )</t>
  </si>
  <si>
    <t>معطر ارضيات الليمون المنعش</t>
  </si>
  <si>
    <t>معطر ارضيات ببوري</t>
  </si>
  <si>
    <t>ببوري 20 كغ</t>
  </si>
  <si>
    <t>معطر ارضيات رائحة الجوري</t>
  </si>
  <si>
    <t xml:space="preserve"> عطر-زهور lovely-petals - 485718</t>
  </si>
  <si>
    <t>معطر ارضيات زهرة التوليب</t>
  </si>
  <si>
    <t xml:space="preserve"> عطر-توليب fresh-scent-amour - 485833</t>
  </si>
  <si>
    <t>معطر ارضيات موف او ليلك</t>
  </si>
  <si>
    <t xml:space="preserve"> عطر-ليلك ariel-sensation - 318728</t>
  </si>
  <si>
    <t>ملمع دواليب</t>
  </si>
  <si>
    <t>⚠ لا توجد معلومات كافية لتحديد نوع العطر - يرجى المراجعة وتحديد الاسم الصحيح</t>
  </si>
  <si>
    <t>ملمع زجاج 1000 كغ</t>
  </si>
  <si>
    <t>ملمع زجاج 150كغ</t>
  </si>
  <si>
    <t>ملمع زجاج 750 كغ</t>
  </si>
  <si>
    <t>رقم العملية</t>
  </si>
  <si>
    <t>المورد</t>
  </si>
  <si>
    <t>رقم الفاتورة</t>
  </si>
  <si>
    <t>-</t>
  </si>
  <si>
    <t>الجهة المستفيدة</t>
  </si>
  <si>
    <t>الرصيد النظامي (قبل هذا التعديل)</t>
  </si>
  <si>
    <t>الكمية الفعلية (الجرد)</t>
  </si>
  <si>
    <t>الفرق</t>
  </si>
  <si>
    <t>سبب التعديل</t>
  </si>
  <si>
    <t>إجمالي الاستهلاك (كل الوقت)</t>
  </si>
  <si>
    <t>حالة الرصيد</t>
  </si>
  <si>
    <t>ترتيب مساعد (لا يُعدَّل)</t>
  </si>
  <si>
    <t>نوع الحركة</t>
  </si>
  <si>
    <t>المرجع (طبخة/مورد/جهة/سبب)</t>
  </si>
  <si>
    <t>الكمية (+ إدخال / - إخراج)</t>
  </si>
  <si>
    <t>ملاحظة: هذه الصفحة مضغوطة تلقائياً (بدون فراغات) وتعرض العمليات الأربع كلها - شراء، ثم صرف مباشر، ثم إنتاج، ثم تعديل جرد - كل نوع بترتيب إدخاله. للعرض حسب التاريخ فقط استخدم عامل التصفية/الفرز على عمود "التاريخ".</t>
  </si>
  <si>
    <t>دليل استخدام نظام إدارة مستودع معمل المنظفات</t>
  </si>
  <si>
    <t>فكرة النظام</t>
  </si>
  <si>
    <t>كل صفحة تخدم غرضاً واحداً محدداً. النظام يعتمد بالكامل على اسم المادة (بدون أكواد)، ولا تُكتب أي كمية أو رصيد يدوياً في صفحتي "الرصيد الحالي" و"سجل الحركات" — فهما محسوبتان بالكامل تلقائياً وهما الصفحتان الوحيدتان المحميتان من التعديل في هذا الملف. جميع الصفحات الأخرى قابلة للتعديل بالكامل.</t>
  </si>
  <si>
    <t>ترتيب العمل اليومي الموصى به</t>
  </si>
  <si>
    <t>1. عند شراء مواد خام: سجّلها في صفحة "الإدخالات".</t>
  </si>
  <si>
    <t>2. عند تصنيع دفعة من طبخة معينة: سجّل عملية واحدة في صفحة "سجل الإنتاج" باختيار اسم الطبخة فقط. يقوم النظام بحساب استهلاك كل مادة تلقائياً حسب صفحة "الطبخات". كل عملية تصنيع تُسجَّل كسجل مستقل بنفس كميات الوصفة الأساسية (دون إدخال عدد مرات التشغيل).</t>
  </si>
  <si>
    <t>3. عند صرف مادة خام مباشرة دون تصنيع: سجّلها في صفحة "الصرف المباشر".</t>
  </si>
  <si>
    <t>4. عند إجراء جرد فعلي ووجود فرق: سجّل الفرق في صفحة "تعديل الجرد" فقط — لا تُعدَّل الأرصدة يدوياً أبداً.</t>
  </si>
  <si>
    <t>5. راجع صفحة "لوحة التحكم" يومياً لمتابعة التنبيهات والمواد ذات الرصيد السالب.</t>
  </si>
  <si>
    <t>كيف يُحسب الرصيد الحالي لأي مادة؟</t>
  </si>
  <si>
    <t>الرصيد = (إجمالي المشتريات) + (إجمالي فروقات الجرد) − (إجمالي الصرف المباشر) − (إجمالي الاستهلاك عبر الإنتاج المحسوب من مكونات كل طبخة × عدد مرات إنتاجها فعلياً).</t>
  </si>
  <si>
    <t>تعتمد جميع صفحات النظام (المواد، الرصيد الحالي، تعديل الجرد، الصرف المباشر، لوحة التحكم) على نفس آلية الحساب هذه بالضبط دون أي اختلاف بينها، لضمان تطابق الأرقام في كل مكان.</t>
  </si>
  <si>
    <t>إضافة مادة خام جديدة</t>
  </si>
  <si>
    <t>1. اذهب إلى صفحة "المواد" وأضف سطراً جديداً باسم فريد (غير مكرر) ووحدة القياس. هذا كل ما تحتاجه — تصبح المادة متاحة فوراً في كل القوائم المنسدلة بجميع الصفحات (الطبخات، الإدخالات، الصرف المباشر، تعديل الجرد) دون أي خطوة إضافية، لأن كل القوائم مرتبطة مباشرة بصفحة المواد نفسها.</t>
  </si>
  <si>
    <t>ملاحظة: إن كتبت اسماً مكرراً في صفحة المواد فسيظهر بلون أحمر تلقائياً تنبيهاً لك.</t>
  </si>
  <si>
    <t>تنبيه بخصوص الحذف: لا يوجد حالياً حذف تلقائي مرتبط — إن حذفت مادة من صفحة "المواد" بينما ما زالت مستخدمة في طبخة أو سجل عمليات، ستظهر تلك الخانة بلون أحمر في صفحتها لتنبيهك أن المادة لم تعد موجودة، حتى تقوم بتصحيحها يدوياً هناك.</t>
  </si>
  <si>
    <t>إضافة طبخة جديدة</t>
  </si>
  <si>
    <t>1. اذهب مباشرة إلى صفحة "الطبخات" واكتب اسم الطبخة الجديدة في عمود "اسم الطبخة" (بلا أي قائمة منسدلة مقيّدة هنا، لأن هذه هي الصفحة التي تُعرَّف فيها الطبخات لأول مرة).</t>
  </si>
  <si>
    <t>2. أضف سطراً لكل مادة تدخل في هذه الطبخة مع كميتها.</t>
  </si>
  <si>
    <t>3. أصبحت الطبخة متاحة تلقائياً للاختيار في صفحة "سجل الإنتاج" دون أي خطوة إضافية.</t>
  </si>
  <si>
    <t>ملاحظة حول مادة العطور بعد إعادة الهيكلة</t>
  </si>
  <si>
    <t>تم استبدال المادة العامة "عطر" بأسماء العطور الحقيقية المستخرجة من حقل الملاحظات في الملف الأصلي (مثل: عطر ببوري، عطر ليمون، عطر تفاح، عطر ازهار الربيع، عطر نسيم المحيط، عطر ماء الذهب، عطر عود، عطر رمان - لافندر، عطر فريز). في بعض الأسطر التي لم تحتوِ الملاحظة الأصلية على اسم واضح للعطر، تم استنتاج الاسم من اسم الطبخة نفسها، وتمت الإشارة إلى ذلك في عمود الملاحظات بعبارة "يرجى التأكيد". كما توجد مادة واحدة باسم "عطر - غير محدد (بحاجة لتأكيد)" في طبخة "ملمع دواليب" لعدم توفر أي معلومة تسمح بتحديد نوعه — يُفضّل مراجعتها وتصحيح اسمها الحقيقي في صفحتي "المواد" و"الطبخات" عند معرفته.</t>
  </si>
  <si>
    <t>القوائم المنسدلة الذكية (المواد والطبخات)</t>
  </si>
  <si>
    <t>خانات "المادة" في جميع الصفحات مرتبطة مباشرة بصفحة "المواد" (وليس بأي نسخة منفصلة)، وخانة "اسم الطبخة" في صفحة "سجل الإنتاج" مرتبطة تلقائياً بكل الأسماء الموجودة فعلياً في صفحة "الطبخات". في Excel، عند فتح القائمة المنسدلة وكتابة أول حرف أو أكثر، يقوم Excel تلقائياً بتصفية العناصر المطابقة أثناء الكتابة — وهذه خاصية مدمجة في Excel ولا تحتاج أي إعداد إضافي.</t>
  </si>
  <si>
    <t>وسائل الحماية والتحقق المطبّقة</t>
  </si>
  <si>
    <t>• جميع أسماء المواد والطبخات تُختار من قوائم منسدلة فقط، ولا يمكن كتابة اسم غير موجود.</t>
  </si>
  <si>
    <t>• لا يُسمح بإدخال كميات سالبة أو صفرية في عمليات الشراء والصرف.</t>
  </si>
  <si>
    <t>• صفحة "الصرف المباشر" تمنع تسجيل كمية أكبر من الرصيد المتاح فعلياً لتلك المادة لحظة الإدخال.</t>
  </si>
  <si>
    <t>• الصفوف التي بها بيانات ناقصة تُميَّز تلقائياً بلون برتقالي فاتح، وتكرار المادة داخل نفس الطبخة يُميَّز بلون أحمر فاتح.</t>
  </si>
  <si>
    <t>• صفحتا "الرصيد الحالي" و"سجل الحركات" فقط محميتان بالكامل ولا يمكن تعديلهما يدوياً — كل خلاياهما معادلات. جميع الصفحات الأخرى غير محمية ويمكن تعديلها بحرية.</t>
  </si>
  <si>
    <t>• لا يوجد أي تحقق من التاريخ — يمكن إدخال أي تاريخ تريده في جميع السجلات.</t>
  </si>
  <si>
    <t>ملاحظة حول صفحة "سجل الحركات"</t>
  </si>
  <si>
    <t>لضمان الاستقرار والدقة دون استخدام وحدات ماكرو (VBA)، تعرض هذه الصفحة عمليات الشراء والصرف المباشر وتعديلات الجرد بكامل تفاصيلها، بينما تعرض كل عملية إنتاج كسطر واحد يمثل الطبخة، لأنها تستهلك عدة مواد دفعة واحدة. للاطلاع على تفاصيل المواد المستهلكة في أي طبخة، راجع صفحة "الطبخات". هذا لا يؤثر على دقة الأرصدة في صفحة "الرصيد الحالي" لأنها تُحسب من كل مادة فعلياً في كل طبخة.</t>
  </si>
  <si>
    <t>التقارير الشهرية والسنوية</t>
  </si>
  <si>
    <t>لا حاجة لإنشاء نسخة جديدة من الملف كل شهر أو سنة. استخدم عامل التصفية (Filter) في عمود "التاريخ" بأي من صفحات السجلات لعرض فترة محددة، أو أنشئ جدول محوري (PivotTable) لتلخيص الحركة شهرياً أو سنوياً دون التأثير على البيانات الأصلية.</t>
  </si>
  <si>
    <t>سعة النظام الحالية (قابلة للتوسعة)</t>
  </si>
  <si>
    <t>• صفحة المواد: حتى 319 مادة.   • صفحة الطبخات: حتى 899 سطر مكوّن.   • كل سجل عمليات: حتى 500 عملية.</t>
  </si>
  <si>
    <t>عند الاقتراب من هذه الحدود، انسخ صيغ آخر سطر إلى أسطر جديدة أسفلها — الصيغ مصممة لتُنسخ بسهولة.</t>
  </si>
  <si>
    <t>مرآة المواد (مساعد)</t>
  </si>
  <si>
    <t>قائمة الطبخات (مستخرجة تلقائياً من صفحة الطبخات)</t>
  </si>
  <si>
    <t>عدد مرات الإنتاج (بجانب B)</t>
  </si>
  <si>
    <t>إجمالي الاستهلاك (بجانب A)</t>
  </si>
  <si>
    <t>ترتيب مضغوط</t>
  </si>
  <si>
    <t>طبخة الاندومي</t>
  </si>
  <si>
    <t xml:space="preserve">ماء بلسم </t>
  </si>
  <si>
    <t>فورمول ( سم )</t>
  </si>
  <si>
    <t xml:space="preserve">عطر-نسيم-المحيط ocean-breeze - 327993 </t>
  </si>
  <si>
    <t xml:space="preserve">عطر-سلطان </t>
  </si>
  <si>
    <t xml:space="preserve">عطر-تفاح apple - 317691 </t>
  </si>
  <si>
    <t xml:space="preserve">عبوة 1 لتر </t>
  </si>
  <si>
    <t xml:space="preserve">صودا أش </t>
  </si>
  <si>
    <t xml:space="preserve">صبغة </t>
  </si>
  <si>
    <t xml:space="preserve">سيليكات سائلة </t>
  </si>
  <si>
    <t xml:space="preserve">بيدون 4 لتر </t>
  </si>
  <si>
    <t>اسيد - روح الملح - حمض كلور الماء</t>
  </si>
  <si>
    <t>اسيتون</t>
  </si>
  <si>
    <t>لصاقة طابعة</t>
  </si>
  <si>
    <t>كريك بلاستيك</t>
  </si>
  <si>
    <t>فازلين</t>
  </si>
  <si>
    <t xml:space="preserve">عبوات كلور + فلاش فارغة </t>
  </si>
  <si>
    <t>عبوات شفافة 3 لتر</t>
  </si>
  <si>
    <t>عبوات حليبي</t>
  </si>
  <si>
    <t>ديتول خام</t>
  </si>
  <si>
    <t>عدد</t>
  </si>
  <si>
    <t>تنزيل البيانات لأول مرة</t>
  </si>
  <si>
    <t>امين</t>
  </si>
  <si>
    <t>ماء مقطرة + ملح</t>
  </si>
  <si>
    <t>ماء بلسم</t>
  </si>
  <si>
    <t>غطا عبوة 3لتر</t>
  </si>
  <si>
    <t>مياه مقطرة 4 لتر</t>
  </si>
  <si>
    <t>مياه مقطرة 1 لتر</t>
  </si>
  <si>
    <t>مهسهس زفته - معجون</t>
  </si>
  <si>
    <t>مماسح مكتب َ</t>
  </si>
  <si>
    <t>مماسح قماش عائلة فايبر</t>
  </si>
  <si>
    <t>مماسح بلور</t>
  </si>
  <si>
    <t>مماسح ارضيات</t>
  </si>
  <si>
    <t>ملمع سيارات 3 لتر</t>
  </si>
  <si>
    <t>ملمع سيارات / فرط</t>
  </si>
  <si>
    <t>ملمع زجاج الكرمل</t>
  </si>
  <si>
    <t>ملمع زجاج 3 لتر</t>
  </si>
  <si>
    <t>ملمع زجاج / فرط</t>
  </si>
  <si>
    <t>ملطف جو ليتس</t>
  </si>
  <si>
    <t>ملطف جو</t>
  </si>
  <si>
    <t xml:space="preserve">مكانس ناعمة كثيفة </t>
  </si>
  <si>
    <t xml:space="preserve">مكانس خشنة </t>
  </si>
  <si>
    <t>معطر كرمل .</t>
  </si>
  <si>
    <t>معطر عافية</t>
  </si>
  <si>
    <t xml:space="preserve">معطر super / فرط </t>
  </si>
  <si>
    <t>معطر super / عبوة 3 لتر</t>
  </si>
  <si>
    <t xml:space="preserve">مساحات / نشافات </t>
  </si>
  <si>
    <t>محارم مكتب</t>
  </si>
  <si>
    <t>محارم تواليت</t>
  </si>
  <si>
    <t>محارم الكرزة</t>
  </si>
  <si>
    <t>مبيد حشري بار بار</t>
  </si>
  <si>
    <t xml:space="preserve">ليف جلي ثلاثية </t>
  </si>
  <si>
    <t>ليف اسفنج</t>
  </si>
  <si>
    <t>لوح صابون مسك</t>
  </si>
  <si>
    <t>لاصق</t>
  </si>
  <si>
    <t>كياس نايلون</t>
  </si>
  <si>
    <t>كياس قمامة</t>
  </si>
  <si>
    <t>كمامات</t>
  </si>
  <si>
    <t>كلور 4 لتر</t>
  </si>
  <si>
    <t>كلور 1 لتر</t>
  </si>
  <si>
    <t xml:space="preserve">كلور / فرط </t>
  </si>
  <si>
    <t>كفوف نايلون</t>
  </si>
  <si>
    <t>كفوف طبية</t>
  </si>
  <si>
    <t>كفوف صناعية</t>
  </si>
  <si>
    <t>كفوف جلي</t>
  </si>
  <si>
    <t>كاسات شاي صغيرة 17 *6</t>
  </si>
  <si>
    <t>قاشط سيارات / فرط</t>
  </si>
  <si>
    <t xml:space="preserve">قاشط المينيوم - ساندي / فرط </t>
  </si>
  <si>
    <t>قاشط  المينيوم 3 لتر</t>
  </si>
  <si>
    <t xml:space="preserve">فلاش 4 لتر </t>
  </si>
  <si>
    <t>فلاش / فرط</t>
  </si>
  <si>
    <t>فرشاية بسط</t>
  </si>
  <si>
    <t>فرشاة حمام</t>
  </si>
  <si>
    <t xml:space="preserve">فاربن مزيل شعر </t>
  </si>
  <si>
    <t>عملاق 3 لتر</t>
  </si>
  <si>
    <t xml:space="preserve">عملاق </t>
  </si>
  <si>
    <t>عصايات</t>
  </si>
  <si>
    <t>طواقي راس</t>
  </si>
  <si>
    <t>صابون كرمل</t>
  </si>
  <si>
    <t xml:space="preserve">صابون super / فرط </t>
  </si>
  <si>
    <t>صابون super / عبوة 3 لتر</t>
  </si>
  <si>
    <t>شامبو سيارات</t>
  </si>
  <si>
    <t>شامبو 3 لتر</t>
  </si>
  <si>
    <t xml:space="preserve">شامبو </t>
  </si>
  <si>
    <t>سيف عائلاتي</t>
  </si>
  <si>
    <t xml:space="preserve">سيف بريفيت </t>
  </si>
  <si>
    <t>سيف برلنت</t>
  </si>
  <si>
    <t>سيف الكرار نخب اول</t>
  </si>
  <si>
    <t>سيف الكرار 2602</t>
  </si>
  <si>
    <t>سلة غسيل</t>
  </si>
  <si>
    <t>سائل مغسل</t>
  </si>
  <si>
    <t>سائل غسيل زهري</t>
  </si>
  <si>
    <t>سائل غسيل اتوماتيك 3 لتر</t>
  </si>
  <si>
    <t xml:space="preserve">سائل غسيل اتوماتيك / فرط </t>
  </si>
  <si>
    <t xml:space="preserve">سائل جلي متعدد الاستعمالات كرمل </t>
  </si>
  <si>
    <t xml:space="preserve">سائل جلي متعدد الإستعمالات - غولدن هاوس 1 لتر </t>
  </si>
  <si>
    <t>سائل جلي شفاف مع عطر / فرط</t>
  </si>
  <si>
    <t>سائل جلي super / فرط 2604</t>
  </si>
  <si>
    <t>سائل جلي super / فرط 2603</t>
  </si>
  <si>
    <t>سائل جلي super / فرط 2602</t>
  </si>
  <si>
    <t>سائل جلي super / فرط 2601</t>
  </si>
  <si>
    <t>سائل جلي super / عبوة 3 لتر 2604</t>
  </si>
  <si>
    <t>سائل جلي super / عبوة 3 لتر 2603</t>
  </si>
  <si>
    <t>سائل جلي super / عبوة 3 لتر 2602</t>
  </si>
  <si>
    <t>سائل جلي super / عبوة 3 لتر 2601</t>
  </si>
  <si>
    <t>زيت صنوبر 3 لتر</t>
  </si>
  <si>
    <t xml:space="preserve">ديتول 3 لتر </t>
  </si>
  <si>
    <t xml:space="preserve">ديتول / فرط </t>
  </si>
  <si>
    <t xml:space="preserve">دواء غسيل بودرا </t>
  </si>
  <si>
    <t>دوا غسيل نورا</t>
  </si>
  <si>
    <t xml:space="preserve">دفتر </t>
  </si>
  <si>
    <t xml:space="preserve">خردة وبلاستيك </t>
  </si>
  <si>
    <t>جاطات + طشوطة بلاستيك</t>
  </si>
  <si>
    <t>بيدون سعة 5 كغ</t>
  </si>
  <si>
    <t>بيدون !</t>
  </si>
  <si>
    <t xml:space="preserve">بي اتش 3 لتر </t>
  </si>
  <si>
    <t>بي اتش - كرتونة</t>
  </si>
  <si>
    <t>بي اتش - BH / فرط</t>
  </si>
  <si>
    <t>بي أتش ph الكرمل</t>
  </si>
  <si>
    <t>بلسم 3 لتر</t>
  </si>
  <si>
    <t>بلسم / فرط</t>
  </si>
  <si>
    <t>برميل كرتون</t>
  </si>
  <si>
    <t>برميل تكسبون فارغ</t>
  </si>
  <si>
    <t xml:space="preserve">اقراص كلور </t>
  </si>
  <si>
    <t>اسيد 3 لتر</t>
  </si>
  <si>
    <t>أسيد 3 لتر</t>
  </si>
  <si>
    <t>أسيد 1 لتر</t>
  </si>
  <si>
    <t>عبوة</t>
  </si>
  <si>
    <t>كيس</t>
  </si>
  <si>
    <t>قطعة</t>
  </si>
  <si>
    <t>أبو خليل</t>
  </si>
  <si>
    <t>منشان يطبخ مي وملح</t>
  </si>
  <si>
    <t>تجريبية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</si>
</sst>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quot;&quot;"/>
    <numFmt numFmtId="165" formatCode="yyyy\-mm\-dd"/>
    <numFmt numFmtId="166" formatCode="#,##0.###"/>
    <numFmt numFmtId="167" formatCode="\+#,##0.###;\-#,##0.###;&quot;&quot;"/>
  </numFmts>
  <fonts count="15">
    <font>
      <sz val="11"/>
      <color theme="1"/>
      <name val="Arial"/>
      <family val="2"/>
      <scheme val="minor"/>
    </font>
    <font>
      <b/>
      <sz val="13"/>
      <color rgb="FFFFFFFF"/>
      <name val="Cairo"/>
    </font>
    <font>
      <sz val="12"/>
      <color rgb="FF1155CC"/>
      <name val="Cairo"/>
    </font>
    <font>
      <sz val="12"/>
      <color rgb="FF000000"/>
      <name val="Cairo"/>
    </font>
    <font>
      <i/>
      <sz val="11"/>
      <color rgb="FF7F7F7F"/>
      <name val="Cairo"/>
    </font>
    <font>
      <b/>
      <sz val="20"/>
      <color rgb="FF1F3864"/>
      <name val="Cairo"/>
    </font>
    <font>
      <b/>
      <sz val="11"/>
      <color rgb="FFFFFFFF"/>
      <name val="Cairo"/>
    </font>
    <font>
      <b/>
      <sz val="22"/>
      <color rgb="FF1F3864"/>
      <name val="Cairo"/>
    </font>
    <font>
      <b/>
      <sz val="22"/>
      <color rgb="FFC00000"/>
      <name val="Cairo"/>
    </font>
    <font>
      <b/>
      <sz val="22"/>
      <color rgb="FF2E7D32"/>
      <name val="Cairo"/>
    </font>
    <font>
      <b/>
      <sz val="22"/>
      <color rgb="FF2E5395"/>
      <name val="Cairo"/>
    </font>
    <font>
      <b/>
      <sz val="22"/>
      <color rgb="FFB45F06"/>
      <name val="Cairo"/>
    </font>
    <font>
      <b/>
      <sz val="22"/>
      <color rgb="FF7030A0"/>
      <name val="Cairo"/>
    </font>
    <font>
      <b/>
      <sz val="14"/>
      <color rgb="FF1F3864"/>
      <name val="Cairo"/>
    </font>
    <font>
      <sz val="12"/>
      <name val="Cairo"/>
    </font>
  </fonts>
  <fills count="9">
    <fill>
      <patternFill patternType="none"/>
    </fill>
    <fill>
      <patternFill patternType="gray125"/>
    </fill>
    <fill>
      <patternFill patternType="solid">
        <fgColor rgb="FF1F3864"/>
      </patternFill>
    </fill>
    <fill>
      <patternFill patternType="solid">
        <fgColor rgb="FFF2F2F2"/>
      </patternFill>
    </fill>
    <fill>
      <patternFill patternType="solid">
        <fgColor rgb="FFC00000"/>
      </patternFill>
    </fill>
    <fill>
      <patternFill patternType="solid">
        <fgColor rgb="FF2E7D32"/>
      </patternFill>
    </fill>
    <fill>
      <patternFill patternType="solid">
        <fgColor rgb="FF2E5395"/>
      </patternFill>
    </fill>
    <fill>
      <patternFill patternType="solid">
        <fgColor rgb="FFB45F06"/>
      </patternFill>
    </fill>
    <fill>
      <patternFill patternType="solid">
        <fgColor rgb="FF7030A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1">
    <xf numFmtId="0" fontId="0" fillId="0" borderId="0" xfId="0"/>
    <xf numFmtId="0" fontId="13" fillId="0" borderId="0" xfId="0" applyFont="1"/>
    <xf numFmtId="0" fontId="1" fillId="2" borderId="1" xfId="0" applyFont="1" applyFill="1" applyBorder="1" applyAlignment="1">
      <alignment horizontal="center" vertical="center" wrapText="1"/>
    </xf>
    <xf numFmtId="0" fontId="3" fillId="0" borderId="1" xfId="0" applyFont="1" applyBorder="1" applyAlignment="1">
      <alignment horizontal="right" vertical="center"/>
    </xf>
    <xf numFmtId="164" fontId="3" fillId="0" borderId="1" xfId="0" applyNumberFormat="1" applyFont="1" applyBorder="1" applyAlignment="1">
      <alignment horizontal="center" vertical="center"/>
    </xf>
    <xf numFmtId="0" fontId="3" fillId="0" borderId="1" xfId="0" applyFont="1" applyBorder="1" applyAlignment="1">
      <alignment horizontal="center" vertical="center"/>
    </xf>
    <xf numFmtId="3" fontId="3" fillId="0" borderId="1" xfId="0" applyNumberFormat="1" applyFont="1" applyBorder="1" applyAlignment="1">
      <alignment horizontal="center" vertical="center"/>
    </xf>
    <xf numFmtId="0" fontId="2" fillId="0" borderId="1" xfId="0" applyFont="1" applyBorder="1" applyAlignment="1">
      <alignment horizontal="center" vertical="center"/>
    </xf>
    <xf numFmtId="165" fontId="3" fillId="0" borderId="1" xfId="0" applyNumberFormat="1" applyFont="1" applyBorder="1" applyAlignment="1">
      <alignment horizontal="center" vertical="center"/>
    </xf>
    <xf numFmtId="0" fontId="2" fillId="0" borderId="1" xfId="0" applyFont="1" applyBorder="1" applyAlignment="1">
      <alignment horizontal="right" vertical="center"/>
    </xf>
    <xf numFmtId="164" fontId="3" fillId="3" borderId="1" xfId="0" applyNumberFormat="1" applyFont="1" applyFill="1" applyBorder="1" applyAlignment="1">
      <alignment horizontal="center" vertical="center"/>
    </xf>
    <xf numFmtId="0" fontId="2" fillId="0" borderId="1" xfId="0" applyFont="1" applyBorder="1" applyAlignment="1">
      <alignment horizontal="right"/>
    </xf>
    <xf numFmtId="0" fontId="2" fillId="0" borderId="1" xfId="0" applyFont="1" applyBorder="1" applyAlignment="1">
      <alignment horizontal="center"/>
    </xf>
    <xf numFmtId="164" fontId="2" fillId="3" borderId="1" xfId="0" applyNumberFormat="1" applyFont="1" applyFill="1" applyBorder="1" applyAlignment="1">
      <alignment horizontal="center"/>
    </xf>
    <xf numFmtId="0" fontId="1" fillId="2" borderId="0" xfId="0" applyFont="1" applyFill="1" applyAlignment="1">
      <alignment horizontal="center" wrapText="1"/>
    </xf>
    <xf numFmtId="166" fontId="2" fillId="0" borderId="1" xfId="0" applyNumberFormat="1" applyFont="1" applyBorder="1" applyAlignment="1">
      <alignment horizontal="center" vertical="center"/>
    </xf>
    <xf numFmtId="0" fontId="3" fillId="3" borderId="1" xfId="0" applyFont="1" applyFill="1" applyBorder="1" applyAlignment="1">
      <alignment horizontal="center" vertical="center"/>
    </xf>
    <xf numFmtId="0" fontId="2" fillId="3" borderId="1" xfId="0" applyFont="1" applyFill="1" applyBorder="1" applyAlignment="1">
      <alignment horizontal="center"/>
    </xf>
    <xf numFmtId="165" fontId="2" fillId="0" borderId="1" xfId="0" applyNumberFormat="1" applyFont="1" applyBorder="1" applyAlignment="1">
      <alignment horizontal="center" vertical="center"/>
    </xf>
    <xf numFmtId="167" fontId="3" fillId="3" borderId="1" xfId="0" applyNumberFormat="1" applyFont="1" applyFill="1" applyBorder="1" applyAlignment="1">
      <alignment horizontal="center" vertical="center"/>
    </xf>
    <xf numFmtId="0" fontId="4" fillId="0" borderId="0" xfId="0" applyFont="1"/>
    <xf numFmtId="167" fontId="3" fillId="0" borderId="1" xfId="0" applyNumberFormat="1" applyFont="1" applyBorder="1" applyAlignment="1">
      <alignment horizontal="center" vertical="center"/>
    </xf>
    <xf numFmtId="0" fontId="14" fillId="0" borderId="0" xfId="0" applyFont="1" applyAlignment="1">
      <alignment horizontal="right" vertical="center" wrapText="1"/>
    </xf>
    <xf numFmtId="165" fontId="0" fillId="0" borderId="0" xfId="0" applyNumberFormat="1"/>
    <xf numFmtId="167" fontId="0" fillId="0" borderId="0" xfId="0" applyNumberFormat="1"/>
    <xf numFmtId="0" fontId="5" fillId="0" borderId="0" xfId="0" applyFont="1" applyAlignment="1">
      <alignment horizontal="center" vertical="center"/>
    </xf>
    <xf numFmtId="0" fontId="0" fillId="0" borderId="0" xfId="0"/>
    <xf numFmtId="0" fontId="6" fillId="4" borderId="0" xfId="0" applyFont="1" applyFill="1" applyAlignment="1">
      <alignment horizontal="center" vertical="center" wrapText="1"/>
    </xf>
    <xf numFmtId="0" fontId="4" fillId="0" borderId="0" xfId="0" applyFont="1" applyAlignment="1">
      <alignment horizontal="center"/>
    </xf>
    <xf numFmtId="0" fontId="6" fillId="5" borderId="0" xfId="0" applyFont="1" applyFill="1" applyAlignment="1">
      <alignment horizontal="center" vertical="center" wrapText="1"/>
    </xf>
    <xf numFmtId="0" fontId="6" fillId="6" borderId="0" xfId="0" applyFont="1" applyFill="1" applyAlignment="1">
      <alignment horizontal="center" vertical="center" wrapText="1"/>
    </xf>
    <xf numFmtId="0" fontId="6" fillId="2" borderId="0" xfId="0" applyFont="1" applyFill="1" applyAlignment="1">
      <alignment horizontal="center" vertical="center" wrapText="1"/>
    </xf>
    <xf numFmtId="0" fontId="13" fillId="0" borderId="0" xfId="0" applyFont="1"/>
    <xf numFmtId="3" fontId="8" fillId="0" borderId="0" xfId="0" applyNumberFormat="1" applyFont="1" applyAlignment="1">
      <alignment horizontal="center" vertical="center"/>
    </xf>
    <xf numFmtId="3" fontId="9" fillId="0" borderId="0" xfId="0" applyNumberFormat="1" applyFont="1" applyAlignment="1">
      <alignment horizontal="center" vertical="center"/>
    </xf>
    <xf numFmtId="3" fontId="12" fillId="0" borderId="0" xfId="0" applyNumberFormat="1" applyFont="1" applyAlignment="1">
      <alignment horizontal="center" vertical="center"/>
    </xf>
    <xf numFmtId="3" fontId="7" fillId="0" borderId="0" xfId="0" applyNumberFormat="1" applyFont="1" applyAlignment="1">
      <alignment horizontal="center" vertical="center"/>
    </xf>
    <xf numFmtId="3" fontId="10" fillId="0" borderId="0" xfId="0" applyNumberFormat="1" applyFont="1" applyAlignment="1">
      <alignment horizontal="center" vertical="center"/>
    </xf>
    <xf numFmtId="3" fontId="11" fillId="0" borderId="0" xfId="0" applyNumberFormat="1" applyFont="1" applyAlignment="1">
      <alignment horizontal="center" vertical="center"/>
    </xf>
    <xf numFmtId="0" fontId="6" fillId="7" borderId="0" xfId="0" applyFont="1" applyFill="1" applyAlignment="1">
      <alignment horizontal="center" vertical="center" wrapText="1"/>
    </xf>
    <xf numFmtId="0" fontId="6" fillId="8" borderId="0" xfId="0" applyFont="1" applyFill="1" applyAlignment="1">
      <alignment horizontal="center" vertical="center" wrapText="1"/>
    </xf>
  </cellXfs>
  <cellStyles count="1">
    <cellStyle name="عادي" xfId="0" builtinId="0"/>
  </cellStyles>
  <dxfs count="24">
    <dxf>
      <fill>
        <patternFill patternType="solid">
          <fgColor rgb="FFFCEBCB"/>
        </patternFill>
      </fill>
    </dxf>
    <dxf>
      <fill>
        <patternFill patternType="solid">
          <fgColor rgb="FFFCE4E4"/>
        </patternFill>
      </fill>
    </dxf>
    <dxf>
      <fill>
        <patternFill patternType="solid">
          <fgColor rgb="FFFCE4E4"/>
        </patternFill>
      </fill>
    </dxf>
    <dxf>
      <fill>
        <patternFill patternType="solid">
          <fgColor rgb="FFFCE4E4"/>
        </patternFill>
      </fill>
    </dxf>
    <dxf>
      <fill>
        <patternFill patternType="solid">
          <fgColor rgb="FFFCEBCB"/>
        </patternFill>
      </fill>
    </dxf>
    <dxf>
      <fill>
        <patternFill patternType="solid">
          <fgColor rgb="FFD9E2F3"/>
        </patternFill>
      </fill>
    </dxf>
    <dxf>
      <fill>
        <patternFill patternType="solid">
          <fgColor rgb="FFFCE4E4"/>
        </patternFill>
      </fill>
    </dxf>
    <dxf>
      <fill>
        <patternFill patternType="solid">
          <fgColor rgb="FFE2F0D9"/>
        </patternFill>
      </fill>
    </dxf>
    <dxf>
      <fill>
        <patternFill patternType="solid">
          <fgColor rgb="FFE2F0D9"/>
        </patternFill>
      </fill>
    </dxf>
    <dxf>
      <fill>
        <patternFill patternType="solid">
          <fgColor rgb="FFFCE4E4"/>
        </patternFill>
      </fill>
    </dxf>
    <dxf>
      <fill>
        <patternFill patternType="solid">
          <fgColor rgb="FFE2F0D9"/>
        </patternFill>
      </fill>
    </dxf>
    <dxf>
      <fill>
        <patternFill patternType="solid">
          <fgColor rgb="FFFCE4E4"/>
        </patternFill>
      </fill>
    </dxf>
    <dxf>
      <fill>
        <patternFill patternType="solid">
          <fgColor rgb="FFFCE4E4"/>
        </patternFill>
      </fill>
    </dxf>
    <dxf>
      <fill>
        <patternFill patternType="solid">
          <fgColor rgb="FFFCEBCB"/>
        </patternFill>
      </fill>
    </dxf>
    <dxf>
      <fill>
        <patternFill patternType="solid">
          <fgColor rgb="FFFCE4E4"/>
        </patternFill>
      </fill>
    </dxf>
    <dxf>
      <fill>
        <patternFill patternType="solid">
          <fgColor rgb="FFFCEBCB"/>
        </patternFill>
      </fill>
    </dxf>
    <dxf>
      <fill>
        <patternFill patternType="solid">
          <fgColor rgb="FFFCE4E4"/>
        </patternFill>
      </fill>
    </dxf>
    <dxf>
      <fill>
        <patternFill patternType="solid">
          <fgColor rgb="FFFCEBCB"/>
        </patternFill>
      </fill>
    </dxf>
    <dxf>
      <fill>
        <patternFill patternType="solid">
          <fgColor rgb="FFFCE4E4"/>
        </patternFill>
      </fill>
    </dxf>
    <dxf>
      <fill>
        <patternFill patternType="solid">
          <fgColor rgb="FFFCE4E4"/>
        </patternFill>
      </fill>
    </dxf>
    <dxf>
      <fill>
        <patternFill patternType="solid">
          <fgColor rgb="FFFCE4E4"/>
        </patternFill>
      </fill>
    </dxf>
    <dxf>
      <fill>
        <patternFill patternType="solid">
          <fgColor rgb="FFFCE4E4"/>
        </patternFill>
      </fill>
    </dxf>
    <dxf>
      <fill>
        <patternFill patternType="solid">
          <fgColor rgb="FFFCEBCB"/>
        </patternFill>
      </fill>
    </dxf>
    <dxf>
      <fill>
        <patternFill patternType="solid">
          <fgColor rgb="FFFCE4E4"/>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A1:F52"/>
  <sheetViews>
    <sheetView showGridLines="0" rightToLeft="1" workbookViewId="0">
      <selection activeCell="A45" sqref="A45"/>
    </sheetView>
  </sheetViews>
  <sheetFormatPr defaultRowHeight="14.25"/>
  <cols>
    <col min="1" max="1" width="26" customWidth="1"/>
    <col min="2" max="6" width="20" customWidth="1"/>
  </cols>
  <sheetData>
    <row r="1" spans="1:6" ht="36" customHeight="1">
      <c r="A1" s="25" t="s">
        <v>0</v>
      </c>
      <c r="B1" s="26"/>
      <c r="C1" s="26"/>
      <c r="D1" s="26"/>
      <c r="E1" s="26"/>
      <c r="F1" s="26"/>
    </row>
    <row r="2" spans="1:6" ht="21.95" customHeight="1">
      <c r="A2" s="28" t="s">
        <v>1</v>
      </c>
      <c r="B2" s="26"/>
      <c r="C2" s="26"/>
      <c r="D2" s="26"/>
      <c r="E2" s="26"/>
      <c r="F2" s="26"/>
    </row>
    <row r="4" spans="1:6" ht="30" customHeight="1">
      <c r="A4" s="31" t="s">
        <v>2</v>
      </c>
      <c r="B4" s="26"/>
      <c r="C4" s="27" t="s">
        <v>3</v>
      </c>
      <c r="D4" s="26"/>
      <c r="E4" s="29" t="s">
        <v>4</v>
      </c>
      <c r="F4" s="26"/>
    </row>
    <row r="5" spans="1:6" ht="36" customHeight="1">
      <c r="A5" s="36">
        <f>COUNTA(المواد!$A$2:$A$319)</f>
        <v>178</v>
      </c>
      <c r="B5" s="26"/>
      <c r="C5" s="33">
        <f>COUNTIF('الرصيد الحالي'!$E$2:$E$320,"❌*")</f>
        <v>3</v>
      </c>
      <c r="D5" s="26"/>
      <c r="E5" s="34">
        <f>COUNTIF(قوائم!$B$2:$B$150,"?*")</f>
        <v>45</v>
      </c>
      <c r="F5" s="26"/>
    </row>
    <row r="7" spans="1:6" ht="30" customHeight="1">
      <c r="A7" s="30" t="s">
        <v>5</v>
      </c>
      <c r="B7" s="26"/>
      <c r="C7" s="39" t="s">
        <v>6</v>
      </c>
      <c r="D7" s="26"/>
      <c r="E7" s="40" t="s">
        <v>7</v>
      </c>
      <c r="F7" s="26"/>
    </row>
    <row r="8" spans="1:6" ht="36" customHeight="1">
      <c r="A8" s="37">
        <f>COUNTA(الإدخالات!$C$2:$C$501)</f>
        <v>176</v>
      </c>
      <c r="B8" s="26"/>
      <c r="C8" s="38">
        <f>COUNTA('سجل الإنتاج'!$C$2:$C$501)</f>
        <v>1</v>
      </c>
      <c r="D8" s="26"/>
      <c r="E8" s="35">
        <f>COUNTA('الصرف المباشر'!$C$2:$C$501)</f>
        <v>1</v>
      </c>
      <c r="F8" s="26"/>
    </row>
    <row r="12" spans="1:6" ht="26.1" customHeight="1">
      <c r="A12" s="32" t="s">
        <v>8</v>
      </c>
      <c r="B12" s="26"/>
      <c r="C12" s="26"/>
      <c r="D12" s="26"/>
      <c r="E12" s="26"/>
      <c r="F12" s="26"/>
    </row>
    <row r="13" spans="1:6" ht="21.95" customHeight="1">
      <c r="A13" s="2" t="s">
        <v>9</v>
      </c>
      <c r="B13" s="2" t="s">
        <v>10</v>
      </c>
      <c r="C13" s="2" t="s">
        <v>11</v>
      </c>
      <c r="D13" s="2" t="s">
        <v>12</v>
      </c>
    </row>
    <row r="14" spans="1:6" ht="21.95" customHeight="1">
      <c r="A14" s="3" t="str">
        <f>IFERROR(INDEX('الرصيد الحالي'!$A$2:$A$320,MATCH(1,'الرصيد الحالي'!$F$2:$F$320,0)),"")</f>
        <v>غليسيرين</v>
      </c>
      <c r="B14" s="4">
        <f>IF($A14="","",IFERROR(INDEX('الرصيد الحالي'!$C$2:$C$320,MATCH($A14,'الرصيد الحالي'!$A$2:$A$320,0)),""))</f>
        <v>-5</v>
      </c>
      <c r="C14" s="5" t="str">
        <f>IF($A14="","",IFERROR(INDEX('الرصيد الحالي'!$B$2:$B$320,MATCH($A14,'الرصيد الحالي'!$A$2:$A$320,0)),""))</f>
        <v>كغ</v>
      </c>
      <c r="D14" s="5" t="str">
        <f>IF($A14="","",IFERROR(INDEX('الرصيد الحالي'!$E$2:$E$320,MATCH($A14,'الرصيد الحالي'!$A$2:$A$320,0)),""))</f>
        <v>❌ رصيد سالب - يحتاج مراجعة</v>
      </c>
    </row>
    <row r="15" spans="1:6" ht="21.95" customHeight="1">
      <c r="A15" s="3" t="str">
        <f>IFERROR(INDEX('الرصيد الحالي'!$A$2:$A$320,MATCH(2,'الرصيد الحالي'!$F$2:$F$320,0)),"")</f>
        <v>عطر-رمان apple grandada - 322730</v>
      </c>
      <c r="B15" s="4">
        <f>IF($A15="","",IFERROR(INDEX('الرصيد الحالي'!$C$2:$C$320,MATCH($A15,'الرصيد الحالي'!$A$2:$A$320,0)),""))</f>
        <v>-1.34</v>
      </c>
      <c r="C15" s="5" t="str">
        <f>IF($A15="","",IFERROR(INDEX('الرصيد الحالي'!$B$2:$B$320,MATCH($A15,'الرصيد الحالي'!$A$2:$A$320,0)),""))</f>
        <v>كغ</v>
      </c>
      <c r="D15" s="5" t="str">
        <f>IF($A15="","",IFERROR(INDEX('الرصيد الحالي'!$E$2:$E$320,MATCH($A15,'الرصيد الحالي'!$A$2:$A$320,0)),""))</f>
        <v>❌ رصيد سالب - يحتاج مراجعة</v>
      </c>
    </row>
    <row r="16" spans="1:6" ht="21.95" customHeight="1">
      <c r="A16" s="3" t="str">
        <f>IFERROR(INDEX('الرصيد الحالي'!$A$2:$A$320,MATCH(3,'الرصيد الحالي'!$F$2:$F$320,0)),"")</f>
        <v>صبغة</v>
      </c>
      <c r="B16" s="4">
        <f>IF($A16="","",IFERROR(INDEX('الرصيد الحالي'!$C$2:$C$320,MATCH($A16,'الرصيد الحالي'!$A$2:$A$320,0)),""))</f>
        <v>-25</v>
      </c>
      <c r="C16" s="5" t="str">
        <f>IF($A16="","",IFERROR(INDEX('الرصيد الحالي'!$B$2:$B$320,MATCH($A16,'الرصيد الحالي'!$A$2:$A$320,0)),""))</f>
        <v>كغ</v>
      </c>
      <c r="D16" s="5" t="str">
        <f>IF($A16="","",IFERROR(INDEX('الرصيد الحالي'!$E$2:$E$320,MATCH($A16,'الرصيد الحالي'!$A$2:$A$320,0)),""))</f>
        <v>❌ رصيد سالب - يحتاج مراجعة</v>
      </c>
    </row>
    <row r="17" spans="1:6" ht="21.95" customHeight="1">
      <c r="A17" s="3" t="str">
        <f>IFERROR(INDEX('الرصيد الحالي'!$A$2:$A$320,MATCH(4,'الرصيد الحالي'!$F$2:$F$320,0)),"")</f>
        <v/>
      </c>
      <c r="B17" s="4" t="str">
        <f>IF($A17="","",IFERROR(INDEX('الرصيد الحالي'!$C$2:$C$320,MATCH($A17,'الرصيد الحالي'!$A$2:$A$320,0)),""))</f>
        <v/>
      </c>
      <c r="C17" s="5" t="str">
        <f>IF($A17="","",IFERROR(INDEX('الرصيد الحالي'!$B$2:$B$320,MATCH($A17,'الرصيد الحالي'!$A$2:$A$320,0)),""))</f>
        <v/>
      </c>
      <c r="D17" s="5" t="str">
        <f>IF($A17="","",IFERROR(INDEX('الرصيد الحالي'!$E$2:$E$320,MATCH($A17,'الرصيد الحالي'!$A$2:$A$320,0)),""))</f>
        <v/>
      </c>
    </row>
    <row r="18" spans="1:6" ht="21.95" customHeight="1">
      <c r="A18" s="3" t="str">
        <f>IFERROR(INDEX('الرصيد الحالي'!$A$2:$A$320,MATCH(5,'الرصيد الحالي'!$F$2:$F$320,0)),"")</f>
        <v/>
      </c>
      <c r="B18" s="4" t="str">
        <f>IF($A18="","",IFERROR(INDEX('الرصيد الحالي'!$C$2:$C$320,MATCH($A18,'الرصيد الحالي'!$A$2:$A$320,0)),""))</f>
        <v/>
      </c>
      <c r="C18" s="5" t="str">
        <f>IF($A18="","",IFERROR(INDEX('الرصيد الحالي'!$B$2:$B$320,MATCH($A18,'الرصيد الحالي'!$A$2:$A$320,0)),""))</f>
        <v/>
      </c>
      <c r="D18" s="5" t="str">
        <f>IF($A18="","",IFERROR(INDEX('الرصيد الحالي'!$E$2:$E$320,MATCH($A18,'الرصيد الحالي'!$A$2:$A$320,0)),""))</f>
        <v/>
      </c>
    </row>
    <row r="19" spans="1:6" ht="21.95" customHeight="1">
      <c r="A19" s="3" t="str">
        <f>IFERROR(INDEX('الرصيد الحالي'!$A$2:$A$320,MATCH(6,'الرصيد الحالي'!$F$2:$F$320,0)),"")</f>
        <v/>
      </c>
      <c r="B19" s="4" t="str">
        <f>IF($A19="","",IFERROR(INDEX('الرصيد الحالي'!$C$2:$C$320,MATCH($A19,'الرصيد الحالي'!$A$2:$A$320,0)),""))</f>
        <v/>
      </c>
      <c r="C19" s="5" t="str">
        <f>IF($A19="","",IFERROR(INDEX('الرصيد الحالي'!$B$2:$B$320,MATCH($A19,'الرصيد الحالي'!$A$2:$A$320,0)),""))</f>
        <v/>
      </c>
      <c r="D19" s="5" t="str">
        <f>IF($A19="","",IFERROR(INDEX('الرصيد الحالي'!$E$2:$E$320,MATCH($A19,'الرصيد الحالي'!$A$2:$A$320,0)),""))</f>
        <v/>
      </c>
    </row>
    <row r="20" spans="1:6" ht="21.95" customHeight="1">
      <c r="A20" s="3" t="str">
        <f>IFERROR(INDEX('الرصيد الحالي'!$A$2:$A$320,MATCH(7,'الرصيد الحالي'!$F$2:$F$320,0)),"")</f>
        <v/>
      </c>
      <c r="B20" s="4" t="str">
        <f>IF($A20="","",IFERROR(INDEX('الرصيد الحالي'!$C$2:$C$320,MATCH($A20,'الرصيد الحالي'!$A$2:$A$320,0)),""))</f>
        <v/>
      </c>
      <c r="C20" s="5" t="str">
        <f>IF($A20="","",IFERROR(INDEX('الرصيد الحالي'!$B$2:$B$320,MATCH($A20,'الرصيد الحالي'!$A$2:$A$320,0)),""))</f>
        <v/>
      </c>
      <c r="D20" s="5" t="str">
        <f>IF($A20="","",IFERROR(INDEX('الرصيد الحالي'!$E$2:$E$320,MATCH($A20,'الرصيد الحالي'!$A$2:$A$320,0)),""))</f>
        <v/>
      </c>
    </row>
    <row r="21" spans="1:6" ht="21.95" customHeight="1">
      <c r="A21" s="3" t="str">
        <f>IFERROR(INDEX('الرصيد الحالي'!$A$2:$A$320,MATCH(8,'الرصيد الحالي'!$F$2:$F$320,0)),"")</f>
        <v/>
      </c>
      <c r="B21" s="4" t="str">
        <f>IF($A21="","",IFERROR(INDEX('الرصيد الحالي'!$C$2:$C$320,MATCH($A21,'الرصيد الحالي'!$A$2:$A$320,0)),""))</f>
        <v/>
      </c>
      <c r="C21" s="5" t="str">
        <f>IF($A21="","",IFERROR(INDEX('الرصيد الحالي'!$B$2:$B$320,MATCH($A21,'الرصيد الحالي'!$A$2:$A$320,0)),""))</f>
        <v/>
      </c>
      <c r="D21" s="5" t="str">
        <f>IF($A21="","",IFERROR(INDEX('الرصيد الحالي'!$E$2:$E$320,MATCH($A21,'الرصيد الحالي'!$A$2:$A$320,0)),""))</f>
        <v/>
      </c>
    </row>
    <row r="22" spans="1:6" ht="21.95" customHeight="1">
      <c r="A22" s="3" t="str">
        <f>IFERROR(INDEX('الرصيد الحالي'!$A$2:$A$320,MATCH(9,'الرصيد الحالي'!$F$2:$F$320,0)),"")</f>
        <v/>
      </c>
      <c r="B22" s="4" t="str">
        <f>IF($A22="","",IFERROR(INDEX('الرصيد الحالي'!$C$2:$C$320,MATCH($A22,'الرصيد الحالي'!$A$2:$A$320,0)),""))</f>
        <v/>
      </c>
      <c r="C22" s="5" t="str">
        <f>IF($A22="","",IFERROR(INDEX('الرصيد الحالي'!$B$2:$B$320,MATCH($A22,'الرصيد الحالي'!$A$2:$A$320,0)),""))</f>
        <v/>
      </c>
      <c r="D22" s="5" t="str">
        <f>IF($A22="","",IFERROR(INDEX('الرصيد الحالي'!$E$2:$E$320,MATCH($A22,'الرصيد الحالي'!$A$2:$A$320,0)),""))</f>
        <v/>
      </c>
    </row>
    <row r="23" spans="1:6" ht="21.95" customHeight="1">
      <c r="A23" s="3" t="str">
        <f>IFERROR(INDEX('الرصيد الحالي'!$A$2:$A$320,MATCH(10,'الرصيد الحالي'!$F$2:$F$320,0)),"")</f>
        <v/>
      </c>
      <c r="B23" s="4" t="str">
        <f>IF($A23="","",IFERROR(INDEX('الرصيد الحالي'!$C$2:$C$320,MATCH($A23,'الرصيد الحالي'!$A$2:$A$320,0)),""))</f>
        <v/>
      </c>
      <c r="C23" s="5" t="str">
        <f>IF($A23="","",IFERROR(INDEX('الرصيد الحالي'!$B$2:$B$320,MATCH($A23,'الرصيد الحالي'!$A$2:$A$320,0)),""))</f>
        <v/>
      </c>
      <c r="D23" s="5" t="str">
        <f>IF($A23="","",IFERROR(INDEX('الرصيد الحالي'!$E$2:$E$320,MATCH($A23,'الرصيد الحالي'!$A$2:$A$320,0)),""))</f>
        <v/>
      </c>
    </row>
    <row r="24" spans="1:6" ht="21.95" customHeight="1">
      <c r="A24" s="3" t="str">
        <f>IFERROR(INDEX('الرصيد الحالي'!$A$2:$A$320,MATCH(11,'الرصيد الحالي'!$F$2:$F$320,0)),"")</f>
        <v/>
      </c>
      <c r="B24" s="4" t="str">
        <f>IF($A24="","",IFERROR(INDEX('الرصيد الحالي'!$C$2:$C$320,MATCH($A24,'الرصيد الحالي'!$A$2:$A$320,0)),""))</f>
        <v/>
      </c>
      <c r="C24" s="5" t="str">
        <f>IF($A24="","",IFERROR(INDEX('الرصيد الحالي'!$B$2:$B$320,MATCH($A24,'الرصيد الحالي'!$A$2:$A$320,0)),""))</f>
        <v/>
      </c>
      <c r="D24" s="5" t="str">
        <f>IF($A24="","",IFERROR(INDEX('الرصيد الحالي'!$E$2:$E$320,MATCH($A24,'الرصيد الحالي'!$A$2:$A$320,0)),""))</f>
        <v/>
      </c>
    </row>
    <row r="25" spans="1:6" ht="21.95" customHeight="1">
      <c r="A25" s="3" t="str">
        <f>IFERROR(INDEX('الرصيد الحالي'!$A$2:$A$320,MATCH(12,'الرصيد الحالي'!$F$2:$F$320,0)),"")</f>
        <v/>
      </c>
      <c r="B25" s="4" t="str">
        <f>IF($A25="","",IFERROR(INDEX('الرصيد الحالي'!$C$2:$C$320,MATCH($A25,'الرصيد الحالي'!$A$2:$A$320,0)),""))</f>
        <v/>
      </c>
      <c r="C25" s="5" t="str">
        <f>IF($A25="","",IFERROR(INDEX('الرصيد الحالي'!$B$2:$B$320,MATCH($A25,'الرصيد الحالي'!$A$2:$A$320,0)),""))</f>
        <v/>
      </c>
      <c r="D25" s="5" t="str">
        <f>IF($A25="","",IFERROR(INDEX('الرصيد الحالي'!$E$2:$E$320,MATCH($A25,'الرصيد الحالي'!$A$2:$A$320,0)),""))</f>
        <v/>
      </c>
    </row>
    <row r="26" spans="1:6" ht="21.95" customHeight="1">
      <c r="A26" s="3" t="str">
        <f>IFERROR(INDEX('الرصيد الحالي'!$A$2:$A$320,MATCH(13,'الرصيد الحالي'!$F$2:$F$320,0)),"")</f>
        <v/>
      </c>
      <c r="B26" s="4" t="str">
        <f>IF($A26="","",IFERROR(INDEX('الرصيد الحالي'!$C$2:$C$320,MATCH($A26,'الرصيد الحالي'!$A$2:$A$320,0)),""))</f>
        <v/>
      </c>
      <c r="C26" s="5" t="str">
        <f>IF($A26="","",IFERROR(INDEX('الرصيد الحالي'!$B$2:$B$320,MATCH($A26,'الرصيد الحالي'!$A$2:$A$320,0)),""))</f>
        <v/>
      </c>
      <c r="D26" s="5" t="str">
        <f>IF($A26="","",IFERROR(INDEX('الرصيد الحالي'!$E$2:$E$320,MATCH($A26,'الرصيد الحالي'!$A$2:$A$320,0)),""))</f>
        <v/>
      </c>
    </row>
    <row r="27" spans="1:6" ht="21.95" customHeight="1">
      <c r="A27" s="3" t="str">
        <f>IFERROR(INDEX('الرصيد الحالي'!$A$2:$A$320,MATCH(14,'الرصيد الحالي'!$F$2:$F$320,0)),"")</f>
        <v/>
      </c>
      <c r="B27" s="4" t="str">
        <f>IF($A27="","",IFERROR(INDEX('الرصيد الحالي'!$C$2:$C$320,MATCH($A27,'الرصيد الحالي'!$A$2:$A$320,0)),""))</f>
        <v/>
      </c>
      <c r="C27" s="5" t="str">
        <f>IF($A27="","",IFERROR(INDEX('الرصيد الحالي'!$B$2:$B$320,MATCH($A27,'الرصيد الحالي'!$A$2:$A$320,0)),""))</f>
        <v/>
      </c>
      <c r="D27" s="5" t="str">
        <f>IF($A27="","",IFERROR(INDEX('الرصيد الحالي'!$E$2:$E$320,MATCH($A27,'الرصيد الحالي'!$A$2:$A$320,0)),""))</f>
        <v/>
      </c>
    </row>
    <row r="28" spans="1:6" ht="21.95" customHeight="1">
      <c r="A28" s="3" t="str">
        <f>IFERROR(INDEX('الرصيد الحالي'!$A$2:$A$320,MATCH(15,'الرصيد الحالي'!$F$2:$F$320,0)),"")</f>
        <v/>
      </c>
      <c r="B28" s="4" t="str">
        <f>IF($A28="","",IFERROR(INDEX('الرصيد الحالي'!$C$2:$C$320,MATCH($A28,'الرصيد الحالي'!$A$2:$A$320,0)),""))</f>
        <v/>
      </c>
      <c r="C28" s="5" t="str">
        <f>IF($A28="","",IFERROR(INDEX('الرصيد الحالي'!$B$2:$B$320,MATCH($A28,'الرصيد الحالي'!$A$2:$A$320,0)),""))</f>
        <v/>
      </c>
      <c r="D28" s="5" t="str">
        <f>IF($A28="","",IFERROR(INDEX('الرصيد الحالي'!$E$2:$E$320,MATCH($A28,'الرصيد الحالي'!$A$2:$A$320,0)),""))</f>
        <v/>
      </c>
    </row>
    <row r="30" spans="1:6" ht="26.1" customHeight="1">
      <c r="A30" s="32" t="s">
        <v>13</v>
      </c>
      <c r="B30" s="26"/>
      <c r="C30" s="26"/>
      <c r="D30" s="32" t="s">
        <v>14</v>
      </c>
      <c r="E30" s="26"/>
      <c r="F30" s="26"/>
    </row>
    <row r="31" spans="1:6" ht="21.95" customHeight="1">
      <c r="A31" s="2" t="s">
        <v>9</v>
      </c>
      <c r="B31" s="2" t="s">
        <v>15</v>
      </c>
      <c r="C31" s="2" t="s">
        <v>11</v>
      </c>
      <c r="D31" s="2" t="s">
        <v>16</v>
      </c>
      <c r="E31" s="2" t="s">
        <v>17</v>
      </c>
      <c r="F31" s="2"/>
    </row>
    <row r="32" spans="1:6" ht="21.95" customHeight="1">
      <c r="A32" s="3" t="str">
        <f>IFERROR(INDEX(قوائم!$A$2:$A$320,MATCH(LARGE(قوائم!$F$2:$F$320,1),قوائم!$F$2:$F$320,0)),"")</f>
        <v/>
      </c>
      <c r="B32" s="4" t="str">
        <f>IFERROR(LARGE(قوائم!$F$2:$F$320,1),"")</f>
        <v/>
      </c>
      <c r="C32" s="5" t="str">
        <f>IF($A32="","",IFERROR(INDEX(المواد!$B$2:$B$319,MATCH($A32,المواد!$A$2:$A$319,0)),""))</f>
        <v/>
      </c>
      <c r="D32" s="3" t="str">
        <f>IFERROR(INDEX(قوائم!$B$2:$B$150,MATCH(LARGE(قوائم!$D$2:$D$150,1),قوائم!$D$2:$D$150,0)),"")</f>
        <v>لودلين فريز أول</v>
      </c>
      <c r="E32" s="6">
        <f>IFERROR(LARGE(قوائم!$D$2:$D$150,1),"")</f>
        <v>1</v>
      </c>
      <c r="F32" s="7"/>
    </row>
    <row r="33" spans="1:6" ht="21.95" customHeight="1">
      <c r="A33" s="3" t="str">
        <f>IFERROR(INDEX(قوائم!$A$2:$A$320,MATCH(LARGE(قوائم!$F$2:$F$320,2),قوائم!$F$2:$F$320,0)),"")</f>
        <v/>
      </c>
      <c r="B33" s="4" t="str">
        <f>IFERROR(LARGE(قوائم!$F$2:$F$320,2),"")</f>
        <v/>
      </c>
      <c r="C33" s="5" t="str">
        <f>IF($A33="","",IFERROR(INDEX(المواد!$B$2:$B$319,MATCH($A33,المواد!$A$2:$A$319,0)),""))</f>
        <v/>
      </c>
      <c r="D33" s="3" t="str">
        <f>IFERROR(INDEX(قوائم!$B$2:$B$150,MATCH(LARGE(قوائم!$D$2:$D$150,2),قوائم!$D$2:$D$150,0)),"")</f>
        <v>دوا غسيل بودرا 157 كغ - ببوري</v>
      </c>
      <c r="E33" s="6">
        <f>IFERROR(LARGE(قوائم!$D$2:$D$150,2),"")</f>
        <v>0</v>
      </c>
      <c r="F33" s="7"/>
    </row>
    <row r="34" spans="1:6" ht="21.95" customHeight="1">
      <c r="A34" s="3" t="str">
        <f>IFERROR(INDEX(قوائم!$A$2:$A$320,MATCH(LARGE(قوائم!$F$2:$F$320,3),قوائم!$F$2:$F$320,0)),"")</f>
        <v/>
      </c>
      <c r="B34" s="4" t="str">
        <f>IFERROR(LARGE(قوائم!$F$2:$F$320,3),"")</f>
        <v/>
      </c>
      <c r="C34" s="5" t="str">
        <f>IF($A34="","",IFERROR(INDEX(المواد!$B$2:$B$319,MATCH($A34,المواد!$A$2:$A$319,0)),""))</f>
        <v/>
      </c>
      <c r="D34" s="3" t="str">
        <f>IFERROR(INDEX(قوائم!$B$2:$B$150,MATCH(LARGE(قوائم!$D$2:$D$150,3),قوائم!$D$2:$D$150,0)),"")</f>
        <v>دوا غسيل بودرا 157 كغ - ببوري</v>
      </c>
      <c r="E34" s="6">
        <f>IFERROR(LARGE(قوائم!$D$2:$D$150,3),"")</f>
        <v>0</v>
      </c>
      <c r="F34" s="7"/>
    </row>
    <row r="35" spans="1:6" ht="21.95" customHeight="1">
      <c r="A35" s="3" t="str">
        <f>IFERROR(INDEX(قوائم!$A$2:$A$320,MATCH(LARGE(قوائم!$F$2:$F$320,4),قوائم!$F$2:$F$320,0)),"")</f>
        <v/>
      </c>
      <c r="B35" s="4" t="str">
        <f>IFERROR(LARGE(قوائم!$F$2:$F$320,4),"")</f>
        <v/>
      </c>
      <c r="C35" s="5" t="str">
        <f>IF($A35="","",IFERROR(INDEX(المواد!$B$2:$B$319,MATCH($A35,المواد!$A$2:$A$319,0)),""))</f>
        <v/>
      </c>
      <c r="D35" s="3" t="str">
        <f>IFERROR(INDEX(قوائم!$B$2:$B$150,MATCH(LARGE(قوائم!$D$2:$D$150,4),قوائم!$D$2:$D$150,0)),"")</f>
        <v>دوا غسيل بودرا 157 كغ - ببوري</v>
      </c>
      <c r="E35" s="6">
        <f>IFERROR(LARGE(قوائم!$D$2:$D$150,4),"")</f>
        <v>0</v>
      </c>
      <c r="F35" s="7"/>
    </row>
    <row r="36" spans="1:6" ht="21.95" customHeight="1">
      <c r="A36" s="3" t="str">
        <f>IFERROR(INDEX(قوائم!$A$2:$A$320,MATCH(LARGE(قوائم!$F$2:$F$320,5),قوائم!$F$2:$F$320,0)),"")</f>
        <v/>
      </c>
      <c r="B36" s="4" t="str">
        <f>IFERROR(LARGE(قوائم!$F$2:$F$320,5),"")</f>
        <v/>
      </c>
      <c r="C36" s="5" t="str">
        <f>IF($A36="","",IFERROR(INDEX(المواد!$B$2:$B$319,MATCH($A36,المواد!$A$2:$A$319,0)),""))</f>
        <v/>
      </c>
      <c r="D36" s="3" t="str">
        <f>IFERROR(INDEX(قوائم!$B$2:$B$150,MATCH(LARGE(قوائم!$D$2:$D$150,5),قوائم!$D$2:$D$150,0)),"")</f>
        <v>دوا غسيل بودرا 157 كغ - ببوري</v>
      </c>
      <c r="E36" s="6">
        <f>IFERROR(LARGE(قوائم!$D$2:$D$150,5),"")</f>
        <v>0</v>
      </c>
      <c r="F36" s="7"/>
    </row>
    <row r="38" spans="1:6" ht="26.1" customHeight="1">
      <c r="A38" s="32" t="s">
        <v>18</v>
      </c>
      <c r="B38" s="26"/>
      <c r="C38" s="26"/>
      <c r="D38" s="32" t="s">
        <v>19</v>
      </c>
      <c r="E38" s="26"/>
      <c r="F38" s="26"/>
    </row>
    <row r="39" spans="1:6" ht="21.95" customHeight="1">
      <c r="A39" s="2" t="s">
        <v>20</v>
      </c>
      <c r="B39" s="2" t="s">
        <v>21</v>
      </c>
      <c r="C39" s="2" t="s">
        <v>22</v>
      </c>
      <c r="D39" s="2" t="s">
        <v>20</v>
      </c>
      <c r="E39" s="2" t="s">
        <v>23</v>
      </c>
      <c r="F39" s="2"/>
    </row>
    <row r="40" spans="1:6" ht="21.95" customHeight="1">
      <c r="A40" s="8">
        <f>IF((COUNTA(الإدخالات!$C$2:$C$501)-0)&lt;1,"",INDEX(الإدخالات!$B$2:$B$501,COUNTA(الإدخالات!$C$2:$C$501)-0))</f>
        <v>46218</v>
      </c>
      <c r="B40" s="3" t="str">
        <f>IF((COUNTA(الإدخالات!$C$2:$C$501)-0)&lt;1,"",INDEX(الإدخالات!$C$2:$C$501,COUNTA(الإدخالات!$C$2:$C$501)-0))</f>
        <v>أسيد 1 لتر</v>
      </c>
      <c r="C40" s="4">
        <f>IF((COUNTA(الإدخالات!$C$2:$C$501)-0)&lt;1,"",INDEX(الإدخالات!$D$2:$D$501,COUNTA(الإدخالات!$C$2:$C$501)-0))</f>
        <v>0</v>
      </c>
      <c r="D40" s="8">
        <f>IF((COUNTA('سجل الإنتاج'!$C$2:$C$501)-0)&lt;1,"",INDEX('سجل الإنتاج'!$B$2:$B$501,COUNTA('سجل الإنتاج'!$C$2:$C$501)-0))</f>
        <v>46225</v>
      </c>
      <c r="E40" s="3" t="str">
        <f>IF((COUNTA('سجل الإنتاج'!$C$2:$C$501)-0)&lt;1,"",INDEX('سجل الإنتاج'!$C$2:$C$501,COUNTA('سجل الإنتاج'!$C$2:$C$501)-0))</f>
        <v>لودلين فريز أول</v>
      </c>
      <c r="F40" s="7"/>
    </row>
    <row r="41" spans="1:6" ht="21.95" customHeight="1">
      <c r="A41" s="8">
        <f>IF((COUNTA(الإدخالات!$C$2:$C$501)-1)&lt;1,"",INDEX(الإدخالات!$B$2:$B$501,COUNTA(الإدخالات!$C$2:$C$501)-1))</f>
        <v>46218</v>
      </c>
      <c r="B41" s="3" t="str">
        <f>IF((COUNTA(الإدخالات!$C$2:$C$501)-1)&lt;1,"",INDEX(الإدخالات!$C$2:$C$501,COUNTA(الإدخالات!$C$2:$C$501)-1))</f>
        <v>أسيد 3 لتر</v>
      </c>
      <c r="C41" s="4">
        <f>IF((COUNTA(الإدخالات!$C$2:$C$501)-1)&lt;1,"",INDEX(الإدخالات!$D$2:$D$501,COUNTA(الإدخالات!$C$2:$C$501)-1))</f>
        <v>0</v>
      </c>
      <c r="D41" s="8" t="str">
        <f>IF((COUNTA('سجل الإنتاج'!$C$2:$C$501)-1)&lt;1,"",INDEX('سجل الإنتاج'!$B$2:$B$501,COUNTA('سجل الإنتاج'!$C$2:$C$501)-1))</f>
        <v/>
      </c>
      <c r="E41" s="3" t="str">
        <f>IF((COUNTA('سجل الإنتاج'!$C$2:$C$501)-1)&lt;1,"",INDEX('سجل الإنتاج'!$C$2:$C$501,COUNTA('سجل الإنتاج'!$C$2:$C$501)-1))</f>
        <v/>
      </c>
      <c r="F41" s="7"/>
    </row>
    <row r="42" spans="1:6" ht="21.95" customHeight="1">
      <c r="A42" s="8">
        <f>IF((COUNTA(الإدخالات!$C$2:$C$501)-2)&lt;1,"",INDEX(الإدخالات!$B$2:$B$501,COUNTA(الإدخالات!$C$2:$C$501)-2))</f>
        <v>46218</v>
      </c>
      <c r="B42" s="3" t="str">
        <f>IF((COUNTA(الإدخالات!$C$2:$C$501)-2)&lt;1,"",INDEX(الإدخالات!$C$2:$C$501,COUNTA(الإدخالات!$C$2:$C$501)-2))</f>
        <v>اسيد 3 لتر</v>
      </c>
      <c r="C42" s="4">
        <f>IF((COUNTA(الإدخالات!$C$2:$C$501)-2)&lt;1,"",INDEX(الإدخالات!$D$2:$D$501,COUNTA(الإدخالات!$C$2:$C$501)-2))</f>
        <v>0</v>
      </c>
      <c r="D42" s="8" t="str">
        <f>IF((COUNTA('سجل الإنتاج'!$C$2:$C$501)-2)&lt;1,"",INDEX('سجل الإنتاج'!$B$2:$B$501,COUNTA('سجل الإنتاج'!$C$2:$C$501)-2))</f>
        <v/>
      </c>
      <c r="E42" s="3" t="str">
        <f>IF((COUNTA('سجل الإنتاج'!$C$2:$C$501)-2)&lt;1,"",INDEX('سجل الإنتاج'!$C$2:$C$501,COUNTA('سجل الإنتاج'!$C$2:$C$501)-2))</f>
        <v/>
      </c>
      <c r="F42" s="7"/>
    </row>
    <row r="43" spans="1:6" ht="21.95" customHeight="1">
      <c r="A43" s="8">
        <f>IF((COUNTA(الإدخالات!$C$2:$C$501)-3)&lt;1,"",INDEX(الإدخالات!$B$2:$B$501,COUNTA(الإدخالات!$C$2:$C$501)-3))</f>
        <v>46218</v>
      </c>
      <c r="B43" s="3" t="str">
        <f>IF((COUNTA(الإدخالات!$C$2:$C$501)-3)&lt;1,"",INDEX(الإدخالات!$C$2:$C$501,COUNTA(الإدخالات!$C$2:$C$501)-3))</f>
        <v xml:space="preserve">اقراص كلور </v>
      </c>
      <c r="C43" s="4">
        <f>IF((COUNTA(الإدخالات!$C$2:$C$501)-3)&lt;1,"",INDEX(الإدخالات!$D$2:$D$501,COUNTA(الإدخالات!$C$2:$C$501)-3))</f>
        <v>0</v>
      </c>
      <c r="D43" s="8" t="str">
        <f>IF((COUNTA('سجل الإنتاج'!$C$2:$C$501)-3)&lt;1,"",INDEX('سجل الإنتاج'!$B$2:$B$501,COUNTA('سجل الإنتاج'!$C$2:$C$501)-3))</f>
        <v/>
      </c>
      <c r="E43" s="3" t="str">
        <f>IF((COUNTA('سجل الإنتاج'!$C$2:$C$501)-3)&lt;1,"",INDEX('سجل الإنتاج'!$C$2:$C$501,COUNTA('سجل الإنتاج'!$C$2:$C$501)-3))</f>
        <v/>
      </c>
      <c r="F43" s="7"/>
    </row>
    <row r="44" spans="1:6" ht="21.95" customHeight="1">
      <c r="A44" s="8">
        <f>IF((COUNTA(الإدخالات!$C$2:$C$501)-4)&lt;1,"",INDEX(الإدخالات!$B$2:$B$501,COUNTA(الإدخالات!$C$2:$C$501)-4))</f>
        <v>46218</v>
      </c>
      <c r="B44" s="3" t="str">
        <f>IF((COUNTA(الإدخالات!$C$2:$C$501)-4)&lt;1,"",INDEX(الإدخالات!$C$2:$C$501,COUNTA(الإدخالات!$C$2:$C$501)-4))</f>
        <v>برميل تكسبون فارغ</v>
      </c>
      <c r="C44" s="4">
        <f>IF((COUNTA(الإدخالات!$C$2:$C$501)-4)&lt;1,"",INDEX(الإدخالات!$D$2:$D$501,COUNTA(الإدخالات!$C$2:$C$501)-4))</f>
        <v>0</v>
      </c>
      <c r="D44" s="8" t="str">
        <f>IF((COUNTA('سجل الإنتاج'!$C$2:$C$501)-4)&lt;1,"",INDEX('سجل الإنتاج'!$B$2:$B$501,COUNTA('سجل الإنتاج'!$C$2:$C$501)-4))</f>
        <v/>
      </c>
      <c r="E44" s="3" t="str">
        <f>IF((COUNTA('سجل الإنتاج'!$C$2:$C$501)-4)&lt;1,"",INDEX('سجل الإنتاج'!$C$2:$C$501,COUNTA('سجل الإنتاج'!$C$2:$C$501)-4))</f>
        <v/>
      </c>
      <c r="F44" s="7"/>
    </row>
    <row r="46" spans="1:6" ht="26.1" customHeight="1">
      <c r="A46" s="32" t="s">
        <v>24</v>
      </c>
      <c r="B46" s="26"/>
      <c r="C46" s="26"/>
    </row>
    <row r="47" spans="1:6" ht="21.95" customHeight="1">
      <c r="A47" s="2" t="s">
        <v>20</v>
      </c>
      <c r="B47" s="2" t="s">
        <v>21</v>
      </c>
      <c r="C47" s="2" t="s">
        <v>22</v>
      </c>
    </row>
    <row r="48" spans="1:6" ht="21.95" customHeight="1">
      <c r="A48" s="8">
        <f>IF((COUNTA('الصرف المباشر'!$C$2:$C$501)-0)&lt;1,"",INDEX('الصرف المباشر'!$B$2:$B$501,COUNTA('الصرف المباشر'!$C$2:$C$501)-0))</f>
        <v>46225</v>
      </c>
      <c r="B48" s="3" t="str">
        <f>IF((COUNTA('الصرف المباشر'!$C$2:$C$501)-0)&lt;1,"",INDEX('الصرف المباشر'!$C$2:$C$501,COUNTA('الصرف المباشر'!$C$2:$C$501)-0))</f>
        <v>ملح</v>
      </c>
      <c r="C48" s="4">
        <f>IF((COUNTA('الصرف المباشر'!$C$2:$C$501)-0)&lt;1,"",INDEX('الصرف المباشر'!$D$2:$D$501,COUNTA('الصرف المباشر'!$C$2:$C$501)-0))</f>
        <v>10</v>
      </c>
    </row>
    <row r="49" spans="1:3" ht="21.95" customHeight="1">
      <c r="A49" s="8" t="str">
        <f>IF((COUNTA('الصرف المباشر'!$C$2:$C$501)-1)&lt;1,"",INDEX('الصرف المباشر'!$B$2:$B$501,COUNTA('الصرف المباشر'!$C$2:$C$501)-1))</f>
        <v/>
      </c>
      <c r="B49" s="3" t="str">
        <f>IF((COUNTA('الصرف المباشر'!$C$2:$C$501)-1)&lt;1,"",INDEX('الصرف المباشر'!$C$2:$C$501,COUNTA('الصرف المباشر'!$C$2:$C$501)-1))</f>
        <v/>
      </c>
      <c r="C49" s="4" t="str">
        <f>IF((COUNTA('الصرف المباشر'!$C$2:$C$501)-1)&lt;1,"",INDEX('الصرف المباشر'!$D$2:$D$501,COUNTA('الصرف المباشر'!$C$2:$C$501)-1))</f>
        <v/>
      </c>
    </row>
    <row r="50" spans="1:3" ht="21.95" customHeight="1">
      <c r="A50" s="8" t="str">
        <f>IF((COUNTA('الصرف المباشر'!$C$2:$C$501)-2)&lt;1,"",INDEX('الصرف المباشر'!$B$2:$B$501,COUNTA('الصرف المباشر'!$C$2:$C$501)-2))</f>
        <v/>
      </c>
      <c r="B50" s="3" t="str">
        <f>IF((COUNTA('الصرف المباشر'!$C$2:$C$501)-2)&lt;1,"",INDEX('الصرف المباشر'!$C$2:$C$501,COUNTA('الصرف المباشر'!$C$2:$C$501)-2))</f>
        <v/>
      </c>
      <c r="C50" s="4" t="str">
        <f>IF((COUNTA('الصرف المباشر'!$C$2:$C$501)-2)&lt;1,"",INDEX('الصرف المباشر'!$D$2:$D$501,COUNTA('الصرف المباشر'!$C$2:$C$501)-2))</f>
        <v/>
      </c>
    </row>
    <row r="51" spans="1:3" ht="21.95" customHeight="1">
      <c r="A51" s="8" t="str">
        <f>IF((COUNTA('الصرف المباشر'!$C$2:$C$501)-3)&lt;1,"",INDEX('الصرف المباشر'!$B$2:$B$501,COUNTA('الصرف المباشر'!$C$2:$C$501)-3))</f>
        <v/>
      </c>
      <c r="B51" s="3" t="str">
        <f>IF((COUNTA('الصرف المباشر'!$C$2:$C$501)-3)&lt;1,"",INDEX('الصرف المباشر'!$C$2:$C$501,COUNTA('الصرف المباشر'!$C$2:$C$501)-3))</f>
        <v/>
      </c>
      <c r="C51" s="4" t="str">
        <f>IF((COUNTA('الصرف المباشر'!$C$2:$C$501)-3)&lt;1,"",INDEX('الصرف المباشر'!$D$2:$D$501,COUNTA('الصرف المباشر'!$C$2:$C$501)-3))</f>
        <v/>
      </c>
    </row>
    <row r="52" spans="1:3" ht="21.95" customHeight="1">
      <c r="A52" s="8" t="str">
        <f>IF((COUNTA('الصرف المباشر'!$C$2:$C$501)-4)&lt;1,"",INDEX('الصرف المباشر'!$B$2:$B$501,COUNTA('الصرف المباشر'!$C$2:$C$501)-4))</f>
        <v/>
      </c>
      <c r="B52" s="3" t="str">
        <f>IF((COUNTA('الصرف المباشر'!$C$2:$C$501)-4)&lt;1,"",INDEX('الصرف المباشر'!$C$2:$C$501,COUNTA('الصرف المباشر'!$C$2:$C$501)-4))</f>
        <v/>
      </c>
      <c r="C52" s="4" t="str">
        <f>IF((COUNTA('الصرف المباشر'!$C$2:$C$501)-4)&lt;1,"",INDEX('الصرف المباشر'!$D$2:$D$501,COUNTA('الصرف المباشر'!$C$2:$C$501)-4))</f>
        <v/>
      </c>
    </row>
  </sheetData>
  <mergeCells count="20">
    <mergeCell ref="A46:C46"/>
    <mergeCell ref="C5:D5"/>
    <mergeCell ref="E5:F5"/>
    <mergeCell ref="A12:F12"/>
    <mergeCell ref="E8:F8"/>
    <mergeCell ref="A38:C38"/>
    <mergeCell ref="D38:F38"/>
    <mergeCell ref="D30:F30"/>
    <mergeCell ref="A5:B5"/>
    <mergeCell ref="A30:C30"/>
    <mergeCell ref="A8:B8"/>
    <mergeCell ref="C8:D8"/>
    <mergeCell ref="C7:D7"/>
    <mergeCell ref="E7:F7"/>
    <mergeCell ref="A1:F1"/>
    <mergeCell ref="C4:D4"/>
    <mergeCell ref="A2:F2"/>
    <mergeCell ref="E4:F4"/>
    <mergeCell ref="A7:B7"/>
    <mergeCell ref="A4:B4"/>
  </mergeCells>
  <conditionalFormatting sqref="A14:D28">
    <cfRule type="expression" dxfId="23" priority="1">
      <formula>$A14&lt;&gt;""</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E7D32"/>
  </sheetPr>
  <dimension ref="A1:G501"/>
  <sheetViews>
    <sheetView rightToLeft="1" workbookViewId="0">
      <pane ySplit="1" topLeftCell="A2" activePane="bottomLeft" state="frozen"/>
      <selection pane="bottomLeft" activeCell="C5" sqref="C5"/>
    </sheetView>
  </sheetViews>
  <sheetFormatPr defaultRowHeight="14.25"/>
  <cols>
    <col min="1" max="1" width="10" customWidth="1"/>
    <col min="2" max="2" width="14" customWidth="1"/>
    <col min="3" max="3" width="37" customWidth="1"/>
    <col min="4" max="4" width="12" customWidth="1"/>
    <col min="5" max="5" width="22" customWidth="1"/>
    <col min="6" max="6" width="16" customWidth="1"/>
    <col min="7" max="7" width="34" customWidth="1"/>
  </cols>
  <sheetData>
    <row r="1" spans="1:7" ht="26.1" customHeight="1">
      <c r="A1" s="2" t="s">
        <v>151</v>
      </c>
      <c r="B1" s="2" t="s">
        <v>20</v>
      </c>
      <c r="C1" s="2" t="s">
        <v>21</v>
      </c>
      <c r="D1" s="2" t="s">
        <v>22</v>
      </c>
      <c r="E1" s="2" t="s">
        <v>152</v>
      </c>
      <c r="F1" s="2" t="s">
        <v>153</v>
      </c>
      <c r="G1" s="2" t="s">
        <v>26</v>
      </c>
    </row>
    <row r="2" spans="1:7" ht="24" customHeight="1">
      <c r="A2" s="5">
        <f t="shared" ref="A2:A65" si="0">IF(C2="","",ROW()-1)</f>
        <v>1</v>
      </c>
      <c r="B2" s="18">
        <v>46218</v>
      </c>
      <c r="C2" s="9" t="s">
        <v>87</v>
      </c>
      <c r="D2" s="15">
        <v>138.04</v>
      </c>
      <c r="E2" s="9" t="s">
        <v>232</v>
      </c>
      <c r="F2" s="7" t="s">
        <v>154</v>
      </c>
      <c r="G2" s="9" t="s">
        <v>231</v>
      </c>
    </row>
    <row r="3" spans="1:7" ht="24" customHeight="1">
      <c r="A3" s="5">
        <f t="shared" si="0"/>
        <v>2</v>
      </c>
      <c r="B3" s="18">
        <v>46218</v>
      </c>
      <c r="C3" s="9" t="s">
        <v>86</v>
      </c>
      <c r="D3" s="15">
        <v>2</v>
      </c>
      <c r="E3" s="9" t="s">
        <v>232</v>
      </c>
      <c r="F3" s="7" t="s">
        <v>154</v>
      </c>
      <c r="G3" s="9" t="s">
        <v>231</v>
      </c>
    </row>
    <row r="4" spans="1:7" ht="24" customHeight="1">
      <c r="A4" s="5">
        <f t="shared" si="0"/>
        <v>3</v>
      </c>
      <c r="B4" s="18">
        <v>46218</v>
      </c>
      <c r="C4" s="9" t="s">
        <v>85</v>
      </c>
      <c r="D4" s="15">
        <v>63.5</v>
      </c>
      <c r="E4" s="9" t="s">
        <v>232</v>
      </c>
      <c r="F4" s="7" t="s">
        <v>154</v>
      </c>
      <c r="G4" s="9" t="s">
        <v>231</v>
      </c>
    </row>
    <row r="5" spans="1:7" ht="24" customHeight="1">
      <c r="A5" s="5">
        <f t="shared" si="0"/>
        <v>4</v>
      </c>
      <c r="B5" s="18">
        <v>46218</v>
      </c>
      <c r="C5" s="9" t="s">
        <v>84</v>
      </c>
      <c r="D5" s="15">
        <v>0</v>
      </c>
      <c r="E5" s="9" t="s">
        <v>232</v>
      </c>
      <c r="F5" s="7" t="s">
        <v>154</v>
      </c>
      <c r="G5" s="9" t="s">
        <v>231</v>
      </c>
    </row>
    <row r="6" spans="1:7" ht="24" customHeight="1">
      <c r="A6" s="5">
        <f t="shared" si="0"/>
        <v>5</v>
      </c>
      <c r="B6" s="18">
        <v>46218</v>
      </c>
      <c r="C6" s="9" t="s">
        <v>83</v>
      </c>
      <c r="D6" s="15">
        <v>0</v>
      </c>
      <c r="E6" s="9" t="s">
        <v>232</v>
      </c>
      <c r="F6" s="7" t="s">
        <v>154</v>
      </c>
      <c r="G6" s="9" t="s">
        <v>231</v>
      </c>
    </row>
    <row r="7" spans="1:7" ht="24" customHeight="1">
      <c r="A7" s="5">
        <f t="shared" si="0"/>
        <v>6</v>
      </c>
      <c r="B7" s="18">
        <v>46218</v>
      </c>
      <c r="C7" s="9" t="s">
        <v>82</v>
      </c>
      <c r="D7" s="15">
        <v>28622</v>
      </c>
      <c r="E7" s="9" t="s">
        <v>232</v>
      </c>
      <c r="F7" s="7" t="s">
        <v>154</v>
      </c>
      <c r="G7" s="9" t="s">
        <v>231</v>
      </c>
    </row>
    <row r="8" spans="1:7" ht="24" customHeight="1">
      <c r="A8" s="5">
        <f t="shared" si="0"/>
        <v>7</v>
      </c>
      <c r="B8" s="18">
        <v>46218</v>
      </c>
      <c r="C8" s="9" t="s">
        <v>211</v>
      </c>
      <c r="D8" s="15">
        <v>3</v>
      </c>
      <c r="E8" s="9" t="s">
        <v>232</v>
      </c>
      <c r="F8" s="7" t="s">
        <v>154</v>
      </c>
      <c r="G8" s="9" t="s">
        <v>231</v>
      </c>
    </row>
    <row r="9" spans="1:7" ht="24" customHeight="1">
      <c r="A9" s="5">
        <f t="shared" si="0"/>
        <v>8</v>
      </c>
      <c r="B9" s="18">
        <v>46218</v>
      </c>
      <c r="C9" s="9" t="s">
        <v>81</v>
      </c>
      <c r="D9" s="15">
        <v>0</v>
      </c>
      <c r="E9" s="9" t="s">
        <v>232</v>
      </c>
      <c r="F9" s="7" t="s">
        <v>154</v>
      </c>
      <c r="G9" s="9" t="s">
        <v>231</v>
      </c>
    </row>
    <row r="10" spans="1:7" ht="24" customHeight="1">
      <c r="A10" s="5">
        <f t="shared" si="0"/>
        <v>9</v>
      </c>
      <c r="B10" s="18">
        <v>46218</v>
      </c>
      <c r="C10" s="9" t="s">
        <v>80</v>
      </c>
      <c r="D10" s="15">
        <v>27.71</v>
      </c>
      <c r="E10" s="9" t="s">
        <v>232</v>
      </c>
      <c r="F10" s="7" t="s">
        <v>154</v>
      </c>
      <c r="G10" s="9" t="s">
        <v>231</v>
      </c>
    </row>
    <row r="11" spans="1:7" ht="24" customHeight="1">
      <c r="A11" s="5">
        <f t="shared" si="0"/>
        <v>10</v>
      </c>
      <c r="B11" s="18">
        <v>46218</v>
      </c>
      <c r="C11" s="9" t="s">
        <v>79</v>
      </c>
      <c r="D11" s="15">
        <v>0</v>
      </c>
      <c r="E11" s="9" t="s">
        <v>232</v>
      </c>
      <c r="F11" s="7" t="s">
        <v>154</v>
      </c>
      <c r="G11" s="9" t="s">
        <v>231</v>
      </c>
    </row>
    <row r="12" spans="1:7" ht="24" customHeight="1">
      <c r="A12" s="5">
        <f t="shared" si="0"/>
        <v>11</v>
      </c>
      <c r="B12" s="18">
        <v>46218</v>
      </c>
      <c r="C12" s="9" t="s">
        <v>78</v>
      </c>
      <c r="D12" s="15">
        <v>0</v>
      </c>
      <c r="E12" s="9" t="s">
        <v>232</v>
      </c>
      <c r="F12" s="7" t="s">
        <v>154</v>
      </c>
      <c r="G12" s="9" t="s">
        <v>231</v>
      </c>
    </row>
    <row r="13" spans="1:7" ht="24" customHeight="1">
      <c r="A13" s="5">
        <f t="shared" si="0"/>
        <v>12</v>
      </c>
      <c r="B13" s="18">
        <v>46218</v>
      </c>
      <c r="C13" s="9" t="s">
        <v>77</v>
      </c>
      <c r="D13" s="15">
        <v>272</v>
      </c>
      <c r="E13" s="9" t="s">
        <v>232</v>
      </c>
      <c r="F13" s="7" t="s">
        <v>154</v>
      </c>
      <c r="G13" s="9" t="s">
        <v>231</v>
      </c>
    </row>
    <row r="14" spans="1:7" ht="24" customHeight="1">
      <c r="A14" s="5">
        <f t="shared" si="0"/>
        <v>13</v>
      </c>
      <c r="B14" s="18">
        <v>46218</v>
      </c>
      <c r="C14" s="9" t="s">
        <v>76</v>
      </c>
      <c r="D14" s="15">
        <v>25</v>
      </c>
      <c r="E14" s="9" t="s">
        <v>232</v>
      </c>
      <c r="F14" s="7" t="s">
        <v>154</v>
      </c>
      <c r="G14" s="9" t="s">
        <v>231</v>
      </c>
    </row>
    <row r="15" spans="1:7" ht="24" customHeight="1">
      <c r="A15" s="5">
        <f t="shared" si="0"/>
        <v>14</v>
      </c>
      <c r="B15" s="18">
        <v>46218</v>
      </c>
      <c r="C15" s="9" t="s">
        <v>212</v>
      </c>
      <c r="D15" s="15">
        <v>1.64</v>
      </c>
      <c r="E15" s="9" t="s">
        <v>232</v>
      </c>
      <c r="F15" s="7" t="s">
        <v>154</v>
      </c>
      <c r="G15" s="9" t="s">
        <v>231</v>
      </c>
    </row>
    <row r="16" spans="1:7" ht="24" customHeight="1">
      <c r="A16" s="5">
        <f t="shared" si="0"/>
        <v>15</v>
      </c>
      <c r="B16" s="18">
        <v>46218</v>
      </c>
      <c r="C16" s="9" t="s">
        <v>75</v>
      </c>
      <c r="D16" s="15">
        <v>251.4</v>
      </c>
      <c r="E16" s="9" t="s">
        <v>232</v>
      </c>
      <c r="F16" s="7" t="s">
        <v>154</v>
      </c>
      <c r="G16" s="9" t="s">
        <v>231</v>
      </c>
    </row>
    <row r="17" spans="1:7" ht="24" customHeight="1">
      <c r="A17" s="5">
        <f t="shared" si="0"/>
        <v>16</v>
      </c>
      <c r="B17" s="18">
        <v>46218</v>
      </c>
      <c r="C17" s="9" t="s">
        <v>74</v>
      </c>
      <c r="D17" s="15">
        <v>0</v>
      </c>
      <c r="E17" s="9" t="s">
        <v>232</v>
      </c>
      <c r="F17" s="7" t="s">
        <v>154</v>
      </c>
      <c r="G17" s="9" t="s">
        <v>231</v>
      </c>
    </row>
    <row r="18" spans="1:7" ht="24" customHeight="1">
      <c r="A18" s="5">
        <f t="shared" si="0"/>
        <v>17</v>
      </c>
      <c r="B18" s="18">
        <v>46218</v>
      </c>
      <c r="C18" s="9" t="s">
        <v>213</v>
      </c>
      <c r="D18" s="15">
        <v>0.59</v>
      </c>
      <c r="E18" s="9" t="s">
        <v>232</v>
      </c>
      <c r="F18" s="7" t="s">
        <v>154</v>
      </c>
      <c r="G18" s="9" t="s">
        <v>231</v>
      </c>
    </row>
    <row r="19" spans="1:7" ht="24" customHeight="1">
      <c r="A19" s="5">
        <f t="shared" si="0"/>
        <v>18</v>
      </c>
      <c r="B19" s="18">
        <v>46218</v>
      </c>
      <c r="C19" s="9" t="s">
        <v>73</v>
      </c>
      <c r="D19" s="15">
        <v>0.52</v>
      </c>
      <c r="E19" s="9" t="s">
        <v>232</v>
      </c>
      <c r="F19" s="7" t="s">
        <v>154</v>
      </c>
      <c r="G19" s="9" t="s">
        <v>231</v>
      </c>
    </row>
    <row r="20" spans="1:7" ht="24" customHeight="1">
      <c r="A20" s="5">
        <f t="shared" si="0"/>
        <v>19</v>
      </c>
      <c r="B20" s="18">
        <v>46218</v>
      </c>
      <c r="C20" s="9" t="s">
        <v>72</v>
      </c>
      <c r="D20" s="15">
        <v>0.36</v>
      </c>
      <c r="E20" s="9" t="s">
        <v>232</v>
      </c>
      <c r="F20" s="7" t="s">
        <v>154</v>
      </c>
      <c r="G20" s="9" t="s">
        <v>231</v>
      </c>
    </row>
    <row r="21" spans="1:7" ht="24" customHeight="1">
      <c r="A21" s="5">
        <f t="shared" si="0"/>
        <v>20</v>
      </c>
      <c r="B21" s="18">
        <v>46218</v>
      </c>
      <c r="C21" s="9" t="s">
        <v>71</v>
      </c>
      <c r="D21" s="15">
        <v>0.74</v>
      </c>
      <c r="E21" s="9" t="s">
        <v>232</v>
      </c>
      <c r="F21" s="7" t="s">
        <v>154</v>
      </c>
      <c r="G21" s="9" t="s">
        <v>231</v>
      </c>
    </row>
    <row r="22" spans="1:7" ht="24" customHeight="1">
      <c r="A22" s="5">
        <f t="shared" si="0"/>
        <v>21</v>
      </c>
      <c r="B22" s="18">
        <v>46218</v>
      </c>
      <c r="C22" s="9" t="s">
        <v>214</v>
      </c>
      <c r="D22" s="15">
        <v>2.59</v>
      </c>
      <c r="E22" s="9" t="s">
        <v>232</v>
      </c>
      <c r="F22" s="7" t="s">
        <v>154</v>
      </c>
      <c r="G22" s="9" t="s">
        <v>231</v>
      </c>
    </row>
    <row r="23" spans="1:7" ht="24" customHeight="1">
      <c r="A23" s="5">
        <f t="shared" si="0"/>
        <v>22</v>
      </c>
      <c r="B23" s="18">
        <v>46218</v>
      </c>
      <c r="C23" s="9" t="s">
        <v>70</v>
      </c>
      <c r="D23" s="15">
        <v>0.53</v>
      </c>
      <c r="E23" s="9" t="s">
        <v>232</v>
      </c>
      <c r="F23" s="7" t="s">
        <v>154</v>
      </c>
      <c r="G23" s="9" t="s">
        <v>231</v>
      </c>
    </row>
    <row r="24" spans="1:7" ht="24" customHeight="1">
      <c r="A24" s="5">
        <f t="shared" si="0"/>
        <v>23</v>
      </c>
      <c r="B24" s="18">
        <v>46218</v>
      </c>
      <c r="C24" s="9" t="s">
        <v>69</v>
      </c>
      <c r="D24" s="15">
        <v>0.66</v>
      </c>
      <c r="E24" s="9" t="s">
        <v>232</v>
      </c>
      <c r="F24" s="7" t="s">
        <v>154</v>
      </c>
      <c r="G24" s="9" t="s">
        <v>231</v>
      </c>
    </row>
    <row r="25" spans="1:7" ht="24" customHeight="1">
      <c r="A25" s="5">
        <f t="shared" si="0"/>
        <v>24</v>
      </c>
      <c r="B25" s="18">
        <v>46218</v>
      </c>
      <c r="C25" s="9" t="s">
        <v>68</v>
      </c>
      <c r="D25" s="15">
        <v>0.6</v>
      </c>
      <c r="E25" s="9" t="s">
        <v>232</v>
      </c>
      <c r="F25" s="7" t="s">
        <v>154</v>
      </c>
      <c r="G25" s="9" t="s">
        <v>231</v>
      </c>
    </row>
    <row r="26" spans="1:7" ht="24" customHeight="1">
      <c r="A26" s="5">
        <f t="shared" si="0"/>
        <v>25</v>
      </c>
      <c r="B26" s="18">
        <v>46218</v>
      </c>
      <c r="C26" s="9" t="s">
        <v>215</v>
      </c>
      <c r="D26" s="15">
        <v>0.47</v>
      </c>
      <c r="E26" s="9" t="s">
        <v>232</v>
      </c>
      <c r="F26" s="7" t="s">
        <v>154</v>
      </c>
      <c r="G26" s="9" t="s">
        <v>231</v>
      </c>
    </row>
    <row r="27" spans="1:7" ht="24" customHeight="1">
      <c r="A27" s="5">
        <f t="shared" si="0"/>
        <v>26</v>
      </c>
      <c r="B27" s="18">
        <v>46218</v>
      </c>
      <c r="C27" s="9" t="s">
        <v>67</v>
      </c>
      <c r="D27" s="15">
        <v>0</v>
      </c>
      <c r="E27" s="9" t="s">
        <v>232</v>
      </c>
      <c r="F27" s="7" t="s">
        <v>154</v>
      </c>
      <c r="G27" s="9" t="s">
        <v>231</v>
      </c>
    </row>
    <row r="28" spans="1:7" ht="24" customHeight="1">
      <c r="A28" s="5">
        <f t="shared" si="0"/>
        <v>27</v>
      </c>
      <c r="B28" s="18">
        <v>46218</v>
      </c>
      <c r="C28" s="9" t="s">
        <v>66</v>
      </c>
      <c r="D28" s="15">
        <v>20</v>
      </c>
      <c r="E28" s="9" t="s">
        <v>232</v>
      </c>
      <c r="F28" s="7" t="s">
        <v>154</v>
      </c>
      <c r="G28" s="9" t="s">
        <v>231</v>
      </c>
    </row>
    <row r="29" spans="1:7" ht="24" customHeight="1">
      <c r="A29" s="5">
        <f t="shared" si="0"/>
        <v>28</v>
      </c>
      <c r="B29" s="18">
        <v>46218</v>
      </c>
      <c r="C29" s="9" t="s">
        <v>65</v>
      </c>
      <c r="D29" s="15">
        <v>21.4</v>
      </c>
      <c r="E29" s="9" t="s">
        <v>232</v>
      </c>
      <c r="F29" s="7" t="s">
        <v>154</v>
      </c>
      <c r="G29" s="9" t="s">
        <v>231</v>
      </c>
    </row>
    <row r="30" spans="1:7" ht="24" customHeight="1">
      <c r="A30" s="5">
        <f t="shared" si="0"/>
        <v>29</v>
      </c>
      <c r="B30" s="18">
        <v>46218</v>
      </c>
      <c r="C30" s="9" t="s">
        <v>64</v>
      </c>
      <c r="D30" s="15">
        <v>0</v>
      </c>
      <c r="E30" s="9" t="s">
        <v>232</v>
      </c>
      <c r="F30" s="7" t="s">
        <v>154</v>
      </c>
      <c r="G30" s="9" t="s">
        <v>231</v>
      </c>
    </row>
    <row r="31" spans="1:7" ht="24" customHeight="1">
      <c r="A31" s="5">
        <f t="shared" si="0"/>
        <v>30</v>
      </c>
      <c r="B31" s="18">
        <v>46218</v>
      </c>
      <c r="C31" s="9" t="s">
        <v>63</v>
      </c>
      <c r="D31" s="15">
        <v>2</v>
      </c>
      <c r="E31" s="9" t="s">
        <v>232</v>
      </c>
      <c r="F31" s="7" t="s">
        <v>154</v>
      </c>
      <c r="G31" s="9" t="s">
        <v>231</v>
      </c>
    </row>
    <row r="32" spans="1:7" ht="24" customHeight="1">
      <c r="A32" s="5">
        <f t="shared" si="0"/>
        <v>31</v>
      </c>
      <c r="B32" s="18">
        <v>46218</v>
      </c>
      <c r="C32" s="9" t="s">
        <v>62</v>
      </c>
      <c r="D32" s="15">
        <v>3</v>
      </c>
      <c r="E32" s="9" t="s">
        <v>232</v>
      </c>
      <c r="F32" s="7" t="s">
        <v>154</v>
      </c>
      <c r="G32" s="9" t="s">
        <v>231</v>
      </c>
    </row>
    <row r="33" spans="1:7" ht="24" customHeight="1">
      <c r="A33" s="5">
        <f t="shared" si="0"/>
        <v>32</v>
      </c>
      <c r="B33" s="18">
        <v>46218</v>
      </c>
      <c r="C33" s="9" t="s">
        <v>61</v>
      </c>
      <c r="D33" s="15">
        <v>0.42</v>
      </c>
      <c r="E33" s="9" t="s">
        <v>232</v>
      </c>
      <c r="F33" s="7" t="s">
        <v>154</v>
      </c>
      <c r="G33" s="9" t="s">
        <v>231</v>
      </c>
    </row>
    <row r="34" spans="1:7" ht="24" customHeight="1">
      <c r="A34" s="5">
        <f t="shared" si="0"/>
        <v>33</v>
      </c>
      <c r="B34" s="18">
        <v>46218</v>
      </c>
      <c r="C34" s="9" t="s">
        <v>59</v>
      </c>
      <c r="D34" s="15">
        <v>1</v>
      </c>
      <c r="E34" s="9" t="s">
        <v>232</v>
      </c>
      <c r="F34" s="7" t="s">
        <v>154</v>
      </c>
      <c r="G34" s="9" t="s">
        <v>231</v>
      </c>
    </row>
    <row r="35" spans="1:7" ht="24" customHeight="1">
      <c r="A35" s="5">
        <f t="shared" si="0"/>
        <v>34</v>
      </c>
      <c r="B35" s="18">
        <v>46218</v>
      </c>
      <c r="C35" s="9" t="s">
        <v>58</v>
      </c>
      <c r="D35" s="15">
        <v>0</v>
      </c>
      <c r="E35" s="9" t="s">
        <v>232</v>
      </c>
      <c r="F35" s="7" t="s">
        <v>154</v>
      </c>
      <c r="G35" s="9" t="s">
        <v>231</v>
      </c>
    </row>
    <row r="36" spans="1:7" ht="24" customHeight="1">
      <c r="A36" s="5">
        <f t="shared" si="0"/>
        <v>35</v>
      </c>
      <c r="B36" s="18">
        <v>46218</v>
      </c>
      <c r="C36" s="9" t="s">
        <v>57</v>
      </c>
      <c r="D36" s="15">
        <v>0</v>
      </c>
      <c r="E36" s="9" t="s">
        <v>232</v>
      </c>
      <c r="F36" s="7" t="s">
        <v>154</v>
      </c>
      <c r="G36" s="9" t="s">
        <v>231</v>
      </c>
    </row>
    <row r="37" spans="1:7" ht="24" customHeight="1">
      <c r="A37" s="5">
        <f t="shared" si="0"/>
        <v>36</v>
      </c>
      <c r="B37" s="18">
        <v>46218</v>
      </c>
      <c r="C37" s="9" t="s">
        <v>56</v>
      </c>
      <c r="D37" s="15">
        <v>0</v>
      </c>
      <c r="E37" s="9" t="s">
        <v>232</v>
      </c>
      <c r="F37" s="7" t="s">
        <v>154</v>
      </c>
      <c r="G37" s="9" t="s">
        <v>231</v>
      </c>
    </row>
    <row r="38" spans="1:7" ht="24" customHeight="1">
      <c r="A38" s="5">
        <f t="shared" si="0"/>
        <v>37</v>
      </c>
      <c r="B38" s="18">
        <v>46218</v>
      </c>
      <c r="C38" s="9" t="s">
        <v>54</v>
      </c>
      <c r="D38" s="15">
        <v>2</v>
      </c>
      <c r="E38" s="9" t="s">
        <v>232</v>
      </c>
      <c r="F38" s="7" t="s">
        <v>154</v>
      </c>
      <c r="G38" s="9" t="s">
        <v>231</v>
      </c>
    </row>
    <row r="39" spans="1:7" ht="24" customHeight="1">
      <c r="A39" s="5">
        <f t="shared" si="0"/>
        <v>38</v>
      </c>
      <c r="B39" s="18">
        <v>46218</v>
      </c>
      <c r="C39" s="9" t="s">
        <v>53</v>
      </c>
      <c r="D39" s="15">
        <v>50</v>
      </c>
      <c r="E39" s="9" t="s">
        <v>232</v>
      </c>
      <c r="F39" s="7" t="s">
        <v>154</v>
      </c>
      <c r="G39" s="9" t="s">
        <v>231</v>
      </c>
    </row>
    <row r="40" spans="1:7" ht="24" customHeight="1">
      <c r="A40" s="5">
        <f t="shared" si="0"/>
        <v>39</v>
      </c>
      <c r="B40" s="18">
        <v>46218</v>
      </c>
      <c r="C40" s="9" t="s">
        <v>52</v>
      </c>
      <c r="D40" s="15">
        <v>4</v>
      </c>
      <c r="E40" s="9" t="s">
        <v>232</v>
      </c>
      <c r="F40" s="7" t="s">
        <v>154</v>
      </c>
      <c r="G40" s="9" t="s">
        <v>231</v>
      </c>
    </row>
    <row r="41" spans="1:7" ht="24" customHeight="1">
      <c r="A41" s="5">
        <f t="shared" si="0"/>
        <v>40</v>
      </c>
      <c r="B41" s="18">
        <v>46218</v>
      </c>
      <c r="C41" s="9" t="s">
        <v>51</v>
      </c>
      <c r="D41" s="15">
        <v>1.44</v>
      </c>
      <c r="E41" s="9" t="s">
        <v>232</v>
      </c>
      <c r="F41" s="7" t="s">
        <v>154</v>
      </c>
      <c r="G41" s="9" t="s">
        <v>231</v>
      </c>
    </row>
    <row r="42" spans="1:7" ht="24" customHeight="1">
      <c r="A42" s="5">
        <f t="shared" si="0"/>
        <v>41</v>
      </c>
      <c r="B42" s="18">
        <v>46218</v>
      </c>
      <c r="C42" s="9" t="s">
        <v>48</v>
      </c>
      <c r="D42" s="15">
        <v>105</v>
      </c>
      <c r="E42" s="9" t="s">
        <v>232</v>
      </c>
      <c r="F42" s="7" t="s">
        <v>154</v>
      </c>
      <c r="G42" s="9" t="s">
        <v>231</v>
      </c>
    </row>
    <row r="43" spans="1:7" ht="24" customHeight="1">
      <c r="A43" s="5">
        <f t="shared" si="0"/>
        <v>42</v>
      </c>
      <c r="B43" s="18">
        <v>46218</v>
      </c>
      <c r="C43" s="9" t="s">
        <v>50</v>
      </c>
      <c r="D43" s="15">
        <v>4</v>
      </c>
      <c r="E43" s="9" t="s">
        <v>232</v>
      </c>
      <c r="F43" s="7" t="s">
        <v>154</v>
      </c>
      <c r="G43" s="9" t="s">
        <v>231</v>
      </c>
    </row>
    <row r="44" spans="1:7" ht="24" customHeight="1">
      <c r="A44" s="5">
        <f t="shared" si="0"/>
        <v>43</v>
      </c>
      <c r="B44" s="18">
        <v>46218</v>
      </c>
      <c r="C44" s="9" t="s">
        <v>49</v>
      </c>
      <c r="D44" s="15">
        <v>2</v>
      </c>
      <c r="E44" s="9" t="s">
        <v>232</v>
      </c>
      <c r="F44" s="7" t="s">
        <v>154</v>
      </c>
      <c r="G44" s="9" t="s">
        <v>231</v>
      </c>
    </row>
    <row r="45" spans="1:7" ht="24" customHeight="1">
      <c r="A45" s="5">
        <f t="shared" si="0"/>
        <v>44</v>
      </c>
      <c r="B45" s="18">
        <v>46218</v>
      </c>
      <c r="C45" s="9" t="s">
        <v>216</v>
      </c>
      <c r="D45" s="15">
        <v>0</v>
      </c>
      <c r="E45" s="9" t="s">
        <v>232</v>
      </c>
      <c r="F45" s="7" t="s">
        <v>154</v>
      </c>
      <c r="G45" s="9" t="s">
        <v>231</v>
      </c>
    </row>
    <row r="46" spans="1:7" ht="24" customHeight="1">
      <c r="A46" s="5">
        <f t="shared" si="0"/>
        <v>45</v>
      </c>
      <c r="B46" s="18">
        <v>46218</v>
      </c>
      <c r="C46" s="9" t="s">
        <v>46</v>
      </c>
      <c r="D46" s="15">
        <v>17</v>
      </c>
      <c r="E46" s="9" t="s">
        <v>232</v>
      </c>
      <c r="F46" s="7" t="s">
        <v>154</v>
      </c>
      <c r="G46" s="9" t="s">
        <v>231</v>
      </c>
    </row>
    <row r="47" spans="1:7" ht="24" customHeight="1">
      <c r="A47" s="5">
        <f t="shared" si="0"/>
        <v>46</v>
      </c>
      <c r="B47" s="18">
        <v>46218</v>
      </c>
      <c r="C47" s="9" t="s">
        <v>217</v>
      </c>
      <c r="D47" s="15">
        <v>0</v>
      </c>
      <c r="E47" s="9" t="s">
        <v>232</v>
      </c>
      <c r="F47" s="7" t="s">
        <v>154</v>
      </c>
      <c r="G47" s="9" t="s">
        <v>231</v>
      </c>
    </row>
    <row r="48" spans="1:7" ht="24" customHeight="1">
      <c r="A48" s="5">
        <f t="shared" si="0"/>
        <v>47</v>
      </c>
      <c r="B48" s="18">
        <v>46218</v>
      </c>
      <c r="C48" s="9" t="s">
        <v>218</v>
      </c>
      <c r="D48" s="15">
        <v>1.42</v>
      </c>
      <c r="E48" s="9" t="s">
        <v>232</v>
      </c>
      <c r="F48" s="7" t="s">
        <v>154</v>
      </c>
      <c r="G48" s="9" t="s">
        <v>231</v>
      </c>
    </row>
    <row r="49" spans="1:7" ht="24" customHeight="1">
      <c r="A49" s="5">
        <f t="shared" si="0"/>
        <v>48</v>
      </c>
      <c r="B49" s="18">
        <v>46218</v>
      </c>
      <c r="C49" s="9" t="s">
        <v>219</v>
      </c>
      <c r="D49" s="15">
        <v>0</v>
      </c>
      <c r="E49" s="9" t="s">
        <v>232</v>
      </c>
      <c r="F49" s="7" t="s">
        <v>154</v>
      </c>
      <c r="G49" s="9" t="s">
        <v>231</v>
      </c>
    </row>
    <row r="50" spans="1:7" ht="24" customHeight="1">
      <c r="A50" s="5">
        <f t="shared" si="0"/>
        <v>49</v>
      </c>
      <c r="B50" s="18">
        <v>46218</v>
      </c>
      <c r="C50" s="9" t="s">
        <v>44</v>
      </c>
      <c r="D50" s="15">
        <v>24</v>
      </c>
      <c r="E50" s="9" t="s">
        <v>232</v>
      </c>
      <c r="F50" s="7" t="s">
        <v>154</v>
      </c>
      <c r="G50" s="9" t="s">
        <v>231</v>
      </c>
    </row>
    <row r="51" spans="1:7" ht="24" customHeight="1">
      <c r="A51" s="5">
        <f t="shared" si="0"/>
        <v>50</v>
      </c>
      <c r="B51" s="18">
        <v>46218</v>
      </c>
      <c r="C51" s="9" t="s">
        <v>43</v>
      </c>
      <c r="D51" s="15">
        <v>536</v>
      </c>
      <c r="E51" s="9" t="s">
        <v>232</v>
      </c>
      <c r="F51" s="7" t="s">
        <v>154</v>
      </c>
      <c r="G51" s="9" t="s">
        <v>231</v>
      </c>
    </row>
    <row r="52" spans="1:7" ht="24" customHeight="1">
      <c r="A52" s="5">
        <f t="shared" si="0"/>
        <v>51</v>
      </c>
      <c r="B52" s="18">
        <v>46218</v>
      </c>
      <c r="C52" s="9" t="s">
        <v>42</v>
      </c>
      <c r="D52" s="15">
        <v>0</v>
      </c>
      <c r="E52" s="9" t="s">
        <v>232</v>
      </c>
      <c r="F52" s="7" t="s">
        <v>154</v>
      </c>
      <c r="G52" s="9" t="s">
        <v>231</v>
      </c>
    </row>
    <row r="53" spans="1:7" ht="24" customHeight="1">
      <c r="A53" s="5">
        <f t="shared" si="0"/>
        <v>52</v>
      </c>
      <c r="B53" s="18">
        <v>46218</v>
      </c>
      <c r="C53" s="9" t="s">
        <v>41</v>
      </c>
      <c r="D53" s="15">
        <v>34</v>
      </c>
      <c r="E53" s="9" t="s">
        <v>232</v>
      </c>
      <c r="F53" s="7" t="s">
        <v>154</v>
      </c>
      <c r="G53" s="9" t="s">
        <v>231</v>
      </c>
    </row>
    <row r="54" spans="1:7" ht="24" customHeight="1">
      <c r="A54" s="5">
        <f t="shared" si="0"/>
        <v>53</v>
      </c>
      <c r="B54" s="18">
        <v>46218</v>
      </c>
      <c r="C54" s="9" t="s">
        <v>40</v>
      </c>
      <c r="D54" s="15">
        <v>1</v>
      </c>
      <c r="E54" s="9" t="s">
        <v>232</v>
      </c>
      <c r="F54" s="7" t="s">
        <v>154</v>
      </c>
      <c r="G54" s="9" t="s">
        <v>231</v>
      </c>
    </row>
    <row r="55" spans="1:7" ht="24" customHeight="1">
      <c r="A55" s="5">
        <f t="shared" si="0"/>
        <v>54</v>
      </c>
      <c r="B55" s="18">
        <v>46218</v>
      </c>
      <c r="C55" s="9" t="s">
        <v>39</v>
      </c>
      <c r="D55" s="15">
        <v>0</v>
      </c>
      <c r="E55" s="9" t="s">
        <v>232</v>
      </c>
      <c r="F55" s="7" t="s">
        <v>154</v>
      </c>
      <c r="G55" s="9" t="s">
        <v>231</v>
      </c>
    </row>
    <row r="56" spans="1:7" ht="24" customHeight="1">
      <c r="A56" s="5">
        <f t="shared" si="0"/>
        <v>55</v>
      </c>
      <c r="B56" s="18">
        <v>46218</v>
      </c>
      <c r="C56" s="9" t="s">
        <v>38</v>
      </c>
      <c r="D56" s="15">
        <v>1</v>
      </c>
      <c r="E56" s="9" t="s">
        <v>232</v>
      </c>
      <c r="F56" s="7" t="s">
        <v>154</v>
      </c>
      <c r="G56" s="9" t="s">
        <v>231</v>
      </c>
    </row>
    <row r="57" spans="1:7" ht="24" customHeight="1">
      <c r="A57" s="5">
        <f t="shared" si="0"/>
        <v>56</v>
      </c>
      <c r="B57" s="18">
        <v>46218</v>
      </c>
      <c r="C57" s="9" t="s">
        <v>37</v>
      </c>
      <c r="D57" s="15">
        <v>0.83</v>
      </c>
      <c r="E57" s="9" t="s">
        <v>232</v>
      </c>
      <c r="F57" s="7" t="s">
        <v>154</v>
      </c>
      <c r="G57" s="9" t="s">
        <v>231</v>
      </c>
    </row>
    <row r="58" spans="1:7" ht="24" customHeight="1">
      <c r="A58" s="5">
        <f t="shared" si="0"/>
        <v>57</v>
      </c>
      <c r="B58" s="18">
        <v>46218</v>
      </c>
      <c r="C58" s="9" t="s">
        <v>36</v>
      </c>
      <c r="D58" s="15">
        <v>0</v>
      </c>
      <c r="E58" s="9" t="s">
        <v>232</v>
      </c>
      <c r="F58" s="7" t="s">
        <v>154</v>
      </c>
      <c r="G58" s="9" t="s">
        <v>231</v>
      </c>
    </row>
    <row r="59" spans="1:7" ht="24" customHeight="1">
      <c r="A59" s="5">
        <f t="shared" si="0"/>
        <v>58</v>
      </c>
      <c r="B59" s="18">
        <v>46218</v>
      </c>
      <c r="C59" s="9" t="s">
        <v>35</v>
      </c>
      <c r="D59" s="15">
        <v>468</v>
      </c>
      <c r="E59" s="9" t="s">
        <v>232</v>
      </c>
      <c r="F59" s="7" t="s">
        <v>154</v>
      </c>
      <c r="G59" s="9" t="s">
        <v>231</v>
      </c>
    </row>
    <row r="60" spans="1:7" ht="24" customHeight="1">
      <c r="A60" s="5">
        <f t="shared" si="0"/>
        <v>59</v>
      </c>
      <c r="B60" s="18">
        <v>46218</v>
      </c>
      <c r="C60" s="9" t="s">
        <v>220</v>
      </c>
      <c r="D60" s="15">
        <v>12</v>
      </c>
      <c r="E60" s="9" t="s">
        <v>232</v>
      </c>
      <c r="F60" s="7" t="s">
        <v>154</v>
      </c>
      <c r="G60" s="9" t="s">
        <v>231</v>
      </c>
    </row>
    <row r="61" spans="1:7" ht="24" customHeight="1">
      <c r="A61" s="5">
        <f t="shared" si="0"/>
        <v>60</v>
      </c>
      <c r="B61" s="18">
        <v>46218</v>
      </c>
      <c r="C61" s="9" t="s">
        <v>34</v>
      </c>
      <c r="D61" s="15">
        <v>307.5</v>
      </c>
      <c r="E61" s="9" t="s">
        <v>232</v>
      </c>
      <c r="F61" s="7" t="s">
        <v>154</v>
      </c>
      <c r="G61" s="9" t="s">
        <v>231</v>
      </c>
    </row>
    <row r="62" spans="1:7" ht="24" customHeight="1">
      <c r="A62" s="5">
        <f t="shared" si="0"/>
        <v>61</v>
      </c>
      <c r="B62" s="18">
        <v>46218</v>
      </c>
      <c r="C62" s="9" t="s">
        <v>33</v>
      </c>
      <c r="D62" s="15">
        <v>0</v>
      </c>
      <c r="E62" s="9" t="s">
        <v>232</v>
      </c>
      <c r="F62" s="7" t="s">
        <v>154</v>
      </c>
      <c r="G62" s="9" t="s">
        <v>231</v>
      </c>
    </row>
    <row r="63" spans="1:7" ht="24" customHeight="1">
      <c r="A63" s="5">
        <f t="shared" si="0"/>
        <v>62</v>
      </c>
      <c r="B63" s="18">
        <v>46218</v>
      </c>
      <c r="C63" s="9" t="s">
        <v>32</v>
      </c>
      <c r="D63" s="15">
        <v>3</v>
      </c>
      <c r="E63" s="9" t="s">
        <v>232</v>
      </c>
      <c r="F63" s="7" t="s">
        <v>154</v>
      </c>
      <c r="G63" s="9" t="s">
        <v>231</v>
      </c>
    </row>
    <row r="64" spans="1:7" ht="24" customHeight="1">
      <c r="A64" s="5">
        <f t="shared" si="0"/>
        <v>63</v>
      </c>
      <c r="B64" s="18">
        <v>46218</v>
      </c>
      <c r="C64" s="9" t="s">
        <v>31</v>
      </c>
      <c r="D64" s="15">
        <v>0</v>
      </c>
      <c r="E64" s="9" t="s">
        <v>232</v>
      </c>
      <c r="F64" s="7" t="s">
        <v>154</v>
      </c>
      <c r="G64" s="9" t="s">
        <v>231</v>
      </c>
    </row>
    <row r="65" spans="1:7" ht="24" customHeight="1">
      <c r="A65" s="5">
        <f t="shared" si="0"/>
        <v>64</v>
      </c>
      <c r="B65" s="18">
        <v>46218</v>
      </c>
      <c r="C65" s="9" t="s">
        <v>29</v>
      </c>
      <c r="D65" s="15">
        <v>6</v>
      </c>
      <c r="E65" s="9" t="s">
        <v>232</v>
      </c>
      <c r="F65" s="7" t="s">
        <v>154</v>
      </c>
      <c r="G65" s="9" t="s">
        <v>231</v>
      </c>
    </row>
    <row r="66" spans="1:7" ht="24" customHeight="1">
      <c r="A66" s="5">
        <f t="shared" ref="A66:A129" si="1">IF(C66="","",ROW()-1)</f>
        <v>65</v>
      </c>
      <c r="B66" s="18">
        <v>46218</v>
      </c>
      <c r="C66" s="9" t="s">
        <v>27</v>
      </c>
      <c r="D66" s="15">
        <v>16.5</v>
      </c>
      <c r="E66" s="9" t="s">
        <v>232</v>
      </c>
      <c r="F66" s="7" t="s">
        <v>154</v>
      </c>
      <c r="G66" s="9" t="s">
        <v>231</v>
      </c>
    </row>
    <row r="67" spans="1:7" ht="24" customHeight="1">
      <c r="A67" s="5">
        <f t="shared" si="1"/>
        <v>66</v>
      </c>
      <c r="B67" s="18">
        <v>46218</v>
      </c>
      <c r="C67" s="9" t="s">
        <v>221</v>
      </c>
      <c r="D67" s="15">
        <v>57</v>
      </c>
      <c r="E67" s="9" t="s">
        <v>232</v>
      </c>
      <c r="F67" s="7" t="s">
        <v>154</v>
      </c>
      <c r="G67" s="9" t="s">
        <v>231</v>
      </c>
    </row>
    <row r="68" spans="1:7" ht="24" customHeight="1">
      <c r="A68" s="5">
        <f t="shared" si="1"/>
        <v>67</v>
      </c>
      <c r="B68" s="18">
        <v>46218</v>
      </c>
      <c r="C68" s="9" t="s">
        <v>222</v>
      </c>
      <c r="D68" s="15">
        <v>207.5</v>
      </c>
      <c r="E68" s="9" t="s">
        <v>232</v>
      </c>
      <c r="F68" s="7" t="s">
        <v>154</v>
      </c>
      <c r="G68" s="9" t="s">
        <v>231</v>
      </c>
    </row>
    <row r="69" spans="1:7" ht="24" customHeight="1">
      <c r="A69" s="5">
        <f t="shared" si="1"/>
        <v>68</v>
      </c>
      <c r="B69" s="18">
        <v>46218</v>
      </c>
      <c r="C69" s="9" t="s">
        <v>223</v>
      </c>
      <c r="D69" s="15">
        <v>0</v>
      </c>
      <c r="E69" s="9" t="s">
        <v>232</v>
      </c>
      <c r="F69" s="7" t="s">
        <v>154</v>
      </c>
      <c r="G69" s="9" t="s">
        <v>231</v>
      </c>
    </row>
    <row r="70" spans="1:7" ht="24" customHeight="1">
      <c r="A70" s="5">
        <f t="shared" si="1"/>
        <v>69</v>
      </c>
      <c r="B70" s="18">
        <v>46218</v>
      </c>
      <c r="C70" s="9" t="s">
        <v>224</v>
      </c>
      <c r="D70" s="15">
        <v>1</v>
      </c>
      <c r="E70" s="9" t="s">
        <v>232</v>
      </c>
      <c r="F70" s="7" t="s">
        <v>154</v>
      </c>
      <c r="G70" s="9" t="s">
        <v>231</v>
      </c>
    </row>
    <row r="71" spans="1:7" ht="24" customHeight="1">
      <c r="A71" s="5">
        <f t="shared" si="1"/>
        <v>70</v>
      </c>
      <c r="B71" s="18">
        <v>46218</v>
      </c>
      <c r="C71" s="9" t="s">
        <v>225</v>
      </c>
      <c r="D71" s="15">
        <v>0</v>
      </c>
      <c r="E71" s="9" t="s">
        <v>232</v>
      </c>
      <c r="F71" s="7" t="s">
        <v>154</v>
      </c>
      <c r="G71" s="9" t="s">
        <v>231</v>
      </c>
    </row>
    <row r="72" spans="1:7" ht="24" customHeight="1">
      <c r="A72" s="5">
        <f t="shared" si="1"/>
        <v>71</v>
      </c>
      <c r="B72" s="18">
        <v>46218</v>
      </c>
      <c r="C72" s="9" t="s">
        <v>226</v>
      </c>
      <c r="D72" s="15">
        <v>19.829999999999998</v>
      </c>
      <c r="E72" s="9" t="s">
        <v>232</v>
      </c>
      <c r="F72" s="7" t="s">
        <v>154</v>
      </c>
      <c r="G72" s="9" t="s">
        <v>231</v>
      </c>
    </row>
    <row r="73" spans="1:7" ht="24" customHeight="1">
      <c r="A73" s="5">
        <f t="shared" si="1"/>
        <v>72</v>
      </c>
      <c r="B73" s="18">
        <v>46218</v>
      </c>
      <c r="C73" s="9" t="s">
        <v>227</v>
      </c>
      <c r="D73" s="15">
        <v>11.16</v>
      </c>
      <c r="E73" s="9" t="s">
        <v>232</v>
      </c>
      <c r="F73" s="7" t="s">
        <v>154</v>
      </c>
      <c r="G73" s="9" t="s">
        <v>231</v>
      </c>
    </row>
    <row r="74" spans="1:7" ht="24" customHeight="1">
      <c r="A74" s="5">
        <f t="shared" si="1"/>
        <v>73</v>
      </c>
      <c r="B74" s="18">
        <v>46218</v>
      </c>
      <c r="C74" s="9" t="s">
        <v>228</v>
      </c>
      <c r="D74" s="15">
        <v>93.75</v>
      </c>
      <c r="E74" s="9" t="s">
        <v>232</v>
      </c>
      <c r="F74" s="7" t="s">
        <v>154</v>
      </c>
      <c r="G74" s="9" t="s">
        <v>231</v>
      </c>
    </row>
    <row r="75" spans="1:7" ht="24" customHeight="1">
      <c r="A75" s="5">
        <f t="shared" si="1"/>
        <v>74</v>
      </c>
      <c r="B75" s="18">
        <v>46218</v>
      </c>
      <c r="C75" s="9" t="s">
        <v>229</v>
      </c>
      <c r="D75" s="15">
        <v>0</v>
      </c>
      <c r="E75" s="9" t="s">
        <v>232</v>
      </c>
      <c r="F75" s="7" t="s">
        <v>154</v>
      </c>
      <c r="G75" s="9" t="s">
        <v>231</v>
      </c>
    </row>
    <row r="76" spans="1:7" ht="24" customHeight="1">
      <c r="A76" s="5">
        <f t="shared" si="1"/>
        <v>75</v>
      </c>
      <c r="B76" s="18">
        <v>46218</v>
      </c>
      <c r="C76" s="9" t="s">
        <v>235</v>
      </c>
      <c r="D76" s="15"/>
      <c r="E76" s="9"/>
      <c r="F76" s="7"/>
      <c r="G76" s="9"/>
    </row>
    <row r="77" spans="1:7" ht="24" customHeight="1">
      <c r="A77" s="5">
        <f t="shared" si="1"/>
        <v>76</v>
      </c>
      <c r="B77" s="18">
        <v>46218</v>
      </c>
      <c r="C77" s="9" t="s">
        <v>236</v>
      </c>
      <c r="D77" s="15"/>
      <c r="E77" s="9"/>
      <c r="F77" s="7"/>
      <c r="G77" s="9"/>
    </row>
    <row r="78" spans="1:7" ht="24" customHeight="1">
      <c r="A78" s="5">
        <f t="shared" si="1"/>
        <v>77</v>
      </c>
      <c r="B78" s="18">
        <v>46218</v>
      </c>
      <c r="C78" s="9" t="s">
        <v>237</v>
      </c>
      <c r="D78" s="15"/>
      <c r="E78" s="9"/>
      <c r="F78" s="7"/>
      <c r="G78" s="9"/>
    </row>
    <row r="79" spans="1:7" ht="24" customHeight="1">
      <c r="A79" s="5">
        <f t="shared" si="1"/>
        <v>78</v>
      </c>
      <c r="B79" s="18">
        <v>46218</v>
      </c>
      <c r="C79" s="9" t="s">
        <v>238</v>
      </c>
      <c r="D79" s="15"/>
      <c r="E79" s="9"/>
      <c r="F79" s="7"/>
      <c r="G79" s="9"/>
    </row>
    <row r="80" spans="1:7" ht="24" customHeight="1">
      <c r="A80" s="5">
        <f t="shared" si="1"/>
        <v>79</v>
      </c>
      <c r="B80" s="18">
        <v>46218</v>
      </c>
      <c r="C80" s="9" t="s">
        <v>239</v>
      </c>
      <c r="D80" s="15"/>
      <c r="E80" s="9"/>
      <c r="F80" s="7"/>
      <c r="G80" s="9"/>
    </row>
    <row r="81" spans="1:7" ht="24" customHeight="1">
      <c r="A81" s="5">
        <f t="shared" si="1"/>
        <v>80</v>
      </c>
      <c r="B81" s="18">
        <v>46218</v>
      </c>
      <c r="C81" s="9" t="s">
        <v>240</v>
      </c>
      <c r="D81" s="15"/>
      <c r="E81" s="9"/>
      <c r="F81" s="7"/>
      <c r="G81" s="9"/>
    </row>
    <row r="82" spans="1:7" ht="24" customHeight="1">
      <c r="A82" s="5">
        <f t="shared" si="1"/>
        <v>81</v>
      </c>
      <c r="B82" s="18">
        <v>46218</v>
      </c>
      <c r="C82" s="9" t="s">
        <v>241</v>
      </c>
      <c r="D82" s="15"/>
      <c r="E82" s="9"/>
      <c r="F82" s="7"/>
      <c r="G82" s="9"/>
    </row>
    <row r="83" spans="1:7" ht="24" customHeight="1">
      <c r="A83" s="5">
        <f t="shared" si="1"/>
        <v>82</v>
      </c>
      <c r="B83" s="18">
        <v>46218</v>
      </c>
      <c r="C83" s="9" t="s">
        <v>242</v>
      </c>
      <c r="D83" s="15"/>
      <c r="E83" s="9"/>
      <c r="F83" s="7"/>
      <c r="G83" s="9"/>
    </row>
    <row r="84" spans="1:7" ht="24" customHeight="1">
      <c r="A84" s="5">
        <f t="shared" si="1"/>
        <v>83</v>
      </c>
      <c r="B84" s="18">
        <v>46218</v>
      </c>
      <c r="C84" s="9" t="s">
        <v>243</v>
      </c>
      <c r="D84" s="15"/>
      <c r="E84" s="9"/>
      <c r="F84" s="7"/>
      <c r="G84" s="9"/>
    </row>
    <row r="85" spans="1:7" ht="24" customHeight="1">
      <c r="A85" s="5">
        <f t="shared" si="1"/>
        <v>84</v>
      </c>
      <c r="B85" s="18">
        <v>46218</v>
      </c>
      <c r="C85" s="9" t="s">
        <v>244</v>
      </c>
      <c r="D85" s="15"/>
      <c r="E85" s="9"/>
      <c r="F85" s="7"/>
      <c r="G85" s="9"/>
    </row>
    <row r="86" spans="1:7" ht="24" customHeight="1">
      <c r="A86" s="5">
        <f t="shared" si="1"/>
        <v>85</v>
      </c>
      <c r="B86" s="18">
        <v>46218</v>
      </c>
      <c r="C86" s="9" t="s">
        <v>245</v>
      </c>
      <c r="D86" s="15"/>
      <c r="E86" s="9"/>
      <c r="F86" s="7"/>
      <c r="G86" s="9"/>
    </row>
    <row r="87" spans="1:7" ht="24" customHeight="1">
      <c r="A87" s="5">
        <f t="shared" si="1"/>
        <v>86</v>
      </c>
      <c r="B87" s="18">
        <v>46218</v>
      </c>
      <c r="C87" s="9" t="s">
        <v>246</v>
      </c>
      <c r="D87" s="15"/>
      <c r="E87" s="9"/>
      <c r="F87" s="7"/>
      <c r="G87" s="9"/>
    </row>
    <row r="88" spans="1:7" ht="24" customHeight="1">
      <c r="A88" s="5">
        <f t="shared" si="1"/>
        <v>87</v>
      </c>
      <c r="B88" s="18">
        <v>46218</v>
      </c>
      <c r="C88" s="9" t="s">
        <v>247</v>
      </c>
      <c r="D88" s="15"/>
      <c r="E88" s="9"/>
      <c r="F88" s="7"/>
      <c r="G88" s="9"/>
    </row>
    <row r="89" spans="1:7" ht="24" customHeight="1">
      <c r="A89" s="5">
        <f t="shared" si="1"/>
        <v>88</v>
      </c>
      <c r="B89" s="18">
        <v>46218</v>
      </c>
      <c r="C89" s="9" t="s">
        <v>248</v>
      </c>
      <c r="D89" s="15"/>
      <c r="E89" s="9"/>
      <c r="F89" s="7"/>
      <c r="G89" s="9"/>
    </row>
    <row r="90" spans="1:7" ht="24" customHeight="1">
      <c r="A90" s="5">
        <f t="shared" si="1"/>
        <v>89</v>
      </c>
      <c r="B90" s="18">
        <v>46218</v>
      </c>
      <c r="C90" s="9" t="s">
        <v>249</v>
      </c>
      <c r="D90" s="15"/>
      <c r="E90" s="9"/>
      <c r="F90" s="7"/>
      <c r="G90" s="9"/>
    </row>
    <row r="91" spans="1:7" ht="24" customHeight="1">
      <c r="A91" s="5">
        <f t="shared" si="1"/>
        <v>90</v>
      </c>
      <c r="B91" s="18">
        <v>46218</v>
      </c>
      <c r="C91" s="9" t="s">
        <v>250</v>
      </c>
      <c r="D91" s="15"/>
      <c r="E91" s="9"/>
      <c r="F91" s="7"/>
      <c r="G91" s="9"/>
    </row>
    <row r="92" spans="1:7" ht="24" customHeight="1">
      <c r="A92" s="5">
        <f t="shared" si="1"/>
        <v>91</v>
      </c>
      <c r="B92" s="18">
        <v>46218</v>
      </c>
      <c r="C92" s="9" t="s">
        <v>251</v>
      </c>
      <c r="D92" s="15"/>
      <c r="E92" s="9"/>
      <c r="F92" s="7"/>
      <c r="G92" s="9"/>
    </row>
    <row r="93" spans="1:7" ht="24" customHeight="1">
      <c r="A93" s="5">
        <f t="shared" si="1"/>
        <v>92</v>
      </c>
      <c r="B93" s="18">
        <v>46218</v>
      </c>
      <c r="C93" s="11" t="s">
        <v>252</v>
      </c>
      <c r="D93" s="15"/>
      <c r="E93" s="9"/>
      <c r="F93" s="7"/>
      <c r="G93" s="9"/>
    </row>
    <row r="94" spans="1:7" ht="24" customHeight="1">
      <c r="A94" s="5">
        <f t="shared" si="1"/>
        <v>93</v>
      </c>
      <c r="B94" s="18">
        <v>46218</v>
      </c>
      <c r="C94" s="11" t="s">
        <v>253</v>
      </c>
      <c r="D94" s="15"/>
      <c r="E94" s="9"/>
      <c r="F94" s="7"/>
      <c r="G94" s="9"/>
    </row>
    <row r="95" spans="1:7" ht="24" customHeight="1">
      <c r="A95" s="5">
        <f t="shared" si="1"/>
        <v>94</v>
      </c>
      <c r="B95" s="18">
        <v>46218</v>
      </c>
      <c r="C95" s="11" t="s">
        <v>254</v>
      </c>
      <c r="D95" s="15"/>
      <c r="E95" s="9"/>
      <c r="F95" s="7"/>
      <c r="G95" s="9"/>
    </row>
    <row r="96" spans="1:7" ht="24" customHeight="1">
      <c r="A96" s="5">
        <f t="shared" si="1"/>
        <v>95</v>
      </c>
      <c r="B96" s="18">
        <v>46218</v>
      </c>
      <c r="C96" s="11" t="s">
        <v>255</v>
      </c>
      <c r="D96" s="15"/>
      <c r="E96" s="9"/>
      <c r="F96" s="7"/>
      <c r="G96" s="9"/>
    </row>
    <row r="97" spans="1:7" ht="24" customHeight="1">
      <c r="A97" s="5">
        <f t="shared" si="1"/>
        <v>96</v>
      </c>
      <c r="B97" s="18">
        <v>46218</v>
      </c>
      <c r="C97" s="11" t="s">
        <v>256</v>
      </c>
      <c r="D97" s="15"/>
      <c r="E97" s="9"/>
      <c r="F97" s="7"/>
      <c r="G97" s="9"/>
    </row>
    <row r="98" spans="1:7" ht="24" customHeight="1">
      <c r="A98" s="5">
        <f t="shared" si="1"/>
        <v>97</v>
      </c>
      <c r="B98" s="18">
        <v>46218</v>
      </c>
      <c r="C98" s="11" t="s">
        <v>257</v>
      </c>
      <c r="D98" s="15"/>
      <c r="E98" s="9"/>
      <c r="F98" s="7"/>
      <c r="G98" s="9"/>
    </row>
    <row r="99" spans="1:7" ht="24" customHeight="1">
      <c r="A99" s="5">
        <f t="shared" si="1"/>
        <v>98</v>
      </c>
      <c r="B99" s="18">
        <v>46218</v>
      </c>
      <c r="C99" s="11" t="s">
        <v>258</v>
      </c>
      <c r="D99" s="15"/>
      <c r="E99" s="9"/>
      <c r="F99" s="7"/>
      <c r="G99" s="9"/>
    </row>
    <row r="100" spans="1:7" ht="24" customHeight="1">
      <c r="A100" s="5">
        <f t="shared" si="1"/>
        <v>99</v>
      </c>
      <c r="B100" s="18">
        <v>46218</v>
      </c>
      <c r="C100" s="11" t="s">
        <v>259</v>
      </c>
      <c r="D100" s="15"/>
      <c r="E100" s="9"/>
      <c r="F100" s="7"/>
      <c r="G100" s="9"/>
    </row>
    <row r="101" spans="1:7" ht="24" customHeight="1">
      <c r="A101" s="5">
        <f t="shared" si="1"/>
        <v>100</v>
      </c>
      <c r="B101" s="18">
        <v>46218</v>
      </c>
      <c r="C101" s="11" t="s">
        <v>260</v>
      </c>
      <c r="D101" s="15"/>
      <c r="E101" s="9"/>
      <c r="F101" s="7"/>
      <c r="G101" s="9"/>
    </row>
    <row r="102" spans="1:7" ht="24" customHeight="1">
      <c r="A102" s="5">
        <f t="shared" si="1"/>
        <v>101</v>
      </c>
      <c r="B102" s="18">
        <v>46218</v>
      </c>
      <c r="C102" s="11" t="s">
        <v>261</v>
      </c>
      <c r="D102" s="15"/>
      <c r="E102" s="9"/>
      <c r="F102" s="7"/>
      <c r="G102" s="9"/>
    </row>
    <row r="103" spans="1:7" ht="24" customHeight="1">
      <c r="A103" s="5">
        <f t="shared" si="1"/>
        <v>102</v>
      </c>
      <c r="B103" s="18">
        <v>46218</v>
      </c>
      <c r="C103" s="11" t="s">
        <v>262</v>
      </c>
      <c r="D103" s="15"/>
      <c r="E103" s="9"/>
      <c r="F103" s="7"/>
      <c r="G103" s="9"/>
    </row>
    <row r="104" spans="1:7" ht="24" customHeight="1">
      <c r="A104" s="5">
        <f t="shared" si="1"/>
        <v>103</v>
      </c>
      <c r="B104" s="18">
        <v>46218</v>
      </c>
      <c r="C104" s="11" t="s">
        <v>263</v>
      </c>
      <c r="D104" s="15"/>
      <c r="E104" s="9"/>
      <c r="F104" s="7"/>
      <c r="G104" s="9"/>
    </row>
    <row r="105" spans="1:7" ht="24" customHeight="1">
      <c r="A105" s="5">
        <f t="shared" si="1"/>
        <v>104</v>
      </c>
      <c r="B105" s="18">
        <v>46218</v>
      </c>
      <c r="C105" s="11" t="s">
        <v>264</v>
      </c>
      <c r="D105" s="15"/>
      <c r="E105" s="9"/>
      <c r="F105" s="7"/>
      <c r="G105" s="9"/>
    </row>
    <row r="106" spans="1:7" ht="24" customHeight="1">
      <c r="A106" s="5">
        <f t="shared" si="1"/>
        <v>105</v>
      </c>
      <c r="B106" s="18">
        <v>46218</v>
      </c>
      <c r="C106" s="11" t="s">
        <v>265</v>
      </c>
      <c r="D106" s="15"/>
      <c r="E106" s="9"/>
      <c r="F106" s="7"/>
      <c r="G106" s="9"/>
    </row>
    <row r="107" spans="1:7" ht="24" customHeight="1">
      <c r="A107" s="5">
        <f t="shared" si="1"/>
        <v>106</v>
      </c>
      <c r="B107" s="18">
        <v>46218</v>
      </c>
      <c r="C107" s="11" t="s">
        <v>266</v>
      </c>
      <c r="D107" s="15"/>
      <c r="E107" s="9"/>
      <c r="F107" s="7"/>
      <c r="G107" s="9"/>
    </row>
    <row r="108" spans="1:7" ht="24" customHeight="1">
      <c r="A108" s="5">
        <f t="shared" si="1"/>
        <v>107</v>
      </c>
      <c r="B108" s="18">
        <v>46218</v>
      </c>
      <c r="C108" s="11" t="s">
        <v>267</v>
      </c>
      <c r="D108" s="15"/>
      <c r="E108" s="9"/>
      <c r="F108" s="7"/>
      <c r="G108" s="9"/>
    </row>
    <row r="109" spans="1:7" ht="24" customHeight="1">
      <c r="A109" s="5">
        <f t="shared" si="1"/>
        <v>108</v>
      </c>
      <c r="B109" s="18">
        <v>46218</v>
      </c>
      <c r="C109" s="11" t="s">
        <v>268</v>
      </c>
      <c r="D109" s="15"/>
      <c r="E109" s="9"/>
      <c r="F109" s="7"/>
      <c r="G109" s="9"/>
    </row>
    <row r="110" spans="1:7" ht="24" customHeight="1">
      <c r="A110" s="5">
        <f t="shared" si="1"/>
        <v>109</v>
      </c>
      <c r="B110" s="18">
        <v>46218</v>
      </c>
      <c r="C110" s="11" t="s">
        <v>269</v>
      </c>
      <c r="D110" s="15"/>
      <c r="E110" s="9"/>
      <c r="F110" s="7"/>
      <c r="G110" s="9"/>
    </row>
    <row r="111" spans="1:7" ht="24" customHeight="1">
      <c r="A111" s="5">
        <f t="shared" si="1"/>
        <v>110</v>
      </c>
      <c r="B111" s="18">
        <v>46218</v>
      </c>
      <c r="C111" s="11" t="s">
        <v>270</v>
      </c>
      <c r="D111" s="15"/>
      <c r="E111" s="9"/>
      <c r="F111" s="7"/>
      <c r="G111" s="9"/>
    </row>
    <row r="112" spans="1:7" ht="24" customHeight="1">
      <c r="A112" s="5">
        <f t="shared" si="1"/>
        <v>111</v>
      </c>
      <c r="B112" s="18">
        <v>46218</v>
      </c>
      <c r="C112" s="11" t="s">
        <v>271</v>
      </c>
      <c r="D112" s="15"/>
      <c r="E112" s="9"/>
      <c r="F112" s="7"/>
      <c r="G112" s="9"/>
    </row>
    <row r="113" spans="1:7" ht="24" customHeight="1">
      <c r="A113" s="5">
        <f t="shared" si="1"/>
        <v>112</v>
      </c>
      <c r="B113" s="18">
        <v>46218</v>
      </c>
      <c r="C113" s="11" t="s">
        <v>272</v>
      </c>
      <c r="D113" s="15"/>
      <c r="E113" s="9"/>
      <c r="F113" s="7"/>
      <c r="G113" s="9"/>
    </row>
    <row r="114" spans="1:7" ht="24" customHeight="1">
      <c r="A114" s="5">
        <f t="shared" si="1"/>
        <v>113</v>
      </c>
      <c r="B114" s="18">
        <v>46218</v>
      </c>
      <c r="C114" s="11" t="s">
        <v>273</v>
      </c>
      <c r="D114" s="15"/>
      <c r="E114" s="9"/>
      <c r="F114" s="7"/>
      <c r="G114" s="9"/>
    </row>
    <row r="115" spans="1:7" ht="24" customHeight="1">
      <c r="A115" s="5">
        <f t="shared" si="1"/>
        <v>114</v>
      </c>
      <c r="B115" s="18">
        <v>46218</v>
      </c>
      <c r="C115" s="11" t="s">
        <v>274</v>
      </c>
      <c r="D115" s="15"/>
      <c r="E115" s="9"/>
      <c r="F115" s="7"/>
      <c r="G115" s="9"/>
    </row>
    <row r="116" spans="1:7" ht="24" customHeight="1">
      <c r="A116" s="5">
        <f t="shared" si="1"/>
        <v>115</v>
      </c>
      <c r="B116" s="18">
        <v>46218</v>
      </c>
      <c r="C116" s="11" t="s">
        <v>275</v>
      </c>
      <c r="D116" s="15"/>
      <c r="E116" s="9"/>
      <c r="F116" s="7"/>
      <c r="G116" s="9"/>
    </row>
    <row r="117" spans="1:7" ht="24" customHeight="1">
      <c r="A117" s="5">
        <f t="shared" si="1"/>
        <v>116</v>
      </c>
      <c r="B117" s="18">
        <v>46218</v>
      </c>
      <c r="C117" s="11" t="s">
        <v>276</v>
      </c>
      <c r="D117" s="15"/>
      <c r="E117" s="9"/>
      <c r="F117" s="7"/>
      <c r="G117" s="9"/>
    </row>
    <row r="118" spans="1:7" ht="24" customHeight="1">
      <c r="A118" s="5">
        <f t="shared" si="1"/>
        <v>117</v>
      </c>
      <c r="B118" s="18">
        <v>46218</v>
      </c>
      <c r="C118" s="11" t="s">
        <v>277</v>
      </c>
      <c r="D118" s="15"/>
      <c r="E118" s="9"/>
      <c r="F118" s="7"/>
      <c r="G118" s="9"/>
    </row>
    <row r="119" spans="1:7" ht="24" customHeight="1">
      <c r="A119" s="5">
        <f t="shared" si="1"/>
        <v>118</v>
      </c>
      <c r="B119" s="18">
        <v>46218</v>
      </c>
      <c r="C119" s="11" t="s">
        <v>278</v>
      </c>
      <c r="D119" s="15"/>
      <c r="E119" s="9"/>
      <c r="F119" s="7"/>
      <c r="G119" s="9"/>
    </row>
    <row r="120" spans="1:7" ht="24" customHeight="1">
      <c r="A120" s="5">
        <f t="shared" si="1"/>
        <v>119</v>
      </c>
      <c r="B120" s="18">
        <v>46218</v>
      </c>
      <c r="C120" s="11" t="s">
        <v>279</v>
      </c>
      <c r="D120" s="15"/>
      <c r="E120" s="9"/>
      <c r="F120" s="7"/>
      <c r="G120" s="9"/>
    </row>
    <row r="121" spans="1:7" ht="24" customHeight="1">
      <c r="A121" s="5">
        <f t="shared" si="1"/>
        <v>120</v>
      </c>
      <c r="B121" s="18">
        <v>46218</v>
      </c>
      <c r="C121" s="11" t="s">
        <v>280</v>
      </c>
      <c r="D121" s="15"/>
      <c r="E121" s="9"/>
      <c r="F121" s="7"/>
      <c r="G121" s="9"/>
    </row>
    <row r="122" spans="1:7" ht="24" customHeight="1">
      <c r="A122" s="5">
        <f t="shared" si="1"/>
        <v>121</v>
      </c>
      <c r="B122" s="18">
        <v>46218</v>
      </c>
      <c r="C122" s="11" t="s">
        <v>281</v>
      </c>
      <c r="D122" s="15"/>
      <c r="E122" s="9"/>
      <c r="F122" s="7"/>
      <c r="G122" s="9"/>
    </row>
    <row r="123" spans="1:7" ht="24" customHeight="1">
      <c r="A123" s="5">
        <f t="shared" si="1"/>
        <v>122</v>
      </c>
      <c r="B123" s="18">
        <v>46218</v>
      </c>
      <c r="C123" s="11" t="s">
        <v>282</v>
      </c>
      <c r="D123" s="15"/>
      <c r="E123" s="9"/>
      <c r="F123" s="7"/>
      <c r="G123" s="9"/>
    </row>
    <row r="124" spans="1:7" ht="24" customHeight="1">
      <c r="A124" s="5">
        <f t="shared" si="1"/>
        <v>123</v>
      </c>
      <c r="B124" s="18">
        <v>46218</v>
      </c>
      <c r="C124" s="11" t="s">
        <v>283</v>
      </c>
      <c r="D124" s="15"/>
      <c r="E124" s="9"/>
      <c r="F124" s="7"/>
      <c r="G124" s="9"/>
    </row>
    <row r="125" spans="1:7" ht="24" customHeight="1">
      <c r="A125" s="5">
        <f t="shared" si="1"/>
        <v>124</v>
      </c>
      <c r="B125" s="18">
        <v>46218</v>
      </c>
      <c r="C125" s="11" t="s">
        <v>284</v>
      </c>
      <c r="D125" s="15"/>
      <c r="E125" s="9"/>
      <c r="F125" s="7"/>
      <c r="G125" s="9"/>
    </row>
    <row r="126" spans="1:7" ht="24" customHeight="1">
      <c r="A126" s="5">
        <f t="shared" si="1"/>
        <v>125</v>
      </c>
      <c r="B126" s="18">
        <v>46218</v>
      </c>
      <c r="C126" s="11" t="s">
        <v>285</v>
      </c>
      <c r="D126" s="15"/>
      <c r="E126" s="9"/>
      <c r="F126" s="7"/>
      <c r="G126" s="9"/>
    </row>
    <row r="127" spans="1:7" ht="24" customHeight="1">
      <c r="A127" s="5">
        <f t="shared" si="1"/>
        <v>126</v>
      </c>
      <c r="B127" s="18">
        <v>46218</v>
      </c>
      <c r="C127" s="11" t="s">
        <v>286</v>
      </c>
      <c r="D127" s="15"/>
      <c r="E127" s="9"/>
      <c r="F127" s="7"/>
      <c r="G127" s="9"/>
    </row>
    <row r="128" spans="1:7" ht="24" customHeight="1">
      <c r="A128" s="5">
        <f t="shared" si="1"/>
        <v>127</v>
      </c>
      <c r="B128" s="18">
        <v>46218</v>
      </c>
      <c r="C128" s="11" t="s">
        <v>287</v>
      </c>
      <c r="D128" s="15"/>
      <c r="E128" s="9"/>
      <c r="F128" s="7"/>
      <c r="G128" s="9"/>
    </row>
    <row r="129" spans="1:7" ht="24" customHeight="1">
      <c r="A129" s="5">
        <f t="shared" si="1"/>
        <v>128</v>
      </c>
      <c r="B129" s="18">
        <v>46218</v>
      </c>
      <c r="C129" s="11" t="s">
        <v>288</v>
      </c>
      <c r="D129" s="15"/>
      <c r="E129" s="9"/>
      <c r="F129" s="7"/>
      <c r="G129" s="9"/>
    </row>
    <row r="130" spans="1:7" ht="24" customHeight="1">
      <c r="A130" s="5">
        <f t="shared" ref="A130:A193" si="2">IF(C130="","",ROW()-1)</f>
        <v>129</v>
      </c>
      <c r="B130" s="18">
        <v>46218</v>
      </c>
      <c r="C130" s="11" t="s">
        <v>289</v>
      </c>
      <c r="D130" s="15"/>
      <c r="E130" s="9"/>
      <c r="F130" s="7"/>
      <c r="G130" s="9"/>
    </row>
    <row r="131" spans="1:7" ht="24" customHeight="1">
      <c r="A131" s="5">
        <f t="shared" si="2"/>
        <v>130</v>
      </c>
      <c r="B131" s="18">
        <v>46218</v>
      </c>
      <c r="C131" s="11" t="s">
        <v>290</v>
      </c>
      <c r="D131" s="15"/>
      <c r="E131" s="9"/>
      <c r="F131" s="7"/>
      <c r="G131" s="9"/>
    </row>
    <row r="132" spans="1:7" ht="24" customHeight="1">
      <c r="A132" s="5">
        <f t="shared" si="2"/>
        <v>131</v>
      </c>
      <c r="B132" s="18">
        <v>46218</v>
      </c>
      <c r="C132" s="11" t="s">
        <v>291</v>
      </c>
      <c r="D132" s="15"/>
      <c r="E132" s="9"/>
      <c r="F132" s="7"/>
      <c r="G132" s="9"/>
    </row>
    <row r="133" spans="1:7" ht="24" customHeight="1">
      <c r="A133" s="5">
        <f t="shared" si="2"/>
        <v>132</v>
      </c>
      <c r="B133" s="18">
        <v>46218</v>
      </c>
      <c r="C133" s="11" t="s">
        <v>292</v>
      </c>
      <c r="D133" s="15"/>
      <c r="E133" s="9"/>
      <c r="F133" s="7"/>
      <c r="G133" s="9"/>
    </row>
    <row r="134" spans="1:7" ht="24" customHeight="1">
      <c r="A134" s="5">
        <f t="shared" si="2"/>
        <v>133</v>
      </c>
      <c r="B134" s="18">
        <v>46218</v>
      </c>
      <c r="C134" s="11" t="s">
        <v>293</v>
      </c>
      <c r="D134" s="15"/>
      <c r="E134" s="9"/>
      <c r="F134" s="7"/>
      <c r="G134" s="9"/>
    </row>
    <row r="135" spans="1:7" ht="24" customHeight="1">
      <c r="A135" s="5">
        <f t="shared" si="2"/>
        <v>134</v>
      </c>
      <c r="B135" s="18">
        <v>46218</v>
      </c>
      <c r="C135" s="11" t="s">
        <v>294</v>
      </c>
      <c r="D135" s="15"/>
      <c r="E135" s="9"/>
      <c r="F135" s="7"/>
      <c r="G135" s="9"/>
    </row>
    <row r="136" spans="1:7" ht="24" customHeight="1">
      <c r="A136" s="5">
        <f t="shared" si="2"/>
        <v>135</v>
      </c>
      <c r="B136" s="18">
        <v>46218</v>
      </c>
      <c r="C136" s="11" t="s">
        <v>295</v>
      </c>
      <c r="D136" s="15"/>
      <c r="E136" s="9"/>
      <c r="F136" s="7"/>
      <c r="G136" s="9"/>
    </row>
    <row r="137" spans="1:7" ht="24" customHeight="1">
      <c r="A137" s="5">
        <f t="shared" si="2"/>
        <v>136</v>
      </c>
      <c r="B137" s="18">
        <v>46218</v>
      </c>
      <c r="C137" s="11" t="s">
        <v>296</v>
      </c>
      <c r="D137" s="15"/>
      <c r="E137" s="9"/>
      <c r="F137" s="7"/>
      <c r="G137" s="9"/>
    </row>
    <row r="138" spans="1:7" ht="24" customHeight="1">
      <c r="A138" s="5">
        <f t="shared" si="2"/>
        <v>137</v>
      </c>
      <c r="B138" s="18">
        <v>46218</v>
      </c>
      <c r="C138" s="11" t="s">
        <v>297</v>
      </c>
      <c r="D138" s="15"/>
      <c r="E138" s="9"/>
      <c r="F138" s="7"/>
      <c r="G138" s="9"/>
    </row>
    <row r="139" spans="1:7" ht="24" customHeight="1">
      <c r="A139" s="5">
        <f t="shared" si="2"/>
        <v>138</v>
      </c>
      <c r="B139" s="18">
        <v>46218</v>
      </c>
      <c r="C139" s="11" t="s">
        <v>298</v>
      </c>
      <c r="D139" s="15"/>
      <c r="E139" s="9"/>
      <c r="F139" s="7"/>
      <c r="G139" s="9"/>
    </row>
    <row r="140" spans="1:7" ht="24" customHeight="1">
      <c r="A140" s="5">
        <f t="shared" si="2"/>
        <v>139</v>
      </c>
      <c r="B140" s="18">
        <v>46218</v>
      </c>
      <c r="C140" s="11" t="s">
        <v>299</v>
      </c>
      <c r="D140" s="15"/>
      <c r="E140" s="9"/>
      <c r="F140" s="7"/>
      <c r="G140" s="9"/>
    </row>
    <row r="141" spans="1:7" ht="24" customHeight="1">
      <c r="A141" s="5">
        <f t="shared" si="2"/>
        <v>140</v>
      </c>
      <c r="B141" s="18">
        <v>46218</v>
      </c>
      <c r="C141" s="11" t="s">
        <v>300</v>
      </c>
      <c r="D141" s="15"/>
      <c r="E141" s="9"/>
      <c r="F141" s="7"/>
      <c r="G141" s="9"/>
    </row>
    <row r="142" spans="1:7" ht="24" customHeight="1">
      <c r="A142" s="5">
        <f t="shared" si="2"/>
        <v>141</v>
      </c>
      <c r="B142" s="18">
        <v>46218</v>
      </c>
      <c r="C142" s="11" t="s">
        <v>301</v>
      </c>
      <c r="D142" s="15"/>
      <c r="E142" s="9"/>
      <c r="F142" s="7"/>
      <c r="G142" s="9"/>
    </row>
    <row r="143" spans="1:7" ht="24" customHeight="1">
      <c r="A143" s="5">
        <f t="shared" si="2"/>
        <v>142</v>
      </c>
      <c r="B143" s="18">
        <v>46218</v>
      </c>
      <c r="C143" s="11" t="s">
        <v>302</v>
      </c>
      <c r="D143" s="15"/>
      <c r="E143" s="9"/>
      <c r="F143" s="7"/>
      <c r="G143" s="9"/>
    </row>
    <row r="144" spans="1:7" ht="24" customHeight="1">
      <c r="A144" s="5">
        <f t="shared" si="2"/>
        <v>143</v>
      </c>
      <c r="B144" s="18">
        <v>46218</v>
      </c>
      <c r="C144" s="11" t="s">
        <v>303</v>
      </c>
      <c r="D144" s="15"/>
      <c r="E144" s="9"/>
      <c r="F144" s="7"/>
      <c r="G144" s="9"/>
    </row>
    <row r="145" spans="1:7" ht="24" customHeight="1">
      <c r="A145" s="5">
        <f t="shared" si="2"/>
        <v>144</v>
      </c>
      <c r="B145" s="18">
        <v>46218</v>
      </c>
      <c r="C145" s="11" t="s">
        <v>304</v>
      </c>
      <c r="D145" s="15"/>
      <c r="E145" s="9"/>
      <c r="F145" s="7"/>
      <c r="G145" s="9"/>
    </row>
    <row r="146" spans="1:7" ht="24" customHeight="1">
      <c r="A146" s="5">
        <f t="shared" si="2"/>
        <v>145</v>
      </c>
      <c r="B146" s="18">
        <v>46218</v>
      </c>
      <c r="C146" s="11" t="s">
        <v>305</v>
      </c>
      <c r="D146" s="15"/>
      <c r="E146" s="9"/>
      <c r="F146" s="7"/>
      <c r="G146" s="9"/>
    </row>
    <row r="147" spans="1:7" ht="24" customHeight="1">
      <c r="A147" s="5">
        <f t="shared" si="2"/>
        <v>146</v>
      </c>
      <c r="B147" s="18">
        <v>46218</v>
      </c>
      <c r="C147" s="11" t="s">
        <v>306</v>
      </c>
      <c r="D147" s="15"/>
      <c r="E147" s="9"/>
      <c r="F147" s="7"/>
      <c r="G147" s="9"/>
    </row>
    <row r="148" spans="1:7" ht="24" customHeight="1">
      <c r="A148" s="5">
        <f t="shared" si="2"/>
        <v>147</v>
      </c>
      <c r="B148" s="18">
        <v>46218</v>
      </c>
      <c r="C148" s="11" t="s">
        <v>307</v>
      </c>
      <c r="D148" s="15"/>
      <c r="E148" s="9"/>
      <c r="F148" s="7"/>
      <c r="G148" s="9"/>
    </row>
    <row r="149" spans="1:7" ht="24" customHeight="1">
      <c r="A149" s="5">
        <f t="shared" si="2"/>
        <v>148</v>
      </c>
      <c r="B149" s="18">
        <v>46218</v>
      </c>
      <c r="C149" s="11" t="s">
        <v>308</v>
      </c>
      <c r="D149" s="15"/>
      <c r="E149" s="9"/>
      <c r="F149" s="7"/>
      <c r="G149" s="9"/>
    </row>
    <row r="150" spans="1:7" ht="24" customHeight="1">
      <c r="A150" s="5">
        <f t="shared" si="2"/>
        <v>149</v>
      </c>
      <c r="B150" s="18">
        <v>46218</v>
      </c>
      <c r="C150" s="11" t="s">
        <v>309</v>
      </c>
      <c r="D150" s="15"/>
      <c r="E150" s="9"/>
      <c r="F150" s="7"/>
      <c r="G150" s="9"/>
    </row>
    <row r="151" spans="1:7" ht="24" customHeight="1">
      <c r="A151" s="5">
        <f t="shared" si="2"/>
        <v>150</v>
      </c>
      <c r="B151" s="18">
        <v>46218</v>
      </c>
      <c r="C151" s="11" t="s">
        <v>310</v>
      </c>
      <c r="D151" s="15"/>
      <c r="E151" s="9"/>
      <c r="F151" s="7"/>
      <c r="G151" s="9"/>
    </row>
    <row r="152" spans="1:7" ht="24" customHeight="1">
      <c r="A152" s="5">
        <f t="shared" si="2"/>
        <v>151</v>
      </c>
      <c r="B152" s="18">
        <v>46218</v>
      </c>
      <c r="C152" s="11" t="s">
        <v>311</v>
      </c>
      <c r="D152" s="15"/>
      <c r="E152" s="9"/>
      <c r="F152" s="7"/>
      <c r="G152" s="9"/>
    </row>
    <row r="153" spans="1:7" ht="24" customHeight="1">
      <c r="A153" s="5">
        <f t="shared" si="2"/>
        <v>152</v>
      </c>
      <c r="B153" s="18">
        <v>46218</v>
      </c>
      <c r="C153" s="11" t="s">
        <v>312</v>
      </c>
      <c r="D153" s="15"/>
      <c r="E153" s="9"/>
      <c r="F153" s="7"/>
      <c r="G153" s="9"/>
    </row>
    <row r="154" spans="1:7" ht="24" customHeight="1">
      <c r="A154" s="5">
        <f t="shared" si="2"/>
        <v>153</v>
      </c>
      <c r="B154" s="18">
        <v>46218</v>
      </c>
      <c r="C154" s="11" t="s">
        <v>313</v>
      </c>
      <c r="D154" s="15"/>
      <c r="E154" s="9"/>
      <c r="F154" s="7"/>
      <c r="G154" s="9"/>
    </row>
    <row r="155" spans="1:7" ht="24" customHeight="1">
      <c r="A155" s="5">
        <f t="shared" si="2"/>
        <v>154</v>
      </c>
      <c r="B155" s="18">
        <v>46218</v>
      </c>
      <c r="C155" s="11" t="s">
        <v>314</v>
      </c>
      <c r="D155" s="15"/>
      <c r="E155" s="9"/>
      <c r="F155" s="7"/>
      <c r="G155" s="9"/>
    </row>
    <row r="156" spans="1:7" ht="24" customHeight="1">
      <c r="A156" s="5">
        <f t="shared" si="2"/>
        <v>155</v>
      </c>
      <c r="B156" s="18">
        <v>46218</v>
      </c>
      <c r="C156" s="11" t="s">
        <v>315</v>
      </c>
      <c r="D156" s="15"/>
      <c r="E156" s="9"/>
      <c r="F156" s="7"/>
      <c r="G156" s="9"/>
    </row>
    <row r="157" spans="1:7" ht="24" customHeight="1">
      <c r="A157" s="5">
        <f t="shared" si="2"/>
        <v>156</v>
      </c>
      <c r="B157" s="18">
        <v>46218</v>
      </c>
      <c r="C157" s="11" t="s">
        <v>316</v>
      </c>
      <c r="D157" s="15"/>
      <c r="E157" s="9"/>
      <c r="F157" s="7"/>
      <c r="G157" s="9"/>
    </row>
    <row r="158" spans="1:7" ht="24" customHeight="1">
      <c r="A158" s="5">
        <f t="shared" si="2"/>
        <v>157</v>
      </c>
      <c r="B158" s="18">
        <v>46218</v>
      </c>
      <c r="C158" s="11" t="s">
        <v>317</v>
      </c>
      <c r="D158" s="15"/>
      <c r="E158" s="9"/>
      <c r="F158" s="7"/>
      <c r="G158" s="9"/>
    </row>
    <row r="159" spans="1:7" ht="24" customHeight="1">
      <c r="A159" s="5">
        <f t="shared" si="2"/>
        <v>158</v>
      </c>
      <c r="B159" s="18">
        <v>46218</v>
      </c>
      <c r="C159" s="11" t="s">
        <v>318</v>
      </c>
      <c r="D159" s="15"/>
      <c r="E159" s="9"/>
      <c r="F159" s="7"/>
      <c r="G159" s="9"/>
    </row>
    <row r="160" spans="1:7" ht="24" customHeight="1">
      <c r="A160" s="5">
        <f t="shared" si="2"/>
        <v>159</v>
      </c>
      <c r="B160" s="18">
        <v>46218</v>
      </c>
      <c r="C160" s="11" t="s">
        <v>319</v>
      </c>
      <c r="D160" s="15"/>
      <c r="E160" s="9"/>
      <c r="F160" s="7"/>
      <c r="G160" s="9"/>
    </row>
    <row r="161" spans="1:7" ht="24" customHeight="1">
      <c r="A161" s="5">
        <f t="shared" si="2"/>
        <v>160</v>
      </c>
      <c r="B161" s="18">
        <v>46218</v>
      </c>
      <c r="C161" s="11" t="s">
        <v>320</v>
      </c>
      <c r="D161" s="15"/>
      <c r="E161" s="9"/>
      <c r="F161" s="7"/>
      <c r="G161" s="9"/>
    </row>
    <row r="162" spans="1:7" ht="24" customHeight="1">
      <c r="A162" s="5">
        <f t="shared" si="2"/>
        <v>161</v>
      </c>
      <c r="B162" s="18">
        <v>46218</v>
      </c>
      <c r="C162" s="11" t="s">
        <v>321</v>
      </c>
      <c r="D162" s="15"/>
      <c r="E162" s="9"/>
      <c r="F162" s="7"/>
      <c r="G162" s="9"/>
    </row>
    <row r="163" spans="1:7" ht="24" customHeight="1">
      <c r="A163" s="5">
        <f t="shared" si="2"/>
        <v>162</v>
      </c>
      <c r="B163" s="18">
        <v>46218</v>
      </c>
      <c r="C163" s="11" t="s">
        <v>322</v>
      </c>
      <c r="D163" s="15"/>
      <c r="E163" s="9"/>
      <c r="F163" s="7"/>
      <c r="G163" s="9"/>
    </row>
    <row r="164" spans="1:7" ht="24" customHeight="1">
      <c r="A164" s="5">
        <f t="shared" si="2"/>
        <v>163</v>
      </c>
      <c r="B164" s="18">
        <v>46218</v>
      </c>
      <c r="C164" s="11" t="s">
        <v>323</v>
      </c>
      <c r="D164" s="15"/>
      <c r="E164" s="9"/>
      <c r="F164" s="7"/>
      <c r="G164" s="9"/>
    </row>
    <row r="165" spans="1:7" ht="24" customHeight="1">
      <c r="A165" s="5">
        <f t="shared" si="2"/>
        <v>164</v>
      </c>
      <c r="B165" s="18">
        <v>46218</v>
      </c>
      <c r="C165" s="11" t="s">
        <v>324</v>
      </c>
      <c r="D165" s="15"/>
      <c r="E165" s="9"/>
      <c r="F165" s="7"/>
      <c r="G165" s="9"/>
    </row>
    <row r="166" spans="1:7" ht="24" customHeight="1">
      <c r="A166" s="5">
        <f t="shared" si="2"/>
        <v>165</v>
      </c>
      <c r="B166" s="18">
        <v>46218</v>
      </c>
      <c r="C166" s="11" t="s">
        <v>325</v>
      </c>
      <c r="D166" s="15"/>
      <c r="E166" s="9"/>
      <c r="F166" s="7"/>
      <c r="G166" s="9"/>
    </row>
    <row r="167" spans="1:7" ht="24" customHeight="1">
      <c r="A167" s="5">
        <f t="shared" si="2"/>
        <v>166</v>
      </c>
      <c r="B167" s="18">
        <v>46218</v>
      </c>
      <c r="C167" s="11" t="s">
        <v>326</v>
      </c>
      <c r="D167" s="15"/>
      <c r="E167" s="9"/>
      <c r="F167" s="7"/>
      <c r="G167" s="9"/>
    </row>
    <row r="168" spans="1:7" ht="24" customHeight="1">
      <c r="A168" s="5">
        <f t="shared" si="2"/>
        <v>167</v>
      </c>
      <c r="B168" s="18">
        <v>46218</v>
      </c>
      <c r="C168" s="11" t="s">
        <v>327</v>
      </c>
      <c r="D168" s="15"/>
      <c r="E168" s="9"/>
      <c r="F168" s="7"/>
      <c r="G168" s="9"/>
    </row>
    <row r="169" spans="1:7" ht="24" customHeight="1">
      <c r="A169" s="5">
        <f t="shared" si="2"/>
        <v>168</v>
      </c>
      <c r="B169" s="18">
        <v>46218</v>
      </c>
      <c r="C169" s="11" t="s">
        <v>328</v>
      </c>
      <c r="D169" s="15"/>
      <c r="E169" s="9"/>
      <c r="F169" s="7"/>
      <c r="G169" s="9"/>
    </row>
    <row r="170" spans="1:7" ht="24" customHeight="1">
      <c r="A170" s="5">
        <f t="shared" si="2"/>
        <v>169</v>
      </c>
      <c r="B170" s="18">
        <v>46218</v>
      </c>
      <c r="C170" s="11" t="s">
        <v>329</v>
      </c>
      <c r="D170" s="15"/>
      <c r="E170" s="9"/>
      <c r="F170" s="7"/>
      <c r="G170" s="9"/>
    </row>
    <row r="171" spans="1:7" ht="24" customHeight="1">
      <c r="A171" s="5">
        <f t="shared" si="2"/>
        <v>170</v>
      </c>
      <c r="B171" s="18">
        <v>46218</v>
      </c>
      <c r="C171" s="11" t="s">
        <v>330</v>
      </c>
      <c r="D171" s="15"/>
      <c r="E171" s="9"/>
      <c r="F171" s="7"/>
      <c r="G171" s="9"/>
    </row>
    <row r="172" spans="1:7" ht="24" customHeight="1">
      <c r="A172" s="5">
        <f t="shared" si="2"/>
        <v>171</v>
      </c>
      <c r="B172" s="18">
        <v>46218</v>
      </c>
      <c r="C172" s="11" t="s">
        <v>331</v>
      </c>
      <c r="D172" s="15"/>
      <c r="E172" s="9"/>
      <c r="F172" s="7"/>
      <c r="G172" s="9"/>
    </row>
    <row r="173" spans="1:7" ht="24" customHeight="1">
      <c r="A173" s="5">
        <f t="shared" si="2"/>
        <v>172</v>
      </c>
      <c r="B173" s="18">
        <v>46218</v>
      </c>
      <c r="C173" s="11" t="s">
        <v>332</v>
      </c>
      <c r="D173" s="15"/>
      <c r="E173" s="9"/>
      <c r="F173" s="7"/>
      <c r="G173" s="9"/>
    </row>
    <row r="174" spans="1:7" ht="24" customHeight="1">
      <c r="A174" s="5">
        <f t="shared" si="2"/>
        <v>173</v>
      </c>
      <c r="B174" s="18">
        <v>46218</v>
      </c>
      <c r="C174" s="11" t="s">
        <v>333</v>
      </c>
      <c r="D174" s="15"/>
      <c r="E174" s="9"/>
      <c r="F174" s="7"/>
      <c r="G174" s="9"/>
    </row>
    <row r="175" spans="1:7" ht="24" customHeight="1">
      <c r="A175" s="5">
        <f t="shared" si="2"/>
        <v>174</v>
      </c>
      <c r="B175" s="18">
        <v>46218</v>
      </c>
      <c r="C175" s="11" t="s">
        <v>334</v>
      </c>
      <c r="D175" s="15"/>
      <c r="E175" s="9"/>
      <c r="F175" s="7"/>
      <c r="G175" s="9"/>
    </row>
    <row r="176" spans="1:7" ht="24" customHeight="1">
      <c r="A176" s="5">
        <f t="shared" si="2"/>
        <v>175</v>
      </c>
      <c r="B176" s="18">
        <v>46218</v>
      </c>
      <c r="C176" s="11" t="s">
        <v>335</v>
      </c>
      <c r="D176" s="15"/>
      <c r="E176" s="9"/>
      <c r="F176" s="7"/>
      <c r="G176" s="9"/>
    </row>
    <row r="177" spans="1:7" ht="24" customHeight="1">
      <c r="A177" s="5">
        <f t="shared" si="2"/>
        <v>176</v>
      </c>
      <c r="B177" s="18">
        <v>46218</v>
      </c>
      <c r="C177" s="11" t="s">
        <v>336</v>
      </c>
      <c r="D177" s="15"/>
      <c r="E177" s="9"/>
      <c r="F177" s="7"/>
      <c r="G177" s="9"/>
    </row>
    <row r="178" spans="1:7" ht="24" customHeight="1">
      <c r="A178" s="5" t="str">
        <f t="shared" si="2"/>
        <v/>
      </c>
      <c r="B178" s="18"/>
      <c r="C178" s="9"/>
      <c r="D178" s="15"/>
      <c r="E178" s="9"/>
      <c r="F178" s="7"/>
      <c r="G178" s="9"/>
    </row>
    <row r="179" spans="1:7" ht="24" customHeight="1">
      <c r="A179" s="5" t="str">
        <f t="shared" si="2"/>
        <v/>
      </c>
      <c r="B179" s="18"/>
      <c r="C179" s="9"/>
      <c r="D179" s="15"/>
      <c r="E179" s="9"/>
      <c r="F179" s="7"/>
      <c r="G179" s="9"/>
    </row>
    <row r="180" spans="1:7" ht="24" customHeight="1">
      <c r="A180" s="5" t="str">
        <f t="shared" si="2"/>
        <v/>
      </c>
      <c r="B180" s="18"/>
      <c r="C180" s="9"/>
      <c r="D180" s="15"/>
      <c r="E180" s="9"/>
      <c r="F180" s="7"/>
      <c r="G180" s="9"/>
    </row>
    <row r="181" spans="1:7" ht="24" customHeight="1">
      <c r="A181" s="5" t="str">
        <f t="shared" si="2"/>
        <v/>
      </c>
      <c r="B181" s="18"/>
      <c r="C181" s="9"/>
      <c r="D181" s="15"/>
      <c r="E181" s="9"/>
      <c r="F181" s="7"/>
      <c r="G181" s="9"/>
    </row>
    <row r="182" spans="1:7" ht="24" customHeight="1">
      <c r="A182" s="5" t="str">
        <f t="shared" si="2"/>
        <v/>
      </c>
      <c r="B182" s="18"/>
      <c r="C182" s="9"/>
      <c r="D182" s="15"/>
      <c r="E182" s="9"/>
      <c r="F182" s="7"/>
      <c r="G182" s="9"/>
    </row>
    <row r="183" spans="1:7" ht="24" customHeight="1">
      <c r="A183" s="5" t="str">
        <f t="shared" si="2"/>
        <v/>
      </c>
      <c r="B183" s="18"/>
      <c r="C183" s="9"/>
      <c r="D183" s="15"/>
      <c r="E183" s="9"/>
      <c r="F183" s="7"/>
      <c r="G183" s="9"/>
    </row>
    <row r="184" spans="1:7" ht="24" customHeight="1">
      <c r="A184" s="5" t="str">
        <f t="shared" si="2"/>
        <v/>
      </c>
      <c r="B184" s="18"/>
      <c r="C184" s="9"/>
      <c r="D184" s="15"/>
      <c r="E184" s="9"/>
      <c r="F184" s="7"/>
      <c r="G184" s="9"/>
    </row>
    <row r="185" spans="1:7" ht="24" customHeight="1">
      <c r="A185" s="5" t="str">
        <f t="shared" si="2"/>
        <v/>
      </c>
      <c r="B185" s="18"/>
      <c r="C185" s="9"/>
      <c r="D185" s="15"/>
      <c r="E185" s="9"/>
      <c r="F185" s="7"/>
      <c r="G185" s="9"/>
    </row>
    <row r="186" spans="1:7" ht="24" customHeight="1">
      <c r="A186" s="5" t="str">
        <f t="shared" si="2"/>
        <v/>
      </c>
      <c r="B186" s="18"/>
      <c r="C186" s="9"/>
      <c r="D186" s="15"/>
      <c r="E186" s="9"/>
      <c r="F186" s="7"/>
      <c r="G186" s="9"/>
    </row>
    <row r="187" spans="1:7" ht="24" customHeight="1">
      <c r="A187" s="5" t="str">
        <f t="shared" si="2"/>
        <v/>
      </c>
      <c r="B187" s="18"/>
      <c r="C187" s="9"/>
      <c r="D187" s="15"/>
      <c r="E187" s="9"/>
      <c r="F187" s="7"/>
      <c r="G187" s="9"/>
    </row>
    <row r="188" spans="1:7" ht="24" customHeight="1">
      <c r="A188" s="5" t="str">
        <f t="shared" si="2"/>
        <v/>
      </c>
      <c r="B188" s="18"/>
      <c r="C188" s="9"/>
      <c r="D188" s="15"/>
      <c r="E188" s="9"/>
      <c r="F188" s="7"/>
      <c r="G188" s="9"/>
    </row>
    <row r="189" spans="1:7" ht="24" customHeight="1">
      <c r="A189" s="5" t="str">
        <f t="shared" si="2"/>
        <v/>
      </c>
      <c r="B189" s="18"/>
      <c r="C189" s="9"/>
      <c r="D189" s="15"/>
      <c r="E189" s="9"/>
      <c r="F189" s="7"/>
      <c r="G189" s="9"/>
    </row>
    <row r="190" spans="1:7" ht="24" customHeight="1">
      <c r="A190" s="5" t="str">
        <f t="shared" si="2"/>
        <v/>
      </c>
      <c r="B190" s="18"/>
      <c r="C190" s="9"/>
      <c r="D190" s="15"/>
      <c r="E190" s="9"/>
      <c r="F190" s="7"/>
      <c r="G190" s="9"/>
    </row>
    <row r="191" spans="1:7" ht="24" customHeight="1">
      <c r="A191" s="5" t="str">
        <f t="shared" si="2"/>
        <v/>
      </c>
      <c r="B191" s="18"/>
      <c r="C191" s="9"/>
      <c r="D191" s="15"/>
      <c r="E191" s="9"/>
      <c r="F191" s="7"/>
      <c r="G191" s="9"/>
    </row>
    <row r="192" spans="1:7" ht="24" customHeight="1">
      <c r="A192" s="5" t="str">
        <f t="shared" si="2"/>
        <v/>
      </c>
      <c r="B192" s="18"/>
      <c r="C192" s="9"/>
      <c r="D192" s="15"/>
      <c r="E192" s="9"/>
      <c r="F192" s="7"/>
      <c r="G192" s="9"/>
    </row>
    <row r="193" spans="1:7" ht="24" customHeight="1">
      <c r="A193" s="5" t="str">
        <f t="shared" si="2"/>
        <v/>
      </c>
      <c r="B193" s="18"/>
      <c r="C193" s="9"/>
      <c r="D193" s="15"/>
      <c r="E193" s="9"/>
      <c r="F193" s="7"/>
      <c r="G193" s="9"/>
    </row>
    <row r="194" spans="1:7" ht="24" customHeight="1">
      <c r="A194" s="5" t="str">
        <f t="shared" ref="A194:A257" si="3">IF(C194="","",ROW()-1)</f>
        <v/>
      </c>
      <c r="B194" s="18"/>
      <c r="C194" s="9"/>
      <c r="D194" s="15"/>
      <c r="E194" s="9"/>
      <c r="F194" s="7"/>
      <c r="G194" s="9"/>
    </row>
    <row r="195" spans="1:7" ht="24" customHeight="1">
      <c r="A195" s="5" t="str">
        <f t="shared" si="3"/>
        <v/>
      </c>
      <c r="B195" s="18"/>
      <c r="C195" s="9"/>
      <c r="D195" s="15"/>
      <c r="E195" s="9"/>
      <c r="F195" s="7"/>
      <c r="G195" s="9"/>
    </row>
    <row r="196" spans="1:7" ht="24" customHeight="1">
      <c r="A196" s="5" t="str">
        <f t="shared" si="3"/>
        <v/>
      </c>
      <c r="B196" s="18"/>
      <c r="C196" s="9"/>
      <c r="D196" s="15"/>
      <c r="E196" s="9"/>
      <c r="F196" s="7"/>
      <c r="G196" s="9"/>
    </row>
    <row r="197" spans="1:7" ht="24" customHeight="1">
      <c r="A197" s="5" t="str">
        <f t="shared" si="3"/>
        <v/>
      </c>
      <c r="B197" s="18"/>
      <c r="C197" s="9"/>
      <c r="D197" s="15"/>
      <c r="E197" s="9"/>
      <c r="F197" s="7"/>
      <c r="G197" s="9"/>
    </row>
    <row r="198" spans="1:7" ht="24" customHeight="1">
      <c r="A198" s="5" t="str">
        <f t="shared" si="3"/>
        <v/>
      </c>
      <c r="B198" s="18"/>
      <c r="C198" s="9"/>
      <c r="D198" s="15"/>
      <c r="E198" s="9"/>
      <c r="F198" s="7"/>
      <c r="G198" s="9"/>
    </row>
    <row r="199" spans="1:7" ht="24" customHeight="1">
      <c r="A199" s="5" t="str">
        <f t="shared" si="3"/>
        <v/>
      </c>
      <c r="B199" s="18"/>
      <c r="C199" s="9"/>
      <c r="D199" s="15"/>
      <c r="E199" s="9"/>
      <c r="F199" s="7"/>
      <c r="G199" s="9"/>
    </row>
    <row r="200" spans="1:7" ht="24" customHeight="1">
      <c r="A200" s="5" t="str">
        <f t="shared" si="3"/>
        <v/>
      </c>
      <c r="B200" s="18"/>
      <c r="C200" s="9"/>
      <c r="D200" s="15"/>
      <c r="E200" s="9"/>
      <c r="F200" s="7"/>
      <c r="G200" s="9"/>
    </row>
    <row r="201" spans="1:7" ht="24" customHeight="1">
      <c r="A201" s="5" t="str">
        <f t="shared" si="3"/>
        <v/>
      </c>
      <c r="B201" s="18"/>
      <c r="C201" s="9"/>
      <c r="D201" s="15"/>
      <c r="E201" s="9"/>
      <c r="F201" s="7"/>
      <c r="G201" s="9"/>
    </row>
    <row r="202" spans="1:7" ht="24" customHeight="1">
      <c r="A202" s="5" t="str">
        <f t="shared" si="3"/>
        <v/>
      </c>
      <c r="B202" s="18"/>
      <c r="C202" s="9"/>
      <c r="D202" s="15"/>
      <c r="E202" s="9"/>
      <c r="F202" s="7"/>
      <c r="G202" s="9"/>
    </row>
    <row r="203" spans="1:7" ht="24" customHeight="1">
      <c r="A203" s="5" t="str">
        <f t="shared" si="3"/>
        <v/>
      </c>
      <c r="B203" s="18"/>
      <c r="C203" s="9"/>
      <c r="D203" s="15"/>
      <c r="E203" s="9"/>
      <c r="F203" s="7"/>
      <c r="G203" s="9"/>
    </row>
    <row r="204" spans="1:7" ht="24" customHeight="1">
      <c r="A204" s="5" t="str">
        <f t="shared" si="3"/>
        <v/>
      </c>
      <c r="B204" s="18"/>
      <c r="C204" s="9"/>
      <c r="D204" s="15"/>
      <c r="E204" s="9"/>
      <c r="F204" s="7"/>
      <c r="G204" s="9"/>
    </row>
    <row r="205" spans="1:7" ht="24" customHeight="1">
      <c r="A205" s="5" t="str">
        <f t="shared" si="3"/>
        <v/>
      </c>
      <c r="B205" s="18"/>
      <c r="C205" s="9"/>
      <c r="D205" s="15"/>
      <c r="E205" s="9"/>
      <c r="F205" s="7"/>
      <c r="G205" s="9"/>
    </row>
    <row r="206" spans="1:7" ht="24" customHeight="1">
      <c r="A206" s="5" t="str">
        <f t="shared" si="3"/>
        <v/>
      </c>
      <c r="B206" s="18"/>
      <c r="C206" s="9"/>
      <c r="D206" s="15"/>
      <c r="E206" s="9"/>
      <c r="F206" s="7"/>
      <c r="G206" s="9"/>
    </row>
    <row r="207" spans="1:7" ht="24" customHeight="1">
      <c r="A207" s="5" t="str">
        <f t="shared" si="3"/>
        <v/>
      </c>
      <c r="B207" s="18"/>
      <c r="C207" s="9"/>
      <c r="D207" s="15"/>
      <c r="E207" s="9"/>
      <c r="F207" s="7"/>
      <c r="G207" s="9"/>
    </row>
    <row r="208" spans="1:7" ht="24" customHeight="1">
      <c r="A208" s="5" t="str">
        <f t="shared" si="3"/>
        <v/>
      </c>
      <c r="B208" s="18"/>
      <c r="C208" s="9"/>
      <c r="D208" s="15"/>
      <c r="E208" s="9"/>
      <c r="F208" s="7"/>
      <c r="G208" s="9"/>
    </row>
    <row r="209" spans="1:7" ht="24" customHeight="1">
      <c r="A209" s="5" t="str">
        <f t="shared" si="3"/>
        <v/>
      </c>
      <c r="B209" s="18"/>
      <c r="C209" s="9"/>
      <c r="D209" s="15"/>
      <c r="E209" s="9"/>
      <c r="F209" s="7"/>
      <c r="G209" s="9"/>
    </row>
    <row r="210" spans="1:7" ht="24" customHeight="1">
      <c r="A210" s="5" t="str">
        <f t="shared" si="3"/>
        <v/>
      </c>
      <c r="B210" s="18"/>
      <c r="C210" s="9"/>
      <c r="D210" s="15"/>
      <c r="E210" s="9"/>
      <c r="F210" s="7"/>
      <c r="G210" s="9"/>
    </row>
    <row r="211" spans="1:7" ht="24" customHeight="1">
      <c r="A211" s="5" t="str">
        <f t="shared" si="3"/>
        <v/>
      </c>
      <c r="B211" s="18"/>
      <c r="C211" s="9"/>
      <c r="D211" s="15"/>
      <c r="E211" s="9"/>
      <c r="F211" s="7"/>
      <c r="G211" s="9"/>
    </row>
    <row r="212" spans="1:7" ht="24" customHeight="1">
      <c r="A212" s="5" t="str">
        <f t="shared" si="3"/>
        <v/>
      </c>
      <c r="B212" s="18"/>
      <c r="C212" s="9"/>
      <c r="D212" s="15"/>
      <c r="E212" s="9"/>
      <c r="F212" s="7"/>
      <c r="G212" s="9"/>
    </row>
    <row r="213" spans="1:7" ht="24" customHeight="1">
      <c r="A213" s="5" t="str">
        <f t="shared" si="3"/>
        <v/>
      </c>
      <c r="B213" s="18"/>
      <c r="C213" s="9"/>
      <c r="D213" s="15"/>
      <c r="E213" s="9"/>
      <c r="F213" s="7"/>
      <c r="G213" s="9"/>
    </row>
    <row r="214" spans="1:7" ht="24" customHeight="1">
      <c r="A214" s="5" t="str">
        <f t="shared" si="3"/>
        <v/>
      </c>
      <c r="B214" s="18"/>
      <c r="C214" s="9"/>
      <c r="D214" s="15"/>
      <c r="E214" s="9"/>
      <c r="F214" s="7"/>
      <c r="G214" s="9"/>
    </row>
    <row r="215" spans="1:7" ht="24" customHeight="1">
      <c r="A215" s="5" t="str">
        <f t="shared" si="3"/>
        <v/>
      </c>
      <c r="B215" s="18"/>
      <c r="C215" s="9"/>
      <c r="D215" s="15"/>
      <c r="E215" s="9"/>
      <c r="F215" s="7"/>
      <c r="G215" s="9"/>
    </row>
    <row r="216" spans="1:7" ht="24" customHeight="1">
      <c r="A216" s="5" t="str">
        <f t="shared" si="3"/>
        <v/>
      </c>
      <c r="B216" s="18"/>
      <c r="C216" s="9"/>
      <c r="D216" s="15"/>
      <c r="E216" s="9"/>
      <c r="F216" s="7"/>
      <c r="G216" s="9"/>
    </row>
    <row r="217" spans="1:7" ht="24" customHeight="1">
      <c r="A217" s="5" t="str">
        <f t="shared" si="3"/>
        <v/>
      </c>
      <c r="B217" s="18"/>
      <c r="C217" s="9"/>
      <c r="D217" s="15"/>
      <c r="E217" s="9"/>
      <c r="F217" s="7"/>
      <c r="G217" s="9"/>
    </row>
    <row r="218" spans="1:7" ht="24" customHeight="1">
      <c r="A218" s="5" t="str">
        <f t="shared" si="3"/>
        <v/>
      </c>
      <c r="B218" s="18"/>
      <c r="C218" s="9"/>
      <c r="D218" s="15"/>
      <c r="E218" s="9"/>
      <c r="F218" s="7"/>
      <c r="G218" s="9"/>
    </row>
    <row r="219" spans="1:7" ht="24" customHeight="1">
      <c r="A219" s="5" t="str">
        <f t="shared" si="3"/>
        <v/>
      </c>
      <c r="B219" s="18"/>
      <c r="C219" s="9"/>
      <c r="D219" s="15"/>
      <c r="E219" s="9"/>
      <c r="F219" s="7"/>
      <c r="G219" s="9"/>
    </row>
    <row r="220" spans="1:7" ht="24" customHeight="1">
      <c r="A220" s="5" t="str">
        <f t="shared" si="3"/>
        <v/>
      </c>
      <c r="B220" s="18"/>
      <c r="C220" s="9"/>
      <c r="D220" s="15"/>
      <c r="E220" s="9"/>
      <c r="F220" s="7"/>
      <c r="G220" s="9"/>
    </row>
    <row r="221" spans="1:7" ht="24" customHeight="1">
      <c r="A221" s="5" t="str">
        <f t="shared" si="3"/>
        <v/>
      </c>
      <c r="B221" s="18"/>
      <c r="C221" s="9"/>
      <c r="D221" s="15"/>
      <c r="E221" s="9"/>
      <c r="F221" s="7"/>
      <c r="G221" s="9"/>
    </row>
    <row r="222" spans="1:7" ht="24" customHeight="1">
      <c r="A222" s="5" t="str">
        <f t="shared" si="3"/>
        <v/>
      </c>
      <c r="B222" s="18"/>
      <c r="C222" s="9"/>
      <c r="D222" s="15"/>
      <c r="E222" s="9"/>
      <c r="F222" s="7"/>
      <c r="G222" s="9"/>
    </row>
    <row r="223" spans="1:7" ht="24" customHeight="1">
      <c r="A223" s="5" t="str">
        <f t="shared" si="3"/>
        <v/>
      </c>
      <c r="B223" s="18"/>
      <c r="C223" s="9"/>
      <c r="D223" s="15"/>
      <c r="E223" s="9"/>
      <c r="F223" s="7"/>
      <c r="G223" s="9"/>
    </row>
    <row r="224" spans="1:7" ht="24" customHeight="1">
      <c r="A224" s="5" t="str">
        <f t="shared" si="3"/>
        <v/>
      </c>
      <c r="B224" s="18"/>
      <c r="C224" s="9"/>
      <c r="D224" s="15"/>
      <c r="E224" s="9"/>
      <c r="F224" s="7"/>
      <c r="G224" s="9"/>
    </row>
    <row r="225" spans="1:7" ht="24" customHeight="1">
      <c r="A225" s="5" t="str">
        <f t="shared" si="3"/>
        <v/>
      </c>
      <c r="B225" s="18"/>
      <c r="C225" s="9"/>
      <c r="D225" s="15"/>
      <c r="E225" s="9"/>
      <c r="F225" s="7"/>
      <c r="G225" s="9"/>
    </row>
    <row r="226" spans="1:7" ht="24" customHeight="1">
      <c r="A226" s="5" t="str">
        <f t="shared" si="3"/>
        <v/>
      </c>
      <c r="B226" s="18"/>
      <c r="C226" s="9"/>
      <c r="D226" s="15"/>
      <c r="E226" s="9"/>
      <c r="F226" s="7"/>
      <c r="G226" s="9"/>
    </row>
    <row r="227" spans="1:7" ht="24" customHeight="1">
      <c r="A227" s="5" t="str">
        <f t="shared" si="3"/>
        <v/>
      </c>
      <c r="B227" s="18"/>
      <c r="C227" s="9"/>
      <c r="D227" s="15"/>
      <c r="E227" s="9"/>
      <c r="F227" s="7"/>
      <c r="G227" s="9"/>
    </row>
    <row r="228" spans="1:7" ht="24" customHeight="1">
      <c r="A228" s="5" t="str">
        <f t="shared" si="3"/>
        <v/>
      </c>
      <c r="B228" s="18"/>
      <c r="C228" s="9"/>
      <c r="D228" s="15"/>
      <c r="E228" s="9"/>
      <c r="F228" s="7"/>
      <c r="G228" s="9"/>
    </row>
    <row r="229" spans="1:7" ht="24" customHeight="1">
      <c r="A229" s="5" t="str">
        <f t="shared" si="3"/>
        <v/>
      </c>
      <c r="B229" s="18"/>
      <c r="C229" s="9"/>
      <c r="D229" s="15"/>
      <c r="E229" s="9"/>
      <c r="F229" s="7"/>
      <c r="G229" s="9"/>
    </row>
    <row r="230" spans="1:7" ht="24" customHeight="1">
      <c r="A230" s="5" t="str">
        <f t="shared" si="3"/>
        <v/>
      </c>
      <c r="B230" s="18"/>
      <c r="C230" s="9"/>
      <c r="D230" s="15"/>
      <c r="E230" s="9"/>
      <c r="F230" s="7"/>
      <c r="G230" s="9"/>
    </row>
    <row r="231" spans="1:7" ht="24" customHeight="1">
      <c r="A231" s="5" t="str">
        <f t="shared" si="3"/>
        <v/>
      </c>
      <c r="B231" s="18"/>
      <c r="C231" s="9"/>
      <c r="D231" s="15"/>
      <c r="E231" s="9"/>
      <c r="F231" s="7"/>
      <c r="G231" s="9"/>
    </row>
    <row r="232" spans="1:7" ht="24" customHeight="1">
      <c r="A232" s="5" t="str">
        <f t="shared" si="3"/>
        <v/>
      </c>
      <c r="B232" s="18"/>
      <c r="C232" s="9"/>
      <c r="D232" s="15"/>
      <c r="E232" s="9"/>
      <c r="F232" s="7"/>
      <c r="G232" s="9"/>
    </row>
    <row r="233" spans="1:7" ht="24" customHeight="1">
      <c r="A233" s="5" t="str">
        <f t="shared" si="3"/>
        <v/>
      </c>
      <c r="B233" s="18"/>
      <c r="C233" s="9"/>
      <c r="D233" s="15"/>
      <c r="E233" s="9"/>
      <c r="F233" s="7"/>
      <c r="G233" s="9"/>
    </row>
    <row r="234" spans="1:7" ht="24" customHeight="1">
      <c r="A234" s="5" t="str">
        <f t="shared" si="3"/>
        <v/>
      </c>
      <c r="B234" s="18"/>
      <c r="C234" s="9"/>
      <c r="D234" s="15"/>
      <c r="E234" s="9"/>
      <c r="F234" s="7"/>
      <c r="G234" s="9"/>
    </row>
    <row r="235" spans="1:7" ht="24" customHeight="1">
      <c r="A235" s="5" t="str">
        <f t="shared" si="3"/>
        <v/>
      </c>
      <c r="B235" s="18"/>
      <c r="C235" s="9"/>
      <c r="D235" s="15"/>
      <c r="E235" s="9"/>
      <c r="F235" s="7"/>
      <c r="G235" s="9"/>
    </row>
    <row r="236" spans="1:7" ht="24" customHeight="1">
      <c r="A236" s="5" t="str">
        <f t="shared" si="3"/>
        <v/>
      </c>
      <c r="B236" s="18"/>
      <c r="C236" s="9"/>
      <c r="D236" s="15"/>
      <c r="E236" s="9"/>
      <c r="F236" s="7"/>
      <c r="G236" s="9"/>
    </row>
    <row r="237" spans="1:7" ht="24" customHeight="1">
      <c r="A237" s="5" t="str">
        <f t="shared" si="3"/>
        <v/>
      </c>
      <c r="B237" s="18"/>
      <c r="C237" s="9"/>
      <c r="D237" s="15"/>
      <c r="E237" s="9"/>
      <c r="F237" s="7"/>
      <c r="G237" s="9"/>
    </row>
    <row r="238" spans="1:7" ht="24" customHeight="1">
      <c r="A238" s="5" t="str">
        <f t="shared" si="3"/>
        <v/>
      </c>
      <c r="B238" s="18"/>
      <c r="C238" s="9"/>
      <c r="D238" s="15"/>
      <c r="E238" s="9"/>
      <c r="F238" s="7"/>
      <c r="G238" s="9"/>
    </row>
    <row r="239" spans="1:7" ht="24" customHeight="1">
      <c r="A239" s="5" t="str">
        <f t="shared" si="3"/>
        <v/>
      </c>
      <c r="B239" s="18"/>
      <c r="C239" s="9"/>
      <c r="D239" s="15"/>
      <c r="E239" s="9"/>
      <c r="F239" s="7"/>
      <c r="G239" s="9"/>
    </row>
    <row r="240" spans="1:7" ht="24" customHeight="1">
      <c r="A240" s="5" t="str">
        <f t="shared" si="3"/>
        <v/>
      </c>
      <c r="B240" s="18"/>
      <c r="C240" s="9"/>
      <c r="D240" s="15"/>
      <c r="E240" s="9"/>
      <c r="F240" s="7"/>
      <c r="G240" s="9"/>
    </row>
    <row r="241" spans="1:7" ht="24" customHeight="1">
      <c r="A241" s="5" t="str">
        <f t="shared" si="3"/>
        <v/>
      </c>
      <c r="B241" s="18"/>
      <c r="C241" s="9"/>
      <c r="D241" s="15"/>
      <c r="E241" s="9"/>
      <c r="F241" s="7"/>
      <c r="G241" s="9"/>
    </row>
    <row r="242" spans="1:7" ht="24" customHeight="1">
      <c r="A242" s="5" t="str">
        <f t="shared" si="3"/>
        <v/>
      </c>
      <c r="B242" s="18"/>
      <c r="C242" s="9"/>
      <c r="D242" s="15"/>
      <c r="E242" s="9"/>
      <c r="F242" s="7"/>
      <c r="G242" s="9"/>
    </row>
    <row r="243" spans="1:7" ht="24" customHeight="1">
      <c r="A243" s="5" t="str">
        <f t="shared" si="3"/>
        <v/>
      </c>
      <c r="B243" s="18"/>
      <c r="C243" s="9"/>
      <c r="D243" s="15"/>
      <c r="E243" s="9"/>
      <c r="F243" s="7"/>
      <c r="G243" s="9"/>
    </row>
    <row r="244" spans="1:7" ht="24" customHeight="1">
      <c r="A244" s="5" t="str">
        <f t="shared" si="3"/>
        <v/>
      </c>
      <c r="B244" s="18"/>
      <c r="C244" s="9"/>
      <c r="D244" s="15"/>
      <c r="E244" s="9"/>
      <c r="F244" s="7"/>
      <c r="G244" s="9"/>
    </row>
    <row r="245" spans="1:7" ht="24" customHeight="1">
      <c r="A245" s="5" t="str">
        <f t="shared" si="3"/>
        <v/>
      </c>
      <c r="B245" s="18"/>
      <c r="C245" s="9"/>
      <c r="D245" s="15"/>
      <c r="E245" s="9"/>
      <c r="F245" s="7"/>
      <c r="G245" s="9"/>
    </row>
    <row r="246" spans="1:7" ht="24" customHeight="1">
      <c r="A246" s="5" t="str">
        <f t="shared" si="3"/>
        <v/>
      </c>
      <c r="B246" s="18"/>
      <c r="C246" s="9"/>
      <c r="D246" s="15"/>
      <c r="E246" s="9"/>
      <c r="F246" s="7"/>
      <c r="G246" s="9"/>
    </row>
    <row r="247" spans="1:7" ht="24" customHeight="1">
      <c r="A247" s="5" t="str">
        <f t="shared" si="3"/>
        <v/>
      </c>
      <c r="B247" s="18"/>
      <c r="C247" s="9"/>
      <c r="D247" s="15"/>
      <c r="E247" s="9"/>
      <c r="F247" s="7"/>
      <c r="G247" s="9"/>
    </row>
    <row r="248" spans="1:7" ht="24" customHeight="1">
      <c r="A248" s="5" t="str">
        <f t="shared" si="3"/>
        <v/>
      </c>
      <c r="B248" s="18"/>
      <c r="C248" s="9"/>
      <c r="D248" s="15"/>
      <c r="E248" s="9"/>
      <c r="F248" s="7"/>
      <c r="G248" s="9"/>
    </row>
    <row r="249" spans="1:7" ht="24" customHeight="1">
      <c r="A249" s="5" t="str">
        <f t="shared" si="3"/>
        <v/>
      </c>
      <c r="B249" s="18"/>
      <c r="C249" s="9"/>
      <c r="D249" s="15"/>
      <c r="E249" s="9"/>
      <c r="F249" s="7"/>
      <c r="G249" s="9"/>
    </row>
    <row r="250" spans="1:7" ht="24" customHeight="1">
      <c r="A250" s="5" t="str">
        <f t="shared" si="3"/>
        <v/>
      </c>
      <c r="B250" s="18"/>
      <c r="C250" s="9"/>
      <c r="D250" s="15"/>
      <c r="E250" s="9"/>
      <c r="F250" s="7"/>
      <c r="G250" s="9"/>
    </row>
    <row r="251" spans="1:7" ht="24" customHeight="1">
      <c r="A251" s="5" t="str">
        <f t="shared" si="3"/>
        <v/>
      </c>
      <c r="B251" s="18"/>
      <c r="C251" s="9"/>
      <c r="D251" s="15"/>
      <c r="E251" s="9"/>
      <c r="F251" s="7"/>
      <c r="G251" s="9"/>
    </row>
    <row r="252" spans="1:7" ht="24" customHeight="1">
      <c r="A252" s="5" t="str">
        <f t="shared" si="3"/>
        <v/>
      </c>
      <c r="B252" s="18"/>
      <c r="C252" s="9"/>
      <c r="D252" s="15"/>
      <c r="E252" s="9"/>
      <c r="F252" s="7"/>
      <c r="G252" s="9"/>
    </row>
    <row r="253" spans="1:7" ht="24" customHeight="1">
      <c r="A253" s="5" t="str">
        <f t="shared" si="3"/>
        <v/>
      </c>
      <c r="B253" s="18"/>
      <c r="C253" s="9"/>
      <c r="D253" s="15"/>
      <c r="E253" s="9"/>
      <c r="F253" s="7"/>
      <c r="G253" s="9"/>
    </row>
    <row r="254" spans="1:7" ht="24" customHeight="1">
      <c r="A254" s="5" t="str">
        <f t="shared" si="3"/>
        <v/>
      </c>
      <c r="B254" s="18"/>
      <c r="C254" s="9"/>
      <c r="D254" s="15"/>
      <c r="E254" s="9"/>
      <c r="F254" s="7"/>
      <c r="G254" s="9"/>
    </row>
    <row r="255" spans="1:7" ht="24" customHeight="1">
      <c r="A255" s="5" t="str">
        <f t="shared" si="3"/>
        <v/>
      </c>
      <c r="B255" s="18"/>
      <c r="C255" s="9"/>
      <c r="D255" s="15"/>
      <c r="E255" s="9"/>
      <c r="F255" s="7"/>
      <c r="G255" s="9"/>
    </row>
    <row r="256" spans="1:7" ht="24" customHeight="1">
      <c r="A256" s="5" t="str">
        <f t="shared" si="3"/>
        <v/>
      </c>
      <c r="B256" s="18"/>
      <c r="C256" s="9"/>
      <c r="D256" s="15"/>
      <c r="E256" s="9"/>
      <c r="F256" s="7"/>
      <c r="G256" s="9"/>
    </row>
    <row r="257" spans="1:7" ht="24" customHeight="1">
      <c r="A257" s="5" t="str">
        <f t="shared" si="3"/>
        <v/>
      </c>
      <c r="B257" s="18"/>
      <c r="C257" s="9"/>
      <c r="D257" s="15"/>
      <c r="E257" s="9"/>
      <c r="F257" s="7"/>
      <c r="G257" s="9"/>
    </row>
    <row r="258" spans="1:7" ht="24" customHeight="1">
      <c r="A258" s="5" t="str">
        <f t="shared" ref="A258:A321" si="4">IF(C258="","",ROW()-1)</f>
        <v/>
      </c>
      <c r="B258" s="18"/>
      <c r="C258" s="9"/>
      <c r="D258" s="15"/>
      <c r="E258" s="9"/>
      <c r="F258" s="7"/>
      <c r="G258" s="9"/>
    </row>
    <row r="259" spans="1:7" ht="24" customHeight="1">
      <c r="A259" s="5" t="str">
        <f t="shared" si="4"/>
        <v/>
      </c>
      <c r="B259" s="18"/>
      <c r="C259" s="9"/>
      <c r="D259" s="15"/>
      <c r="E259" s="9"/>
      <c r="F259" s="7"/>
      <c r="G259" s="9"/>
    </row>
    <row r="260" spans="1:7" ht="24" customHeight="1">
      <c r="A260" s="5" t="str">
        <f t="shared" si="4"/>
        <v/>
      </c>
      <c r="B260" s="18"/>
      <c r="C260" s="9"/>
      <c r="D260" s="15"/>
      <c r="E260" s="9"/>
      <c r="F260" s="7"/>
      <c r="G260" s="9"/>
    </row>
    <row r="261" spans="1:7" ht="24" customHeight="1">
      <c r="A261" s="5" t="str">
        <f t="shared" si="4"/>
        <v/>
      </c>
      <c r="B261" s="18"/>
      <c r="C261" s="9"/>
      <c r="D261" s="15"/>
      <c r="E261" s="9"/>
      <c r="F261" s="7"/>
      <c r="G261" s="9"/>
    </row>
    <row r="262" spans="1:7" ht="24" customHeight="1">
      <c r="A262" s="5" t="str">
        <f t="shared" si="4"/>
        <v/>
      </c>
      <c r="B262" s="18"/>
      <c r="C262" s="9"/>
      <c r="D262" s="15"/>
      <c r="E262" s="9"/>
      <c r="F262" s="7"/>
      <c r="G262" s="9"/>
    </row>
    <row r="263" spans="1:7" ht="24" customHeight="1">
      <c r="A263" s="5" t="str">
        <f t="shared" si="4"/>
        <v/>
      </c>
      <c r="B263" s="18"/>
      <c r="C263" s="9"/>
      <c r="D263" s="15"/>
      <c r="E263" s="9"/>
      <c r="F263" s="7"/>
      <c r="G263" s="9"/>
    </row>
    <row r="264" spans="1:7" ht="24" customHeight="1">
      <c r="A264" s="5" t="str">
        <f t="shared" si="4"/>
        <v/>
      </c>
      <c r="B264" s="18"/>
      <c r="C264" s="9"/>
      <c r="D264" s="15"/>
      <c r="E264" s="9"/>
      <c r="F264" s="7"/>
      <c r="G264" s="9"/>
    </row>
    <row r="265" spans="1:7" ht="24" customHeight="1">
      <c r="A265" s="5" t="str">
        <f t="shared" si="4"/>
        <v/>
      </c>
      <c r="B265" s="18"/>
      <c r="C265" s="9"/>
      <c r="D265" s="15"/>
      <c r="E265" s="9"/>
      <c r="F265" s="7"/>
      <c r="G265" s="9"/>
    </row>
    <row r="266" spans="1:7" ht="24" customHeight="1">
      <c r="A266" s="5" t="str">
        <f t="shared" si="4"/>
        <v/>
      </c>
      <c r="B266" s="18"/>
      <c r="C266" s="9"/>
      <c r="D266" s="15"/>
      <c r="E266" s="9"/>
      <c r="F266" s="7"/>
      <c r="G266" s="9"/>
    </row>
    <row r="267" spans="1:7" ht="24" customHeight="1">
      <c r="A267" s="5" t="str">
        <f t="shared" si="4"/>
        <v/>
      </c>
      <c r="B267" s="18"/>
      <c r="C267" s="9"/>
      <c r="D267" s="15"/>
      <c r="E267" s="9"/>
      <c r="F267" s="7"/>
      <c r="G267" s="9"/>
    </row>
    <row r="268" spans="1:7" ht="24" customHeight="1">
      <c r="A268" s="5" t="str">
        <f t="shared" si="4"/>
        <v/>
      </c>
      <c r="B268" s="18"/>
      <c r="C268" s="9"/>
      <c r="D268" s="15"/>
      <c r="E268" s="9"/>
      <c r="F268" s="7"/>
      <c r="G268" s="9"/>
    </row>
    <row r="269" spans="1:7" ht="24" customHeight="1">
      <c r="A269" s="5" t="str">
        <f t="shared" si="4"/>
        <v/>
      </c>
      <c r="B269" s="18"/>
      <c r="C269" s="9"/>
      <c r="D269" s="15"/>
      <c r="E269" s="9"/>
      <c r="F269" s="7"/>
      <c r="G269" s="9"/>
    </row>
    <row r="270" spans="1:7" ht="24" customHeight="1">
      <c r="A270" s="5" t="str">
        <f t="shared" si="4"/>
        <v/>
      </c>
      <c r="B270" s="18"/>
      <c r="C270" s="9"/>
      <c r="D270" s="15"/>
      <c r="E270" s="9"/>
      <c r="F270" s="7"/>
      <c r="G270" s="9"/>
    </row>
    <row r="271" spans="1:7" ht="24" customHeight="1">
      <c r="A271" s="5" t="str">
        <f t="shared" si="4"/>
        <v/>
      </c>
      <c r="B271" s="18"/>
      <c r="C271" s="9"/>
      <c r="D271" s="15"/>
      <c r="E271" s="9"/>
      <c r="F271" s="7"/>
      <c r="G271" s="9"/>
    </row>
    <row r="272" spans="1:7" ht="24" customHeight="1">
      <c r="A272" s="5" t="str">
        <f t="shared" si="4"/>
        <v/>
      </c>
      <c r="B272" s="18"/>
      <c r="C272" s="9"/>
      <c r="D272" s="15"/>
      <c r="E272" s="9"/>
      <c r="F272" s="7"/>
      <c r="G272" s="9"/>
    </row>
    <row r="273" spans="1:7" ht="24" customHeight="1">
      <c r="A273" s="5" t="str">
        <f t="shared" si="4"/>
        <v/>
      </c>
      <c r="B273" s="18"/>
      <c r="C273" s="9"/>
      <c r="D273" s="15"/>
      <c r="E273" s="9"/>
      <c r="F273" s="7"/>
      <c r="G273" s="9"/>
    </row>
    <row r="274" spans="1:7" ht="24" customHeight="1">
      <c r="A274" s="5" t="str">
        <f t="shared" si="4"/>
        <v/>
      </c>
      <c r="B274" s="18"/>
      <c r="C274" s="9"/>
      <c r="D274" s="15"/>
      <c r="E274" s="9"/>
      <c r="F274" s="7"/>
      <c r="G274" s="9"/>
    </row>
    <row r="275" spans="1:7" ht="24" customHeight="1">
      <c r="A275" s="5" t="str">
        <f t="shared" si="4"/>
        <v/>
      </c>
      <c r="B275" s="18"/>
      <c r="C275" s="9"/>
      <c r="D275" s="15"/>
      <c r="E275" s="9"/>
      <c r="F275" s="7"/>
      <c r="G275" s="9"/>
    </row>
    <row r="276" spans="1:7" ht="24" customHeight="1">
      <c r="A276" s="5" t="str">
        <f t="shared" si="4"/>
        <v/>
      </c>
      <c r="B276" s="18"/>
      <c r="C276" s="9"/>
      <c r="D276" s="15"/>
      <c r="E276" s="9"/>
      <c r="F276" s="7"/>
      <c r="G276" s="9"/>
    </row>
    <row r="277" spans="1:7" ht="24" customHeight="1">
      <c r="A277" s="5" t="str">
        <f t="shared" si="4"/>
        <v/>
      </c>
      <c r="B277" s="18"/>
      <c r="C277" s="9"/>
      <c r="D277" s="15"/>
      <c r="E277" s="9"/>
      <c r="F277" s="7"/>
      <c r="G277" s="9"/>
    </row>
    <row r="278" spans="1:7" ht="24" customHeight="1">
      <c r="A278" s="5" t="str">
        <f t="shared" si="4"/>
        <v/>
      </c>
      <c r="B278" s="18"/>
      <c r="C278" s="9"/>
      <c r="D278" s="15"/>
      <c r="E278" s="9"/>
      <c r="F278" s="7"/>
      <c r="G278" s="9"/>
    </row>
    <row r="279" spans="1:7" ht="24" customHeight="1">
      <c r="A279" s="5" t="str">
        <f t="shared" si="4"/>
        <v/>
      </c>
      <c r="B279" s="18"/>
      <c r="C279" s="9"/>
      <c r="D279" s="15"/>
      <c r="E279" s="9"/>
      <c r="F279" s="7"/>
      <c r="G279" s="9"/>
    </row>
    <row r="280" spans="1:7" ht="24" customHeight="1">
      <c r="A280" s="5" t="str">
        <f t="shared" si="4"/>
        <v/>
      </c>
      <c r="B280" s="18"/>
      <c r="C280" s="9"/>
      <c r="D280" s="15"/>
      <c r="E280" s="9"/>
      <c r="F280" s="7"/>
      <c r="G280" s="9"/>
    </row>
    <row r="281" spans="1:7" ht="24" customHeight="1">
      <c r="A281" s="5" t="str">
        <f t="shared" si="4"/>
        <v/>
      </c>
      <c r="B281" s="18"/>
      <c r="C281" s="9"/>
      <c r="D281" s="15"/>
      <c r="E281" s="9"/>
      <c r="F281" s="7"/>
      <c r="G281" s="9"/>
    </row>
    <row r="282" spans="1:7" ht="24" customHeight="1">
      <c r="A282" s="5" t="str">
        <f t="shared" si="4"/>
        <v/>
      </c>
      <c r="B282" s="18"/>
      <c r="C282" s="9"/>
      <c r="D282" s="15"/>
      <c r="E282" s="9"/>
      <c r="F282" s="7"/>
      <c r="G282" s="9"/>
    </row>
    <row r="283" spans="1:7" ht="24" customHeight="1">
      <c r="A283" s="5" t="str">
        <f t="shared" si="4"/>
        <v/>
      </c>
      <c r="B283" s="18"/>
      <c r="C283" s="9"/>
      <c r="D283" s="15"/>
      <c r="E283" s="9"/>
      <c r="F283" s="7"/>
      <c r="G283" s="9"/>
    </row>
    <row r="284" spans="1:7" ht="24" customHeight="1">
      <c r="A284" s="5" t="str">
        <f t="shared" si="4"/>
        <v/>
      </c>
      <c r="B284" s="18"/>
      <c r="C284" s="9"/>
      <c r="D284" s="15"/>
      <c r="E284" s="9"/>
      <c r="F284" s="7"/>
      <c r="G284" s="9"/>
    </row>
    <row r="285" spans="1:7" ht="24" customHeight="1">
      <c r="A285" s="5" t="str">
        <f t="shared" si="4"/>
        <v/>
      </c>
      <c r="B285" s="18"/>
      <c r="C285" s="9"/>
      <c r="D285" s="15"/>
      <c r="E285" s="9"/>
      <c r="F285" s="7"/>
      <c r="G285" s="9"/>
    </row>
    <row r="286" spans="1:7" ht="24" customHeight="1">
      <c r="A286" s="5" t="str">
        <f t="shared" si="4"/>
        <v/>
      </c>
      <c r="B286" s="18"/>
      <c r="C286" s="9"/>
      <c r="D286" s="15"/>
      <c r="E286" s="9"/>
      <c r="F286" s="7"/>
      <c r="G286" s="9"/>
    </row>
    <row r="287" spans="1:7" ht="24" customHeight="1">
      <c r="A287" s="5" t="str">
        <f t="shared" si="4"/>
        <v/>
      </c>
      <c r="B287" s="18"/>
      <c r="C287" s="9"/>
      <c r="D287" s="15"/>
      <c r="E287" s="9"/>
      <c r="F287" s="7"/>
      <c r="G287" s="9"/>
    </row>
    <row r="288" spans="1:7" ht="24" customHeight="1">
      <c r="A288" s="5" t="str">
        <f t="shared" si="4"/>
        <v/>
      </c>
      <c r="B288" s="18"/>
      <c r="C288" s="9"/>
      <c r="D288" s="15"/>
      <c r="E288" s="9"/>
      <c r="F288" s="7"/>
      <c r="G288" s="9"/>
    </row>
    <row r="289" spans="1:7" ht="24" customHeight="1">
      <c r="A289" s="5" t="str">
        <f t="shared" si="4"/>
        <v/>
      </c>
      <c r="B289" s="18"/>
      <c r="C289" s="9"/>
      <c r="D289" s="15"/>
      <c r="E289" s="9"/>
      <c r="F289" s="7"/>
      <c r="G289" s="9"/>
    </row>
    <row r="290" spans="1:7" ht="24" customHeight="1">
      <c r="A290" s="5" t="str">
        <f t="shared" si="4"/>
        <v/>
      </c>
      <c r="B290" s="18"/>
      <c r="C290" s="9"/>
      <c r="D290" s="15"/>
      <c r="E290" s="9"/>
      <c r="F290" s="7"/>
      <c r="G290" s="9"/>
    </row>
    <row r="291" spans="1:7" ht="24" customHeight="1">
      <c r="A291" s="5" t="str">
        <f t="shared" si="4"/>
        <v/>
      </c>
      <c r="B291" s="18"/>
      <c r="C291" s="9"/>
      <c r="D291" s="15"/>
      <c r="E291" s="9"/>
      <c r="F291" s="7"/>
      <c r="G291" s="9"/>
    </row>
    <row r="292" spans="1:7" ht="24" customHeight="1">
      <c r="A292" s="5" t="str">
        <f t="shared" si="4"/>
        <v/>
      </c>
      <c r="B292" s="18"/>
      <c r="C292" s="9"/>
      <c r="D292" s="15"/>
      <c r="E292" s="9"/>
      <c r="F292" s="7"/>
      <c r="G292" s="9"/>
    </row>
    <row r="293" spans="1:7" ht="24" customHeight="1">
      <c r="A293" s="5" t="str">
        <f t="shared" si="4"/>
        <v/>
      </c>
      <c r="B293" s="18"/>
      <c r="C293" s="9"/>
      <c r="D293" s="15"/>
      <c r="E293" s="9"/>
      <c r="F293" s="7"/>
      <c r="G293" s="9"/>
    </row>
    <row r="294" spans="1:7" ht="24" customHeight="1">
      <c r="A294" s="5" t="str">
        <f t="shared" si="4"/>
        <v/>
      </c>
      <c r="B294" s="18"/>
      <c r="C294" s="9"/>
      <c r="D294" s="15"/>
      <c r="E294" s="9"/>
      <c r="F294" s="7"/>
      <c r="G294" s="9"/>
    </row>
    <row r="295" spans="1:7" ht="24" customHeight="1">
      <c r="A295" s="5" t="str">
        <f t="shared" si="4"/>
        <v/>
      </c>
      <c r="B295" s="18"/>
      <c r="C295" s="9"/>
      <c r="D295" s="15"/>
      <c r="E295" s="9"/>
      <c r="F295" s="7"/>
      <c r="G295" s="9"/>
    </row>
    <row r="296" spans="1:7" ht="24" customHeight="1">
      <c r="A296" s="5" t="str">
        <f t="shared" si="4"/>
        <v/>
      </c>
      <c r="B296" s="18"/>
      <c r="C296" s="9"/>
      <c r="D296" s="15"/>
      <c r="E296" s="9"/>
      <c r="F296" s="7"/>
      <c r="G296" s="9"/>
    </row>
    <row r="297" spans="1:7" ht="24" customHeight="1">
      <c r="A297" s="5" t="str">
        <f t="shared" si="4"/>
        <v/>
      </c>
      <c r="B297" s="18"/>
      <c r="C297" s="9"/>
      <c r="D297" s="15"/>
      <c r="E297" s="9"/>
      <c r="F297" s="7"/>
      <c r="G297" s="9"/>
    </row>
    <row r="298" spans="1:7" ht="24" customHeight="1">
      <c r="A298" s="5" t="str">
        <f t="shared" si="4"/>
        <v/>
      </c>
      <c r="B298" s="18"/>
      <c r="C298" s="9"/>
      <c r="D298" s="15"/>
      <c r="E298" s="9"/>
      <c r="F298" s="7"/>
      <c r="G298" s="9"/>
    </row>
    <row r="299" spans="1:7" ht="24" customHeight="1">
      <c r="A299" s="5" t="str">
        <f t="shared" si="4"/>
        <v/>
      </c>
      <c r="B299" s="18"/>
      <c r="C299" s="9"/>
      <c r="D299" s="15"/>
      <c r="E299" s="9"/>
      <c r="F299" s="7"/>
      <c r="G299" s="9"/>
    </row>
    <row r="300" spans="1:7" ht="24" customHeight="1">
      <c r="A300" s="5" t="str">
        <f t="shared" si="4"/>
        <v/>
      </c>
      <c r="B300" s="18"/>
      <c r="C300" s="9"/>
      <c r="D300" s="15"/>
      <c r="E300" s="9"/>
      <c r="F300" s="7"/>
      <c r="G300" s="9"/>
    </row>
    <row r="301" spans="1:7" ht="24" customHeight="1">
      <c r="A301" s="5" t="str">
        <f t="shared" si="4"/>
        <v/>
      </c>
      <c r="B301" s="18"/>
      <c r="C301" s="9"/>
      <c r="D301" s="15"/>
      <c r="E301" s="9"/>
      <c r="F301" s="7"/>
      <c r="G301" s="9"/>
    </row>
    <row r="302" spans="1:7" ht="24" customHeight="1">
      <c r="A302" s="5" t="str">
        <f t="shared" si="4"/>
        <v/>
      </c>
      <c r="B302" s="18"/>
      <c r="C302" s="9"/>
      <c r="D302" s="15"/>
      <c r="E302" s="9"/>
      <c r="F302" s="7"/>
      <c r="G302" s="9"/>
    </row>
    <row r="303" spans="1:7" ht="24" customHeight="1">
      <c r="A303" s="5" t="str">
        <f t="shared" si="4"/>
        <v/>
      </c>
      <c r="B303" s="18"/>
      <c r="C303" s="9"/>
      <c r="D303" s="15"/>
      <c r="E303" s="9"/>
      <c r="F303" s="7"/>
      <c r="G303" s="9"/>
    </row>
    <row r="304" spans="1:7" ht="24" customHeight="1">
      <c r="A304" s="5" t="str">
        <f t="shared" si="4"/>
        <v/>
      </c>
      <c r="B304" s="18"/>
      <c r="C304" s="9"/>
      <c r="D304" s="15"/>
      <c r="E304" s="9"/>
      <c r="F304" s="7"/>
      <c r="G304" s="9"/>
    </row>
    <row r="305" spans="1:7" ht="24" customHeight="1">
      <c r="A305" s="5" t="str">
        <f t="shared" si="4"/>
        <v/>
      </c>
      <c r="B305" s="18"/>
      <c r="C305" s="9"/>
      <c r="D305" s="15"/>
      <c r="E305" s="9"/>
      <c r="F305" s="7"/>
      <c r="G305" s="9"/>
    </row>
    <row r="306" spans="1:7" ht="24" customHeight="1">
      <c r="A306" s="5" t="str">
        <f t="shared" si="4"/>
        <v/>
      </c>
      <c r="B306" s="18"/>
      <c r="C306" s="9"/>
      <c r="D306" s="15"/>
      <c r="E306" s="9"/>
      <c r="F306" s="7"/>
      <c r="G306" s="9"/>
    </row>
    <row r="307" spans="1:7" ht="24" customHeight="1">
      <c r="A307" s="5" t="str">
        <f t="shared" si="4"/>
        <v/>
      </c>
      <c r="B307" s="18"/>
      <c r="C307" s="9"/>
      <c r="D307" s="15"/>
      <c r="E307" s="9"/>
      <c r="F307" s="7"/>
      <c r="G307" s="9"/>
    </row>
    <row r="308" spans="1:7" ht="24" customHeight="1">
      <c r="A308" s="5" t="str">
        <f t="shared" si="4"/>
        <v/>
      </c>
      <c r="B308" s="18"/>
      <c r="C308" s="9"/>
      <c r="D308" s="15"/>
      <c r="E308" s="9"/>
      <c r="F308" s="7"/>
      <c r="G308" s="9"/>
    </row>
    <row r="309" spans="1:7" ht="24" customHeight="1">
      <c r="A309" s="5" t="str">
        <f t="shared" si="4"/>
        <v/>
      </c>
      <c r="B309" s="18"/>
      <c r="C309" s="9"/>
      <c r="D309" s="15"/>
      <c r="E309" s="9"/>
      <c r="F309" s="7"/>
      <c r="G309" s="9"/>
    </row>
    <row r="310" spans="1:7" ht="24" customHeight="1">
      <c r="A310" s="5" t="str">
        <f t="shared" si="4"/>
        <v/>
      </c>
      <c r="B310" s="18"/>
      <c r="C310" s="9"/>
      <c r="D310" s="15"/>
      <c r="E310" s="9"/>
      <c r="F310" s="7"/>
      <c r="G310" s="9"/>
    </row>
    <row r="311" spans="1:7" ht="24" customHeight="1">
      <c r="A311" s="5" t="str">
        <f t="shared" si="4"/>
        <v/>
      </c>
      <c r="B311" s="18"/>
      <c r="C311" s="9"/>
      <c r="D311" s="15"/>
      <c r="E311" s="9"/>
      <c r="F311" s="7"/>
      <c r="G311" s="9"/>
    </row>
    <row r="312" spans="1:7" ht="24" customHeight="1">
      <c r="A312" s="5" t="str">
        <f t="shared" si="4"/>
        <v/>
      </c>
      <c r="B312" s="18"/>
      <c r="C312" s="9"/>
      <c r="D312" s="15"/>
      <c r="E312" s="9"/>
      <c r="F312" s="7"/>
      <c r="G312" s="9"/>
    </row>
    <row r="313" spans="1:7" ht="24" customHeight="1">
      <c r="A313" s="5" t="str">
        <f t="shared" si="4"/>
        <v/>
      </c>
      <c r="B313" s="18"/>
      <c r="C313" s="9"/>
      <c r="D313" s="15"/>
      <c r="E313" s="9"/>
      <c r="F313" s="7"/>
      <c r="G313" s="9"/>
    </row>
    <row r="314" spans="1:7" ht="24" customHeight="1">
      <c r="A314" s="5" t="str">
        <f t="shared" si="4"/>
        <v/>
      </c>
      <c r="B314" s="18"/>
      <c r="C314" s="9"/>
      <c r="D314" s="15"/>
      <c r="E314" s="9"/>
      <c r="F314" s="7"/>
      <c r="G314" s="9"/>
    </row>
    <row r="315" spans="1:7" ht="24" customHeight="1">
      <c r="A315" s="5" t="str">
        <f t="shared" si="4"/>
        <v/>
      </c>
      <c r="B315" s="18"/>
      <c r="C315" s="9"/>
      <c r="D315" s="15"/>
      <c r="E315" s="9"/>
      <c r="F315" s="7"/>
      <c r="G315" s="9"/>
    </row>
    <row r="316" spans="1:7" ht="24" customHeight="1">
      <c r="A316" s="5" t="str">
        <f t="shared" si="4"/>
        <v/>
      </c>
      <c r="B316" s="18"/>
      <c r="C316" s="9"/>
      <c r="D316" s="15"/>
      <c r="E316" s="9"/>
      <c r="F316" s="7"/>
      <c r="G316" s="9"/>
    </row>
    <row r="317" spans="1:7" ht="24" customHeight="1">
      <c r="A317" s="5" t="str">
        <f t="shared" si="4"/>
        <v/>
      </c>
      <c r="B317" s="18"/>
      <c r="C317" s="9"/>
      <c r="D317" s="15"/>
      <c r="E317" s="9"/>
      <c r="F317" s="7"/>
      <c r="G317" s="9"/>
    </row>
    <row r="318" spans="1:7" ht="24" customHeight="1">
      <c r="A318" s="5" t="str">
        <f t="shared" si="4"/>
        <v/>
      </c>
      <c r="B318" s="18"/>
      <c r="C318" s="9"/>
      <c r="D318" s="15"/>
      <c r="E318" s="9"/>
      <c r="F318" s="7"/>
      <c r="G318" s="9"/>
    </row>
    <row r="319" spans="1:7" ht="24" customHeight="1">
      <c r="A319" s="5" t="str">
        <f t="shared" si="4"/>
        <v/>
      </c>
      <c r="B319" s="18"/>
      <c r="C319" s="9"/>
      <c r="D319" s="15"/>
      <c r="E319" s="9"/>
      <c r="F319" s="7"/>
      <c r="G319" s="9"/>
    </row>
    <row r="320" spans="1:7" ht="24" customHeight="1">
      <c r="A320" s="5" t="str">
        <f t="shared" si="4"/>
        <v/>
      </c>
      <c r="B320" s="18"/>
      <c r="C320" s="9"/>
      <c r="D320" s="15"/>
      <c r="E320" s="9"/>
      <c r="F320" s="7"/>
      <c r="G320" s="9"/>
    </row>
    <row r="321" spans="1:7" ht="24" customHeight="1">
      <c r="A321" s="5" t="str">
        <f t="shared" si="4"/>
        <v/>
      </c>
      <c r="B321" s="18"/>
      <c r="C321" s="9"/>
      <c r="D321" s="15"/>
      <c r="E321" s="9"/>
      <c r="F321" s="7"/>
      <c r="G321" s="9"/>
    </row>
    <row r="322" spans="1:7" ht="24" customHeight="1">
      <c r="A322" s="5" t="str">
        <f t="shared" ref="A322:A385" si="5">IF(C322="","",ROW()-1)</f>
        <v/>
      </c>
      <c r="B322" s="18"/>
      <c r="C322" s="9"/>
      <c r="D322" s="15"/>
      <c r="E322" s="9"/>
      <c r="F322" s="7"/>
      <c r="G322" s="9"/>
    </row>
    <row r="323" spans="1:7" ht="24" customHeight="1">
      <c r="A323" s="5" t="str">
        <f t="shared" si="5"/>
        <v/>
      </c>
      <c r="B323" s="18"/>
      <c r="C323" s="9"/>
      <c r="D323" s="15"/>
      <c r="E323" s="9"/>
      <c r="F323" s="7"/>
      <c r="G323" s="9"/>
    </row>
    <row r="324" spans="1:7" ht="24" customHeight="1">
      <c r="A324" s="5" t="str">
        <f t="shared" si="5"/>
        <v/>
      </c>
      <c r="B324" s="18"/>
      <c r="C324" s="9"/>
      <c r="D324" s="15"/>
      <c r="E324" s="9"/>
      <c r="F324" s="7"/>
      <c r="G324" s="9"/>
    </row>
    <row r="325" spans="1:7" ht="24" customHeight="1">
      <c r="A325" s="5" t="str">
        <f t="shared" si="5"/>
        <v/>
      </c>
      <c r="B325" s="18"/>
      <c r="C325" s="9"/>
      <c r="D325" s="15"/>
      <c r="E325" s="9"/>
      <c r="F325" s="7"/>
      <c r="G325" s="9"/>
    </row>
    <row r="326" spans="1:7" ht="24" customHeight="1">
      <c r="A326" s="5" t="str">
        <f t="shared" si="5"/>
        <v/>
      </c>
      <c r="B326" s="18"/>
      <c r="C326" s="9"/>
      <c r="D326" s="15"/>
      <c r="E326" s="9"/>
      <c r="F326" s="7"/>
      <c r="G326" s="9"/>
    </row>
    <row r="327" spans="1:7" ht="24" customHeight="1">
      <c r="A327" s="5" t="str">
        <f t="shared" si="5"/>
        <v/>
      </c>
      <c r="B327" s="18"/>
      <c r="C327" s="9"/>
      <c r="D327" s="15"/>
      <c r="E327" s="9"/>
      <c r="F327" s="7"/>
      <c r="G327" s="9"/>
    </row>
    <row r="328" spans="1:7" ht="24" customHeight="1">
      <c r="A328" s="5" t="str">
        <f t="shared" si="5"/>
        <v/>
      </c>
      <c r="B328" s="18"/>
      <c r="C328" s="9"/>
      <c r="D328" s="15"/>
      <c r="E328" s="9"/>
      <c r="F328" s="7"/>
      <c r="G328" s="9"/>
    </row>
    <row r="329" spans="1:7" ht="24" customHeight="1">
      <c r="A329" s="5" t="str">
        <f t="shared" si="5"/>
        <v/>
      </c>
      <c r="B329" s="18"/>
      <c r="C329" s="9"/>
      <c r="D329" s="15"/>
      <c r="E329" s="9"/>
      <c r="F329" s="7"/>
      <c r="G329" s="9"/>
    </row>
    <row r="330" spans="1:7" ht="24" customHeight="1">
      <c r="A330" s="5" t="str">
        <f t="shared" si="5"/>
        <v/>
      </c>
      <c r="B330" s="18"/>
      <c r="C330" s="9"/>
      <c r="D330" s="15"/>
      <c r="E330" s="9"/>
      <c r="F330" s="7"/>
      <c r="G330" s="9"/>
    </row>
    <row r="331" spans="1:7" ht="24" customHeight="1">
      <c r="A331" s="5" t="str">
        <f t="shared" si="5"/>
        <v/>
      </c>
      <c r="B331" s="18"/>
      <c r="C331" s="9"/>
      <c r="D331" s="15"/>
      <c r="E331" s="9"/>
      <c r="F331" s="7"/>
      <c r="G331" s="9"/>
    </row>
    <row r="332" spans="1:7" ht="24" customHeight="1">
      <c r="A332" s="5" t="str">
        <f t="shared" si="5"/>
        <v/>
      </c>
      <c r="B332" s="18"/>
      <c r="C332" s="9"/>
      <c r="D332" s="15"/>
      <c r="E332" s="9"/>
      <c r="F332" s="7"/>
      <c r="G332" s="9"/>
    </row>
    <row r="333" spans="1:7" ht="24" customHeight="1">
      <c r="A333" s="5" t="str">
        <f t="shared" si="5"/>
        <v/>
      </c>
      <c r="B333" s="18"/>
      <c r="C333" s="9"/>
      <c r="D333" s="15"/>
      <c r="E333" s="9"/>
      <c r="F333" s="7"/>
      <c r="G333" s="9"/>
    </row>
    <row r="334" spans="1:7" ht="24" customHeight="1">
      <c r="A334" s="5" t="str">
        <f t="shared" si="5"/>
        <v/>
      </c>
      <c r="B334" s="18"/>
      <c r="C334" s="9"/>
      <c r="D334" s="15"/>
      <c r="E334" s="9"/>
      <c r="F334" s="7"/>
      <c r="G334" s="9"/>
    </row>
    <row r="335" spans="1:7" ht="24" customHeight="1">
      <c r="A335" s="5" t="str">
        <f t="shared" si="5"/>
        <v/>
      </c>
      <c r="B335" s="18"/>
      <c r="C335" s="9"/>
      <c r="D335" s="15"/>
      <c r="E335" s="9"/>
      <c r="F335" s="7"/>
      <c r="G335" s="9"/>
    </row>
    <row r="336" spans="1:7" ht="24" customHeight="1">
      <c r="A336" s="5" t="str">
        <f t="shared" si="5"/>
        <v/>
      </c>
      <c r="B336" s="18"/>
      <c r="C336" s="9"/>
      <c r="D336" s="15"/>
      <c r="E336" s="9"/>
      <c r="F336" s="7"/>
      <c r="G336" s="9"/>
    </row>
    <row r="337" spans="1:7" ht="24" customHeight="1">
      <c r="A337" s="5" t="str">
        <f t="shared" si="5"/>
        <v/>
      </c>
      <c r="B337" s="18"/>
      <c r="C337" s="9"/>
      <c r="D337" s="15"/>
      <c r="E337" s="9"/>
      <c r="F337" s="7"/>
      <c r="G337" s="9"/>
    </row>
    <row r="338" spans="1:7" ht="24" customHeight="1">
      <c r="A338" s="5" t="str">
        <f t="shared" si="5"/>
        <v/>
      </c>
      <c r="B338" s="18"/>
      <c r="C338" s="9"/>
      <c r="D338" s="15"/>
      <c r="E338" s="9"/>
      <c r="F338" s="7"/>
      <c r="G338" s="9"/>
    </row>
    <row r="339" spans="1:7" ht="24" customHeight="1">
      <c r="A339" s="5" t="str">
        <f t="shared" si="5"/>
        <v/>
      </c>
      <c r="B339" s="18"/>
      <c r="C339" s="9"/>
      <c r="D339" s="15"/>
      <c r="E339" s="9"/>
      <c r="F339" s="7"/>
      <c r="G339" s="9"/>
    </row>
    <row r="340" spans="1:7" ht="24" customHeight="1">
      <c r="A340" s="5" t="str">
        <f t="shared" si="5"/>
        <v/>
      </c>
      <c r="B340" s="18"/>
      <c r="C340" s="9"/>
      <c r="D340" s="15"/>
      <c r="E340" s="9"/>
      <c r="F340" s="7"/>
      <c r="G340" s="9"/>
    </row>
    <row r="341" spans="1:7" ht="24" customHeight="1">
      <c r="A341" s="5" t="str">
        <f t="shared" si="5"/>
        <v/>
      </c>
      <c r="B341" s="18"/>
      <c r="C341" s="9"/>
      <c r="D341" s="15"/>
      <c r="E341" s="9"/>
      <c r="F341" s="7"/>
      <c r="G341" s="9"/>
    </row>
    <row r="342" spans="1:7" ht="24" customHeight="1">
      <c r="A342" s="5" t="str">
        <f t="shared" si="5"/>
        <v/>
      </c>
      <c r="B342" s="18"/>
      <c r="C342" s="9"/>
      <c r="D342" s="15"/>
      <c r="E342" s="9"/>
      <c r="F342" s="7"/>
      <c r="G342" s="9"/>
    </row>
    <row r="343" spans="1:7" ht="24" customHeight="1">
      <c r="A343" s="5" t="str">
        <f t="shared" si="5"/>
        <v/>
      </c>
      <c r="B343" s="18"/>
      <c r="C343" s="9"/>
      <c r="D343" s="15"/>
      <c r="E343" s="9"/>
      <c r="F343" s="7"/>
      <c r="G343" s="9"/>
    </row>
    <row r="344" spans="1:7" ht="24" customHeight="1">
      <c r="A344" s="5" t="str">
        <f t="shared" si="5"/>
        <v/>
      </c>
      <c r="B344" s="18"/>
      <c r="C344" s="9"/>
      <c r="D344" s="15"/>
      <c r="E344" s="9"/>
      <c r="F344" s="7"/>
      <c r="G344" s="9"/>
    </row>
    <row r="345" spans="1:7" ht="24" customHeight="1">
      <c r="A345" s="5" t="str">
        <f t="shared" si="5"/>
        <v/>
      </c>
      <c r="B345" s="18"/>
      <c r="C345" s="9"/>
      <c r="D345" s="15"/>
      <c r="E345" s="9"/>
      <c r="F345" s="7"/>
      <c r="G345" s="9"/>
    </row>
    <row r="346" spans="1:7" ht="24" customHeight="1">
      <c r="A346" s="5" t="str">
        <f t="shared" si="5"/>
        <v/>
      </c>
      <c r="B346" s="18"/>
      <c r="C346" s="9"/>
      <c r="D346" s="15"/>
      <c r="E346" s="9"/>
      <c r="F346" s="7"/>
      <c r="G346" s="9"/>
    </row>
    <row r="347" spans="1:7" ht="24" customHeight="1">
      <c r="A347" s="5" t="str">
        <f t="shared" si="5"/>
        <v/>
      </c>
      <c r="B347" s="18"/>
      <c r="C347" s="9"/>
      <c r="D347" s="15"/>
      <c r="E347" s="9"/>
      <c r="F347" s="7"/>
      <c r="G347" s="9"/>
    </row>
    <row r="348" spans="1:7" ht="24" customHeight="1">
      <c r="A348" s="5" t="str">
        <f t="shared" si="5"/>
        <v/>
      </c>
      <c r="B348" s="18"/>
      <c r="C348" s="9"/>
      <c r="D348" s="15"/>
      <c r="E348" s="9"/>
      <c r="F348" s="7"/>
      <c r="G348" s="9"/>
    </row>
    <row r="349" spans="1:7" ht="24" customHeight="1">
      <c r="A349" s="5" t="str">
        <f t="shared" si="5"/>
        <v/>
      </c>
      <c r="B349" s="18"/>
      <c r="C349" s="9"/>
      <c r="D349" s="15"/>
      <c r="E349" s="9"/>
      <c r="F349" s="7"/>
      <c r="G349" s="9"/>
    </row>
    <row r="350" spans="1:7" ht="24" customHeight="1">
      <c r="A350" s="5" t="str">
        <f t="shared" si="5"/>
        <v/>
      </c>
      <c r="B350" s="18"/>
      <c r="C350" s="9"/>
      <c r="D350" s="15"/>
      <c r="E350" s="9"/>
      <c r="F350" s="7"/>
      <c r="G350" s="9"/>
    </row>
    <row r="351" spans="1:7" ht="24" customHeight="1">
      <c r="A351" s="5" t="str">
        <f t="shared" si="5"/>
        <v/>
      </c>
      <c r="B351" s="18"/>
      <c r="C351" s="9"/>
      <c r="D351" s="15"/>
      <c r="E351" s="9"/>
      <c r="F351" s="7"/>
      <c r="G351" s="9"/>
    </row>
    <row r="352" spans="1:7" ht="24" customHeight="1">
      <c r="A352" s="5" t="str">
        <f t="shared" si="5"/>
        <v/>
      </c>
      <c r="B352" s="18"/>
      <c r="C352" s="9"/>
      <c r="D352" s="15"/>
      <c r="E352" s="9"/>
      <c r="F352" s="7"/>
      <c r="G352" s="9"/>
    </row>
    <row r="353" spans="1:7" ht="24" customHeight="1">
      <c r="A353" s="5" t="str">
        <f t="shared" si="5"/>
        <v/>
      </c>
      <c r="B353" s="18"/>
      <c r="C353" s="9"/>
      <c r="D353" s="15"/>
      <c r="E353" s="9"/>
      <c r="F353" s="7"/>
      <c r="G353" s="9"/>
    </row>
    <row r="354" spans="1:7" ht="24" customHeight="1">
      <c r="A354" s="5" t="str">
        <f t="shared" si="5"/>
        <v/>
      </c>
      <c r="B354" s="18"/>
      <c r="C354" s="9"/>
      <c r="D354" s="15"/>
      <c r="E354" s="9"/>
      <c r="F354" s="7"/>
      <c r="G354" s="9"/>
    </row>
    <row r="355" spans="1:7" ht="24" customHeight="1">
      <c r="A355" s="5" t="str">
        <f t="shared" si="5"/>
        <v/>
      </c>
      <c r="B355" s="18"/>
      <c r="C355" s="9"/>
      <c r="D355" s="15"/>
      <c r="E355" s="9"/>
      <c r="F355" s="7"/>
      <c r="G355" s="9"/>
    </row>
    <row r="356" spans="1:7" ht="24" customHeight="1">
      <c r="A356" s="5" t="str">
        <f t="shared" si="5"/>
        <v/>
      </c>
      <c r="B356" s="18"/>
      <c r="C356" s="9"/>
      <c r="D356" s="15"/>
      <c r="E356" s="9"/>
      <c r="F356" s="7"/>
      <c r="G356" s="9"/>
    </row>
    <row r="357" spans="1:7" ht="24" customHeight="1">
      <c r="A357" s="5" t="str">
        <f t="shared" si="5"/>
        <v/>
      </c>
      <c r="B357" s="18"/>
      <c r="C357" s="9"/>
      <c r="D357" s="15"/>
      <c r="E357" s="9"/>
      <c r="F357" s="7"/>
      <c r="G357" s="9"/>
    </row>
    <row r="358" spans="1:7" ht="24" customHeight="1">
      <c r="A358" s="5" t="str">
        <f t="shared" si="5"/>
        <v/>
      </c>
      <c r="B358" s="18"/>
      <c r="C358" s="9"/>
      <c r="D358" s="15"/>
      <c r="E358" s="9"/>
      <c r="F358" s="7"/>
      <c r="G358" s="9"/>
    </row>
    <row r="359" spans="1:7" ht="24" customHeight="1">
      <c r="A359" s="5" t="str">
        <f t="shared" si="5"/>
        <v/>
      </c>
      <c r="B359" s="18"/>
      <c r="C359" s="9"/>
      <c r="D359" s="15"/>
      <c r="E359" s="9"/>
      <c r="F359" s="7"/>
      <c r="G359" s="9"/>
    </row>
    <row r="360" spans="1:7" ht="24" customHeight="1">
      <c r="A360" s="5" t="str">
        <f t="shared" si="5"/>
        <v/>
      </c>
      <c r="B360" s="18"/>
      <c r="C360" s="9"/>
      <c r="D360" s="15"/>
      <c r="E360" s="9"/>
      <c r="F360" s="7"/>
      <c r="G360" s="9"/>
    </row>
    <row r="361" spans="1:7" ht="24" customHeight="1">
      <c r="A361" s="5" t="str">
        <f t="shared" si="5"/>
        <v/>
      </c>
      <c r="B361" s="18"/>
      <c r="C361" s="9"/>
      <c r="D361" s="15"/>
      <c r="E361" s="9"/>
      <c r="F361" s="7"/>
      <c r="G361" s="9"/>
    </row>
    <row r="362" spans="1:7" ht="24" customHeight="1">
      <c r="A362" s="5" t="str">
        <f t="shared" si="5"/>
        <v/>
      </c>
      <c r="B362" s="18"/>
      <c r="C362" s="9"/>
      <c r="D362" s="15"/>
      <c r="E362" s="9"/>
      <c r="F362" s="7"/>
      <c r="G362" s="9"/>
    </row>
    <row r="363" spans="1:7" ht="24" customHeight="1">
      <c r="A363" s="5" t="str">
        <f t="shared" si="5"/>
        <v/>
      </c>
      <c r="B363" s="18"/>
      <c r="C363" s="9"/>
      <c r="D363" s="15"/>
      <c r="E363" s="9"/>
      <c r="F363" s="7"/>
      <c r="G363" s="9"/>
    </row>
    <row r="364" spans="1:7" ht="24" customHeight="1">
      <c r="A364" s="5" t="str">
        <f t="shared" si="5"/>
        <v/>
      </c>
      <c r="B364" s="18"/>
      <c r="C364" s="9"/>
      <c r="D364" s="15"/>
      <c r="E364" s="9"/>
      <c r="F364" s="7"/>
      <c r="G364" s="9"/>
    </row>
    <row r="365" spans="1:7" ht="24" customHeight="1">
      <c r="A365" s="5" t="str">
        <f t="shared" si="5"/>
        <v/>
      </c>
      <c r="B365" s="18"/>
      <c r="C365" s="9"/>
      <c r="D365" s="15"/>
      <c r="E365" s="9"/>
      <c r="F365" s="7"/>
      <c r="G365" s="9"/>
    </row>
    <row r="366" spans="1:7" ht="24" customHeight="1">
      <c r="A366" s="5" t="str">
        <f t="shared" si="5"/>
        <v/>
      </c>
      <c r="B366" s="18"/>
      <c r="C366" s="9"/>
      <c r="D366" s="15"/>
      <c r="E366" s="9"/>
      <c r="F366" s="7"/>
      <c r="G366" s="9"/>
    </row>
    <row r="367" spans="1:7" ht="24" customHeight="1">
      <c r="A367" s="5" t="str">
        <f t="shared" si="5"/>
        <v/>
      </c>
      <c r="B367" s="18"/>
      <c r="C367" s="9"/>
      <c r="D367" s="15"/>
      <c r="E367" s="9"/>
      <c r="F367" s="7"/>
      <c r="G367" s="9"/>
    </row>
    <row r="368" spans="1:7" ht="24" customHeight="1">
      <c r="A368" s="5" t="str">
        <f t="shared" si="5"/>
        <v/>
      </c>
      <c r="B368" s="18"/>
      <c r="C368" s="9"/>
      <c r="D368" s="15"/>
      <c r="E368" s="9"/>
      <c r="F368" s="7"/>
      <c r="G368" s="9"/>
    </row>
    <row r="369" spans="1:7" ht="24" customHeight="1">
      <c r="A369" s="5" t="str">
        <f t="shared" si="5"/>
        <v/>
      </c>
      <c r="B369" s="18"/>
      <c r="C369" s="9"/>
      <c r="D369" s="15"/>
      <c r="E369" s="9"/>
      <c r="F369" s="7"/>
      <c r="G369" s="9"/>
    </row>
    <row r="370" spans="1:7" ht="24" customHeight="1">
      <c r="A370" s="5" t="str">
        <f t="shared" si="5"/>
        <v/>
      </c>
      <c r="B370" s="18"/>
      <c r="C370" s="9"/>
      <c r="D370" s="15"/>
      <c r="E370" s="9"/>
      <c r="F370" s="7"/>
      <c r="G370" s="9"/>
    </row>
    <row r="371" spans="1:7" ht="24" customHeight="1">
      <c r="A371" s="5" t="str">
        <f t="shared" si="5"/>
        <v/>
      </c>
      <c r="B371" s="18"/>
      <c r="C371" s="9"/>
      <c r="D371" s="15"/>
      <c r="E371" s="9"/>
      <c r="F371" s="7"/>
      <c r="G371" s="9"/>
    </row>
    <row r="372" spans="1:7" ht="24" customHeight="1">
      <c r="A372" s="5" t="str">
        <f t="shared" si="5"/>
        <v/>
      </c>
      <c r="B372" s="18"/>
      <c r="C372" s="9"/>
      <c r="D372" s="15"/>
      <c r="E372" s="9"/>
      <c r="F372" s="7"/>
      <c r="G372" s="9"/>
    </row>
    <row r="373" spans="1:7" ht="24" customHeight="1">
      <c r="A373" s="5" t="str">
        <f t="shared" si="5"/>
        <v/>
      </c>
      <c r="B373" s="18"/>
      <c r="C373" s="9"/>
      <c r="D373" s="15"/>
      <c r="E373" s="9"/>
      <c r="F373" s="7"/>
      <c r="G373" s="9"/>
    </row>
    <row r="374" spans="1:7" ht="24" customHeight="1">
      <c r="A374" s="5" t="str">
        <f t="shared" si="5"/>
        <v/>
      </c>
      <c r="B374" s="18"/>
      <c r="C374" s="9"/>
      <c r="D374" s="15"/>
      <c r="E374" s="9"/>
      <c r="F374" s="7"/>
      <c r="G374" s="9"/>
    </row>
    <row r="375" spans="1:7" ht="24" customHeight="1">
      <c r="A375" s="5" t="str">
        <f t="shared" si="5"/>
        <v/>
      </c>
      <c r="B375" s="18"/>
      <c r="C375" s="9"/>
      <c r="D375" s="15"/>
      <c r="E375" s="9"/>
      <c r="F375" s="7"/>
      <c r="G375" s="9"/>
    </row>
    <row r="376" spans="1:7" ht="24" customHeight="1">
      <c r="A376" s="5" t="str">
        <f t="shared" si="5"/>
        <v/>
      </c>
      <c r="B376" s="18"/>
      <c r="C376" s="9"/>
      <c r="D376" s="15"/>
      <c r="E376" s="9"/>
      <c r="F376" s="7"/>
      <c r="G376" s="9"/>
    </row>
    <row r="377" spans="1:7" ht="24" customHeight="1">
      <c r="A377" s="5" t="str">
        <f t="shared" si="5"/>
        <v/>
      </c>
      <c r="B377" s="18"/>
      <c r="C377" s="9"/>
      <c r="D377" s="15"/>
      <c r="E377" s="9"/>
      <c r="F377" s="7"/>
      <c r="G377" s="9"/>
    </row>
    <row r="378" spans="1:7" ht="24" customHeight="1">
      <c r="A378" s="5" t="str">
        <f t="shared" si="5"/>
        <v/>
      </c>
      <c r="B378" s="18"/>
      <c r="C378" s="9"/>
      <c r="D378" s="15"/>
      <c r="E378" s="9"/>
      <c r="F378" s="7"/>
      <c r="G378" s="9"/>
    </row>
    <row r="379" spans="1:7" ht="24" customHeight="1">
      <c r="A379" s="5" t="str">
        <f t="shared" si="5"/>
        <v/>
      </c>
      <c r="B379" s="18"/>
      <c r="C379" s="9"/>
      <c r="D379" s="15"/>
      <c r="E379" s="9"/>
      <c r="F379" s="7"/>
      <c r="G379" s="9"/>
    </row>
    <row r="380" spans="1:7" ht="24" customHeight="1">
      <c r="A380" s="5" t="str">
        <f t="shared" si="5"/>
        <v/>
      </c>
      <c r="B380" s="18"/>
      <c r="C380" s="9"/>
      <c r="D380" s="15"/>
      <c r="E380" s="9"/>
      <c r="F380" s="7"/>
      <c r="G380" s="9"/>
    </row>
    <row r="381" spans="1:7" ht="24" customHeight="1">
      <c r="A381" s="5" t="str">
        <f t="shared" si="5"/>
        <v/>
      </c>
      <c r="B381" s="18"/>
      <c r="C381" s="9"/>
      <c r="D381" s="15"/>
      <c r="E381" s="9"/>
      <c r="F381" s="7"/>
      <c r="G381" s="9"/>
    </row>
    <row r="382" spans="1:7" ht="24" customHeight="1">
      <c r="A382" s="5" t="str">
        <f t="shared" si="5"/>
        <v/>
      </c>
      <c r="B382" s="18"/>
      <c r="C382" s="9"/>
      <c r="D382" s="15"/>
      <c r="E382" s="9"/>
      <c r="F382" s="7"/>
      <c r="G382" s="9"/>
    </row>
    <row r="383" spans="1:7" ht="24" customHeight="1">
      <c r="A383" s="5" t="str">
        <f t="shared" si="5"/>
        <v/>
      </c>
      <c r="B383" s="18"/>
      <c r="C383" s="9"/>
      <c r="D383" s="15"/>
      <c r="E383" s="9"/>
      <c r="F383" s="7"/>
      <c r="G383" s="9"/>
    </row>
    <row r="384" spans="1:7" ht="24" customHeight="1">
      <c r="A384" s="5" t="str">
        <f t="shared" si="5"/>
        <v/>
      </c>
      <c r="B384" s="18"/>
      <c r="C384" s="9"/>
      <c r="D384" s="15"/>
      <c r="E384" s="9"/>
      <c r="F384" s="7"/>
      <c r="G384" s="9"/>
    </row>
    <row r="385" spans="1:7" ht="24" customHeight="1">
      <c r="A385" s="5" t="str">
        <f t="shared" si="5"/>
        <v/>
      </c>
      <c r="B385" s="18"/>
      <c r="C385" s="9"/>
      <c r="D385" s="15"/>
      <c r="E385" s="9"/>
      <c r="F385" s="7"/>
      <c r="G385" s="9"/>
    </row>
    <row r="386" spans="1:7" ht="24" customHeight="1">
      <c r="A386" s="5" t="str">
        <f t="shared" ref="A386:A449" si="6">IF(C386="","",ROW()-1)</f>
        <v/>
      </c>
      <c r="B386" s="18"/>
      <c r="C386" s="9"/>
      <c r="D386" s="15"/>
      <c r="E386" s="9"/>
      <c r="F386" s="7"/>
      <c r="G386" s="9"/>
    </row>
    <row r="387" spans="1:7" ht="24" customHeight="1">
      <c r="A387" s="5" t="str">
        <f t="shared" si="6"/>
        <v/>
      </c>
      <c r="B387" s="18"/>
      <c r="C387" s="9"/>
      <c r="D387" s="15"/>
      <c r="E387" s="9"/>
      <c r="F387" s="7"/>
      <c r="G387" s="9"/>
    </row>
    <row r="388" spans="1:7" ht="24" customHeight="1">
      <c r="A388" s="5" t="str">
        <f t="shared" si="6"/>
        <v/>
      </c>
      <c r="B388" s="18"/>
      <c r="C388" s="9"/>
      <c r="D388" s="15"/>
      <c r="E388" s="9"/>
      <c r="F388" s="7"/>
      <c r="G388" s="9"/>
    </row>
    <row r="389" spans="1:7" ht="24" customHeight="1">
      <c r="A389" s="5" t="str">
        <f t="shared" si="6"/>
        <v/>
      </c>
      <c r="B389" s="18"/>
      <c r="C389" s="9"/>
      <c r="D389" s="15"/>
      <c r="E389" s="9"/>
      <c r="F389" s="7"/>
      <c r="G389" s="9"/>
    </row>
    <row r="390" spans="1:7" ht="24" customHeight="1">
      <c r="A390" s="5" t="str">
        <f t="shared" si="6"/>
        <v/>
      </c>
      <c r="B390" s="18"/>
      <c r="C390" s="9"/>
      <c r="D390" s="15"/>
      <c r="E390" s="9"/>
      <c r="F390" s="7"/>
      <c r="G390" s="9"/>
    </row>
    <row r="391" spans="1:7" ht="24" customHeight="1">
      <c r="A391" s="5" t="str">
        <f t="shared" si="6"/>
        <v/>
      </c>
      <c r="B391" s="18"/>
      <c r="C391" s="9"/>
      <c r="D391" s="15"/>
      <c r="E391" s="9"/>
      <c r="F391" s="7"/>
      <c r="G391" s="9"/>
    </row>
    <row r="392" spans="1:7" ht="24" customHeight="1">
      <c r="A392" s="5" t="str">
        <f t="shared" si="6"/>
        <v/>
      </c>
      <c r="B392" s="18"/>
      <c r="C392" s="9"/>
      <c r="D392" s="15"/>
      <c r="E392" s="9"/>
      <c r="F392" s="7"/>
      <c r="G392" s="9"/>
    </row>
    <row r="393" spans="1:7" ht="24" customHeight="1">
      <c r="A393" s="5" t="str">
        <f t="shared" si="6"/>
        <v/>
      </c>
      <c r="B393" s="18"/>
      <c r="C393" s="9"/>
      <c r="D393" s="15"/>
      <c r="E393" s="9"/>
      <c r="F393" s="7"/>
      <c r="G393" s="9"/>
    </row>
    <row r="394" spans="1:7" ht="24" customHeight="1">
      <c r="A394" s="5" t="str">
        <f t="shared" si="6"/>
        <v/>
      </c>
      <c r="B394" s="18"/>
      <c r="C394" s="9"/>
      <c r="D394" s="15"/>
      <c r="E394" s="9"/>
      <c r="F394" s="7"/>
      <c r="G394" s="9"/>
    </row>
    <row r="395" spans="1:7" ht="24" customHeight="1">
      <c r="A395" s="5" t="str">
        <f t="shared" si="6"/>
        <v/>
      </c>
      <c r="B395" s="18"/>
      <c r="C395" s="9"/>
      <c r="D395" s="15"/>
      <c r="E395" s="9"/>
      <c r="F395" s="7"/>
      <c r="G395" s="9"/>
    </row>
    <row r="396" spans="1:7" ht="24" customHeight="1">
      <c r="A396" s="5" t="str">
        <f t="shared" si="6"/>
        <v/>
      </c>
      <c r="B396" s="18"/>
      <c r="C396" s="9"/>
      <c r="D396" s="15"/>
      <c r="E396" s="9"/>
      <c r="F396" s="7"/>
      <c r="G396" s="9"/>
    </row>
    <row r="397" spans="1:7" ht="24" customHeight="1">
      <c r="A397" s="5" t="str">
        <f t="shared" si="6"/>
        <v/>
      </c>
      <c r="B397" s="18"/>
      <c r="C397" s="9"/>
      <c r="D397" s="15"/>
      <c r="E397" s="9"/>
      <c r="F397" s="7"/>
      <c r="G397" s="9"/>
    </row>
    <row r="398" spans="1:7" ht="24" customHeight="1">
      <c r="A398" s="5" t="str">
        <f t="shared" si="6"/>
        <v/>
      </c>
      <c r="B398" s="18"/>
      <c r="C398" s="9"/>
      <c r="D398" s="15"/>
      <c r="E398" s="9"/>
      <c r="F398" s="7"/>
      <c r="G398" s="9"/>
    </row>
    <row r="399" spans="1:7" ht="24" customHeight="1">
      <c r="A399" s="5" t="str">
        <f t="shared" si="6"/>
        <v/>
      </c>
      <c r="B399" s="18"/>
      <c r="C399" s="9"/>
      <c r="D399" s="15"/>
      <c r="E399" s="9"/>
      <c r="F399" s="7"/>
      <c r="G399" s="9"/>
    </row>
    <row r="400" spans="1:7" ht="24" customHeight="1">
      <c r="A400" s="5" t="str">
        <f t="shared" si="6"/>
        <v/>
      </c>
      <c r="B400" s="18"/>
      <c r="C400" s="9"/>
      <c r="D400" s="15"/>
      <c r="E400" s="9"/>
      <c r="F400" s="7"/>
      <c r="G400" s="9"/>
    </row>
    <row r="401" spans="1:7" ht="24" customHeight="1">
      <c r="A401" s="5" t="str">
        <f t="shared" si="6"/>
        <v/>
      </c>
      <c r="B401" s="18"/>
      <c r="C401" s="9"/>
      <c r="D401" s="15"/>
      <c r="E401" s="9"/>
      <c r="F401" s="7"/>
      <c r="G401" s="9"/>
    </row>
    <row r="402" spans="1:7" ht="24" customHeight="1">
      <c r="A402" s="5" t="str">
        <f t="shared" si="6"/>
        <v/>
      </c>
      <c r="B402" s="18"/>
      <c r="C402" s="9"/>
      <c r="D402" s="15"/>
      <c r="E402" s="9"/>
      <c r="F402" s="7"/>
      <c r="G402" s="9"/>
    </row>
    <row r="403" spans="1:7" ht="24" customHeight="1">
      <c r="A403" s="5" t="str">
        <f t="shared" si="6"/>
        <v/>
      </c>
      <c r="B403" s="18"/>
      <c r="C403" s="9"/>
      <c r="D403" s="15"/>
      <c r="E403" s="9"/>
      <c r="F403" s="7"/>
      <c r="G403" s="9"/>
    </row>
    <row r="404" spans="1:7" ht="24" customHeight="1">
      <c r="A404" s="5" t="str">
        <f t="shared" si="6"/>
        <v/>
      </c>
      <c r="B404" s="18"/>
      <c r="C404" s="9"/>
      <c r="D404" s="15"/>
      <c r="E404" s="9"/>
      <c r="F404" s="7"/>
      <c r="G404" s="9"/>
    </row>
    <row r="405" spans="1:7" ht="24" customHeight="1">
      <c r="A405" s="5" t="str">
        <f t="shared" si="6"/>
        <v/>
      </c>
      <c r="B405" s="18"/>
      <c r="C405" s="9"/>
      <c r="D405" s="15"/>
      <c r="E405" s="9"/>
      <c r="F405" s="7"/>
      <c r="G405" s="9"/>
    </row>
    <row r="406" spans="1:7" ht="24" customHeight="1">
      <c r="A406" s="5" t="str">
        <f t="shared" si="6"/>
        <v/>
      </c>
      <c r="B406" s="18"/>
      <c r="C406" s="9"/>
      <c r="D406" s="15"/>
      <c r="E406" s="9"/>
      <c r="F406" s="7"/>
      <c r="G406" s="9"/>
    </row>
    <row r="407" spans="1:7" ht="24" customHeight="1">
      <c r="A407" s="5" t="str">
        <f t="shared" si="6"/>
        <v/>
      </c>
      <c r="B407" s="18"/>
      <c r="C407" s="9"/>
      <c r="D407" s="15"/>
      <c r="E407" s="9"/>
      <c r="F407" s="7"/>
      <c r="G407" s="9"/>
    </row>
    <row r="408" spans="1:7" ht="24" customHeight="1">
      <c r="A408" s="5" t="str">
        <f t="shared" si="6"/>
        <v/>
      </c>
      <c r="B408" s="18"/>
      <c r="C408" s="9"/>
      <c r="D408" s="15"/>
      <c r="E408" s="9"/>
      <c r="F408" s="7"/>
      <c r="G408" s="9"/>
    </row>
    <row r="409" spans="1:7" ht="24" customHeight="1">
      <c r="A409" s="5" t="str">
        <f t="shared" si="6"/>
        <v/>
      </c>
      <c r="B409" s="18"/>
      <c r="C409" s="9"/>
      <c r="D409" s="15"/>
      <c r="E409" s="9"/>
      <c r="F409" s="7"/>
      <c r="G409" s="9"/>
    </row>
    <row r="410" spans="1:7" ht="24" customHeight="1">
      <c r="A410" s="5" t="str">
        <f t="shared" si="6"/>
        <v/>
      </c>
      <c r="B410" s="18"/>
      <c r="C410" s="9"/>
      <c r="D410" s="15"/>
      <c r="E410" s="9"/>
      <c r="F410" s="7"/>
      <c r="G410" s="9"/>
    </row>
    <row r="411" spans="1:7" ht="24" customHeight="1">
      <c r="A411" s="5" t="str">
        <f t="shared" si="6"/>
        <v/>
      </c>
      <c r="B411" s="18"/>
      <c r="C411" s="9"/>
      <c r="D411" s="15"/>
      <c r="E411" s="9"/>
      <c r="F411" s="7"/>
      <c r="G411" s="9"/>
    </row>
    <row r="412" spans="1:7" ht="24" customHeight="1">
      <c r="A412" s="5" t="str">
        <f t="shared" si="6"/>
        <v/>
      </c>
      <c r="B412" s="18"/>
      <c r="C412" s="9"/>
      <c r="D412" s="15"/>
      <c r="E412" s="9"/>
      <c r="F412" s="7"/>
      <c r="G412" s="9"/>
    </row>
    <row r="413" spans="1:7" ht="24" customHeight="1">
      <c r="A413" s="5" t="str">
        <f t="shared" si="6"/>
        <v/>
      </c>
      <c r="B413" s="18"/>
      <c r="C413" s="9"/>
      <c r="D413" s="15"/>
      <c r="E413" s="9"/>
      <c r="F413" s="7"/>
      <c r="G413" s="9"/>
    </row>
    <row r="414" spans="1:7" ht="24" customHeight="1">
      <c r="A414" s="5" t="str">
        <f t="shared" si="6"/>
        <v/>
      </c>
      <c r="B414" s="18"/>
      <c r="C414" s="9"/>
      <c r="D414" s="15"/>
      <c r="E414" s="9"/>
      <c r="F414" s="7"/>
      <c r="G414" s="9"/>
    </row>
    <row r="415" spans="1:7" ht="24" customHeight="1">
      <c r="A415" s="5" t="str">
        <f t="shared" si="6"/>
        <v/>
      </c>
      <c r="B415" s="18"/>
      <c r="C415" s="9"/>
      <c r="D415" s="15"/>
      <c r="E415" s="9"/>
      <c r="F415" s="7"/>
      <c r="G415" s="9"/>
    </row>
    <row r="416" spans="1:7" ht="24" customHeight="1">
      <c r="A416" s="5" t="str">
        <f t="shared" si="6"/>
        <v/>
      </c>
      <c r="B416" s="18"/>
      <c r="C416" s="9"/>
      <c r="D416" s="15"/>
      <c r="E416" s="9"/>
      <c r="F416" s="7"/>
      <c r="G416" s="9"/>
    </row>
    <row r="417" spans="1:7" ht="24" customHeight="1">
      <c r="A417" s="5" t="str">
        <f t="shared" si="6"/>
        <v/>
      </c>
      <c r="B417" s="18"/>
      <c r="C417" s="9"/>
      <c r="D417" s="15"/>
      <c r="E417" s="9"/>
      <c r="F417" s="7"/>
      <c r="G417" s="9"/>
    </row>
    <row r="418" spans="1:7" ht="24" customHeight="1">
      <c r="A418" s="5" t="str">
        <f t="shared" si="6"/>
        <v/>
      </c>
      <c r="B418" s="18"/>
      <c r="C418" s="9"/>
      <c r="D418" s="15"/>
      <c r="E418" s="9"/>
      <c r="F418" s="7"/>
      <c r="G418" s="9"/>
    </row>
    <row r="419" spans="1:7" ht="24" customHeight="1">
      <c r="A419" s="5" t="str">
        <f t="shared" si="6"/>
        <v/>
      </c>
      <c r="B419" s="18"/>
      <c r="C419" s="9"/>
      <c r="D419" s="15"/>
      <c r="E419" s="9"/>
      <c r="F419" s="7"/>
      <c r="G419" s="9"/>
    </row>
    <row r="420" spans="1:7" ht="24" customHeight="1">
      <c r="A420" s="5" t="str">
        <f t="shared" si="6"/>
        <v/>
      </c>
      <c r="B420" s="18"/>
      <c r="C420" s="9"/>
      <c r="D420" s="15"/>
      <c r="E420" s="9"/>
      <c r="F420" s="7"/>
      <c r="G420" s="9"/>
    </row>
    <row r="421" spans="1:7" ht="24" customHeight="1">
      <c r="A421" s="5" t="str">
        <f t="shared" si="6"/>
        <v/>
      </c>
      <c r="B421" s="18"/>
      <c r="C421" s="9"/>
      <c r="D421" s="15"/>
      <c r="E421" s="9"/>
      <c r="F421" s="7"/>
      <c r="G421" s="9"/>
    </row>
    <row r="422" spans="1:7" ht="24" customHeight="1">
      <c r="A422" s="5" t="str">
        <f t="shared" si="6"/>
        <v/>
      </c>
      <c r="B422" s="18"/>
      <c r="C422" s="9"/>
      <c r="D422" s="15"/>
      <c r="E422" s="9"/>
      <c r="F422" s="7"/>
      <c r="G422" s="9"/>
    </row>
    <row r="423" spans="1:7" ht="24" customHeight="1">
      <c r="A423" s="5" t="str">
        <f t="shared" si="6"/>
        <v/>
      </c>
      <c r="B423" s="18"/>
      <c r="C423" s="9"/>
      <c r="D423" s="15"/>
      <c r="E423" s="9"/>
      <c r="F423" s="7"/>
      <c r="G423" s="9"/>
    </row>
    <row r="424" spans="1:7" ht="24" customHeight="1">
      <c r="A424" s="5" t="str">
        <f t="shared" si="6"/>
        <v/>
      </c>
      <c r="B424" s="18"/>
      <c r="C424" s="9"/>
      <c r="D424" s="15"/>
      <c r="E424" s="9"/>
      <c r="F424" s="7"/>
      <c r="G424" s="9"/>
    </row>
    <row r="425" spans="1:7" ht="24" customHeight="1">
      <c r="A425" s="5" t="str">
        <f t="shared" si="6"/>
        <v/>
      </c>
      <c r="B425" s="18"/>
      <c r="C425" s="9"/>
      <c r="D425" s="15"/>
      <c r="E425" s="9"/>
      <c r="F425" s="7"/>
      <c r="G425" s="9"/>
    </row>
    <row r="426" spans="1:7" ht="24" customHeight="1">
      <c r="A426" s="5" t="str">
        <f t="shared" si="6"/>
        <v/>
      </c>
      <c r="B426" s="18"/>
      <c r="C426" s="9"/>
      <c r="D426" s="15"/>
      <c r="E426" s="9"/>
      <c r="F426" s="7"/>
      <c r="G426" s="9"/>
    </row>
    <row r="427" spans="1:7" ht="24" customHeight="1">
      <c r="A427" s="5" t="str">
        <f t="shared" si="6"/>
        <v/>
      </c>
      <c r="B427" s="18"/>
      <c r="C427" s="9"/>
      <c r="D427" s="15"/>
      <c r="E427" s="9"/>
      <c r="F427" s="7"/>
      <c r="G427" s="9"/>
    </row>
    <row r="428" spans="1:7" ht="24" customHeight="1">
      <c r="A428" s="5" t="str">
        <f t="shared" si="6"/>
        <v/>
      </c>
      <c r="B428" s="18"/>
      <c r="C428" s="9"/>
      <c r="D428" s="15"/>
      <c r="E428" s="9"/>
      <c r="F428" s="7"/>
      <c r="G428" s="9"/>
    </row>
    <row r="429" spans="1:7" ht="24" customHeight="1">
      <c r="A429" s="5" t="str">
        <f t="shared" si="6"/>
        <v/>
      </c>
      <c r="B429" s="18"/>
      <c r="C429" s="9"/>
      <c r="D429" s="15"/>
      <c r="E429" s="9"/>
      <c r="F429" s="7"/>
      <c r="G429" s="9"/>
    </row>
    <row r="430" spans="1:7" ht="24" customHeight="1">
      <c r="A430" s="5" t="str">
        <f t="shared" si="6"/>
        <v/>
      </c>
      <c r="B430" s="18"/>
      <c r="C430" s="9"/>
      <c r="D430" s="15"/>
      <c r="E430" s="9"/>
      <c r="F430" s="7"/>
      <c r="G430" s="9"/>
    </row>
    <row r="431" spans="1:7" ht="24" customHeight="1">
      <c r="A431" s="5" t="str">
        <f t="shared" si="6"/>
        <v/>
      </c>
      <c r="B431" s="18"/>
      <c r="C431" s="9"/>
      <c r="D431" s="15"/>
      <c r="E431" s="9"/>
      <c r="F431" s="7"/>
      <c r="G431" s="9"/>
    </row>
    <row r="432" spans="1:7" ht="24" customHeight="1">
      <c r="A432" s="5" t="str">
        <f t="shared" si="6"/>
        <v/>
      </c>
      <c r="B432" s="18"/>
      <c r="C432" s="9"/>
      <c r="D432" s="15"/>
      <c r="E432" s="9"/>
      <c r="F432" s="7"/>
      <c r="G432" s="9"/>
    </row>
    <row r="433" spans="1:7" ht="24" customHeight="1">
      <c r="A433" s="5" t="str">
        <f t="shared" si="6"/>
        <v/>
      </c>
      <c r="B433" s="18"/>
      <c r="C433" s="9"/>
      <c r="D433" s="15"/>
      <c r="E433" s="9"/>
      <c r="F433" s="7"/>
      <c r="G433" s="9"/>
    </row>
    <row r="434" spans="1:7" ht="24" customHeight="1">
      <c r="A434" s="5" t="str">
        <f t="shared" si="6"/>
        <v/>
      </c>
      <c r="B434" s="18"/>
      <c r="C434" s="9"/>
      <c r="D434" s="15"/>
      <c r="E434" s="9"/>
      <c r="F434" s="7"/>
      <c r="G434" s="9"/>
    </row>
    <row r="435" spans="1:7" ht="24" customHeight="1">
      <c r="A435" s="5" t="str">
        <f t="shared" si="6"/>
        <v/>
      </c>
      <c r="B435" s="18"/>
      <c r="C435" s="9"/>
      <c r="D435" s="15"/>
      <c r="E435" s="9"/>
      <c r="F435" s="7"/>
      <c r="G435" s="9"/>
    </row>
    <row r="436" spans="1:7" ht="24" customHeight="1">
      <c r="A436" s="5" t="str">
        <f t="shared" si="6"/>
        <v/>
      </c>
      <c r="B436" s="18"/>
      <c r="C436" s="9"/>
      <c r="D436" s="15"/>
      <c r="E436" s="9"/>
      <c r="F436" s="7"/>
      <c r="G436" s="9"/>
    </row>
    <row r="437" spans="1:7" ht="24" customHeight="1">
      <c r="A437" s="5" t="str">
        <f t="shared" si="6"/>
        <v/>
      </c>
      <c r="B437" s="18"/>
      <c r="C437" s="9"/>
      <c r="D437" s="15"/>
      <c r="E437" s="9"/>
      <c r="F437" s="7"/>
      <c r="G437" s="9"/>
    </row>
    <row r="438" spans="1:7" ht="24" customHeight="1">
      <c r="A438" s="5" t="str">
        <f t="shared" si="6"/>
        <v/>
      </c>
      <c r="B438" s="18"/>
      <c r="C438" s="9"/>
      <c r="D438" s="15"/>
      <c r="E438" s="9"/>
      <c r="F438" s="7"/>
      <c r="G438" s="9"/>
    </row>
    <row r="439" spans="1:7" ht="24" customHeight="1">
      <c r="A439" s="5" t="str">
        <f t="shared" si="6"/>
        <v/>
      </c>
      <c r="B439" s="18"/>
      <c r="C439" s="9"/>
      <c r="D439" s="15"/>
      <c r="E439" s="9"/>
      <c r="F439" s="7"/>
      <c r="G439" s="9"/>
    </row>
    <row r="440" spans="1:7" ht="24" customHeight="1">
      <c r="A440" s="5" t="str">
        <f t="shared" si="6"/>
        <v/>
      </c>
      <c r="B440" s="18"/>
      <c r="C440" s="9"/>
      <c r="D440" s="15"/>
      <c r="E440" s="9"/>
      <c r="F440" s="7"/>
      <c r="G440" s="9"/>
    </row>
    <row r="441" spans="1:7" ht="24" customHeight="1">
      <c r="A441" s="5" t="str">
        <f t="shared" si="6"/>
        <v/>
      </c>
      <c r="B441" s="18"/>
      <c r="C441" s="9"/>
      <c r="D441" s="15"/>
      <c r="E441" s="9"/>
      <c r="F441" s="7"/>
      <c r="G441" s="9"/>
    </row>
    <row r="442" spans="1:7" ht="24" customHeight="1">
      <c r="A442" s="5" t="str">
        <f t="shared" si="6"/>
        <v/>
      </c>
      <c r="B442" s="18"/>
      <c r="C442" s="9"/>
      <c r="D442" s="15"/>
      <c r="E442" s="9"/>
      <c r="F442" s="7"/>
      <c r="G442" s="9"/>
    </row>
    <row r="443" spans="1:7" ht="24" customHeight="1">
      <c r="A443" s="5" t="str">
        <f t="shared" si="6"/>
        <v/>
      </c>
      <c r="B443" s="18"/>
      <c r="C443" s="9"/>
      <c r="D443" s="15"/>
      <c r="E443" s="9"/>
      <c r="F443" s="7"/>
      <c r="G443" s="9"/>
    </row>
    <row r="444" spans="1:7" ht="24" customHeight="1">
      <c r="A444" s="5" t="str">
        <f t="shared" si="6"/>
        <v/>
      </c>
      <c r="B444" s="18"/>
      <c r="C444" s="9"/>
      <c r="D444" s="15"/>
      <c r="E444" s="9"/>
      <c r="F444" s="7"/>
      <c r="G444" s="9"/>
    </row>
    <row r="445" spans="1:7" ht="24" customHeight="1">
      <c r="A445" s="5" t="str">
        <f t="shared" si="6"/>
        <v/>
      </c>
      <c r="B445" s="18"/>
      <c r="C445" s="9"/>
      <c r="D445" s="15"/>
      <c r="E445" s="9"/>
      <c r="F445" s="7"/>
      <c r="G445" s="9"/>
    </row>
    <row r="446" spans="1:7" ht="24" customHeight="1">
      <c r="A446" s="5" t="str">
        <f t="shared" si="6"/>
        <v/>
      </c>
      <c r="B446" s="18"/>
      <c r="C446" s="9"/>
      <c r="D446" s="15"/>
      <c r="E446" s="9"/>
      <c r="F446" s="7"/>
      <c r="G446" s="9"/>
    </row>
    <row r="447" spans="1:7" ht="24" customHeight="1">
      <c r="A447" s="5" t="str">
        <f t="shared" si="6"/>
        <v/>
      </c>
      <c r="B447" s="18"/>
      <c r="C447" s="9"/>
      <c r="D447" s="15"/>
      <c r="E447" s="9"/>
      <c r="F447" s="7"/>
      <c r="G447" s="9"/>
    </row>
    <row r="448" spans="1:7" ht="24" customHeight="1">
      <c r="A448" s="5" t="str">
        <f t="shared" si="6"/>
        <v/>
      </c>
      <c r="B448" s="18"/>
      <c r="C448" s="9"/>
      <c r="D448" s="15"/>
      <c r="E448" s="9"/>
      <c r="F448" s="7"/>
      <c r="G448" s="9"/>
    </row>
    <row r="449" spans="1:7" ht="24" customHeight="1">
      <c r="A449" s="5" t="str">
        <f t="shared" si="6"/>
        <v/>
      </c>
      <c r="B449" s="18"/>
      <c r="C449" s="9"/>
      <c r="D449" s="15"/>
      <c r="E449" s="9"/>
      <c r="F449" s="7"/>
      <c r="G449" s="9"/>
    </row>
    <row r="450" spans="1:7" ht="24" customHeight="1">
      <c r="A450" s="5" t="str">
        <f t="shared" ref="A450:A501" si="7">IF(C450="","",ROW()-1)</f>
        <v/>
      </c>
      <c r="B450" s="18"/>
      <c r="C450" s="9"/>
      <c r="D450" s="15"/>
      <c r="E450" s="9"/>
      <c r="F450" s="7"/>
      <c r="G450" s="9"/>
    </row>
    <row r="451" spans="1:7" ht="24" customHeight="1">
      <c r="A451" s="5" t="str">
        <f t="shared" si="7"/>
        <v/>
      </c>
      <c r="B451" s="18"/>
      <c r="C451" s="9"/>
      <c r="D451" s="15"/>
      <c r="E451" s="9"/>
      <c r="F451" s="7"/>
      <c r="G451" s="9"/>
    </row>
    <row r="452" spans="1:7" ht="24" customHeight="1">
      <c r="A452" s="5" t="str">
        <f t="shared" si="7"/>
        <v/>
      </c>
      <c r="B452" s="18"/>
      <c r="C452" s="9"/>
      <c r="D452" s="15"/>
      <c r="E452" s="9"/>
      <c r="F452" s="7"/>
      <c r="G452" s="9"/>
    </row>
    <row r="453" spans="1:7" ht="24" customHeight="1">
      <c r="A453" s="5" t="str">
        <f t="shared" si="7"/>
        <v/>
      </c>
      <c r="B453" s="18"/>
      <c r="C453" s="9"/>
      <c r="D453" s="15"/>
      <c r="E453" s="9"/>
      <c r="F453" s="7"/>
      <c r="G453" s="9"/>
    </row>
    <row r="454" spans="1:7" ht="24" customHeight="1">
      <c r="A454" s="5" t="str">
        <f t="shared" si="7"/>
        <v/>
      </c>
      <c r="B454" s="18"/>
      <c r="C454" s="9"/>
      <c r="D454" s="15"/>
      <c r="E454" s="9"/>
      <c r="F454" s="7"/>
      <c r="G454" s="9"/>
    </row>
    <row r="455" spans="1:7" ht="24" customHeight="1">
      <c r="A455" s="5" t="str">
        <f t="shared" si="7"/>
        <v/>
      </c>
      <c r="B455" s="18"/>
      <c r="C455" s="9"/>
      <c r="D455" s="15"/>
      <c r="E455" s="9"/>
      <c r="F455" s="7"/>
      <c r="G455" s="9"/>
    </row>
    <row r="456" spans="1:7" ht="24" customHeight="1">
      <c r="A456" s="5" t="str">
        <f t="shared" si="7"/>
        <v/>
      </c>
      <c r="B456" s="18"/>
      <c r="C456" s="9"/>
      <c r="D456" s="15"/>
      <c r="E456" s="9"/>
      <c r="F456" s="7"/>
      <c r="G456" s="9"/>
    </row>
    <row r="457" spans="1:7" ht="24" customHeight="1">
      <c r="A457" s="5" t="str">
        <f t="shared" si="7"/>
        <v/>
      </c>
      <c r="B457" s="18"/>
      <c r="C457" s="9"/>
      <c r="D457" s="15"/>
      <c r="E457" s="9"/>
      <c r="F457" s="7"/>
      <c r="G457" s="9"/>
    </row>
    <row r="458" spans="1:7" ht="24" customHeight="1">
      <c r="A458" s="5" t="str">
        <f t="shared" si="7"/>
        <v/>
      </c>
      <c r="B458" s="18"/>
      <c r="C458" s="9"/>
      <c r="D458" s="15"/>
      <c r="E458" s="9"/>
      <c r="F458" s="7"/>
      <c r="G458" s="9"/>
    </row>
    <row r="459" spans="1:7" ht="24" customHeight="1">
      <c r="A459" s="5" t="str">
        <f t="shared" si="7"/>
        <v/>
      </c>
      <c r="B459" s="18"/>
      <c r="C459" s="9"/>
      <c r="D459" s="15"/>
      <c r="E459" s="9"/>
      <c r="F459" s="7"/>
      <c r="G459" s="9"/>
    </row>
    <row r="460" spans="1:7" ht="24" customHeight="1">
      <c r="A460" s="5" t="str">
        <f t="shared" si="7"/>
        <v/>
      </c>
      <c r="B460" s="18"/>
      <c r="C460" s="9"/>
      <c r="D460" s="15"/>
      <c r="E460" s="9"/>
      <c r="F460" s="7"/>
      <c r="G460" s="9"/>
    </row>
    <row r="461" spans="1:7" ht="24" customHeight="1">
      <c r="A461" s="5" t="str">
        <f t="shared" si="7"/>
        <v/>
      </c>
      <c r="B461" s="18"/>
      <c r="C461" s="9"/>
      <c r="D461" s="15"/>
      <c r="E461" s="9"/>
      <c r="F461" s="7"/>
      <c r="G461" s="9"/>
    </row>
    <row r="462" spans="1:7" ht="24" customHeight="1">
      <c r="A462" s="5" t="str">
        <f t="shared" si="7"/>
        <v/>
      </c>
      <c r="B462" s="18"/>
      <c r="C462" s="9"/>
      <c r="D462" s="15"/>
      <c r="E462" s="9"/>
      <c r="F462" s="7"/>
      <c r="G462" s="9"/>
    </row>
    <row r="463" spans="1:7" ht="24" customHeight="1">
      <c r="A463" s="5" t="str">
        <f t="shared" si="7"/>
        <v/>
      </c>
      <c r="B463" s="18"/>
      <c r="C463" s="9"/>
      <c r="D463" s="15"/>
      <c r="E463" s="9"/>
      <c r="F463" s="7"/>
      <c r="G463" s="9"/>
    </row>
    <row r="464" spans="1:7" ht="24" customHeight="1">
      <c r="A464" s="5" t="str">
        <f t="shared" si="7"/>
        <v/>
      </c>
      <c r="B464" s="18"/>
      <c r="C464" s="9"/>
      <c r="D464" s="15"/>
      <c r="E464" s="9"/>
      <c r="F464" s="7"/>
      <c r="G464" s="9"/>
    </row>
    <row r="465" spans="1:7" ht="24" customHeight="1">
      <c r="A465" s="5" t="str">
        <f t="shared" si="7"/>
        <v/>
      </c>
      <c r="B465" s="18"/>
      <c r="C465" s="9"/>
      <c r="D465" s="15"/>
      <c r="E465" s="9"/>
      <c r="F465" s="7"/>
      <c r="G465" s="9"/>
    </row>
    <row r="466" spans="1:7" ht="24" customHeight="1">
      <c r="A466" s="5" t="str">
        <f t="shared" si="7"/>
        <v/>
      </c>
      <c r="B466" s="18"/>
      <c r="C466" s="9"/>
      <c r="D466" s="15"/>
      <c r="E466" s="9"/>
      <c r="F466" s="7"/>
      <c r="G466" s="9"/>
    </row>
    <row r="467" spans="1:7" ht="24" customHeight="1">
      <c r="A467" s="5" t="str">
        <f t="shared" si="7"/>
        <v/>
      </c>
      <c r="B467" s="18"/>
      <c r="C467" s="9"/>
      <c r="D467" s="15"/>
      <c r="E467" s="9"/>
      <c r="F467" s="7"/>
      <c r="G467" s="9"/>
    </row>
    <row r="468" spans="1:7" ht="24" customHeight="1">
      <c r="A468" s="5" t="str">
        <f t="shared" si="7"/>
        <v/>
      </c>
      <c r="B468" s="18"/>
      <c r="C468" s="9"/>
      <c r="D468" s="15"/>
      <c r="E468" s="9"/>
      <c r="F468" s="7"/>
      <c r="G468" s="9"/>
    </row>
    <row r="469" spans="1:7" ht="24" customHeight="1">
      <c r="A469" s="5" t="str">
        <f t="shared" si="7"/>
        <v/>
      </c>
      <c r="B469" s="18"/>
      <c r="C469" s="9"/>
      <c r="D469" s="15"/>
      <c r="E469" s="9"/>
      <c r="F469" s="7"/>
      <c r="G469" s="9"/>
    </row>
    <row r="470" spans="1:7" ht="24" customHeight="1">
      <c r="A470" s="5" t="str">
        <f t="shared" si="7"/>
        <v/>
      </c>
      <c r="B470" s="18"/>
      <c r="C470" s="9"/>
      <c r="D470" s="15"/>
      <c r="E470" s="9"/>
      <c r="F470" s="7"/>
      <c r="G470" s="9"/>
    </row>
    <row r="471" spans="1:7" ht="24" customHeight="1">
      <c r="A471" s="5" t="str">
        <f t="shared" si="7"/>
        <v/>
      </c>
      <c r="B471" s="18"/>
      <c r="C471" s="9"/>
      <c r="D471" s="15"/>
      <c r="E471" s="9"/>
      <c r="F471" s="7"/>
      <c r="G471" s="9"/>
    </row>
    <row r="472" spans="1:7" ht="24" customHeight="1">
      <c r="A472" s="5" t="str">
        <f t="shared" si="7"/>
        <v/>
      </c>
      <c r="B472" s="18"/>
      <c r="C472" s="9"/>
      <c r="D472" s="15"/>
      <c r="E472" s="9"/>
      <c r="F472" s="7"/>
      <c r="G472" s="9"/>
    </row>
    <row r="473" spans="1:7" ht="24" customHeight="1">
      <c r="A473" s="5" t="str">
        <f t="shared" si="7"/>
        <v/>
      </c>
      <c r="B473" s="18"/>
      <c r="C473" s="9"/>
      <c r="D473" s="15"/>
      <c r="E473" s="9"/>
      <c r="F473" s="7"/>
      <c r="G473" s="9"/>
    </row>
    <row r="474" spans="1:7" ht="24" customHeight="1">
      <c r="A474" s="5" t="str">
        <f t="shared" si="7"/>
        <v/>
      </c>
      <c r="B474" s="18"/>
      <c r="C474" s="9"/>
      <c r="D474" s="15"/>
      <c r="E474" s="9"/>
      <c r="F474" s="7"/>
      <c r="G474" s="9"/>
    </row>
    <row r="475" spans="1:7" ht="24" customHeight="1">
      <c r="A475" s="5" t="str">
        <f t="shared" si="7"/>
        <v/>
      </c>
      <c r="B475" s="18"/>
      <c r="C475" s="9"/>
      <c r="D475" s="15"/>
      <c r="E475" s="9"/>
      <c r="F475" s="7"/>
      <c r="G475" s="9"/>
    </row>
    <row r="476" spans="1:7" ht="24" customHeight="1">
      <c r="A476" s="5" t="str">
        <f t="shared" si="7"/>
        <v/>
      </c>
      <c r="B476" s="18"/>
      <c r="C476" s="9"/>
      <c r="D476" s="15"/>
      <c r="E476" s="9"/>
      <c r="F476" s="7"/>
      <c r="G476" s="9"/>
    </row>
    <row r="477" spans="1:7" ht="24" customHeight="1">
      <c r="A477" s="5" t="str">
        <f t="shared" si="7"/>
        <v/>
      </c>
      <c r="B477" s="18"/>
      <c r="C477" s="9"/>
      <c r="D477" s="15"/>
      <c r="E477" s="9"/>
      <c r="F477" s="7"/>
      <c r="G477" s="9"/>
    </row>
    <row r="478" spans="1:7" ht="24" customHeight="1">
      <c r="A478" s="5" t="str">
        <f t="shared" si="7"/>
        <v/>
      </c>
      <c r="B478" s="18"/>
      <c r="C478" s="9"/>
      <c r="D478" s="15"/>
      <c r="E478" s="9"/>
      <c r="F478" s="7"/>
      <c r="G478" s="9"/>
    </row>
    <row r="479" spans="1:7" ht="24" customHeight="1">
      <c r="A479" s="5" t="str">
        <f t="shared" si="7"/>
        <v/>
      </c>
      <c r="B479" s="18"/>
      <c r="C479" s="9"/>
      <c r="D479" s="15"/>
      <c r="E479" s="9"/>
      <c r="F479" s="7"/>
      <c r="G479" s="9"/>
    </row>
    <row r="480" spans="1:7" ht="24" customHeight="1">
      <c r="A480" s="5" t="str">
        <f t="shared" si="7"/>
        <v/>
      </c>
      <c r="B480" s="18"/>
      <c r="C480" s="9"/>
      <c r="D480" s="15"/>
      <c r="E480" s="9"/>
      <c r="F480" s="7"/>
      <c r="G480" s="9"/>
    </row>
    <row r="481" spans="1:7" ht="24" customHeight="1">
      <c r="A481" s="5" t="str">
        <f t="shared" si="7"/>
        <v/>
      </c>
      <c r="B481" s="18"/>
      <c r="C481" s="9"/>
      <c r="D481" s="15"/>
      <c r="E481" s="9"/>
      <c r="F481" s="7"/>
      <c r="G481" s="9"/>
    </row>
    <row r="482" spans="1:7" ht="24" customHeight="1">
      <c r="A482" s="5" t="str">
        <f t="shared" si="7"/>
        <v/>
      </c>
      <c r="B482" s="18"/>
      <c r="C482" s="9"/>
      <c r="D482" s="15"/>
      <c r="E482" s="9"/>
      <c r="F482" s="7"/>
      <c r="G482" s="9"/>
    </row>
    <row r="483" spans="1:7" ht="24" customHeight="1">
      <c r="A483" s="5" t="str">
        <f t="shared" si="7"/>
        <v/>
      </c>
      <c r="B483" s="18"/>
      <c r="C483" s="9"/>
      <c r="D483" s="15"/>
      <c r="E483" s="9"/>
      <c r="F483" s="7"/>
      <c r="G483" s="9"/>
    </row>
    <row r="484" spans="1:7" ht="24" customHeight="1">
      <c r="A484" s="5" t="str">
        <f t="shared" si="7"/>
        <v/>
      </c>
      <c r="B484" s="18"/>
      <c r="C484" s="9"/>
      <c r="D484" s="15"/>
      <c r="E484" s="9"/>
      <c r="F484" s="7"/>
      <c r="G484" s="9"/>
    </row>
    <row r="485" spans="1:7" ht="24" customHeight="1">
      <c r="A485" s="5" t="str">
        <f t="shared" si="7"/>
        <v/>
      </c>
      <c r="B485" s="18"/>
      <c r="C485" s="9"/>
      <c r="D485" s="15"/>
      <c r="E485" s="9"/>
      <c r="F485" s="7"/>
      <c r="G485" s="9"/>
    </row>
    <row r="486" spans="1:7" ht="24" customHeight="1">
      <c r="A486" s="5" t="str">
        <f t="shared" si="7"/>
        <v/>
      </c>
      <c r="B486" s="18"/>
      <c r="C486" s="9"/>
      <c r="D486" s="15"/>
      <c r="E486" s="9"/>
      <c r="F486" s="7"/>
      <c r="G486" s="9"/>
    </row>
    <row r="487" spans="1:7" ht="24" customHeight="1">
      <c r="A487" s="5" t="str">
        <f t="shared" si="7"/>
        <v/>
      </c>
      <c r="B487" s="18"/>
      <c r="C487" s="9"/>
      <c r="D487" s="15"/>
      <c r="E487" s="9"/>
      <c r="F487" s="7"/>
      <c r="G487" s="9"/>
    </row>
    <row r="488" spans="1:7" ht="24" customHeight="1">
      <c r="A488" s="5" t="str">
        <f t="shared" si="7"/>
        <v/>
      </c>
      <c r="B488" s="18"/>
      <c r="C488" s="9"/>
      <c r="D488" s="15"/>
      <c r="E488" s="9"/>
      <c r="F488" s="7"/>
      <c r="G488" s="9"/>
    </row>
    <row r="489" spans="1:7" ht="24" customHeight="1">
      <c r="A489" s="5" t="str">
        <f t="shared" si="7"/>
        <v/>
      </c>
      <c r="B489" s="18"/>
      <c r="C489" s="9"/>
      <c r="D489" s="15"/>
      <c r="E489" s="9"/>
      <c r="F489" s="7"/>
      <c r="G489" s="9"/>
    </row>
    <row r="490" spans="1:7" ht="24" customHeight="1">
      <c r="A490" s="5" t="str">
        <f t="shared" si="7"/>
        <v/>
      </c>
      <c r="B490" s="18"/>
      <c r="C490" s="9"/>
      <c r="D490" s="15"/>
      <c r="E490" s="9"/>
      <c r="F490" s="7"/>
      <c r="G490" s="9"/>
    </row>
    <row r="491" spans="1:7" ht="24" customHeight="1">
      <c r="A491" s="5" t="str">
        <f t="shared" si="7"/>
        <v/>
      </c>
      <c r="B491" s="18"/>
      <c r="C491" s="9"/>
      <c r="D491" s="15"/>
      <c r="E491" s="9"/>
      <c r="F491" s="7"/>
      <c r="G491" s="9"/>
    </row>
    <row r="492" spans="1:7" ht="24" customHeight="1">
      <c r="A492" s="5" t="str">
        <f t="shared" si="7"/>
        <v/>
      </c>
      <c r="B492" s="18"/>
      <c r="C492" s="9"/>
      <c r="D492" s="15"/>
      <c r="E492" s="9"/>
      <c r="F492" s="7"/>
      <c r="G492" s="9"/>
    </row>
    <row r="493" spans="1:7" ht="24" customHeight="1">
      <c r="A493" s="5" t="str">
        <f t="shared" si="7"/>
        <v/>
      </c>
      <c r="B493" s="18"/>
      <c r="C493" s="9"/>
      <c r="D493" s="15"/>
      <c r="E493" s="9"/>
      <c r="F493" s="7"/>
      <c r="G493" s="9"/>
    </row>
    <row r="494" spans="1:7" ht="24" customHeight="1">
      <c r="A494" s="5" t="str">
        <f t="shared" si="7"/>
        <v/>
      </c>
      <c r="B494" s="18"/>
      <c r="C494" s="9"/>
      <c r="D494" s="15"/>
      <c r="E494" s="9"/>
      <c r="F494" s="7"/>
      <c r="G494" s="9"/>
    </row>
    <row r="495" spans="1:7" ht="24" customHeight="1">
      <c r="A495" s="5" t="str">
        <f t="shared" si="7"/>
        <v/>
      </c>
      <c r="B495" s="18"/>
      <c r="C495" s="9"/>
      <c r="D495" s="15"/>
      <c r="E495" s="9"/>
      <c r="F495" s="7"/>
      <c r="G495" s="9"/>
    </row>
    <row r="496" spans="1:7" ht="24" customHeight="1">
      <c r="A496" s="5" t="str">
        <f t="shared" si="7"/>
        <v/>
      </c>
      <c r="B496" s="18"/>
      <c r="C496" s="9"/>
      <c r="D496" s="15"/>
      <c r="E496" s="9"/>
      <c r="F496" s="7"/>
      <c r="G496" s="9"/>
    </row>
    <row r="497" spans="1:7" ht="24" customHeight="1">
      <c r="A497" s="5" t="str">
        <f t="shared" si="7"/>
        <v/>
      </c>
      <c r="B497" s="18"/>
      <c r="C497" s="9"/>
      <c r="D497" s="15"/>
      <c r="E497" s="9"/>
      <c r="F497" s="7"/>
      <c r="G497" s="9"/>
    </row>
    <row r="498" spans="1:7" ht="24" customHeight="1">
      <c r="A498" s="5" t="str">
        <f t="shared" si="7"/>
        <v/>
      </c>
      <c r="B498" s="18"/>
      <c r="C498" s="9"/>
      <c r="D498" s="15"/>
      <c r="E498" s="9"/>
      <c r="F498" s="7"/>
      <c r="G498" s="9"/>
    </row>
    <row r="499" spans="1:7" ht="24" customHeight="1">
      <c r="A499" s="5" t="str">
        <f t="shared" si="7"/>
        <v/>
      </c>
      <c r="B499" s="18"/>
      <c r="C499" s="9"/>
      <c r="D499" s="15"/>
      <c r="E499" s="9"/>
      <c r="F499" s="7"/>
      <c r="G499" s="9"/>
    </row>
    <row r="500" spans="1:7" ht="24" customHeight="1">
      <c r="A500" s="5" t="str">
        <f t="shared" si="7"/>
        <v/>
      </c>
      <c r="B500" s="18"/>
      <c r="C500" s="9"/>
      <c r="D500" s="15"/>
      <c r="E500" s="9"/>
      <c r="F500" s="7"/>
      <c r="G500" s="9"/>
    </row>
    <row r="501" spans="1:7" ht="24" customHeight="1">
      <c r="A501" s="5" t="str">
        <f t="shared" si="7"/>
        <v/>
      </c>
      <c r="B501" s="18"/>
      <c r="C501" s="9"/>
      <c r="D501" s="15"/>
      <c r="E501" s="9"/>
      <c r="F501" s="7"/>
      <c r="G501" s="9"/>
    </row>
  </sheetData>
  <autoFilter ref="A1:G501" xr:uid="{00000000-0009-0000-0000-000003000000}"/>
  <conditionalFormatting sqref="A2:B177 D2:G177 A178:G501">
    <cfRule type="expression" dxfId="22" priority="5">
      <formula>AND(OR($C2&lt;&gt;"",$D2&lt;&gt;"",$B2&lt;&gt;""),OR($C2="",$D2="",$B2=""))</formula>
    </cfRule>
  </conditionalFormatting>
  <conditionalFormatting sqref="C2:C75">
    <cfRule type="expression" dxfId="20" priority="3">
      <formula>AND($A2&lt;&gt;"",COUNTIF($A$2:$A$320,$A2)&gt;1)</formula>
    </cfRule>
  </conditionalFormatting>
  <conditionalFormatting sqref="C2:C177">
    <cfRule type="expression" dxfId="19" priority="2">
      <formula>AND($C2&lt;&gt;"",$C2&lt;0)</formula>
    </cfRule>
  </conditionalFormatting>
  <conditionalFormatting sqref="C76:C177">
    <cfRule type="expression" dxfId="18" priority="1">
      <formula>AND($A76&lt;&gt;"",COUNTIF($A$2:$A$319,$A76)&gt;1)</formula>
    </cfRule>
  </conditionalFormatting>
  <dataValidations count="1">
    <dataValidation type="decimal" operator="greaterThan" allowBlank="1" showErrorMessage="1" errorTitle="كمية غير صحيحة" error="يجب أن تكون الكمية أكبر من صفر" sqref="D2:D501" xr:uid="{00000000-0002-0000-0300-000001000000}">
      <formula1>0</formula1>
    </dataValidation>
  </dataValidations>
  <pageMargins left="0.75" right="0.75" top="1" bottom="1" header="0.5" footer="0.5"/>
  <extLst>
    <ext xmlns:x14="http://schemas.microsoft.com/office/spreadsheetml/2009/9/main" uri="{78C0D931-6437-407d-A8EE-F0AAD7539E65}">
      <x14:conditionalFormattings>
        <x14:conditionalFormatting xmlns:xm="http://schemas.microsoft.com/office/excel/2006/main">
          <x14:cfRule type="expression" priority="6" id="{00000000-000E-0000-0300-000002000000}">
            <xm:f>AND($C2&lt;&gt;"",COUNTIF(المواد!$A$2:$A$319,$C2)=0)</xm:f>
            <x14:dxf>
              <fill>
                <patternFill patternType="solid">
                  <fgColor rgb="FFFCE4E4"/>
                </patternFill>
              </fill>
            </x14:dxf>
          </x14:cfRule>
          <xm:sqref>A2:B177 D2:G177 A178:G501</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ErrorMessage="1" errorTitle="مادة غير موجودة" error="اختر مادة من صفحة المواد" xr:uid="{00000000-0002-0000-0300-000000000000}">
          <x14:formula1>
            <xm:f>المواد!$A$2:$A$319</xm:f>
          </x14:formula1>
          <xm:sqref>C2:C501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B45F06"/>
  </sheetPr>
  <dimension ref="A1:D501"/>
  <sheetViews>
    <sheetView rightToLeft="1" workbookViewId="0">
      <pane ySplit="1" topLeftCell="A2" activePane="bottomLeft" state="frozen"/>
      <selection pane="bottomLeft" activeCell="C3" sqref="C3"/>
    </sheetView>
  </sheetViews>
  <sheetFormatPr defaultRowHeight="14.25"/>
  <cols>
    <col min="1" max="1" width="10" customWidth="1"/>
    <col min="2" max="2" width="14" customWidth="1"/>
    <col min="3" max="3" width="34" customWidth="1"/>
    <col min="4" max="4" width="40" customWidth="1"/>
  </cols>
  <sheetData>
    <row r="1" spans="1:4" ht="26.1" customHeight="1">
      <c r="A1" s="2" t="s">
        <v>151</v>
      </c>
      <c r="B1" s="2" t="s">
        <v>20</v>
      </c>
      <c r="C1" s="2" t="s">
        <v>16</v>
      </c>
      <c r="D1" s="2" t="s">
        <v>26</v>
      </c>
    </row>
    <row r="2" spans="1:4" ht="24" customHeight="1">
      <c r="A2" s="5">
        <v>2</v>
      </c>
      <c r="B2" s="18">
        <v>46225</v>
      </c>
      <c r="C2" s="9" t="s">
        <v>114</v>
      </c>
      <c r="D2" s="9" t="s">
        <v>342</v>
      </c>
    </row>
    <row r="3" spans="1:4" ht="24" customHeight="1">
      <c r="A3" s="5"/>
      <c r="B3" s="18"/>
      <c r="C3" s="9"/>
      <c r="D3" s="9"/>
    </row>
    <row r="4" spans="1:4" ht="24" customHeight="1">
      <c r="A4" s="5"/>
      <c r="B4" s="18"/>
      <c r="C4" s="9"/>
      <c r="D4" s="9"/>
    </row>
    <row r="5" spans="1:4" ht="24" customHeight="1">
      <c r="A5" s="5" t="str">
        <f t="shared" ref="A5:A65" si="0">IF(C5="","",ROW()-1)</f>
        <v/>
      </c>
      <c r="B5" s="18"/>
      <c r="C5" s="9"/>
      <c r="D5" s="9"/>
    </row>
    <row r="6" spans="1:4" ht="24" customHeight="1">
      <c r="A6" s="5" t="str">
        <f t="shared" si="0"/>
        <v/>
      </c>
      <c r="B6" s="18"/>
      <c r="C6" s="9"/>
      <c r="D6" s="9"/>
    </row>
    <row r="7" spans="1:4" ht="24" customHeight="1">
      <c r="A7" s="5" t="str">
        <f t="shared" si="0"/>
        <v/>
      </c>
      <c r="B7" s="18"/>
      <c r="C7" s="9"/>
      <c r="D7" s="9"/>
    </row>
    <row r="8" spans="1:4" ht="24" customHeight="1">
      <c r="A8" s="5" t="str">
        <f t="shared" si="0"/>
        <v/>
      </c>
      <c r="B8" s="18"/>
      <c r="C8" s="9"/>
      <c r="D8" s="9"/>
    </row>
    <row r="9" spans="1:4" ht="24" customHeight="1">
      <c r="A9" s="5" t="str">
        <f t="shared" si="0"/>
        <v/>
      </c>
      <c r="B9" s="18"/>
      <c r="C9" s="9"/>
      <c r="D9" s="9"/>
    </row>
    <row r="10" spans="1:4" ht="24" customHeight="1">
      <c r="A10" s="5" t="str">
        <f t="shared" si="0"/>
        <v/>
      </c>
      <c r="B10" s="18"/>
      <c r="C10" s="9"/>
      <c r="D10" s="9"/>
    </row>
    <row r="11" spans="1:4" ht="24" customHeight="1">
      <c r="A11" s="5" t="str">
        <f t="shared" si="0"/>
        <v/>
      </c>
      <c r="B11" s="18"/>
      <c r="C11" s="9"/>
      <c r="D11" s="9"/>
    </row>
    <row r="12" spans="1:4" ht="24" customHeight="1">
      <c r="A12" s="5" t="str">
        <f t="shared" si="0"/>
        <v/>
      </c>
      <c r="B12" s="18"/>
      <c r="C12" s="9"/>
      <c r="D12" s="9"/>
    </row>
    <row r="13" spans="1:4" ht="24" customHeight="1">
      <c r="A13" s="5" t="str">
        <f t="shared" si="0"/>
        <v/>
      </c>
      <c r="B13" s="18"/>
      <c r="C13" s="9"/>
      <c r="D13" s="9"/>
    </row>
    <row r="14" spans="1:4" ht="24" customHeight="1">
      <c r="A14" s="5" t="str">
        <f t="shared" si="0"/>
        <v/>
      </c>
      <c r="B14" s="18"/>
      <c r="C14" s="9"/>
      <c r="D14" s="9"/>
    </row>
    <row r="15" spans="1:4" ht="24" customHeight="1">
      <c r="A15" s="5" t="str">
        <f t="shared" si="0"/>
        <v/>
      </c>
      <c r="B15" s="18"/>
      <c r="C15" s="9"/>
      <c r="D15" s="9"/>
    </row>
    <row r="16" spans="1:4" ht="24" customHeight="1">
      <c r="A16" s="5" t="str">
        <f t="shared" si="0"/>
        <v/>
      </c>
      <c r="B16" s="18"/>
      <c r="C16" s="9"/>
      <c r="D16" s="9"/>
    </row>
    <row r="17" spans="1:4" ht="24" customHeight="1">
      <c r="A17" s="5" t="str">
        <f t="shared" si="0"/>
        <v/>
      </c>
      <c r="B17" s="18"/>
      <c r="C17" s="9"/>
      <c r="D17" s="9"/>
    </row>
    <row r="18" spans="1:4" ht="24" customHeight="1">
      <c r="A18" s="5" t="str">
        <f t="shared" si="0"/>
        <v/>
      </c>
      <c r="B18" s="18"/>
      <c r="C18" s="9"/>
      <c r="D18" s="9"/>
    </row>
    <row r="19" spans="1:4" ht="24" customHeight="1">
      <c r="A19" s="5" t="str">
        <f t="shared" si="0"/>
        <v/>
      </c>
      <c r="B19" s="18"/>
      <c r="C19" s="9"/>
      <c r="D19" s="9"/>
    </row>
    <row r="20" spans="1:4" ht="24" customHeight="1">
      <c r="A20" s="5" t="str">
        <f t="shared" si="0"/>
        <v/>
      </c>
      <c r="B20" s="18"/>
      <c r="C20" s="9"/>
      <c r="D20" s="9"/>
    </row>
    <row r="21" spans="1:4" ht="24" customHeight="1">
      <c r="A21" s="5" t="str">
        <f t="shared" si="0"/>
        <v/>
      </c>
      <c r="B21" s="18"/>
      <c r="C21" s="9"/>
      <c r="D21" s="9"/>
    </row>
    <row r="22" spans="1:4" ht="24" customHeight="1">
      <c r="A22" s="5" t="str">
        <f t="shared" si="0"/>
        <v/>
      </c>
      <c r="B22" s="18"/>
      <c r="C22" s="9"/>
      <c r="D22" s="9"/>
    </row>
    <row r="23" spans="1:4" ht="24" customHeight="1">
      <c r="A23" s="5" t="str">
        <f t="shared" si="0"/>
        <v/>
      </c>
      <c r="B23" s="18"/>
      <c r="C23" s="9"/>
      <c r="D23" s="9"/>
    </row>
    <row r="24" spans="1:4" ht="24" customHeight="1">
      <c r="A24" s="5" t="str">
        <f t="shared" si="0"/>
        <v/>
      </c>
      <c r="B24" s="18"/>
      <c r="C24" s="9"/>
      <c r="D24" s="9"/>
    </row>
    <row r="25" spans="1:4" ht="24" customHeight="1">
      <c r="A25" s="5" t="str">
        <f t="shared" si="0"/>
        <v/>
      </c>
      <c r="B25" s="18"/>
      <c r="C25" s="9"/>
      <c r="D25" s="9"/>
    </row>
    <row r="26" spans="1:4" ht="24" customHeight="1">
      <c r="A26" s="5" t="str">
        <f t="shared" si="0"/>
        <v/>
      </c>
      <c r="B26" s="18"/>
      <c r="C26" s="9"/>
      <c r="D26" s="9"/>
    </row>
    <row r="27" spans="1:4" ht="24" customHeight="1">
      <c r="A27" s="5" t="str">
        <f t="shared" si="0"/>
        <v/>
      </c>
      <c r="B27" s="18"/>
      <c r="C27" s="9"/>
      <c r="D27" s="9"/>
    </row>
    <row r="28" spans="1:4" ht="24" customHeight="1">
      <c r="A28" s="5" t="str">
        <f t="shared" si="0"/>
        <v/>
      </c>
      <c r="B28" s="18"/>
      <c r="C28" s="9"/>
      <c r="D28" s="9"/>
    </row>
    <row r="29" spans="1:4" ht="24" customHeight="1">
      <c r="A29" s="5" t="str">
        <f t="shared" si="0"/>
        <v/>
      </c>
      <c r="B29" s="18"/>
      <c r="C29" s="9"/>
      <c r="D29" s="9"/>
    </row>
    <row r="30" spans="1:4" ht="24" customHeight="1">
      <c r="A30" s="5" t="str">
        <f t="shared" si="0"/>
        <v/>
      </c>
      <c r="B30" s="18"/>
      <c r="C30" s="9"/>
      <c r="D30" s="9"/>
    </row>
    <row r="31" spans="1:4" ht="24" customHeight="1">
      <c r="A31" s="5" t="str">
        <f t="shared" si="0"/>
        <v/>
      </c>
      <c r="B31" s="18"/>
      <c r="C31" s="9"/>
      <c r="D31" s="9"/>
    </row>
    <row r="32" spans="1:4" ht="24" customHeight="1">
      <c r="A32" s="5" t="str">
        <f t="shared" si="0"/>
        <v/>
      </c>
      <c r="B32" s="18"/>
      <c r="C32" s="9"/>
      <c r="D32" s="9"/>
    </row>
    <row r="33" spans="1:4" ht="24" customHeight="1">
      <c r="A33" s="5" t="str">
        <f t="shared" si="0"/>
        <v/>
      </c>
      <c r="B33" s="18"/>
      <c r="C33" s="9"/>
      <c r="D33" s="9"/>
    </row>
    <row r="34" spans="1:4" ht="24" customHeight="1">
      <c r="A34" s="5" t="str">
        <f t="shared" si="0"/>
        <v/>
      </c>
      <c r="B34" s="18"/>
      <c r="C34" s="9"/>
      <c r="D34" s="9"/>
    </row>
    <row r="35" spans="1:4" ht="24" customHeight="1">
      <c r="A35" s="5" t="str">
        <f t="shared" si="0"/>
        <v/>
      </c>
      <c r="B35" s="18"/>
      <c r="C35" s="9"/>
      <c r="D35" s="9"/>
    </row>
    <row r="36" spans="1:4" ht="24" customHeight="1">
      <c r="A36" s="5" t="str">
        <f t="shared" si="0"/>
        <v/>
      </c>
      <c r="B36" s="18"/>
      <c r="C36" s="9"/>
      <c r="D36" s="9"/>
    </row>
    <row r="37" spans="1:4" ht="24" customHeight="1">
      <c r="A37" s="5" t="str">
        <f t="shared" si="0"/>
        <v/>
      </c>
      <c r="B37" s="18"/>
      <c r="C37" s="9"/>
      <c r="D37" s="9"/>
    </row>
    <row r="38" spans="1:4" ht="24" customHeight="1">
      <c r="A38" s="5" t="str">
        <f t="shared" si="0"/>
        <v/>
      </c>
      <c r="B38" s="18"/>
      <c r="C38" s="9"/>
      <c r="D38" s="9"/>
    </row>
    <row r="39" spans="1:4" ht="24" customHeight="1">
      <c r="A39" s="5" t="str">
        <f t="shared" si="0"/>
        <v/>
      </c>
      <c r="B39" s="18"/>
      <c r="C39" s="9"/>
      <c r="D39" s="9"/>
    </row>
    <row r="40" spans="1:4" ht="24" customHeight="1">
      <c r="A40" s="5" t="str">
        <f t="shared" si="0"/>
        <v/>
      </c>
      <c r="B40" s="18"/>
      <c r="C40" s="9"/>
      <c r="D40" s="9"/>
    </row>
    <row r="41" spans="1:4" ht="24" customHeight="1">
      <c r="A41" s="5" t="str">
        <f t="shared" si="0"/>
        <v/>
      </c>
      <c r="B41" s="18"/>
      <c r="C41" s="9"/>
      <c r="D41" s="9"/>
    </row>
    <row r="42" spans="1:4" ht="24" customHeight="1">
      <c r="A42" s="5" t="str">
        <f t="shared" si="0"/>
        <v/>
      </c>
      <c r="B42" s="18"/>
      <c r="C42" s="9"/>
      <c r="D42" s="9"/>
    </row>
    <row r="43" spans="1:4" ht="24" customHeight="1">
      <c r="A43" s="5" t="str">
        <f t="shared" si="0"/>
        <v/>
      </c>
      <c r="B43" s="18"/>
      <c r="C43" s="9"/>
      <c r="D43" s="9"/>
    </row>
    <row r="44" spans="1:4" ht="24" customHeight="1">
      <c r="A44" s="5" t="str">
        <f t="shared" si="0"/>
        <v/>
      </c>
      <c r="B44" s="18"/>
      <c r="C44" s="9"/>
      <c r="D44" s="9"/>
    </row>
    <row r="45" spans="1:4" ht="24" customHeight="1">
      <c r="A45" s="5" t="str">
        <f t="shared" si="0"/>
        <v/>
      </c>
      <c r="B45" s="18"/>
      <c r="C45" s="9"/>
      <c r="D45" s="9"/>
    </row>
    <row r="46" spans="1:4" ht="24" customHeight="1">
      <c r="A46" s="5" t="str">
        <f t="shared" si="0"/>
        <v/>
      </c>
      <c r="B46" s="18"/>
      <c r="C46" s="9"/>
      <c r="D46" s="9"/>
    </row>
    <row r="47" spans="1:4" ht="24" customHeight="1">
      <c r="A47" s="5" t="str">
        <f t="shared" si="0"/>
        <v/>
      </c>
      <c r="B47" s="18"/>
      <c r="C47" s="9"/>
      <c r="D47" s="9"/>
    </row>
    <row r="48" spans="1:4" ht="24" customHeight="1">
      <c r="A48" s="5" t="str">
        <f t="shared" si="0"/>
        <v/>
      </c>
      <c r="B48" s="18"/>
      <c r="C48" s="9"/>
      <c r="D48" s="9"/>
    </row>
    <row r="49" spans="1:4" ht="24" customHeight="1">
      <c r="A49" s="5" t="str">
        <f t="shared" si="0"/>
        <v/>
      </c>
      <c r="B49" s="18"/>
      <c r="C49" s="9"/>
      <c r="D49" s="9"/>
    </row>
    <row r="50" spans="1:4" ht="24" customHeight="1">
      <c r="A50" s="5" t="str">
        <f t="shared" si="0"/>
        <v/>
      </c>
      <c r="B50" s="18"/>
      <c r="C50" s="9"/>
      <c r="D50" s="9"/>
    </row>
    <row r="51" spans="1:4" ht="24" customHeight="1">
      <c r="A51" s="5" t="str">
        <f t="shared" si="0"/>
        <v/>
      </c>
      <c r="B51" s="18"/>
      <c r="C51" s="9"/>
      <c r="D51" s="9"/>
    </row>
    <row r="52" spans="1:4" ht="24" customHeight="1">
      <c r="A52" s="5" t="str">
        <f t="shared" si="0"/>
        <v/>
      </c>
      <c r="B52" s="18"/>
      <c r="C52" s="9"/>
      <c r="D52" s="9"/>
    </row>
    <row r="53" spans="1:4" ht="24" customHeight="1">
      <c r="A53" s="5" t="str">
        <f t="shared" si="0"/>
        <v/>
      </c>
      <c r="B53" s="18"/>
      <c r="C53" s="9"/>
      <c r="D53" s="9"/>
    </row>
    <row r="54" spans="1:4" ht="24" customHeight="1">
      <c r="A54" s="5" t="str">
        <f t="shared" si="0"/>
        <v/>
      </c>
      <c r="B54" s="18"/>
      <c r="C54" s="9"/>
      <c r="D54" s="9"/>
    </row>
    <row r="55" spans="1:4" ht="24" customHeight="1">
      <c r="A55" s="5" t="str">
        <f t="shared" si="0"/>
        <v/>
      </c>
      <c r="B55" s="18"/>
      <c r="C55" s="9"/>
      <c r="D55" s="9"/>
    </row>
    <row r="56" spans="1:4" ht="24" customHeight="1">
      <c r="A56" s="5" t="str">
        <f t="shared" si="0"/>
        <v/>
      </c>
      <c r="B56" s="18"/>
      <c r="C56" s="9"/>
      <c r="D56" s="9"/>
    </row>
    <row r="57" spans="1:4" ht="24" customHeight="1">
      <c r="A57" s="5" t="str">
        <f t="shared" si="0"/>
        <v/>
      </c>
      <c r="B57" s="18"/>
      <c r="C57" s="9"/>
      <c r="D57" s="9"/>
    </row>
    <row r="58" spans="1:4" ht="24" customHeight="1">
      <c r="A58" s="5" t="str">
        <f t="shared" si="0"/>
        <v/>
      </c>
      <c r="B58" s="18"/>
      <c r="C58" s="9"/>
      <c r="D58" s="9"/>
    </row>
    <row r="59" spans="1:4" ht="24" customHeight="1">
      <c r="A59" s="5" t="str">
        <f t="shared" si="0"/>
        <v/>
      </c>
      <c r="B59" s="18"/>
      <c r="C59" s="9"/>
      <c r="D59" s="9"/>
    </row>
    <row r="60" spans="1:4" ht="24" customHeight="1">
      <c r="A60" s="5" t="str">
        <f t="shared" si="0"/>
        <v/>
      </c>
      <c r="B60" s="18"/>
      <c r="C60" s="9"/>
      <c r="D60" s="9"/>
    </row>
    <row r="61" spans="1:4" ht="24" customHeight="1">
      <c r="A61" s="5" t="str">
        <f t="shared" si="0"/>
        <v/>
      </c>
      <c r="B61" s="18"/>
      <c r="C61" s="9"/>
      <c r="D61" s="9"/>
    </row>
    <row r="62" spans="1:4" ht="24" customHeight="1">
      <c r="A62" s="5" t="str">
        <f t="shared" si="0"/>
        <v/>
      </c>
      <c r="B62" s="18"/>
      <c r="C62" s="9"/>
      <c r="D62" s="9"/>
    </row>
    <row r="63" spans="1:4" ht="24" customHeight="1">
      <c r="A63" s="5" t="str">
        <f t="shared" si="0"/>
        <v/>
      </c>
      <c r="B63" s="18"/>
      <c r="C63" s="9"/>
      <c r="D63" s="9"/>
    </row>
    <row r="64" spans="1:4" ht="24" customHeight="1">
      <c r="A64" s="5" t="str">
        <f t="shared" si="0"/>
        <v/>
      </c>
      <c r="B64" s="18"/>
      <c r="C64" s="9"/>
      <c r="D64" s="9"/>
    </row>
    <row r="65" spans="1:4" ht="24" customHeight="1">
      <c r="A65" s="5" t="str">
        <f t="shared" si="0"/>
        <v/>
      </c>
      <c r="B65" s="18"/>
      <c r="C65" s="9"/>
      <c r="D65" s="9"/>
    </row>
    <row r="66" spans="1:4" ht="24" customHeight="1">
      <c r="A66" s="5" t="str">
        <f t="shared" ref="A66:A129" si="1">IF(C66="","",ROW()-1)</f>
        <v/>
      </c>
      <c r="B66" s="18"/>
      <c r="C66" s="9"/>
      <c r="D66" s="9"/>
    </row>
    <row r="67" spans="1:4" ht="24" customHeight="1">
      <c r="A67" s="5" t="str">
        <f t="shared" si="1"/>
        <v/>
      </c>
      <c r="B67" s="18"/>
      <c r="C67" s="9"/>
      <c r="D67" s="9"/>
    </row>
    <row r="68" spans="1:4" ht="24" customHeight="1">
      <c r="A68" s="5" t="str">
        <f t="shared" si="1"/>
        <v/>
      </c>
      <c r="B68" s="18"/>
      <c r="C68" s="9"/>
      <c r="D68" s="9"/>
    </row>
    <row r="69" spans="1:4" ht="24" customHeight="1">
      <c r="A69" s="5" t="str">
        <f t="shared" si="1"/>
        <v/>
      </c>
      <c r="B69" s="18"/>
      <c r="C69" s="9"/>
      <c r="D69" s="9"/>
    </row>
    <row r="70" spans="1:4" ht="24" customHeight="1">
      <c r="A70" s="5" t="str">
        <f t="shared" si="1"/>
        <v/>
      </c>
      <c r="B70" s="18"/>
      <c r="C70" s="9"/>
      <c r="D70" s="9"/>
    </row>
    <row r="71" spans="1:4" ht="24" customHeight="1">
      <c r="A71" s="5" t="str">
        <f t="shared" si="1"/>
        <v/>
      </c>
      <c r="B71" s="18"/>
      <c r="C71" s="9"/>
      <c r="D71" s="9"/>
    </row>
    <row r="72" spans="1:4" ht="24" customHeight="1">
      <c r="A72" s="5" t="str">
        <f t="shared" si="1"/>
        <v/>
      </c>
      <c r="B72" s="18"/>
      <c r="C72" s="9"/>
      <c r="D72" s="9"/>
    </row>
    <row r="73" spans="1:4" ht="24" customHeight="1">
      <c r="A73" s="5" t="str">
        <f t="shared" si="1"/>
        <v/>
      </c>
      <c r="B73" s="18"/>
      <c r="C73" s="9"/>
      <c r="D73" s="9"/>
    </row>
    <row r="74" spans="1:4" ht="24" customHeight="1">
      <c r="A74" s="5" t="str">
        <f t="shared" si="1"/>
        <v/>
      </c>
      <c r="B74" s="18"/>
      <c r="C74" s="9"/>
      <c r="D74" s="9"/>
    </row>
    <row r="75" spans="1:4" ht="24" customHeight="1">
      <c r="A75" s="5" t="str">
        <f t="shared" si="1"/>
        <v/>
      </c>
      <c r="B75" s="18"/>
      <c r="C75" s="9"/>
      <c r="D75" s="9"/>
    </row>
    <row r="76" spans="1:4" ht="24" customHeight="1">
      <c r="A76" s="5" t="str">
        <f t="shared" si="1"/>
        <v/>
      </c>
      <c r="B76" s="18"/>
      <c r="C76" s="9"/>
      <c r="D76" s="9"/>
    </row>
    <row r="77" spans="1:4" ht="24" customHeight="1">
      <c r="A77" s="5" t="str">
        <f t="shared" si="1"/>
        <v/>
      </c>
      <c r="B77" s="18"/>
      <c r="C77" s="9"/>
      <c r="D77" s="9"/>
    </row>
    <row r="78" spans="1:4" ht="24" customHeight="1">
      <c r="A78" s="5" t="str">
        <f t="shared" si="1"/>
        <v/>
      </c>
      <c r="B78" s="18"/>
      <c r="C78" s="9"/>
      <c r="D78" s="9"/>
    </row>
    <row r="79" spans="1:4" ht="24" customHeight="1">
      <c r="A79" s="5" t="str">
        <f t="shared" si="1"/>
        <v/>
      </c>
      <c r="B79" s="18"/>
      <c r="C79" s="9"/>
      <c r="D79" s="9"/>
    </row>
    <row r="80" spans="1:4" ht="24" customHeight="1">
      <c r="A80" s="5" t="str">
        <f t="shared" si="1"/>
        <v/>
      </c>
      <c r="B80" s="18"/>
      <c r="C80" s="9"/>
      <c r="D80" s="9"/>
    </row>
    <row r="81" spans="1:4" ht="24" customHeight="1">
      <c r="A81" s="5" t="str">
        <f t="shared" si="1"/>
        <v/>
      </c>
      <c r="B81" s="18"/>
      <c r="C81" s="9"/>
      <c r="D81" s="9"/>
    </row>
    <row r="82" spans="1:4" ht="24" customHeight="1">
      <c r="A82" s="5" t="str">
        <f t="shared" si="1"/>
        <v/>
      </c>
      <c r="B82" s="18"/>
      <c r="C82" s="9"/>
      <c r="D82" s="9"/>
    </row>
    <row r="83" spans="1:4" ht="24" customHeight="1">
      <c r="A83" s="5" t="str">
        <f t="shared" si="1"/>
        <v/>
      </c>
      <c r="B83" s="18"/>
      <c r="C83" s="9"/>
      <c r="D83" s="9"/>
    </row>
    <row r="84" spans="1:4" ht="24" customHeight="1">
      <c r="A84" s="5" t="str">
        <f t="shared" si="1"/>
        <v/>
      </c>
      <c r="B84" s="18"/>
      <c r="C84" s="9"/>
      <c r="D84" s="9"/>
    </row>
    <row r="85" spans="1:4" ht="24" customHeight="1">
      <c r="A85" s="5" t="str">
        <f t="shared" si="1"/>
        <v/>
      </c>
      <c r="B85" s="18"/>
      <c r="C85" s="9"/>
      <c r="D85" s="9"/>
    </row>
    <row r="86" spans="1:4" ht="24" customHeight="1">
      <c r="A86" s="5" t="str">
        <f t="shared" si="1"/>
        <v/>
      </c>
      <c r="B86" s="18"/>
      <c r="C86" s="9"/>
      <c r="D86" s="9"/>
    </row>
    <row r="87" spans="1:4" ht="24" customHeight="1">
      <c r="A87" s="5" t="str">
        <f t="shared" si="1"/>
        <v/>
      </c>
      <c r="B87" s="18"/>
      <c r="C87" s="9"/>
      <c r="D87" s="9"/>
    </row>
    <row r="88" spans="1:4" ht="24" customHeight="1">
      <c r="A88" s="5" t="str">
        <f t="shared" si="1"/>
        <v/>
      </c>
      <c r="B88" s="18"/>
      <c r="C88" s="9"/>
      <c r="D88" s="9"/>
    </row>
    <row r="89" spans="1:4" ht="24" customHeight="1">
      <c r="A89" s="5" t="str">
        <f t="shared" si="1"/>
        <v/>
      </c>
      <c r="B89" s="18"/>
      <c r="C89" s="9"/>
      <c r="D89" s="9"/>
    </row>
    <row r="90" spans="1:4" ht="24" customHeight="1">
      <c r="A90" s="5" t="str">
        <f t="shared" si="1"/>
        <v/>
      </c>
      <c r="B90" s="18"/>
      <c r="C90" s="9"/>
      <c r="D90" s="9"/>
    </row>
    <row r="91" spans="1:4" ht="24" customHeight="1">
      <c r="A91" s="5" t="str">
        <f t="shared" si="1"/>
        <v/>
      </c>
      <c r="B91" s="18"/>
      <c r="C91" s="9"/>
      <c r="D91" s="9"/>
    </row>
    <row r="92" spans="1:4" ht="24" customHeight="1">
      <c r="A92" s="5" t="str">
        <f t="shared" si="1"/>
        <v/>
      </c>
      <c r="B92" s="18"/>
      <c r="C92" s="9"/>
      <c r="D92" s="9"/>
    </row>
    <row r="93" spans="1:4" ht="24" customHeight="1">
      <c r="A93" s="5" t="str">
        <f t="shared" si="1"/>
        <v/>
      </c>
      <c r="B93" s="18"/>
      <c r="C93" s="9"/>
      <c r="D93" s="9"/>
    </row>
    <row r="94" spans="1:4" ht="24" customHeight="1">
      <c r="A94" s="5" t="str">
        <f t="shared" si="1"/>
        <v/>
      </c>
      <c r="B94" s="18"/>
      <c r="C94" s="9"/>
      <c r="D94" s="9"/>
    </row>
    <row r="95" spans="1:4" ht="24" customHeight="1">
      <c r="A95" s="5" t="str">
        <f t="shared" si="1"/>
        <v/>
      </c>
      <c r="B95" s="18"/>
      <c r="C95" s="9"/>
      <c r="D95" s="9"/>
    </row>
    <row r="96" spans="1:4" ht="24" customHeight="1">
      <c r="A96" s="5" t="str">
        <f t="shared" si="1"/>
        <v/>
      </c>
      <c r="B96" s="18"/>
      <c r="C96" s="9"/>
      <c r="D96" s="9"/>
    </row>
    <row r="97" spans="1:4" ht="24" customHeight="1">
      <c r="A97" s="5" t="str">
        <f t="shared" si="1"/>
        <v/>
      </c>
      <c r="B97" s="18"/>
      <c r="C97" s="9"/>
      <c r="D97" s="9"/>
    </row>
    <row r="98" spans="1:4" ht="24" customHeight="1">
      <c r="A98" s="5" t="str">
        <f t="shared" si="1"/>
        <v/>
      </c>
      <c r="B98" s="18"/>
      <c r="C98" s="9"/>
      <c r="D98" s="9"/>
    </row>
    <row r="99" spans="1:4" ht="24" customHeight="1">
      <c r="A99" s="5" t="str">
        <f t="shared" si="1"/>
        <v/>
      </c>
      <c r="B99" s="18"/>
      <c r="C99" s="9"/>
      <c r="D99" s="9"/>
    </row>
    <row r="100" spans="1:4" ht="24" customHeight="1">
      <c r="A100" s="5" t="str">
        <f t="shared" si="1"/>
        <v/>
      </c>
      <c r="B100" s="18"/>
      <c r="C100" s="9"/>
      <c r="D100" s="9"/>
    </row>
    <row r="101" spans="1:4" ht="24" customHeight="1">
      <c r="A101" s="5" t="str">
        <f t="shared" si="1"/>
        <v/>
      </c>
      <c r="B101" s="18"/>
      <c r="C101" s="9"/>
      <c r="D101" s="9"/>
    </row>
    <row r="102" spans="1:4" ht="24" customHeight="1">
      <c r="A102" s="5" t="str">
        <f t="shared" si="1"/>
        <v/>
      </c>
      <c r="B102" s="18"/>
      <c r="C102" s="9"/>
      <c r="D102" s="9"/>
    </row>
    <row r="103" spans="1:4" ht="24" customHeight="1">
      <c r="A103" s="5" t="str">
        <f t="shared" si="1"/>
        <v/>
      </c>
      <c r="B103" s="18"/>
      <c r="C103" s="9"/>
      <c r="D103" s="9"/>
    </row>
    <row r="104" spans="1:4" ht="24" customHeight="1">
      <c r="A104" s="5" t="str">
        <f t="shared" si="1"/>
        <v/>
      </c>
      <c r="B104" s="18"/>
      <c r="C104" s="9"/>
      <c r="D104" s="9"/>
    </row>
    <row r="105" spans="1:4" ht="24" customHeight="1">
      <c r="A105" s="5" t="str">
        <f t="shared" si="1"/>
        <v/>
      </c>
      <c r="B105" s="18"/>
      <c r="C105" s="9"/>
      <c r="D105" s="9"/>
    </row>
    <row r="106" spans="1:4" ht="24" customHeight="1">
      <c r="A106" s="5" t="str">
        <f t="shared" si="1"/>
        <v/>
      </c>
      <c r="B106" s="18"/>
      <c r="C106" s="9"/>
      <c r="D106" s="9"/>
    </row>
    <row r="107" spans="1:4" ht="24" customHeight="1">
      <c r="A107" s="5" t="str">
        <f t="shared" si="1"/>
        <v/>
      </c>
      <c r="B107" s="18"/>
      <c r="C107" s="9"/>
      <c r="D107" s="9"/>
    </row>
    <row r="108" spans="1:4" ht="24" customHeight="1">
      <c r="A108" s="5" t="str">
        <f t="shared" si="1"/>
        <v/>
      </c>
      <c r="B108" s="18"/>
      <c r="C108" s="9"/>
      <c r="D108" s="9"/>
    </row>
    <row r="109" spans="1:4" ht="24" customHeight="1">
      <c r="A109" s="5" t="str">
        <f t="shared" si="1"/>
        <v/>
      </c>
      <c r="B109" s="18"/>
      <c r="C109" s="9"/>
      <c r="D109" s="9"/>
    </row>
    <row r="110" spans="1:4" ht="24" customHeight="1">
      <c r="A110" s="5" t="str">
        <f t="shared" si="1"/>
        <v/>
      </c>
      <c r="B110" s="18"/>
      <c r="C110" s="9"/>
      <c r="D110" s="9"/>
    </row>
    <row r="111" spans="1:4" ht="24" customHeight="1">
      <c r="A111" s="5" t="str">
        <f t="shared" si="1"/>
        <v/>
      </c>
      <c r="B111" s="18"/>
      <c r="C111" s="9"/>
      <c r="D111" s="9"/>
    </row>
    <row r="112" spans="1:4" ht="24" customHeight="1">
      <c r="A112" s="5" t="str">
        <f t="shared" si="1"/>
        <v/>
      </c>
      <c r="B112" s="18"/>
      <c r="C112" s="9"/>
      <c r="D112" s="9"/>
    </row>
    <row r="113" spans="1:4" ht="24" customHeight="1">
      <c r="A113" s="5" t="str">
        <f t="shared" si="1"/>
        <v/>
      </c>
      <c r="B113" s="18"/>
      <c r="C113" s="9"/>
      <c r="D113" s="9"/>
    </row>
    <row r="114" spans="1:4" ht="24" customHeight="1">
      <c r="A114" s="5" t="str">
        <f t="shared" si="1"/>
        <v/>
      </c>
      <c r="B114" s="18"/>
      <c r="C114" s="9"/>
      <c r="D114" s="9"/>
    </row>
    <row r="115" spans="1:4" ht="24" customHeight="1">
      <c r="A115" s="5" t="str">
        <f t="shared" si="1"/>
        <v/>
      </c>
      <c r="B115" s="18"/>
      <c r="C115" s="9"/>
      <c r="D115" s="9"/>
    </row>
    <row r="116" spans="1:4" ht="24" customHeight="1">
      <c r="A116" s="5" t="str">
        <f t="shared" si="1"/>
        <v/>
      </c>
      <c r="B116" s="18"/>
      <c r="C116" s="9"/>
      <c r="D116" s="9"/>
    </row>
    <row r="117" spans="1:4" ht="24" customHeight="1">
      <c r="A117" s="5" t="str">
        <f t="shared" si="1"/>
        <v/>
      </c>
      <c r="B117" s="18"/>
      <c r="C117" s="9"/>
      <c r="D117" s="9"/>
    </row>
    <row r="118" spans="1:4" ht="24" customHeight="1">
      <c r="A118" s="5" t="str">
        <f t="shared" si="1"/>
        <v/>
      </c>
      <c r="B118" s="18"/>
      <c r="C118" s="9"/>
      <c r="D118" s="9"/>
    </row>
    <row r="119" spans="1:4" ht="24" customHeight="1">
      <c r="A119" s="5" t="str">
        <f t="shared" si="1"/>
        <v/>
      </c>
      <c r="B119" s="18"/>
      <c r="C119" s="9"/>
      <c r="D119" s="9"/>
    </row>
    <row r="120" spans="1:4" ht="24" customHeight="1">
      <c r="A120" s="5" t="str">
        <f t="shared" si="1"/>
        <v/>
      </c>
      <c r="B120" s="18"/>
      <c r="C120" s="9"/>
      <c r="D120" s="9"/>
    </row>
    <row r="121" spans="1:4" ht="24" customHeight="1">
      <c r="A121" s="5" t="str">
        <f t="shared" si="1"/>
        <v/>
      </c>
      <c r="B121" s="18"/>
      <c r="C121" s="9"/>
      <c r="D121" s="9"/>
    </row>
    <row r="122" spans="1:4" ht="24" customHeight="1">
      <c r="A122" s="5" t="str">
        <f t="shared" si="1"/>
        <v/>
      </c>
      <c r="B122" s="18"/>
      <c r="C122" s="9"/>
      <c r="D122" s="9"/>
    </row>
    <row r="123" spans="1:4" ht="24" customHeight="1">
      <c r="A123" s="5" t="str">
        <f t="shared" si="1"/>
        <v/>
      </c>
      <c r="B123" s="18"/>
      <c r="C123" s="9"/>
      <c r="D123" s="9"/>
    </row>
    <row r="124" spans="1:4" ht="24" customHeight="1">
      <c r="A124" s="5" t="str">
        <f t="shared" si="1"/>
        <v/>
      </c>
      <c r="B124" s="18"/>
      <c r="C124" s="9"/>
      <c r="D124" s="9"/>
    </row>
    <row r="125" spans="1:4" ht="24" customHeight="1">
      <c r="A125" s="5" t="str">
        <f t="shared" si="1"/>
        <v/>
      </c>
      <c r="B125" s="18"/>
      <c r="C125" s="9"/>
      <c r="D125" s="9"/>
    </row>
    <row r="126" spans="1:4" ht="24" customHeight="1">
      <c r="A126" s="5" t="str">
        <f t="shared" si="1"/>
        <v/>
      </c>
      <c r="B126" s="18"/>
      <c r="C126" s="9"/>
      <c r="D126" s="9"/>
    </row>
    <row r="127" spans="1:4" ht="24" customHeight="1">
      <c r="A127" s="5" t="str">
        <f t="shared" si="1"/>
        <v/>
      </c>
      <c r="B127" s="18"/>
      <c r="C127" s="9"/>
      <c r="D127" s="9"/>
    </row>
    <row r="128" spans="1:4" ht="24" customHeight="1">
      <c r="A128" s="5" t="str">
        <f t="shared" si="1"/>
        <v/>
      </c>
      <c r="B128" s="18"/>
      <c r="C128" s="9"/>
      <c r="D128" s="9"/>
    </row>
    <row r="129" spans="1:4" ht="24" customHeight="1">
      <c r="A129" s="5" t="str">
        <f t="shared" si="1"/>
        <v/>
      </c>
      <c r="B129" s="18"/>
      <c r="C129" s="9"/>
      <c r="D129" s="9"/>
    </row>
    <row r="130" spans="1:4" ht="24" customHeight="1">
      <c r="A130" s="5" t="str">
        <f t="shared" ref="A130:A193" si="2">IF(C130="","",ROW()-1)</f>
        <v/>
      </c>
      <c r="B130" s="18"/>
      <c r="C130" s="9"/>
      <c r="D130" s="9"/>
    </row>
    <row r="131" spans="1:4" ht="24" customHeight="1">
      <c r="A131" s="5" t="str">
        <f t="shared" si="2"/>
        <v/>
      </c>
      <c r="B131" s="18"/>
      <c r="C131" s="9"/>
      <c r="D131" s="9"/>
    </row>
    <row r="132" spans="1:4" ht="24" customHeight="1">
      <c r="A132" s="5" t="str">
        <f t="shared" si="2"/>
        <v/>
      </c>
      <c r="B132" s="18"/>
      <c r="C132" s="9"/>
      <c r="D132" s="9"/>
    </row>
    <row r="133" spans="1:4" ht="24" customHeight="1">
      <c r="A133" s="5" t="str">
        <f t="shared" si="2"/>
        <v/>
      </c>
      <c r="B133" s="18"/>
      <c r="C133" s="9"/>
      <c r="D133" s="9"/>
    </row>
    <row r="134" spans="1:4" ht="24" customHeight="1">
      <c r="A134" s="5" t="str">
        <f t="shared" si="2"/>
        <v/>
      </c>
      <c r="B134" s="18"/>
      <c r="C134" s="9"/>
      <c r="D134" s="9"/>
    </row>
    <row r="135" spans="1:4" ht="24" customHeight="1">
      <c r="A135" s="5" t="str">
        <f t="shared" si="2"/>
        <v/>
      </c>
      <c r="B135" s="18"/>
      <c r="C135" s="9"/>
      <c r="D135" s="9"/>
    </row>
    <row r="136" spans="1:4" ht="24" customHeight="1">
      <c r="A136" s="5" t="str">
        <f t="shared" si="2"/>
        <v/>
      </c>
      <c r="B136" s="18"/>
      <c r="C136" s="9"/>
      <c r="D136" s="9"/>
    </row>
    <row r="137" spans="1:4" ht="24" customHeight="1">
      <c r="A137" s="5" t="str">
        <f t="shared" si="2"/>
        <v/>
      </c>
      <c r="B137" s="18"/>
      <c r="C137" s="9"/>
      <c r="D137" s="9"/>
    </row>
    <row r="138" spans="1:4" ht="24" customHeight="1">
      <c r="A138" s="5" t="str">
        <f t="shared" si="2"/>
        <v/>
      </c>
      <c r="B138" s="18"/>
      <c r="C138" s="9"/>
      <c r="D138" s="9"/>
    </row>
    <row r="139" spans="1:4" ht="24" customHeight="1">
      <c r="A139" s="5" t="str">
        <f t="shared" si="2"/>
        <v/>
      </c>
      <c r="B139" s="18"/>
      <c r="C139" s="9"/>
      <c r="D139" s="9"/>
    </row>
    <row r="140" spans="1:4" ht="24" customHeight="1">
      <c r="A140" s="5" t="str">
        <f t="shared" si="2"/>
        <v/>
      </c>
      <c r="B140" s="18"/>
      <c r="C140" s="9"/>
      <c r="D140" s="9"/>
    </row>
    <row r="141" spans="1:4" ht="24" customHeight="1">
      <c r="A141" s="5" t="str">
        <f t="shared" si="2"/>
        <v/>
      </c>
      <c r="B141" s="18"/>
      <c r="C141" s="9"/>
      <c r="D141" s="9"/>
    </row>
    <row r="142" spans="1:4" ht="24" customHeight="1">
      <c r="A142" s="5" t="str">
        <f t="shared" si="2"/>
        <v/>
      </c>
      <c r="B142" s="18"/>
      <c r="C142" s="9"/>
      <c r="D142" s="9"/>
    </row>
    <row r="143" spans="1:4" ht="24" customHeight="1">
      <c r="A143" s="5" t="str">
        <f t="shared" si="2"/>
        <v/>
      </c>
      <c r="B143" s="18"/>
      <c r="C143" s="9"/>
      <c r="D143" s="9"/>
    </row>
    <row r="144" spans="1:4" ht="24" customHeight="1">
      <c r="A144" s="5" t="str">
        <f t="shared" si="2"/>
        <v/>
      </c>
      <c r="B144" s="18"/>
      <c r="C144" s="9"/>
      <c r="D144" s="9"/>
    </row>
    <row r="145" spans="1:4" ht="24" customHeight="1">
      <c r="A145" s="5" t="str">
        <f t="shared" si="2"/>
        <v/>
      </c>
      <c r="B145" s="18"/>
      <c r="C145" s="9"/>
      <c r="D145" s="9"/>
    </row>
    <row r="146" spans="1:4" ht="24" customHeight="1">
      <c r="A146" s="5" t="str">
        <f t="shared" si="2"/>
        <v/>
      </c>
      <c r="B146" s="18"/>
      <c r="C146" s="9"/>
      <c r="D146" s="9"/>
    </row>
    <row r="147" spans="1:4" ht="24" customHeight="1">
      <c r="A147" s="5" t="str">
        <f t="shared" si="2"/>
        <v/>
      </c>
      <c r="B147" s="18"/>
      <c r="C147" s="9"/>
      <c r="D147" s="9"/>
    </row>
    <row r="148" spans="1:4" ht="24" customHeight="1">
      <c r="A148" s="5" t="str">
        <f t="shared" si="2"/>
        <v/>
      </c>
      <c r="B148" s="18"/>
      <c r="C148" s="9"/>
      <c r="D148" s="9"/>
    </row>
    <row r="149" spans="1:4" ht="24" customHeight="1">
      <c r="A149" s="5" t="str">
        <f t="shared" si="2"/>
        <v/>
      </c>
      <c r="B149" s="18"/>
      <c r="C149" s="9"/>
      <c r="D149" s="9"/>
    </row>
    <row r="150" spans="1:4" ht="24" customHeight="1">
      <c r="A150" s="5" t="str">
        <f t="shared" si="2"/>
        <v/>
      </c>
      <c r="B150" s="18"/>
      <c r="C150" s="9"/>
      <c r="D150" s="9"/>
    </row>
    <row r="151" spans="1:4" ht="24" customHeight="1">
      <c r="A151" s="5" t="str">
        <f t="shared" si="2"/>
        <v/>
      </c>
      <c r="B151" s="18"/>
      <c r="C151" s="9"/>
      <c r="D151" s="9"/>
    </row>
    <row r="152" spans="1:4" ht="24" customHeight="1">
      <c r="A152" s="5" t="str">
        <f t="shared" si="2"/>
        <v/>
      </c>
      <c r="B152" s="18"/>
      <c r="C152" s="9"/>
      <c r="D152" s="9"/>
    </row>
    <row r="153" spans="1:4" ht="24" customHeight="1">
      <c r="A153" s="5" t="str">
        <f t="shared" si="2"/>
        <v/>
      </c>
      <c r="B153" s="18"/>
      <c r="C153" s="9"/>
      <c r="D153" s="9"/>
    </row>
    <row r="154" spans="1:4" ht="24" customHeight="1">
      <c r="A154" s="5" t="str">
        <f t="shared" si="2"/>
        <v/>
      </c>
      <c r="B154" s="18"/>
      <c r="C154" s="9"/>
      <c r="D154" s="9"/>
    </row>
    <row r="155" spans="1:4" ht="24" customHeight="1">
      <c r="A155" s="5" t="str">
        <f t="shared" si="2"/>
        <v/>
      </c>
      <c r="B155" s="18"/>
      <c r="C155" s="9"/>
      <c r="D155" s="9"/>
    </row>
    <row r="156" spans="1:4" ht="24" customHeight="1">
      <c r="A156" s="5" t="str">
        <f t="shared" si="2"/>
        <v/>
      </c>
      <c r="B156" s="18"/>
      <c r="C156" s="9"/>
      <c r="D156" s="9"/>
    </row>
    <row r="157" spans="1:4" ht="24" customHeight="1">
      <c r="A157" s="5" t="str">
        <f t="shared" si="2"/>
        <v/>
      </c>
      <c r="B157" s="18"/>
      <c r="C157" s="9"/>
      <c r="D157" s="9"/>
    </row>
    <row r="158" spans="1:4" ht="24" customHeight="1">
      <c r="A158" s="5" t="str">
        <f t="shared" si="2"/>
        <v/>
      </c>
      <c r="B158" s="18"/>
      <c r="C158" s="9"/>
      <c r="D158" s="9"/>
    </row>
    <row r="159" spans="1:4" ht="24" customHeight="1">
      <c r="A159" s="5" t="str">
        <f t="shared" si="2"/>
        <v/>
      </c>
      <c r="B159" s="18"/>
      <c r="C159" s="9"/>
      <c r="D159" s="9"/>
    </row>
    <row r="160" spans="1:4" ht="24" customHeight="1">
      <c r="A160" s="5" t="str">
        <f t="shared" si="2"/>
        <v/>
      </c>
      <c r="B160" s="18"/>
      <c r="C160" s="9"/>
      <c r="D160" s="9"/>
    </row>
    <row r="161" spans="1:4" ht="24" customHeight="1">
      <c r="A161" s="5" t="str">
        <f t="shared" si="2"/>
        <v/>
      </c>
      <c r="B161" s="18"/>
      <c r="C161" s="9"/>
      <c r="D161" s="9"/>
    </row>
    <row r="162" spans="1:4" ht="24" customHeight="1">
      <c r="A162" s="5" t="str">
        <f t="shared" si="2"/>
        <v/>
      </c>
      <c r="B162" s="18"/>
      <c r="C162" s="9"/>
      <c r="D162" s="9"/>
    </row>
    <row r="163" spans="1:4" ht="24" customHeight="1">
      <c r="A163" s="5" t="str">
        <f t="shared" si="2"/>
        <v/>
      </c>
      <c r="B163" s="18"/>
      <c r="C163" s="9"/>
      <c r="D163" s="9"/>
    </row>
    <row r="164" spans="1:4" ht="24" customHeight="1">
      <c r="A164" s="5" t="str">
        <f t="shared" si="2"/>
        <v/>
      </c>
      <c r="B164" s="18"/>
      <c r="C164" s="9"/>
      <c r="D164" s="9"/>
    </row>
    <row r="165" spans="1:4" ht="24" customHeight="1">
      <c r="A165" s="5" t="str">
        <f t="shared" si="2"/>
        <v/>
      </c>
      <c r="B165" s="18"/>
      <c r="C165" s="9"/>
      <c r="D165" s="9"/>
    </row>
    <row r="166" spans="1:4" ht="24" customHeight="1">
      <c r="A166" s="5" t="str">
        <f t="shared" si="2"/>
        <v/>
      </c>
      <c r="B166" s="18"/>
      <c r="C166" s="9"/>
      <c r="D166" s="9"/>
    </row>
    <row r="167" spans="1:4" ht="24" customHeight="1">
      <c r="A167" s="5" t="str">
        <f t="shared" si="2"/>
        <v/>
      </c>
      <c r="B167" s="18"/>
      <c r="C167" s="9"/>
      <c r="D167" s="9"/>
    </row>
    <row r="168" spans="1:4" ht="24" customHeight="1">
      <c r="A168" s="5" t="str">
        <f t="shared" si="2"/>
        <v/>
      </c>
      <c r="B168" s="18"/>
      <c r="C168" s="9"/>
      <c r="D168" s="9"/>
    </row>
    <row r="169" spans="1:4" ht="24" customHeight="1">
      <c r="A169" s="5" t="str">
        <f t="shared" si="2"/>
        <v/>
      </c>
      <c r="B169" s="18"/>
      <c r="C169" s="9"/>
      <c r="D169" s="9"/>
    </row>
    <row r="170" spans="1:4" ht="24" customHeight="1">
      <c r="A170" s="5" t="str">
        <f t="shared" si="2"/>
        <v/>
      </c>
      <c r="B170" s="18"/>
      <c r="C170" s="9"/>
      <c r="D170" s="9"/>
    </row>
    <row r="171" spans="1:4" ht="24" customHeight="1">
      <c r="A171" s="5" t="str">
        <f t="shared" si="2"/>
        <v/>
      </c>
      <c r="B171" s="18"/>
      <c r="C171" s="9"/>
      <c r="D171" s="9"/>
    </row>
    <row r="172" spans="1:4" ht="24" customHeight="1">
      <c r="A172" s="5" t="str">
        <f t="shared" si="2"/>
        <v/>
      </c>
      <c r="B172" s="18"/>
      <c r="C172" s="9"/>
      <c r="D172" s="9"/>
    </row>
    <row r="173" spans="1:4" ht="24" customHeight="1">
      <c r="A173" s="5" t="str">
        <f t="shared" si="2"/>
        <v/>
      </c>
      <c r="B173" s="18"/>
      <c r="C173" s="9"/>
      <c r="D173" s="9"/>
    </row>
    <row r="174" spans="1:4" ht="24" customHeight="1">
      <c r="A174" s="5" t="str">
        <f t="shared" si="2"/>
        <v/>
      </c>
      <c r="B174" s="18"/>
      <c r="C174" s="9"/>
      <c r="D174" s="9"/>
    </row>
    <row r="175" spans="1:4" ht="24" customHeight="1">
      <c r="A175" s="5" t="str">
        <f t="shared" si="2"/>
        <v/>
      </c>
      <c r="B175" s="18"/>
      <c r="C175" s="9"/>
      <c r="D175" s="9"/>
    </row>
    <row r="176" spans="1:4" ht="24" customHeight="1">
      <c r="A176" s="5" t="str">
        <f t="shared" si="2"/>
        <v/>
      </c>
      <c r="B176" s="18"/>
      <c r="C176" s="9"/>
      <c r="D176" s="9"/>
    </row>
    <row r="177" spans="1:4" ht="24" customHeight="1">
      <c r="A177" s="5" t="str">
        <f t="shared" si="2"/>
        <v/>
      </c>
      <c r="B177" s="18"/>
      <c r="C177" s="9"/>
      <c r="D177" s="9"/>
    </row>
    <row r="178" spans="1:4" ht="24" customHeight="1">
      <c r="A178" s="5" t="str">
        <f t="shared" si="2"/>
        <v/>
      </c>
      <c r="B178" s="18"/>
      <c r="C178" s="9"/>
      <c r="D178" s="9"/>
    </row>
    <row r="179" spans="1:4" ht="24" customHeight="1">
      <c r="A179" s="5" t="str">
        <f t="shared" si="2"/>
        <v/>
      </c>
      <c r="B179" s="18"/>
      <c r="C179" s="9"/>
      <c r="D179" s="9"/>
    </row>
    <row r="180" spans="1:4" ht="24" customHeight="1">
      <c r="A180" s="5" t="str">
        <f t="shared" si="2"/>
        <v/>
      </c>
      <c r="B180" s="18"/>
      <c r="C180" s="9"/>
      <c r="D180" s="9"/>
    </row>
    <row r="181" spans="1:4" ht="24" customHeight="1">
      <c r="A181" s="5" t="str">
        <f t="shared" si="2"/>
        <v/>
      </c>
      <c r="B181" s="18"/>
      <c r="C181" s="9"/>
      <c r="D181" s="9"/>
    </row>
    <row r="182" spans="1:4" ht="24" customHeight="1">
      <c r="A182" s="5" t="str">
        <f t="shared" si="2"/>
        <v/>
      </c>
      <c r="B182" s="18"/>
      <c r="C182" s="9"/>
      <c r="D182" s="9"/>
    </row>
    <row r="183" spans="1:4" ht="24" customHeight="1">
      <c r="A183" s="5" t="str">
        <f t="shared" si="2"/>
        <v/>
      </c>
      <c r="B183" s="18"/>
      <c r="C183" s="9"/>
      <c r="D183" s="9"/>
    </row>
    <row r="184" spans="1:4" ht="24" customHeight="1">
      <c r="A184" s="5" t="str">
        <f t="shared" si="2"/>
        <v/>
      </c>
      <c r="B184" s="18"/>
      <c r="C184" s="9"/>
      <c r="D184" s="9"/>
    </row>
    <row r="185" spans="1:4" ht="24" customHeight="1">
      <c r="A185" s="5" t="str">
        <f t="shared" si="2"/>
        <v/>
      </c>
      <c r="B185" s="18"/>
      <c r="C185" s="9"/>
      <c r="D185" s="9"/>
    </row>
    <row r="186" spans="1:4" ht="24" customHeight="1">
      <c r="A186" s="5" t="str">
        <f t="shared" si="2"/>
        <v/>
      </c>
      <c r="B186" s="18"/>
      <c r="C186" s="9"/>
      <c r="D186" s="9"/>
    </row>
    <row r="187" spans="1:4" ht="24" customHeight="1">
      <c r="A187" s="5" t="str">
        <f t="shared" si="2"/>
        <v/>
      </c>
      <c r="B187" s="18"/>
      <c r="C187" s="9"/>
      <c r="D187" s="9"/>
    </row>
    <row r="188" spans="1:4" ht="24" customHeight="1">
      <c r="A188" s="5" t="str">
        <f t="shared" si="2"/>
        <v/>
      </c>
      <c r="B188" s="18"/>
      <c r="C188" s="9"/>
      <c r="D188" s="9"/>
    </row>
    <row r="189" spans="1:4" ht="24" customHeight="1">
      <c r="A189" s="5" t="str">
        <f t="shared" si="2"/>
        <v/>
      </c>
      <c r="B189" s="18"/>
      <c r="C189" s="9"/>
      <c r="D189" s="9"/>
    </row>
    <row r="190" spans="1:4" ht="24" customHeight="1">
      <c r="A190" s="5" t="str">
        <f t="shared" si="2"/>
        <v/>
      </c>
      <c r="B190" s="18"/>
      <c r="C190" s="9"/>
      <c r="D190" s="9"/>
    </row>
    <row r="191" spans="1:4" ht="24" customHeight="1">
      <c r="A191" s="5" t="str">
        <f t="shared" si="2"/>
        <v/>
      </c>
      <c r="B191" s="18"/>
      <c r="C191" s="9"/>
      <c r="D191" s="9"/>
    </row>
    <row r="192" spans="1:4" ht="24" customHeight="1">
      <c r="A192" s="5" t="str">
        <f t="shared" si="2"/>
        <v/>
      </c>
      <c r="B192" s="18"/>
      <c r="C192" s="9"/>
      <c r="D192" s="9"/>
    </row>
    <row r="193" spans="1:4" ht="24" customHeight="1">
      <c r="A193" s="5" t="str">
        <f t="shared" si="2"/>
        <v/>
      </c>
      <c r="B193" s="18"/>
      <c r="C193" s="9"/>
      <c r="D193" s="9"/>
    </row>
    <row r="194" spans="1:4" ht="24" customHeight="1">
      <c r="A194" s="5" t="str">
        <f t="shared" ref="A194:A257" si="3">IF(C194="","",ROW()-1)</f>
        <v/>
      </c>
      <c r="B194" s="18"/>
      <c r="C194" s="9"/>
      <c r="D194" s="9"/>
    </row>
    <row r="195" spans="1:4" ht="24" customHeight="1">
      <c r="A195" s="5" t="str">
        <f t="shared" si="3"/>
        <v/>
      </c>
      <c r="B195" s="18"/>
      <c r="C195" s="9"/>
      <c r="D195" s="9"/>
    </row>
    <row r="196" spans="1:4" ht="24" customHeight="1">
      <c r="A196" s="5" t="str">
        <f t="shared" si="3"/>
        <v/>
      </c>
      <c r="B196" s="18"/>
      <c r="C196" s="9"/>
      <c r="D196" s="9"/>
    </row>
    <row r="197" spans="1:4" ht="24" customHeight="1">
      <c r="A197" s="5" t="str">
        <f t="shared" si="3"/>
        <v/>
      </c>
      <c r="B197" s="18"/>
      <c r="C197" s="9"/>
      <c r="D197" s="9"/>
    </row>
    <row r="198" spans="1:4" ht="24" customHeight="1">
      <c r="A198" s="5" t="str">
        <f t="shared" si="3"/>
        <v/>
      </c>
      <c r="B198" s="18"/>
      <c r="C198" s="9"/>
      <c r="D198" s="9"/>
    </row>
    <row r="199" spans="1:4" ht="24" customHeight="1">
      <c r="A199" s="5" t="str">
        <f t="shared" si="3"/>
        <v/>
      </c>
      <c r="B199" s="18"/>
      <c r="C199" s="9"/>
      <c r="D199" s="9"/>
    </row>
    <row r="200" spans="1:4" ht="24" customHeight="1">
      <c r="A200" s="5" t="str">
        <f t="shared" si="3"/>
        <v/>
      </c>
      <c r="B200" s="18"/>
      <c r="C200" s="9"/>
      <c r="D200" s="9"/>
    </row>
    <row r="201" spans="1:4" ht="24" customHeight="1">
      <c r="A201" s="5" t="str">
        <f t="shared" si="3"/>
        <v/>
      </c>
      <c r="B201" s="18"/>
      <c r="C201" s="9"/>
      <c r="D201" s="9"/>
    </row>
    <row r="202" spans="1:4" ht="24" customHeight="1">
      <c r="A202" s="5" t="str">
        <f t="shared" si="3"/>
        <v/>
      </c>
      <c r="B202" s="18"/>
      <c r="C202" s="9"/>
      <c r="D202" s="9"/>
    </row>
    <row r="203" spans="1:4" ht="24" customHeight="1">
      <c r="A203" s="5" t="str">
        <f t="shared" si="3"/>
        <v/>
      </c>
      <c r="B203" s="18"/>
      <c r="C203" s="9"/>
      <c r="D203" s="9"/>
    </row>
    <row r="204" spans="1:4" ht="24" customHeight="1">
      <c r="A204" s="5" t="str">
        <f t="shared" si="3"/>
        <v/>
      </c>
      <c r="B204" s="18"/>
      <c r="C204" s="9"/>
      <c r="D204" s="9"/>
    </row>
    <row r="205" spans="1:4" ht="24" customHeight="1">
      <c r="A205" s="5" t="str">
        <f t="shared" si="3"/>
        <v/>
      </c>
      <c r="B205" s="18"/>
      <c r="C205" s="9"/>
      <c r="D205" s="9"/>
    </row>
    <row r="206" spans="1:4" ht="24" customHeight="1">
      <c r="A206" s="5" t="str">
        <f t="shared" si="3"/>
        <v/>
      </c>
      <c r="B206" s="18"/>
      <c r="C206" s="9"/>
      <c r="D206" s="9"/>
    </row>
    <row r="207" spans="1:4" ht="24" customHeight="1">
      <c r="A207" s="5" t="str">
        <f t="shared" si="3"/>
        <v/>
      </c>
      <c r="B207" s="18"/>
      <c r="C207" s="9"/>
      <c r="D207" s="9"/>
    </row>
    <row r="208" spans="1:4" ht="24" customHeight="1">
      <c r="A208" s="5" t="str">
        <f t="shared" si="3"/>
        <v/>
      </c>
      <c r="B208" s="18"/>
      <c r="C208" s="9"/>
      <c r="D208" s="9"/>
    </row>
    <row r="209" spans="1:4" ht="24" customHeight="1">
      <c r="A209" s="5" t="str">
        <f t="shared" si="3"/>
        <v/>
      </c>
      <c r="B209" s="18"/>
      <c r="C209" s="9"/>
      <c r="D209" s="9"/>
    </row>
    <row r="210" spans="1:4" ht="24" customHeight="1">
      <c r="A210" s="5" t="str">
        <f t="shared" si="3"/>
        <v/>
      </c>
      <c r="B210" s="18"/>
      <c r="C210" s="9"/>
      <c r="D210" s="9"/>
    </row>
    <row r="211" spans="1:4" ht="24" customHeight="1">
      <c r="A211" s="5" t="str">
        <f t="shared" si="3"/>
        <v/>
      </c>
      <c r="B211" s="18"/>
      <c r="C211" s="9"/>
      <c r="D211" s="9"/>
    </row>
    <row r="212" spans="1:4" ht="24" customHeight="1">
      <c r="A212" s="5" t="str">
        <f t="shared" si="3"/>
        <v/>
      </c>
      <c r="B212" s="18"/>
      <c r="C212" s="9"/>
      <c r="D212" s="9"/>
    </row>
    <row r="213" spans="1:4" ht="24" customHeight="1">
      <c r="A213" s="5" t="str">
        <f t="shared" si="3"/>
        <v/>
      </c>
      <c r="B213" s="18"/>
      <c r="C213" s="9"/>
      <c r="D213" s="9"/>
    </row>
    <row r="214" spans="1:4" ht="24" customHeight="1">
      <c r="A214" s="5" t="str">
        <f t="shared" si="3"/>
        <v/>
      </c>
      <c r="B214" s="18"/>
      <c r="C214" s="9"/>
      <c r="D214" s="9"/>
    </row>
    <row r="215" spans="1:4" ht="24" customHeight="1">
      <c r="A215" s="5" t="str">
        <f t="shared" si="3"/>
        <v/>
      </c>
      <c r="B215" s="18"/>
      <c r="C215" s="9"/>
      <c r="D215" s="9"/>
    </row>
    <row r="216" spans="1:4" ht="24" customHeight="1">
      <c r="A216" s="5" t="str">
        <f t="shared" si="3"/>
        <v/>
      </c>
      <c r="B216" s="18"/>
      <c r="C216" s="9"/>
      <c r="D216" s="9"/>
    </row>
    <row r="217" spans="1:4" ht="24" customHeight="1">
      <c r="A217" s="5" t="str">
        <f t="shared" si="3"/>
        <v/>
      </c>
      <c r="B217" s="18"/>
      <c r="C217" s="9"/>
      <c r="D217" s="9"/>
    </row>
    <row r="218" spans="1:4" ht="24" customHeight="1">
      <c r="A218" s="5" t="str">
        <f t="shared" si="3"/>
        <v/>
      </c>
      <c r="B218" s="18"/>
      <c r="C218" s="9"/>
      <c r="D218" s="9"/>
    </row>
    <row r="219" spans="1:4" ht="24" customHeight="1">
      <c r="A219" s="5" t="str">
        <f t="shared" si="3"/>
        <v/>
      </c>
      <c r="B219" s="18"/>
      <c r="C219" s="9"/>
      <c r="D219" s="9"/>
    </row>
    <row r="220" spans="1:4" ht="24" customHeight="1">
      <c r="A220" s="5" t="str">
        <f t="shared" si="3"/>
        <v/>
      </c>
      <c r="B220" s="18"/>
      <c r="C220" s="9"/>
      <c r="D220" s="9"/>
    </row>
    <row r="221" spans="1:4" ht="24" customHeight="1">
      <c r="A221" s="5" t="str">
        <f t="shared" si="3"/>
        <v/>
      </c>
      <c r="B221" s="18"/>
      <c r="C221" s="9"/>
      <c r="D221" s="9"/>
    </row>
    <row r="222" spans="1:4" ht="24" customHeight="1">
      <c r="A222" s="5" t="str">
        <f t="shared" si="3"/>
        <v/>
      </c>
      <c r="B222" s="18"/>
      <c r="C222" s="9"/>
      <c r="D222" s="9"/>
    </row>
    <row r="223" spans="1:4" ht="24" customHeight="1">
      <c r="A223" s="5" t="str">
        <f t="shared" si="3"/>
        <v/>
      </c>
      <c r="B223" s="18"/>
      <c r="C223" s="9"/>
      <c r="D223" s="9"/>
    </row>
    <row r="224" spans="1:4" ht="24" customHeight="1">
      <c r="A224" s="5" t="str">
        <f t="shared" si="3"/>
        <v/>
      </c>
      <c r="B224" s="18"/>
      <c r="C224" s="9"/>
      <c r="D224" s="9"/>
    </row>
    <row r="225" spans="1:4" ht="24" customHeight="1">
      <c r="A225" s="5" t="str">
        <f t="shared" si="3"/>
        <v/>
      </c>
      <c r="B225" s="18"/>
      <c r="C225" s="9"/>
      <c r="D225" s="9"/>
    </row>
    <row r="226" spans="1:4" ht="24" customHeight="1">
      <c r="A226" s="5" t="str">
        <f t="shared" si="3"/>
        <v/>
      </c>
      <c r="B226" s="18"/>
      <c r="C226" s="9"/>
      <c r="D226" s="9"/>
    </row>
    <row r="227" spans="1:4" ht="24" customHeight="1">
      <c r="A227" s="5" t="str">
        <f t="shared" si="3"/>
        <v/>
      </c>
      <c r="B227" s="18"/>
      <c r="C227" s="9"/>
      <c r="D227" s="9"/>
    </row>
    <row r="228" spans="1:4" ht="24" customHeight="1">
      <c r="A228" s="5" t="str">
        <f t="shared" si="3"/>
        <v/>
      </c>
      <c r="B228" s="18"/>
      <c r="C228" s="9"/>
      <c r="D228" s="9"/>
    </row>
    <row r="229" spans="1:4" ht="24" customHeight="1">
      <c r="A229" s="5" t="str">
        <f t="shared" si="3"/>
        <v/>
      </c>
      <c r="B229" s="18"/>
      <c r="C229" s="9"/>
      <c r="D229" s="9"/>
    </row>
    <row r="230" spans="1:4" ht="24" customHeight="1">
      <c r="A230" s="5" t="str">
        <f t="shared" si="3"/>
        <v/>
      </c>
      <c r="B230" s="18"/>
      <c r="C230" s="9"/>
      <c r="D230" s="9"/>
    </row>
    <row r="231" spans="1:4" ht="24" customHeight="1">
      <c r="A231" s="5" t="str">
        <f t="shared" si="3"/>
        <v/>
      </c>
      <c r="B231" s="18"/>
      <c r="C231" s="9"/>
      <c r="D231" s="9"/>
    </row>
    <row r="232" spans="1:4" ht="24" customHeight="1">
      <c r="A232" s="5" t="str">
        <f t="shared" si="3"/>
        <v/>
      </c>
      <c r="B232" s="18"/>
      <c r="C232" s="9"/>
      <c r="D232" s="9"/>
    </row>
    <row r="233" spans="1:4" ht="24" customHeight="1">
      <c r="A233" s="5" t="str">
        <f t="shared" si="3"/>
        <v/>
      </c>
      <c r="B233" s="18"/>
      <c r="C233" s="9"/>
      <c r="D233" s="9"/>
    </row>
    <row r="234" spans="1:4" ht="24" customHeight="1">
      <c r="A234" s="5" t="str">
        <f t="shared" si="3"/>
        <v/>
      </c>
      <c r="B234" s="18"/>
      <c r="C234" s="9"/>
      <c r="D234" s="9"/>
    </row>
    <row r="235" spans="1:4" ht="24" customHeight="1">
      <c r="A235" s="5" t="str">
        <f t="shared" si="3"/>
        <v/>
      </c>
      <c r="B235" s="18"/>
      <c r="C235" s="9"/>
      <c r="D235" s="9"/>
    </row>
    <row r="236" spans="1:4" ht="24" customHeight="1">
      <c r="A236" s="5" t="str">
        <f t="shared" si="3"/>
        <v/>
      </c>
      <c r="B236" s="18"/>
      <c r="C236" s="9"/>
      <c r="D236" s="9"/>
    </row>
    <row r="237" spans="1:4" ht="24" customHeight="1">
      <c r="A237" s="5" t="str">
        <f t="shared" si="3"/>
        <v/>
      </c>
      <c r="B237" s="18"/>
      <c r="C237" s="9"/>
      <c r="D237" s="9"/>
    </row>
    <row r="238" spans="1:4" ht="24" customHeight="1">
      <c r="A238" s="5" t="str">
        <f t="shared" si="3"/>
        <v/>
      </c>
      <c r="B238" s="18"/>
      <c r="C238" s="9"/>
      <c r="D238" s="9"/>
    </row>
    <row r="239" spans="1:4" ht="24" customHeight="1">
      <c r="A239" s="5" t="str">
        <f t="shared" si="3"/>
        <v/>
      </c>
      <c r="B239" s="18"/>
      <c r="C239" s="9"/>
      <c r="D239" s="9"/>
    </row>
    <row r="240" spans="1:4" ht="24" customHeight="1">
      <c r="A240" s="5" t="str">
        <f t="shared" si="3"/>
        <v/>
      </c>
      <c r="B240" s="18"/>
      <c r="C240" s="9"/>
      <c r="D240" s="9"/>
    </row>
    <row r="241" spans="1:4" ht="24" customHeight="1">
      <c r="A241" s="5" t="str">
        <f t="shared" si="3"/>
        <v/>
      </c>
      <c r="B241" s="18"/>
      <c r="C241" s="9"/>
      <c r="D241" s="9"/>
    </row>
    <row r="242" spans="1:4" ht="24" customHeight="1">
      <c r="A242" s="5" t="str">
        <f t="shared" si="3"/>
        <v/>
      </c>
      <c r="B242" s="18"/>
      <c r="C242" s="9"/>
      <c r="D242" s="9"/>
    </row>
    <row r="243" spans="1:4" ht="24" customHeight="1">
      <c r="A243" s="5" t="str">
        <f t="shared" si="3"/>
        <v/>
      </c>
      <c r="B243" s="18"/>
      <c r="C243" s="9"/>
      <c r="D243" s="9"/>
    </row>
    <row r="244" spans="1:4" ht="24" customHeight="1">
      <c r="A244" s="5" t="str">
        <f t="shared" si="3"/>
        <v/>
      </c>
      <c r="B244" s="18"/>
      <c r="C244" s="9"/>
      <c r="D244" s="9"/>
    </row>
    <row r="245" spans="1:4" ht="24" customHeight="1">
      <c r="A245" s="5" t="str">
        <f t="shared" si="3"/>
        <v/>
      </c>
      <c r="B245" s="18"/>
      <c r="C245" s="9"/>
      <c r="D245" s="9"/>
    </row>
    <row r="246" spans="1:4" ht="24" customHeight="1">
      <c r="A246" s="5" t="str">
        <f t="shared" si="3"/>
        <v/>
      </c>
      <c r="B246" s="18"/>
      <c r="C246" s="9"/>
      <c r="D246" s="9"/>
    </row>
    <row r="247" spans="1:4" ht="24" customHeight="1">
      <c r="A247" s="5" t="str">
        <f t="shared" si="3"/>
        <v/>
      </c>
      <c r="B247" s="18"/>
      <c r="C247" s="9"/>
      <c r="D247" s="9"/>
    </row>
    <row r="248" spans="1:4" ht="24" customHeight="1">
      <c r="A248" s="5" t="str">
        <f t="shared" si="3"/>
        <v/>
      </c>
      <c r="B248" s="18"/>
      <c r="C248" s="9"/>
      <c r="D248" s="9"/>
    </row>
    <row r="249" spans="1:4" ht="24" customHeight="1">
      <c r="A249" s="5" t="str">
        <f t="shared" si="3"/>
        <v/>
      </c>
      <c r="B249" s="18"/>
      <c r="C249" s="9"/>
      <c r="D249" s="9"/>
    </row>
    <row r="250" spans="1:4" ht="24" customHeight="1">
      <c r="A250" s="5" t="str">
        <f t="shared" si="3"/>
        <v/>
      </c>
      <c r="B250" s="18"/>
      <c r="C250" s="9"/>
      <c r="D250" s="9"/>
    </row>
    <row r="251" spans="1:4" ht="24" customHeight="1">
      <c r="A251" s="5" t="str">
        <f t="shared" si="3"/>
        <v/>
      </c>
      <c r="B251" s="18"/>
      <c r="C251" s="9"/>
      <c r="D251" s="9"/>
    </row>
    <row r="252" spans="1:4" ht="24" customHeight="1">
      <c r="A252" s="5" t="str">
        <f t="shared" si="3"/>
        <v/>
      </c>
      <c r="B252" s="18"/>
      <c r="C252" s="9"/>
      <c r="D252" s="9"/>
    </row>
    <row r="253" spans="1:4" ht="24" customHeight="1">
      <c r="A253" s="5" t="str">
        <f t="shared" si="3"/>
        <v/>
      </c>
      <c r="B253" s="18"/>
      <c r="C253" s="9"/>
      <c r="D253" s="9"/>
    </row>
    <row r="254" spans="1:4" ht="24" customHeight="1">
      <c r="A254" s="5" t="str">
        <f t="shared" si="3"/>
        <v/>
      </c>
      <c r="B254" s="18"/>
      <c r="C254" s="9"/>
      <c r="D254" s="9"/>
    </row>
    <row r="255" spans="1:4" ht="24" customHeight="1">
      <c r="A255" s="5" t="str">
        <f t="shared" si="3"/>
        <v/>
      </c>
      <c r="B255" s="18"/>
      <c r="C255" s="9"/>
      <c r="D255" s="9"/>
    </row>
    <row r="256" spans="1:4" ht="24" customHeight="1">
      <c r="A256" s="5" t="str">
        <f t="shared" si="3"/>
        <v/>
      </c>
      <c r="B256" s="18"/>
      <c r="C256" s="9"/>
      <c r="D256" s="9"/>
    </row>
    <row r="257" spans="1:4" ht="24" customHeight="1">
      <c r="A257" s="5" t="str">
        <f t="shared" si="3"/>
        <v/>
      </c>
      <c r="B257" s="18"/>
      <c r="C257" s="9"/>
      <c r="D257" s="9"/>
    </row>
    <row r="258" spans="1:4" ht="24" customHeight="1">
      <c r="A258" s="5" t="str">
        <f t="shared" ref="A258:A321" si="4">IF(C258="","",ROW()-1)</f>
        <v/>
      </c>
      <c r="B258" s="18"/>
      <c r="C258" s="9"/>
      <c r="D258" s="9"/>
    </row>
    <row r="259" spans="1:4" ht="24" customHeight="1">
      <c r="A259" s="5" t="str">
        <f t="shared" si="4"/>
        <v/>
      </c>
      <c r="B259" s="18"/>
      <c r="C259" s="9"/>
      <c r="D259" s="9"/>
    </row>
    <row r="260" spans="1:4" ht="24" customHeight="1">
      <c r="A260" s="5" t="str">
        <f t="shared" si="4"/>
        <v/>
      </c>
      <c r="B260" s="18"/>
      <c r="C260" s="9"/>
      <c r="D260" s="9"/>
    </row>
    <row r="261" spans="1:4" ht="24" customHeight="1">
      <c r="A261" s="5" t="str">
        <f t="shared" si="4"/>
        <v/>
      </c>
      <c r="B261" s="18"/>
      <c r="C261" s="9"/>
      <c r="D261" s="9"/>
    </row>
    <row r="262" spans="1:4" ht="24" customHeight="1">
      <c r="A262" s="5" t="str">
        <f t="shared" si="4"/>
        <v/>
      </c>
      <c r="B262" s="18"/>
      <c r="C262" s="9"/>
      <c r="D262" s="9"/>
    </row>
    <row r="263" spans="1:4" ht="24" customHeight="1">
      <c r="A263" s="5" t="str">
        <f t="shared" si="4"/>
        <v/>
      </c>
      <c r="B263" s="18"/>
      <c r="C263" s="9"/>
      <c r="D263" s="9"/>
    </row>
    <row r="264" spans="1:4" ht="24" customHeight="1">
      <c r="A264" s="5" t="str">
        <f t="shared" si="4"/>
        <v/>
      </c>
      <c r="B264" s="18"/>
      <c r="C264" s="9"/>
      <c r="D264" s="9"/>
    </row>
    <row r="265" spans="1:4" ht="24" customHeight="1">
      <c r="A265" s="5" t="str">
        <f t="shared" si="4"/>
        <v/>
      </c>
      <c r="B265" s="18"/>
      <c r="C265" s="9"/>
      <c r="D265" s="9"/>
    </row>
    <row r="266" spans="1:4" ht="24" customHeight="1">
      <c r="A266" s="5" t="str">
        <f t="shared" si="4"/>
        <v/>
      </c>
      <c r="B266" s="18"/>
      <c r="C266" s="9"/>
      <c r="D266" s="9"/>
    </row>
    <row r="267" spans="1:4" ht="24" customHeight="1">
      <c r="A267" s="5" t="str">
        <f t="shared" si="4"/>
        <v/>
      </c>
      <c r="B267" s="18"/>
      <c r="C267" s="9"/>
      <c r="D267" s="9"/>
    </row>
    <row r="268" spans="1:4" ht="24" customHeight="1">
      <c r="A268" s="5" t="str">
        <f t="shared" si="4"/>
        <v/>
      </c>
      <c r="B268" s="18"/>
      <c r="C268" s="9"/>
      <c r="D268" s="9"/>
    </row>
    <row r="269" spans="1:4" ht="24" customHeight="1">
      <c r="A269" s="5" t="str">
        <f t="shared" si="4"/>
        <v/>
      </c>
      <c r="B269" s="18"/>
      <c r="C269" s="9"/>
      <c r="D269" s="9"/>
    </row>
    <row r="270" spans="1:4" ht="24" customHeight="1">
      <c r="A270" s="5" t="str">
        <f t="shared" si="4"/>
        <v/>
      </c>
      <c r="B270" s="18"/>
      <c r="C270" s="9"/>
      <c r="D270" s="9"/>
    </row>
    <row r="271" spans="1:4" ht="24" customHeight="1">
      <c r="A271" s="5" t="str">
        <f t="shared" si="4"/>
        <v/>
      </c>
      <c r="B271" s="18"/>
      <c r="C271" s="9"/>
      <c r="D271" s="9"/>
    </row>
    <row r="272" spans="1:4" ht="24" customHeight="1">
      <c r="A272" s="5" t="str">
        <f t="shared" si="4"/>
        <v/>
      </c>
      <c r="B272" s="18"/>
      <c r="C272" s="9"/>
      <c r="D272" s="9"/>
    </row>
    <row r="273" spans="1:4" ht="24" customHeight="1">
      <c r="A273" s="5" t="str">
        <f t="shared" si="4"/>
        <v/>
      </c>
      <c r="B273" s="18"/>
      <c r="C273" s="9"/>
      <c r="D273" s="9"/>
    </row>
    <row r="274" spans="1:4" ht="24" customHeight="1">
      <c r="A274" s="5" t="str">
        <f t="shared" si="4"/>
        <v/>
      </c>
      <c r="B274" s="18"/>
      <c r="C274" s="9"/>
      <c r="D274" s="9"/>
    </row>
    <row r="275" spans="1:4" ht="24" customHeight="1">
      <c r="A275" s="5" t="str">
        <f t="shared" si="4"/>
        <v/>
      </c>
      <c r="B275" s="18"/>
      <c r="C275" s="9"/>
      <c r="D275" s="9"/>
    </row>
    <row r="276" spans="1:4" ht="24" customHeight="1">
      <c r="A276" s="5" t="str">
        <f t="shared" si="4"/>
        <v/>
      </c>
      <c r="B276" s="18"/>
      <c r="C276" s="9"/>
      <c r="D276" s="9"/>
    </row>
    <row r="277" spans="1:4" ht="24" customHeight="1">
      <c r="A277" s="5" t="str">
        <f t="shared" si="4"/>
        <v/>
      </c>
      <c r="B277" s="18"/>
      <c r="C277" s="9"/>
      <c r="D277" s="9"/>
    </row>
    <row r="278" spans="1:4" ht="24" customHeight="1">
      <c r="A278" s="5" t="str">
        <f t="shared" si="4"/>
        <v/>
      </c>
      <c r="B278" s="18"/>
      <c r="C278" s="9"/>
      <c r="D278" s="9"/>
    </row>
    <row r="279" spans="1:4" ht="24" customHeight="1">
      <c r="A279" s="5" t="str">
        <f t="shared" si="4"/>
        <v/>
      </c>
      <c r="B279" s="18"/>
      <c r="C279" s="9"/>
      <c r="D279" s="9"/>
    </row>
    <row r="280" spans="1:4" ht="24" customHeight="1">
      <c r="A280" s="5" t="str">
        <f t="shared" si="4"/>
        <v/>
      </c>
      <c r="B280" s="18"/>
      <c r="C280" s="9"/>
      <c r="D280" s="9"/>
    </row>
    <row r="281" spans="1:4" ht="24" customHeight="1">
      <c r="A281" s="5" t="str">
        <f t="shared" si="4"/>
        <v/>
      </c>
      <c r="B281" s="18"/>
      <c r="C281" s="9"/>
      <c r="D281" s="9"/>
    </row>
    <row r="282" spans="1:4" ht="24" customHeight="1">
      <c r="A282" s="5" t="str">
        <f t="shared" si="4"/>
        <v/>
      </c>
      <c r="B282" s="18"/>
      <c r="C282" s="9"/>
      <c r="D282" s="9"/>
    </row>
    <row r="283" spans="1:4" ht="24" customHeight="1">
      <c r="A283" s="5" t="str">
        <f t="shared" si="4"/>
        <v/>
      </c>
      <c r="B283" s="18"/>
      <c r="C283" s="9"/>
      <c r="D283" s="9"/>
    </row>
    <row r="284" spans="1:4" ht="24" customHeight="1">
      <c r="A284" s="5" t="str">
        <f t="shared" si="4"/>
        <v/>
      </c>
      <c r="B284" s="18"/>
      <c r="C284" s="9"/>
      <c r="D284" s="9"/>
    </row>
    <row r="285" spans="1:4" ht="24" customHeight="1">
      <c r="A285" s="5" t="str">
        <f t="shared" si="4"/>
        <v/>
      </c>
      <c r="B285" s="18"/>
      <c r="C285" s="9"/>
      <c r="D285" s="9"/>
    </row>
    <row r="286" spans="1:4" ht="24" customHeight="1">
      <c r="A286" s="5" t="str">
        <f t="shared" si="4"/>
        <v/>
      </c>
      <c r="B286" s="18"/>
      <c r="C286" s="9"/>
      <c r="D286" s="9"/>
    </row>
    <row r="287" spans="1:4" ht="24" customHeight="1">
      <c r="A287" s="5" t="str">
        <f t="shared" si="4"/>
        <v/>
      </c>
      <c r="B287" s="18"/>
      <c r="C287" s="9"/>
      <c r="D287" s="9"/>
    </row>
    <row r="288" spans="1:4" ht="24" customHeight="1">
      <c r="A288" s="5" t="str">
        <f t="shared" si="4"/>
        <v/>
      </c>
      <c r="B288" s="18"/>
      <c r="C288" s="9"/>
      <c r="D288" s="9"/>
    </row>
    <row r="289" spans="1:4" ht="24" customHeight="1">
      <c r="A289" s="5" t="str">
        <f t="shared" si="4"/>
        <v/>
      </c>
      <c r="B289" s="18"/>
      <c r="C289" s="9"/>
      <c r="D289" s="9"/>
    </row>
    <row r="290" spans="1:4" ht="24" customHeight="1">
      <c r="A290" s="5" t="str">
        <f t="shared" si="4"/>
        <v/>
      </c>
      <c r="B290" s="18"/>
      <c r="C290" s="9"/>
      <c r="D290" s="9"/>
    </row>
    <row r="291" spans="1:4" ht="24" customHeight="1">
      <c r="A291" s="5" t="str">
        <f t="shared" si="4"/>
        <v/>
      </c>
      <c r="B291" s="18"/>
      <c r="C291" s="9"/>
      <c r="D291" s="9"/>
    </row>
    <row r="292" spans="1:4" ht="24" customHeight="1">
      <c r="A292" s="5" t="str">
        <f t="shared" si="4"/>
        <v/>
      </c>
      <c r="B292" s="18"/>
      <c r="C292" s="9"/>
      <c r="D292" s="9"/>
    </row>
    <row r="293" spans="1:4" ht="24" customHeight="1">
      <c r="A293" s="5" t="str">
        <f t="shared" si="4"/>
        <v/>
      </c>
      <c r="B293" s="18"/>
      <c r="C293" s="9"/>
      <c r="D293" s="9"/>
    </row>
    <row r="294" spans="1:4" ht="24" customHeight="1">
      <c r="A294" s="5" t="str">
        <f t="shared" si="4"/>
        <v/>
      </c>
      <c r="B294" s="18"/>
      <c r="C294" s="9"/>
      <c r="D294" s="9"/>
    </row>
    <row r="295" spans="1:4" ht="24" customHeight="1">
      <c r="A295" s="5" t="str">
        <f t="shared" si="4"/>
        <v/>
      </c>
      <c r="B295" s="18"/>
      <c r="C295" s="9"/>
      <c r="D295" s="9"/>
    </row>
    <row r="296" spans="1:4" ht="24" customHeight="1">
      <c r="A296" s="5" t="str">
        <f t="shared" si="4"/>
        <v/>
      </c>
      <c r="B296" s="18"/>
      <c r="C296" s="9"/>
      <c r="D296" s="9"/>
    </row>
    <row r="297" spans="1:4" ht="24" customHeight="1">
      <c r="A297" s="5" t="str">
        <f t="shared" si="4"/>
        <v/>
      </c>
      <c r="B297" s="18"/>
      <c r="C297" s="9"/>
      <c r="D297" s="9"/>
    </row>
    <row r="298" spans="1:4" ht="24" customHeight="1">
      <c r="A298" s="5" t="str">
        <f t="shared" si="4"/>
        <v/>
      </c>
      <c r="B298" s="18"/>
      <c r="C298" s="9"/>
      <c r="D298" s="9"/>
    </row>
    <row r="299" spans="1:4" ht="24" customHeight="1">
      <c r="A299" s="5" t="str">
        <f t="shared" si="4"/>
        <v/>
      </c>
      <c r="B299" s="18"/>
      <c r="C299" s="9"/>
      <c r="D299" s="9"/>
    </row>
    <row r="300" spans="1:4" ht="24" customHeight="1">
      <c r="A300" s="5" t="str">
        <f t="shared" si="4"/>
        <v/>
      </c>
      <c r="B300" s="18"/>
      <c r="C300" s="9"/>
      <c r="D300" s="9"/>
    </row>
    <row r="301" spans="1:4" ht="24" customHeight="1">
      <c r="A301" s="5" t="str">
        <f t="shared" si="4"/>
        <v/>
      </c>
      <c r="B301" s="18"/>
      <c r="C301" s="9"/>
      <c r="D301" s="9"/>
    </row>
    <row r="302" spans="1:4" ht="24" customHeight="1">
      <c r="A302" s="5" t="str">
        <f t="shared" si="4"/>
        <v/>
      </c>
      <c r="B302" s="18"/>
      <c r="C302" s="9"/>
      <c r="D302" s="9"/>
    </row>
    <row r="303" spans="1:4" ht="24" customHeight="1">
      <c r="A303" s="5" t="str">
        <f t="shared" si="4"/>
        <v/>
      </c>
      <c r="B303" s="18"/>
      <c r="C303" s="9"/>
      <c r="D303" s="9"/>
    </row>
    <row r="304" spans="1:4" ht="24" customHeight="1">
      <c r="A304" s="5" t="str">
        <f t="shared" si="4"/>
        <v/>
      </c>
      <c r="B304" s="18"/>
      <c r="C304" s="9"/>
      <c r="D304" s="9"/>
    </row>
    <row r="305" spans="1:4" ht="24" customHeight="1">
      <c r="A305" s="5" t="str">
        <f t="shared" si="4"/>
        <v/>
      </c>
      <c r="B305" s="18"/>
      <c r="C305" s="9"/>
      <c r="D305" s="9"/>
    </row>
    <row r="306" spans="1:4" ht="24" customHeight="1">
      <c r="A306" s="5" t="str">
        <f t="shared" si="4"/>
        <v/>
      </c>
      <c r="B306" s="18"/>
      <c r="C306" s="9"/>
      <c r="D306" s="9"/>
    </row>
    <row r="307" spans="1:4" ht="24" customHeight="1">
      <c r="A307" s="5" t="str">
        <f t="shared" si="4"/>
        <v/>
      </c>
      <c r="B307" s="18"/>
      <c r="C307" s="9"/>
      <c r="D307" s="9"/>
    </row>
    <row r="308" spans="1:4" ht="24" customHeight="1">
      <c r="A308" s="5" t="str">
        <f t="shared" si="4"/>
        <v/>
      </c>
      <c r="B308" s="18"/>
      <c r="C308" s="9"/>
      <c r="D308" s="9"/>
    </row>
    <row r="309" spans="1:4" ht="24" customHeight="1">
      <c r="A309" s="5" t="str">
        <f t="shared" si="4"/>
        <v/>
      </c>
      <c r="B309" s="18"/>
      <c r="C309" s="9"/>
      <c r="D309" s="9"/>
    </row>
    <row r="310" spans="1:4" ht="24" customHeight="1">
      <c r="A310" s="5" t="str">
        <f t="shared" si="4"/>
        <v/>
      </c>
      <c r="B310" s="18"/>
      <c r="C310" s="9"/>
      <c r="D310" s="9"/>
    </row>
    <row r="311" spans="1:4" ht="24" customHeight="1">
      <c r="A311" s="5" t="str">
        <f t="shared" si="4"/>
        <v/>
      </c>
      <c r="B311" s="18"/>
      <c r="C311" s="9"/>
      <c r="D311" s="9"/>
    </row>
    <row r="312" spans="1:4" ht="24" customHeight="1">
      <c r="A312" s="5" t="str">
        <f t="shared" si="4"/>
        <v/>
      </c>
      <c r="B312" s="18"/>
      <c r="C312" s="9"/>
      <c r="D312" s="9"/>
    </row>
    <row r="313" spans="1:4" ht="24" customHeight="1">
      <c r="A313" s="5" t="str">
        <f t="shared" si="4"/>
        <v/>
      </c>
      <c r="B313" s="18"/>
      <c r="C313" s="9"/>
      <c r="D313" s="9"/>
    </row>
    <row r="314" spans="1:4" ht="24" customHeight="1">
      <c r="A314" s="5" t="str">
        <f t="shared" si="4"/>
        <v/>
      </c>
      <c r="B314" s="18"/>
      <c r="C314" s="9"/>
      <c r="D314" s="9"/>
    </row>
    <row r="315" spans="1:4" ht="24" customHeight="1">
      <c r="A315" s="5" t="str">
        <f t="shared" si="4"/>
        <v/>
      </c>
      <c r="B315" s="18"/>
      <c r="C315" s="9"/>
      <c r="D315" s="9"/>
    </row>
    <row r="316" spans="1:4" ht="24" customHeight="1">
      <c r="A316" s="5" t="str">
        <f t="shared" si="4"/>
        <v/>
      </c>
      <c r="B316" s="18"/>
      <c r="C316" s="9"/>
      <c r="D316" s="9"/>
    </row>
    <row r="317" spans="1:4" ht="24" customHeight="1">
      <c r="A317" s="5" t="str">
        <f t="shared" si="4"/>
        <v/>
      </c>
      <c r="B317" s="18"/>
      <c r="C317" s="9"/>
      <c r="D317" s="9"/>
    </row>
    <row r="318" spans="1:4" ht="24" customHeight="1">
      <c r="A318" s="5" t="str">
        <f t="shared" si="4"/>
        <v/>
      </c>
      <c r="B318" s="18"/>
      <c r="C318" s="9"/>
      <c r="D318" s="9"/>
    </row>
    <row r="319" spans="1:4" ht="24" customHeight="1">
      <c r="A319" s="5" t="str">
        <f t="shared" si="4"/>
        <v/>
      </c>
      <c r="B319" s="18"/>
      <c r="C319" s="9"/>
      <c r="D319" s="9"/>
    </row>
    <row r="320" spans="1:4" ht="24" customHeight="1">
      <c r="A320" s="5" t="str">
        <f t="shared" si="4"/>
        <v/>
      </c>
      <c r="B320" s="18"/>
      <c r="C320" s="9"/>
      <c r="D320" s="9"/>
    </row>
    <row r="321" spans="1:4" ht="24" customHeight="1">
      <c r="A321" s="5" t="str">
        <f t="shared" si="4"/>
        <v/>
      </c>
      <c r="B321" s="18"/>
      <c r="C321" s="9"/>
      <c r="D321" s="9"/>
    </row>
    <row r="322" spans="1:4" ht="24" customHeight="1">
      <c r="A322" s="5" t="str">
        <f t="shared" ref="A322:A385" si="5">IF(C322="","",ROW()-1)</f>
        <v/>
      </c>
      <c r="B322" s="18"/>
      <c r="C322" s="9"/>
      <c r="D322" s="9"/>
    </row>
    <row r="323" spans="1:4" ht="24" customHeight="1">
      <c r="A323" s="5" t="str">
        <f t="shared" si="5"/>
        <v/>
      </c>
      <c r="B323" s="18"/>
      <c r="C323" s="9"/>
      <c r="D323" s="9"/>
    </row>
    <row r="324" spans="1:4" ht="24" customHeight="1">
      <c r="A324" s="5" t="str">
        <f t="shared" si="5"/>
        <v/>
      </c>
      <c r="B324" s="18"/>
      <c r="C324" s="9"/>
      <c r="D324" s="9"/>
    </row>
    <row r="325" spans="1:4" ht="24" customHeight="1">
      <c r="A325" s="5" t="str">
        <f t="shared" si="5"/>
        <v/>
      </c>
      <c r="B325" s="18"/>
      <c r="C325" s="9"/>
      <c r="D325" s="9"/>
    </row>
    <row r="326" spans="1:4" ht="24" customHeight="1">
      <c r="A326" s="5" t="str">
        <f t="shared" si="5"/>
        <v/>
      </c>
      <c r="B326" s="18"/>
      <c r="C326" s="9"/>
      <c r="D326" s="9"/>
    </row>
    <row r="327" spans="1:4" ht="24" customHeight="1">
      <c r="A327" s="5" t="str">
        <f t="shared" si="5"/>
        <v/>
      </c>
      <c r="B327" s="18"/>
      <c r="C327" s="9"/>
      <c r="D327" s="9"/>
    </row>
    <row r="328" spans="1:4" ht="24" customHeight="1">
      <c r="A328" s="5" t="str">
        <f t="shared" si="5"/>
        <v/>
      </c>
      <c r="B328" s="18"/>
      <c r="C328" s="9"/>
      <c r="D328" s="9"/>
    </row>
    <row r="329" spans="1:4" ht="24" customHeight="1">
      <c r="A329" s="5" t="str">
        <f t="shared" si="5"/>
        <v/>
      </c>
      <c r="B329" s="18"/>
      <c r="C329" s="9"/>
      <c r="D329" s="9"/>
    </row>
    <row r="330" spans="1:4" ht="24" customHeight="1">
      <c r="A330" s="5" t="str">
        <f t="shared" si="5"/>
        <v/>
      </c>
      <c r="B330" s="18"/>
      <c r="C330" s="9"/>
      <c r="D330" s="9"/>
    </row>
    <row r="331" spans="1:4" ht="24" customHeight="1">
      <c r="A331" s="5" t="str">
        <f t="shared" si="5"/>
        <v/>
      </c>
      <c r="B331" s="18"/>
      <c r="C331" s="9"/>
      <c r="D331" s="9"/>
    </row>
    <row r="332" spans="1:4" ht="24" customHeight="1">
      <c r="A332" s="5" t="str">
        <f t="shared" si="5"/>
        <v/>
      </c>
      <c r="B332" s="18"/>
      <c r="C332" s="9"/>
      <c r="D332" s="9"/>
    </row>
    <row r="333" spans="1:4" ht="24" customHeight="1">
      <c r="A333" s="5" t="str">
        <f t="shared" si="5"/>
        <v/>
      </c>
      <c r="B333" s="18"/>
      <c r="C333" s="9"/>
      <c r="D333" s="9"/>
    </row>
    <row r="334" spans="1:4" ht="24" customHeight="1">
      <c r="A334" s="5" t="str">
        <f t="shared" si="5"/>
        <v/>
      </c>
      <c r="B334" s="18"/>
      <c r="C334" s="9"/>
      <c r="D334" s="9"/>
    </row>
    <row r="335" spans="1:4" ht="24" customHeight="1">
      <c r="A335" s="5" t="str">
        <f t="shared" si="5"/>
        <v/>
      </c>
      <c r="B335" s="18"/>
      <c r="C335" s="9"/>
      <c r="D335" s="9"/>
    </row>
    <row r="336" spans="1:4" ht="24" customHeight="1">
      <c r="A336" s="5" t="str">
        <f t="shared" si="5"/>
        <v/>
      </c>
      <c r="B336" s="18"/>
      <c r="C336" s="9"/>
      <c r="D336" s="9"/>
    </row>
    <row r="337" spans="1:4" ht="24" customHeight="1">
      <c r="A337" s="5" t="str">
        <f t="shared" si="5"/>
        <v/>
      </c>
      <c r="B337" s="18"/>
      <c r="C337" s="9"/>
      <c r="D337" s="9"/>
    </row>
    <row r="338" spans="1:4" ht="24" customHeight="1">
      <c r="A338" s="5" t="str">
        <f t="shared" si="5"/>
        <v/>
      </c>
      <c r="B338" s="18"/>
      <c r="C338" s="9"/>
      <c r="D338" s="9"/>
    </row>
    <row r="339" spans="1:4" ht="24" customHeight="1">
      <c r="A339" s="5" t="str">
        <f t="shared" si="5"/>
        <v/>
      </c>
      <c r="B339" s="18"/>
      <c r="C339" s="9"/>
      <c r="D339" s="9"/>
    </row>
    <row r="340" spans="1:4" ht="24" customHeight="1">
      <c r="A340" s="5" t="str">
        <f t="shared" si="5"/>
        <v/>
      </c>
      <c r="B340" s="18"/>
      <c r="C340" s="9"/>
      <c r="D340" s="9"/>
    </row>
    <row r="341" spans="1:4" ht="24" customHeight="1">
      <c r="A341" s="5" t="str">
        <f t="shared" si="5"/>
        <v/>
      </c>
      <c r="B341" s="18"/>
      <c r="C341" s="9"/>
      <c r="D341" s="9"/>
    </row>
    <row r="342" spans="1:4" ht="24" customHeight="1">
      <c r="A342" s="5" t="str">
        <f t="shared" si="5"/>
        <v/>
      </c>
      <c r="B342" s="18"/>
      <c r="C342" s="9"/>
      <c r="D342" s="9"/>
    </row>
    <row r="343" spans="1:4" ht="24" customHeight="1">
      <c r="A343" s="5" t="str">
        <f t="shared" si="5"/>
        <v/>
      </c>
      <c r="B343" s="18"/>
      <c r="C343" s="9"/>
      <c r="D343" s="9"/>
    </row>
    <row r="344" spans="1:4" ht="24" customHeight="1">
      <c r="A344" s="5" t="str">
        <f t="shared" si="5"/>
        <v/>
      </c>
      <c r="B344" s="18"/>
      <c r="C344" s="9"/>
      <c r="D344" s="9"/>
    </row>
    <row r="345" spans="1:4" ht="24" customHeight="1">
      <c r="A345" s="5" t="str">
        <f t="shared" si="5"/>
        <v/>
      </c>
      <c r="B345" s="18"/>
      <c r="C345" s="9"/>
      <c r="D345" s="9"/>
    </row>
    <row r="346" spans="1:4" ht="24" customHeight="1">
      <c r="A346" s="5" t="str">
        <f t="shared" si="5"/>
        <v/>
      </c>
      <c r="B346" s="18"/>
      <c r="C346" s="9"/>
      <c r="D346" s="9"/>
    </row>
    <row r="347" spans="1:4" ht="24" customHeight="1">
      <c r="A347" s="5" t="str">
        <f t="shared" si="5"/>
        <v/>
      </c>
      <c r="B347" s="18"/>
      <c r="C347" s="9"/>
      <c r="D347" s="9"/>
    </row>
    <row r="348" spans="1:4" ht="24" customHeight="1">
      <c r="A348" s="5" t="str">
        <f t="shared" si="5"/>
        <v/>
      </c>
      <c r="B348" s="18"/>
      <c r="C348" s="9"/>
      <c r="D348" s="9"/>
    </row>
    <row r="349" spans="1:4" ht="24" customHeight="1">
      <c r="A349" s="5" t="str">
        <f t="shared" si="5"/>
        <v/>
      </c>
      <c r="B349" s="18"/>
      <c r="C349" s="9"/>
      <c r="D349" s="9"/>
    </row>
    <row r="350" spans="1:4" ht="24" customHeight="1">
      <c r="A350" s="5" t="str">
        <f t="shared" si="5"/>
        <v/>
      </c>
      <c r="B350" s="18"/>
      <c r="C350" s="9"/>
      <c r="D350" s="9"/>
    </row>
    <row r="351" spans="1:4" ht="24" customHeight="1">
      <c r="A351" s="5" t="str">
        <f t="shared" si="5"/>
        <v/>
      </c>
      <c r="B351" s="18"/>
      <c r="C351" s="9"/>
      <c r="D351" s="9"/>
    </row>
    <row r="352" spans="1:4" ht="24" customHeight="1">
      <c r="A352" s="5" t="str">
        <f t="shared" si="5"/>
        <v/>
      </c>
      <c r="B352" s="18"/>
      <c r="C352" s="9"/>
      <c r="D352" s="9"/>
    </row>
    <row r="353" spans="1:4" ht="24" customHeight="1">
      <c r="A353" s="5" t="str">
        <f t="shared" si="5"/>
        <v/>
      </c>
      <c r="B353" s="18"/>
      <c r="C353" s="9"/>
      <c r="D353" s="9"/>
    </row>
    <row r="354" spans="1:4" ht="24" customHeight="1">
      <c r="A354" s="5" t="str">
        <f t="shared" si="5"/>
        <v/>
      </c>
      <c r="B354" s="18"/>
      <c r="C354" s="9"/>
      <c r="D354" s="9"/>
    </row>
    <row r="355" spans="1:4" ht="24" customHeight="1">
      <c r="A355" s="5" t="str">
        <f t="shared" si="5"/>
        <v/>
      </c>
      <c r="B355" s="18"/>
      <c r="C355" s="9"/>
      <c r="D355" s="9"/>
    </row>
    <row r="356" spans="1:4" ht="24" customHeight="1">
      <c r="A356" s="5" t="str">
        <f t="shared" si="5"/>
        <v/>
      </c>
      <c r="B356" s="18"/>
      <c r="C356" s="9"/>
      <c r="D356" s="9"/>
    </row>
    <row r="357" spans="1:4" ht="24" customHeight="1">
      <c r="A357" s="5" t="str">
        <f t="shared" si="5"/>
        <v/>
      </c>
      <c r="B357" s="18"/>
      <c r="C357" s="9"/>
      <c r="D357" s="9"/>
    </row>
    <row r="358" spans="1:4" ht="24" customHeight="1">
      <c r="A358" s="5" t="str">
        <f t="shared" si="5"/>
        <v/>
      </c>
      <c r="B358" s="18"/>
      <c r="C358" s="9"/>
      <c r="D358" s="9"/>
    </row>
    <row r="359" spans="1:4" ht="24" customHeight="1">
      <c r="A359" s="5" t="str">
        <f t="shared" si="5"/>
        <v/>
      </c>
      <c r="B359" s="18"/>
      <c r="C359" s="9"/>
      <c r="D359" s="9"/>
    </row>
    <row r="360" spans="1:4" ht="24" customHeight="1">
      <c r="A360" s="5" t="str">
        <f t="shared" si="5"/>
        <v/>
      </c>
      <c r="B360" s="18"/>
      <c r="C360" s="9"/>
      <c r="D360" s="9"/>
    </row>
    <row r="361" spans="1:4" ht="24" customHeight="1">
      <c r="A361" s="5" t="str">
        <f t="shared" si="5"/>
        <v/>
      </c>
      <c r="B361" s="18"/>
      <c r="C361" s="9"/>
      <c r="D361" s="9"/>
    </row>
    <row r="362" spans="1:4" ht="24" customHeight="1">
      <c r="A362" s="5" t="str">
        <f t="shared" si="5"/>
        <v/>
      </c>
      <c r="B362" s="18"/>
      <c r="C362" s="9"/>
      <c r="D362" s="9"/>
    </row>
    <row r="363" spans="1:4" ht="24" customHeight="1">
      <c r="A363" s="5" t="str">
        <f t="shared" si="5"/>
        <v/>
      </c>
      <c r="B363" s="18"/>
      <c r="C363" s="9"/>
      <c r="D363" s="9"/>
    </row>
    <row r="364" spans="1:4" ht="24" customHeight="1">
      <c r="A364" s="5" t="str">
        <f t="shared" si="5"/>
        <v/>
      </c>
      <c r="B364" s="18"/>
      <c r="C364" s="9"/>
      <c r="D364" s="9"/>
    </row>
    <row r="365" spans="1:4" ht="24" customHeight="1">
      <c r="A365" s="5" t="str">
        <f t="shared" si="5"/>
        <v/>
      </c>
      <c r="B365" s="18"/>
      <c r="C365" s="9"/>
      <c r="D365" s="9"/>
    </row>
    <row r="366" spans="1:4" ht="24" customHeight="1">
      <c r="A366" s="5" t="str">
        <f t="shared" si="5"/>
        <v/>
      </c>
      <c r="B366" s="18"/>
      <c r="C366" s="9"/>
      <c r="D366" s="9"/>
    </row>
    <row r="367" spans="1:4" ht="24" customHeight="1">
      <c r="A367" s="5" t="str">
        <f t="shared" si="5"/>
        <v/>
      </c>
      <c r="B367" s="18"/>
      <c r="C367" s="9"/>
      <c r="D367" s="9"/>
    </row>
    <row r="368" spans="1:4" ht="24" customHeight="1">
      <c r="A368" s="5" t="str">
        <f t="shared" si="5"/>
        <v/>
      </c>
      <c r="B368" s="18"/>
      <c r="C368" s="9"/>
      <c r="D368" s="9"/>
    </row>
    <row r="369" spans="1:4" ht="24" customHeight="1">
      <c r="A369" s="5" t="str">
        <f t="shared" si="5"/>
        <v/>
      </c>
      <c r="B369" s="18"/>
      <c r="C369" s="9"/>
      <c r="D369" s="9"/>
    </row>
    <row r="370" spans="1:4" ht="24" customHeight="1">
      <c r="A370" s="5" t="str">
        <f t="shared" si="5"/>
        <v/>
      </c>
      <c r="B370" s="18"/>
      <c r="C370" s="9"/>
      <c r="D370" s="9"/>
    </row>
    <row r="371" spans="1:4" ht="24" customHeight="1">
      <c r="A371" s="5" t="str">
        <f t="shared" si="5"/>
        <v/>
      </c>
      <c r="B371" s="18"/>
      <c r="C371" s="9"/>
      <c r="D371" s="9"/>
    </row>
    <row r="372" spans="1:4" ht="24" customHeight="1">
      <c r="A372" s="5" t="str">
        <f t="shared" si="5"/>
        <v/>
      </c>
      <c r="B372" s="18"/>
      <c r="C372" s="9"/>
      <c r="D372" s="9"/>
    </row>
    <row r="373" spans="1:4" ht="24" customHeight="1">
      <c r="A373" s="5" t="str">
        <f t="shared" si="5"/>
        <v/>
      </c>
      <c r="B373" s="18"/>
      <c r="C373" s="9"/>
      <c r="D373" s="9"/>
    </row>
    <row r="374" spans="1:4" ht="24" customHeight="1">
      <c r="A374" s="5" t="str">
        <f t="shared" si="5"/>
        <v/>
      </c>
      <c r="B374" s="18"/>
      <c r="C374" s="9"/>
      <c r="D374" s="9"/>
    </row>
    <row r="375" spans="1:4" ht="24" customHeight="1">
      <c r="A375" s="5" t="str">
        <f t="shared" si="5"/>
        <v/>
      </c>
      <c r="B375" s="18"/>
      <c r="C375" s="9"/>
      <c r="D375" s="9"/>
    </row>
    <row r="376" spans="1:4" ht="24" customHeight="1">
      <c r="A376" s="5" t="str">
        <f t="shared" si="5"/>
        <v/>
      </c>
      <c r="B376" s="18"/>
      <c r="C376" s="9"/>
      <c r="D376" s="9"/>
    </row>
    <row r="377" spans="1:4" ht="24" customHeight="1">
      <c r="A377" s="5" t="str">
        <f t="shared" si="5"/>
        <v/>
      </c>
      <c r="B377" s="18"/>
      <c r="C377" s="9"/>
      <c r="D377" s="9"/>
    </row>
    <row r="378" spans="1:4" ht="24" customHeight="1">
      <c r="A378" s="5" t="str">
        <f t="shared" si="5"/>
        <v/>
      </c>
      <c r="B378" s="18"/>
      <c r="C378" s="9"/>
      <c r="D378" s="9"/>
    </row>
    <row r="379" spans="1:4" ht="24" customHeight="1">
      <c r="A379" s="5" t="str">
        <f t="shared" si="5"/>
        <v/>
      </c>
      <c r="B379" s="18"/>
      <c r="C379" s="9"/>
      <c r="D379" s="9"/>
    </row>
    <row r="380" spans="1:4" ht="24" customHeight="1">
      <c r="A380" s="5" t="str">
        <f t="shared" si="5"/>
        <v/>
      </c>
      <c r="B380" s="18"/>
      <c r="C380" s="9"/>
      <c r="D380" s="9"/>
    </row>
    <row r="381" spans="1:4" ht="24" customHeight="1">
      <c r="A381" s="5" t="str">
        <f t="shared" si="5"/>
        <v/>
      </c>
      <c r="B381" s="18"/>
      <c r="C381" s="9"/>
      <c r="D381" s="9"/>
    </row>
    <row r="382" spans="1:4" ht="24" customHeight="1">
      <c r="A382" s="5" t="str">
        <f t="shared" si="5"/>
        <v/>
      </c>
      <c r="B382" s="18"/>
      <c r="C382" s="9"/>
      <c r="D382" s="9"/>
    </row>
    <row r="383" spans="1:4" ht="24" customHeight="1">
      <c r="A383" s="5" t="str">
        <f t="shared" si="5"/>
        <v/>
      </c>
      <c r="B383" s="18"/>
      <c r="C383" s="9"/>
      <c r="D383" s="9"/>
    </row>
    <row r="384" spans="1:4" ht="24" customHeight="1">
      <c r="A384" s="5" t="str">
        <f t="shared" si="5"/>
        <v/>
      </c>
      <c r="B384" s="18"/>
      <c r="C384" s="9"/>
      <c r="D384" s="9"/>
    </row>
    <row r="385" spans="1:4" ht="24" customHeight="1">
      <c r="A385" s="5" t="str">
        <f t="shared" si="5"/>
        <v/>
      </c>
      <c r="B385" s="18"/>
      <c r="C385" s="9"/>
      <c r="D385" s="9"/>
    </row>
    <row r="386" spans="1:4" ht="24" customHeight="1">
      <c r="A386" s="5" t="str">
        <f t="shared" ref="A386:A449" si="6">IF(C386="","",ROW()-1)</f>
        <v/>
      </c>
      <c r="B386" s="18"/>
      <c r="C386" s="9"/>
      <c r="D386" s="9"/>
    </row>
    <row r="387" spans="1:4" ht="24" customHeight="1">
      <c r="A387" s="5" t="str">
        <f t="shared" si="6"/>
        <v/>
      </c>
      <c r="B387" s="18"/>
      <c r="C387" s="9"/>
      <c r="D387" s="9"/>
    </row>
    <row r="388" spans="1:4" ht="24" customHeight="1">
      <c r="A388" s="5" t="str">
        <f t="shared" si="6"/>
        <v/>
      </c>
      <c r="B388" s="18"/>
      <c r="C388" s="9"/>
      <c r="D388" s="9"/>
    </row>
    <row r="389" spans="1:4" ht="24" customHeight="1">
      <c r="A389" s="5" t="str">
        <f t="shared" si="6"/>
        <v/>
      </c>
      <c r="B389" s="18"/>
      <c r="C389" s="9"/>
      <c r="D389" s="9"/>
    </row>
    <row r="390" spans="1:4" ht="24" customHeight="1">
      <c r="A390" s="5" t="str">
        <f t="shared" si="6"/>
        <v/>
      </c>
      <c r="B390" s="18"/>
      <c r="C390" s="9"/>
      <c r="D390" s="9"/>
    </row>
    <row r="391" spans="1:4" ht="24" customHeight="1">
      <c r="A391" s="5" t="str">
        <f t="shared" si="6"/>
        <v/>
      </c>
      <c r="B391" s="18"/>
      <c r="C391" s="9"/>
      <c r="D391" s="9"/>
    </row>
    <row r="392" spans="1:4" ht="24" customHeight="1">
      <c r="A392" s="5" t="str">
        <f t="shared" si="6"/>
        <v/>
      </c>
      <c r="B392" s="18"/>
      <c r="C392" s="9"/>
      <c r="D392" s="9"/>
    </row>
    <row r="393" spans="1:4" ht="24" customHeight="1">
      <c r="A393" s="5" t="str">
        <f t="shared" si="6"/>
        <v/>
      </c>
      <c r="B393" s="18"/>
      <c r="C393" s="9"/>
      <c r="D393" s="9"/>
    </row>
    <row r="394" spans="1:4" ht="24" customHeight="1">
      <c r="A394" s="5" t="str">
        <f t="shared" si="6"/>
        <v/>
      </c>
      <c r="B394" s="18"/>
      <c r="C394" s="9"/>
      <c r="D394" s="9"/>
    </row>
    <row r="395" spans="1:4" ht="24" customHeight="1">
      <c r="A395" s="5" t="str">
        <f t="shared" si="6"/>
        <v/>
      </c>
      <c r="B395" s="18"/>
      <c r="C395" s="9"/>
      <c r="D395" s="9"/>
    </row>
    <row r="396" spans="1:4" ht="24" customHeight="1">
      <c r="A396" s="5" t="str">
        <f t="shared" si="6"/>
        <v/>
      </c>
      <c r="B396" s="18"/>
      <c r="C396" s="9"/>
      <c r="D396" s="9"/>
    </row>
    <row r="397" spans="1:4" ht="24" customHeight="1">
      <c r="A397" s="5" t="str">
        <f t="shared" si="6"/>
        <v/>
      </c>
      <c r="B397" s="18"/>
      <c r="C397" s="9"/>
      <c r="D397" s="9"/>
    </row>
    <row r="398" spans="1:4" ht="24" customHeight="1">
      <c r="A398" s="5" t="str">
        <f t="shared" si="6"/>
        <v/>
      </c>
      <c r="B398" s="18"/>
      <c r="C398" s="9"/>
      <c r="D398" s="9"/>
    </row>
    <row r="399" spans="1:4" ht="24" customHeight="1">
      <c r="A399" s="5" t="str">
        <f t="shared" si="6"/>
        <v/>
      </c>
      <c r="B399" s="18"/>
      <c r="C399" s="9"/>
      <c r="D399" s="9"/>
    </row>
    <row r="400" spans="1:4" ht="24" customHeight="1">
      <c r="A400" s="5" t="str">
        <f t="shared" si="6"/>
        <v/>
      </c>
      <c r="B400" s="18"/>
      <c r="C400" s="9"/>
      <c r="D400" s="9"/>
    </row>
    <row r="401" spans="1:4" ht="24" customHeight="1">
      <c r="A401" s="5" t="str">
        <f t="shared" si="6"/>
        <v/>
      </c>
      <c r="B401" s="18"/>
      <c r="C401" s="9"/>
      <c r="D401" s="9"/>
    </row>
    <row r="402" spans="1:4" ht="24" customHeight="1">
      <c r="A402" s="5" t="str">
        <f t="shared" si="6"/>
        <v/>
      </c>
      <c r="B402" s="18"/>
      <c r="C402" s="9"/>
      <c r="D402" s="9"/>
    </row>
    <row r="403" spans="1:4" ht="24" customHeight="1">
      <c r="A403" s="5" t="str">
        <f t="shared" si="6"/>
        <v/>
      </c>
      <c r="B403" s="18"/>
      <c r="C403" s="9"/>
      <c r="D403" s="9"/>
    </row>
    <row r="404" spans="1:4" ht="24" customHeight="1">
      <c r="A404" s="5" t="str">
        <f t="shared" si="6"/>
        <v/>
      </c>
      <c r="B404" s="18"/>
      <c r="C404" s="9"/>
      <c r="D404" s="9"/>
    </row>
    <row r="405" spans="1:4" ht="24" customHeight="1">
      <c r="A405" s="5" t="str">
        <f t="shared" si="6"/>
        <v/>
      </c>
      <c r="B405" s="18"/>
      <c r="C405" s="9"/>
      <c r="D405" s="9"/>
    </row>
    <row r="406" spans="1:4" ht="24" customHeight="1">
      <c r="A406" s="5" t="str">
        <f t="shared" si="6"/>
        <v/>
      </c>
      <c r="B406" s="18"/>
      <c r="C406" s="9"/>
      <c r="D406" s="9"/>
    </row>
    <row r="407" spans="1:4" ht="24" customHeight="1">
      <c r="A407" s="5" t="str">
        <f t="shared" si="6"/>
        <v/>
      </c>
      <c r="B407" s="18"/>
      <c r="C407" s="9"/>
      <c r="D407" s="9"/>
    </row>
    <row r="408" spans="1:4" ht="24" customHeight="1">
      <c r="A408" s="5" t="str">
        <f t="shared" si="6"/>
        <v/>
      </c>
      <c r="B408" s="18"/>
      <c r="C408" s="9"/>
      <c r="D408" s="9"/>
    </row>
    <row r="409" spans="1:4" ht="24" customHeight="1">
      <c r="A409" s="5" t="str">
        <f t="shared" si="6"/>
        <v/>
      </c>
      <c r="B409" s="18"/>
      <c r="C409" s="9"/>
      <c r="D409" s="9"/>
    </row>
    <row r="410" spans="1:4" ht="24" customHeight="1">
      <c r="A410" s="5" t="str">
        <f t="shared" si="6"/>
        <v/>
      </c>
      <c r="B410" s="18"/>
      <c r="C410" s="9"/>
      <c r="D410" s="9"/>
    </row>
    <row r="411" spans="1:4" ht="24" customHeight="1">
      <c r="A411" s="5" t="str">
        <f t="shared" si="6"/>
        <v/>
      </c>
      <c r="B411" s="18"/>
      <c r="C411" s="9"/>
      <c r="D411" s="9"/>
    </row>
    <row r="412" spans="1:4" ht="24" customHeight="1">
      <c r="A412" s="5" t="str">
        <f t="shared" si="6"/>
        <v/>
      </c>
      <c r="B412" s="18"/>
      <c r="C412" s="9"/>
      <c r="D412" s="9"/>
    </row>
    <row r="413" spans="1:4" ht="24" customHeight="1">
      <c r="A413" s="5" t="str">
        <f t="shared" si="6"/>
        <v/>
      </c>
      <c r="B413" s="18"/>
      <c r="C413" s="9"/>
      <c r="D413" s="9"/>
    </row>
    <row r="414" spans="1:4" ht="24" customHeight="1">
      <c r="A414" s="5" t="str">
        <f t="shared" si="6"/>
        <v/>
      </c>
      <c r="B414" s="18"/>
      <c r="C414" s="9"/>
      <c r="D414" s="9"/>
    </row>
    <row r="415" spans="1:4" ht="24" customHeight="1">
      <c r="A415" s="5" t="str">
        <f t="shared" si="6"/>
        <v/>
      </c>
      <c r="B415" s="18"/>
      <c r="C415" s="9"/>
      <c r="D415" s="9"/>
    </row>
    <row r="416" spans="1:4" ht="24" customHeight="1">
      <c r="A416" s="5" t="str">
        <f t="shared" si="6"/>
        <v/>
      </c>
      <c r="B416" s="18"/>
      <c r="C416" s="9"/>
      <c r="D416" s="9"/>
    </row>
    <row r="417" spans="1:4" ht="24" customHeight="1">
      <c r="A417" s="5" t="str">
        <f t="shared" si="6"/>
        <v/>
      </c>
      <c r="B417" s="18"/>
      <c r="C417" s="9"/>
      <c r="D417" s="9"/>
    </row>
    <row r="418" spans="1:4" ht="24" customHeight="1">
      <c r="A418" s="5" t="str">
        <f t="shared" si="6"/>
        <v/>
      </c>
      <c r="B418" s="18"/>
      <c r="C418" s="9"/>
      <c r="D418" s="9"/>
    </row>
    <row r="419" spans="1:4" ht="24" customHeight="1">
      <c r="A419" s="5" t="str">
        <f t="shared" si="6"/>
        <v/>
      </c>
      <c r="B419" s="18"/>
      <c r="C419" s="9"/>
      <c r="D419" s="9"/>
    </row>
    <row r="420" spans="1:4" ht="24" customHeight="1">
      <c r="A420" s="5" t="str">
        <f t="shared" si="6"/>
        <v/>
      </c>
      <c r="B420" s="18"/>
      <c r="C420" s="9"/>
      <c r="D420" s="9"/>
    </row>
    <row r="421" spans="1:4" ht="24" customHeight="1">
      <c r="A421" s="5" t="str">
        <f t="shared" si="6"/>
        <v/>
      </c>
      <c r="B421" s="18"/>
      <c r="C421" s="9"/>
      <c r="D421" s="9"/>
    </row>
    <row r="422" spans="1:4" ht="24" customHeight="1">
      <c r="A422" s="5" t="str">
        <f t="shared" si="6"/>
        <v/>
      </c>
      <c r="B422" s="18"/>
      <c r="C422" s="9"/>
      <c r="D422" s="9"/>
    </row>
    <row r="423" spans="1:4" ht="24" customHeight="1">
      <c r="A423" s="5" t="str">
        <f t="shared" si="6"/>
        <v/>
      </c>
      <c r="B423" s="18"/>
      <c r="C423" s="9"/>
      <c r="D423" s="9"/>
    </row>
    <row r="424" spans="1:4" ht="24" customHeight="1">
      <c r="A424" s="5" t="str">
        <f t="shared" si="6"/>
        <v/>
      </c>
      <c r="B424" s="18"/>
      <c r="C424" s="9"/>
      <c r="D424" s="9"/>
    </row>
    <row r="425" spans="1:4" ht="24" customHeight="1">
      <c r="A425" s="5" t="str">
        <f t="shared" si="6"/>
        <v/>
      </c>
      <c r="B425" s="18"/>
      <c r="C425" s="9"/>
      <c r="D425" s="9"/>
    </row>
    <row r="426" spans="1:4" ht="24" customHeight="1">
      <c r="A426" s="5" t="str">
        <f t="shared" si="6"/>
        <v/>
      </c>
      <c r="B426" s="18"/>
      <c r="C426" s="9"/>
      <c r="D426" s="9"/>
    </row>
    <row r="427" spans="1:4" ht="24" customHeight="1">
      <c r="A427" s="5" t="str">
        <f t="shared" si="6"/>
        <v/>
      </c>
      <c r="B427" s="18"/>
      <c r="C427" s="9"/>
      <c r="D427" s="9"/>
    </row>
    <row r="428" spans="1:4" ht="24" customHeight="1">
      <c r="A428" s="5" t="str">
        <f t="shared" si="6"/>
        <v/>
      </c>
      <c r="B428" s="18"/>
      <c r="C428" s="9"/>
      <c r="D428" s="9"/>
    </row>
    <row r="429" spans="1:4" ht="24" customHeight="1">
      <c r="A429" s="5" t="str">
        <f t="shared" si="6"/>
        <v/>
      </c>
      <c r="B429" s="18"/>
      <c r="C429" s="9"/>
      <c r="D429" s="9"/>
    </row>
    <row r="430" spans="1:4" ht="24" customHeight="1">
      <c r="A430" s="5" t="str">
        <f t="shared" si="6"/>
        <v/>
      </c>
      <c r="B430" s="18"/>
      <c r="C430" s="9"/>
      <c r="D430" s="9"/>
    </row>
    <row r="431" spans="1:4" ht="24" customHeight="1">
      <c r="A431" s="5" t="str">
        <f t="shared" si="6"/>
        <v/>
      </c>
      <c r="B431" s="18"/>
      <c r="C431" s="9"/>
      <c r="D431" s="9"/>
    </row>
    <row r="432" spans="1:4" ht="24" customHeight="1">
      <c r="A432" s="5" t="str">
        <f t="shared" si="6"/>
        <v/>
      </c>
      <c r="B432" s="18"/>
      <c r="C432" s="9"/>
      <c r="D432" s="9"/>
    </row>
    <row r="433" spans="1:4" ht="24" customHeight="1">
      <c r="A433" s="5" t="str">
        <f t="shared" si="6"/>
        <v/>
      </c>
      <c r="B433" s="18"/>
      <c r="C433" s="9"/>
      <c r="D433" s="9"/>
    </row>
    <row r="434" spans="1:4" ht="24" customHeight="1">
      <c r="A434" s="5" t="str">
        <f t="shared" si="6"/>
        <v/>
      </c>
      <c r="B434" s="18"/>
      <c r="C434" s="9"/>
      <c r="D434" s="9"/>
    </row>
    <row r="435" spans="1:4" ht="24" customHeight="1">
      <c r="A435" s="5" t="str">
        <f t="shared" si="6"/>
        <v/>
      </c>
      <c r="B435" s="18"/>
      <c r="C435" s="9"/>
      <c r="D435" s="9"/>
    </row>
    <row r="436" spans="1:4" ht="24" customHeight="1">
      <c r="A436" s="5" t="str">
        <f t="shared" si="6"/>
        <v/>
      </c>
      <c r="B436" s="18"/>
      <c r="C436" s="9"/>
      <c r="D436" s="9"/>
    </row>
    <row r="437" spans="1:4" ht="24" customHeight="1">
      <c r="A437" s="5" t="str">
        <f t="shared" si="6"/>
        <v/>
      </c>
      <c r="B437" s="18"/>
      <c r="C437" s="9"/>
      <c r="D437" s="9"/>
    </row>
    <row r="438" spans="1:4" ht="24" customHeight="1">
      <c r="A438" s="5" t="str">
        <f t="shared" si="6"/>
        <v/>
      </c>
      <c r="B438" s="18"/>
      <c r="C438" s="9"/>
      <c r="D438" s="9"/>
    </row>
    <row r="439" spans="1:4" ht="24" customHeight="1">
      <c r="A439" s="5" t="str">
        <f t="shared" si="6"/>
        <v/>
      </c>
      <c r="B439" s="18"/>
      <c r="C439" s="9"/>
      <c r="D439" s="9"/>
    </row>
    <row r="440" spans="1:4" ht="24" customHeight="1">
      <c r="A440" s="5" t="str">
        <f t="shared" si="6"/>
        <v/>
      </c>
      <c r="B440" s="18"/>
      <c r="C440" s="9"/>
      <c r="D440" s="9"/>
    </row>
    <row r="441" spans="1:4" ht="24" customHeight="1">
      <c r="A441" s="5" t="str">
        <f t="shared" si="6"/>
        <v/>
      </c>
      <c r="B441" s="18"/>
      <c r="C441" s="9"/>
      <c r="D441" s="9"/>
    </row>
    <row r="442" spans="1:4" ht="24" customHeight="1">
      <c r="A442" s="5" t="str">
        <f t="shared" si="6"/>
        <v/>
      </c>
      <c r="B442" s="18"/>
      <c r="C442" s="9"/>
      <c r="D442" s="9"/>
    </row>
    <row r="443" spans="1:4" ht="24" customHeight="1">
      <c r="A443" s="5" t="str">
        <f t="shared" si="6"/>
        <v/>
      </c>
      <c r="B443" s="18"/>
      <c r="C443" s="9"/>
      <c r="D443" s="9"/>
    </row>
    <row r="444" spans="1:4" ht="24" customHeight="1">
      <c r="A444" s="5" t="str">
        <f t="shared" si="6"/>
        <v/>
      </c>
      <c r="B444" s="18"/>
      <c r="C444" s="9"/>
      <c r="D444" s="9"/>
    </row>
    <row r="445" spans="1:4" ht="24" customHeight="1">
      <c r="A445" s="5" t="str">
        <f t="shared" si="6"/>
        <v/>
      </c>
      <c r="B445" s="18"/>
      <c r="C445" s="9"/>
      <c r="D445" s="9"/>
    </row>
    <row r="446" spans="1:4" ht="24" customHeight="1">
      <c r="A446" s="5" t="str">
        <f t="shared" si="6"/>
        <v/>
      </c>
      <c r="B446" s="18"/>
      <c r="C446" s="9"/>
      <c r="D446" s="9"/>
    </row>
    <row r="447" spans="1:4" ht="24" customHeight="1">
      <c r="A447" s="5" t="str">
        <f t="shared" si="6"/>
        <v/>
      </c>
      <c r="B447" s="18"/>
      <c r="C447" s="9"/>
      <c r="D447" s="9"/>
    </row>
    <row r="448" spans="1:4" ht="24" customHeight="1">
      <c r="A448" s="5" t="str">
        <f t="shared" si="6"/>
        <v/>
      </c>
      <c r="B448" s="18"/>
      <c r="C448" s="9"/>
      <c r="D448" s="9"/>
    </row>
    <row r="449" spans="1:4" ht="24" customHeight="1">
      <c r="A449" s="5" t="str">
        <f t="shared" si="6"/>
        <v/>
      </c>
      <c r="B449" s="18"/>
      <c r="C449" s="9"/>
      <c r="D449" s="9"/>
    </row>
    <row r="450" spans="1:4" ht="24" customHeight="1">
      <c r="A450" s="5" t="str">
        <f t="shared" ref="A450:A501" si="7">IF(C450="","",ROW()-1)</f>
        <v/>
      </c>
      <c r="B450" s="18"/>
      <c r="C450" s="9"/>
      <c r="D450" s="9"/>
    </row>
    <row r="451" spans="1:4" ht="24" customHeight="1">
      <c r="A451" s="5" t="str">
        <f t="shared" si="7"/>
        <v/>
      </c>
      <c r="B451" s="18"/>
      <c r="C451" s="9"/>
      <c r="D451" s="9"/>
    </row>
    <row r="452" spans="1:4" ht="24" customHeight="1">
      <c r="A452" s="5" t="str">
        <f t="shared" si="7"/>
        <v/>
      </c>
      <c r="B452" s="18"/>
      <c r="C452" s="9"/>
      <c r="D452" s="9"/>
    </row>
    <row r="453" spans="1:4" ht="24" customHeight="1">
      <c r="A453" s="5" t="str">
        <f t="shared" si="7"/>
        <v/>
      </c>
      <c r="B453" s="18"/>
      <c r="C453" s="9"/>
      <c r="D453" s="9"/>
    </row>
    <row r="454" spans="1:4" ht="24" customHeight="1">
      <c r="A454" s="5" t="str">
        <f t="shared" si="7"/>
        <v/>
      </c>
      <c r="B454" s="18"/>
      <c r="C454" s="9"/>
      <c r="D454" s="9"/>
    </row>
    <row r="455" spans="1:4" ht="24" customHeight="1">
      <c r="A455" s="5" t="str">
        <f t="shared" si="7"/>
        <v/>
      </c>
      <c r="B455" s="18"/>
      <c r="C455" s="9"/>
      <c r="D455" s="9"/>
    </row>
    <row r="456" spans="1:4" ht="24" customHeight="1">
      <c r="A456" s="5" t="str">
        <f t="shared" si="7"/>
        <v/>
      </c>
      <c r="B456" s="18"/>
      <c r="C456" s="9"/>
      <c r="D456" s="9"/>
    </row>
    <row r="457" spans="1:4" ht="24" customHeight="1">
      <c r="A457" s="5" t="str">
        <f t="shared" si="7"/>
        <v/>
      </c>
      <c r="B457" s="18"/>
      <c r="C457" s="9"/>
      <c r="D457" s="9"/>
    </row>
    <row r="458" spans="1:4" ht="24" customHeight="1">
      <c r="A458" s="5" t="str">
        <f t="shared" si="7"/>
        <v/>
      </c>
      <c r="B458" s="18"/>
      <c r="C458" s="9"/>
      <c r="D458" s="9"/>
    </row>
    <row r="459" spans="1:4" ht="24" customHeight="1">
      <c r="A459" s="5" t="str">
        <f t="shared" si="7"/>
        <v/>
      </c>
      <c r="B459" s="18"/>
      <c r="C459" s="9"/>
      <c r="D459" s="9"/>
    </row>
    <row r="460" spans="1:4" ht="24" customHeight="1">
      <c r="A460" s="5" t="str">
        <f t="shared" si="7"/>
        <v/>
      </c>
      <c r="B460" s="18"/>
      <c r="C460" s="9"/>
      <c r="D460" s="9"/>
    </row>
    <row r="461" spans="1:4" ht="24" customHeight="1">
      <c r="A461" s="5" t="str">
        <f t="shared" si="7"/>
        <v/>
      </c>
      <c r="B461" s="18"/>
      <c r="C461" s="9"/>
      <c r="D461" s="9"/>
    </row>
    <row r="462" spans="1:4" ht="24" customHeight="1">
      <c r="A462" s="5" t="str">
        <f t="shared" si="7"/>
        <v/>
      </c>
      <c r="B462" s="18"/>
      <c r="C462" s="9"/>
      <c r="D462" s="9"/>
    </row>
    <row r="463" spans="1:4" ht="24" customHeight="1">
      <c r="A463" s="5" t="str">
        <f t="shared" si="7"/>
        <v/>
      </c>
      <c r="B463" s="18"/>
      <c r="C463" s="9"/>
      <c r="D463" s="9"/>
    </row>
    <row r="464" spans="1:4" ht="24" customHeight="1">
      <c r="A464" s="5" t="str">
        <f t="shared" si="7"/>
        <v/>
      </c>
      <c r="B464" s="18"/>
      <c r="C464" s="9"/>
      <c r="D464" s="9"/>
    </row>
    <row r="465" spans="1:4" ht="24" customHeight="1">
      <c r="A465" s="5" t="str">
        <f t="shared" si="7"/>
        <v/>
      </c>
      <c r="B465" s="18"/>
      <c r="C465" s="9"/>
      <c r="D465" s="9"/>
    </row>
    <row r="466" spans="1:4" ht="24" customHeight="1">
      <c r="A466" s="5" t="str">
        <f t="shared" si="7"/>
        <v/>
      </c>
      <c r="B466" s="18"/>
      <c r="C466" s="9"/>
      <c r="D466" s="9"/>
    </row>
    <row r="467" spans="1:4" ht="24" customHeight="1">
      <c r="A467" s="5" t="str">
        <f t="shared" si="7"/>
        <v/>
      </c>
      <c r="B467" s="18"/>
      <c r="C467" s="9"/>
      <c r="D467" s="9"/>
    </row>
    <row r="468" spans="1:4" ht="24" customHeight="1">
      <c r="A468" s="5" t="str">
        <f t="shared" si="7"/>
        <v/>
      </c>
      <c r="B468" s="18"/>
      <c r="C468" s="9"/>
      <c r="D468" s="9"/>
    </row>
    <row r="469" spans="1:4" ht="24" customHeight="1">
      <c r="A469" s="5" t="str">
        <f t="shared" si="7"/>
        <v/>
      </c>
      <c r="B469" s="18"/>
      <c r="C469" s="9"/>
      <c r="D469" s="9"/>
    </row>
    <row r="470" spans="1:4" ht="24" customHeight="1">
      <c r="A470" s="5" t="str">
        <f t="shared" si="7"/>
        <v/>
      </c>
      <c r="B470" s="18"/>
      <c r="C470" s="9"/>
      <c r="D470" s="9"/>
    </row>
    <row r="471" spans="1:4" ht="24" customHeight="1">
      <c r="A471" s="5" t="str">
        <f t="shared" si="7"/>
        <v/>
      </c>
      <c r="B471" s="18"/>
      <c r="C471" s="9"/>
      <c r="D471" s="9"/>
    </row>
    <row r="472" spans="1:4" ht="24" customHeight="1">
      <c r="A472" s="5" t="str">
        <f t="shared" si="7"/>
        <v/>
      </c>
      <c r="B472" s="18"/>
      <c r="C472" s="9"/>
      <c r="D472" s="9"/>
    </row>
    <row r="473" spans="1:4" ht="24" customHeight="1">
      <c r="A473" s="5" t="str">
        <f t="shared" si="7"/>
        <v/>
      </c>
      <c r="B473" s="18"/>
      <c r="C473" s="9"/>
      <c r="D473" s="9"/>
    </row>
    <row r="474" spans="1:4" ht="24" customHeight="1">
      <c r="A474" s="5" t="str">
        <f t="shared" si="7"/>
        <v/>
      </c>
      <c r="B474" s="18"/>
      <c r="C474" s="9"/>
      <c r="D474" s="9"/>
    </row>
    <row r="475" spans="1:4" ht="24" customHeight="1">
      <c r="A475" s="5" t="str">
        <f t="shared" si="7"/>
        <v/>
      </c>
      <c r="B475" s="18"/>
      <c r="C475" s="9"/>
      <c r="D475" s="9"/>
    </row>
    <row r="476" spans="1:4" ht="24" customHeight="1">
      <c r="A476" s="5" t="str">
        <f t="shared" si="7"/>
        <v/>
      </c>
      <c r="B476" s="18"/>
      <c r="C476" s="9"/>
      <c r="D476" s="9"/>
    </row>
    <row r="477" spans="1:4" ht="24" customHeight="1">
      <c r="A477" s="5" t="str">
        <f t="shared" si="7"/>
        <v/>
      </c>
      <c r="B477" s="18"/>
      <c r="C477" s="9"/>
      <c r="D477" s="9"/>
    </row>
    <row r="478" spans="1:4" ht="24" customHeight="1">
      <c r="A478" s="5" t="str">
        <f t="shared" si="7"/>
        <v/>
      </c>
      <c r="B478" s="18"/>
      <c r="C478" s="9"/>
      <c r="D478" s="9"/>
    </row>
    <row r="479" spans="1:4" ht="24" customHeight="1">
      <c r="A479" s="5" t="str">
        <f t="shared" si="7"/>
        <v/>
      </c>
      <c r="B479" s="18"/>
      <c r="C479" s="9"/>
      <c r="D479" s="9"/>
    </row>
    <row r="480" spans="1:4" ht="24" customHeight="1">
      <c r="A480" s="5" t="str">
        <f t="shared" si="7"/>
        <v/>
      </c>
      <c r="B480" s="18"/>
      <c r="C480" s="9"/>
      <c r="D480" s="9"/>
    </row>
    <row r="481" spans="1:4" ht="24" customHeight="1">
      <c r="A481" s="5" t="str">
        <f t="shared" si="7"/>
        <v/>
      </c>
      <c r="B481" s="18"/>
      <c r="C481" s="9"/>
      <c r="D481" s="9"/>
    </row>
    <row r="482" spans="1:4" ht="24" customHeight="1">
      <c r="A482" s="5" t="str">
        <f t="shared" si="7"/>
        <v/>
      </c>
      <c r="B482" s="18"/>
      <c r="C482" s="9"/>
      <c r="D482" s="9"/>
    </row>
    <row r="483" spans="1:4" ht="24" customHeight="1">
      <c r="A483" s="5" t="str">
        <f t="shared" si="7"/>
        <v/>
      </c>
      <c r="B483" s="18"/>
      <c r="C483" s="9"/>
      <c r="D483" s="9"/>
    </row>
    <row r="484" spans="1:4" ht="24" customHeight="1">
      <c r="A484" s="5" t="str">
        <f t="shared" si="7"/>
        <v/>
      </c>
      <c r="B484" s="18"/>
      <c r="C484" s="9"/>
      <c r="D484" s="9"/>
    </row>
    <row r="485" spans="1:4" ht="24" customHeight="1">
      <c r="A485" s="5" t="str">
        <f t="shared" si="7"/>
        <v/>
      </c>
      <c r="B485" s="18"/>
      <c r="C485" s="9"/>
      <c r="D485" s="9"/>
    </row>
    <row r="486" spans="1:4" ht="24" customHeight="1">
      <c r="A486" s="5" t="str">
        <f t="shared" si="7"/>
        <v/>
      </c>
      <c r="B486" s="18"/>
      <c r="C486" s="9"/>
      <c r="D486" s="9"/>
    </row>
    <row r="487" spans="1:4" ht="24" customHeight="1">
      <c r="A487" s="5" t="str">
        <f t="shared" si="7"/>
        <v/>
      </c>
      <c r="B487" s="18"/>
      <c r="C487" s="9"/>
      <c r="D487" s="9"/>
    </row>
    <row r="488" spans="1:4" ht="24" customHeight="1">
      <c r="A488" s="5" t="str">
        <f t="shared" si="7"/>
        <v/>
      </c>
      <c r="B488" s="18"/>
      <c r="C488" s="9"/>
      <c r="D488" s="9"/>
    </row>
    <row r="489" spans="1:4" ht="24" customHeight="1">
      <c r="A489" s="5" t="str">
        <f t="shared" si="7"/>
        <v/>
      </c>
      <c r="B489" s="18"/>
      <c r="C489" s="9"/>
      <c r="D489" s="9"/>
    </row>
    <row r="490" spans="1:4" ht="24" customHeight="1">
      <c r="A490" s="5" t="str">
        <f t="shared" si="7"/>
        <v/>
      </c>
      <c r="B490" s="18"/>
      <c r="C490" s="9"/>
      <c r="D490" s="9"/>
    </row>
    <row r="491" spans="1:4" ht="24" customHeight="1">
      <c r="A491" s="5" t="str">
        <f t="shared" si="7"/>
        <v/>
      </c>
      <c r="B491" s="18"/>
      <c r="C491" s="9"/>
      <c r="D491" s="9"/>
    </row>
    <row r="492" spans="1:4" ht="24" customHeight="1">
      <c r="A492" s="5" t="str">
        <f t="shared" si="7"/>
        <v/>
      </c>
      <c r="B492" s="18"/>
      <c r="C492" s="9"/>
      <c r="D492" s="9"/>
    </row>
    <row r="493" spans="1:4" ht="24" customHeight="1">
      <c r="A493" s="5" t="str">
        <f t="shared" si="7"/>
        <v/>
      </c>
      <c r="B493" s="18"/>
      <c r="C493" s="9"/>
      <c r="D493" s="9"/>
    </row>
    <row r="494" spans="1:4" ht="24" customHeight="1">
      <c r="A494" s="5" t="str">
        <f t="shared" si="7"/>
        <v/>
      </c>
      <c r="B494" s="18"/>
      <c r="C494" s="9"/>
      <c r="D494" s="9"/>
    </row>
    <row r="495" spans="1:4" ht="24" customHeight="1">
      <c r="A495" s="5" t="str">
        <f t="shared" si="7"/>
        <v/>
      </c>
      <c r="B495" s="18"/>
      <c r="C495" s="9"/>
      <c r="D495" s="9"/>
    </row>
    <row r="496" spans="1:4" ht="24" customHeight="1">
      <c r="A496" s="5" t="str">
        <f t="shared" si="7"/>
        <v/>
      </c>
      <c r="B496" s="18"/>
      <c r="C496" s="9"/>
      <c r="D496" s="9"/>
    </row>
    <row r="497" spans="1:4" ht="24" customHeight="1">
      <c r="A497" s="5" t="str">
        <f t="shared" si="7"/>
        <v/>
      </c>
      <c r="B497" s="18"/>
      <c r="C497" s="9"/>
      <c r="D497" s="9"/>
    </row>
    <row r="498" spans="1:4" ht="24" customHeight="1">
      <c r="A498" s="5" t="str">
        <f t="shared" si="7"/>
        <v/>
      </c>
      <c r="B498" s="18"/>
      <c r="C498" s="9"/>
      <c r="D498" s="9"/>
    </row>
    <row r="499" spans="1:4" ht="24" customHeight="1">
      <c r="A499" s="5" t="str">
        <f t="shared" si="7"/>
        <v/>
      </c>
      <c r="B499" s="18"/>
      <c r="C499" s="9"/>
      <c r="D499" s="9"/>
    </row>
    <row r="500" spans="1:4" ht="24" customHeight="1">
      <c r="A500" s="5" t="str">
        <f t="shared" si="7"/>
        <v/>
      </c>
      <c r="B500" s="18"/>
      <c r="C500" s="9"/>
      <c r="D500" s="9"/>
    </row>
    <row r="501" spans="1:4" ht="24" customHeight="1">
      <c r="A501" s="5" t="str">
        <f t="shared" si="7"/>
        <v/>
      </c>
      <c r="B501" s="18"/>
      <c r="C501" s="9"/>
      <c r="D501" s="9"/>
    </row>
  </sheetData>
  <autoFilter ref="A1:D501" xr:uid="{00000000-0009-0000-0000-000004000000}"/>
  <conditionalFormatting sqref="A2:D501">
    <cfRule type="expression" dxfId="17" priority="1">
      <formula>AND(OR($C2&lt;&gt;"",$B2&lt;&gt;""),OR($C2="",$B2=""))</formula>
    </cfRule>
  </conditionalFormatting>
  <pageMargins left="0.75" right="0.75" top="1" bottom="1" header="0.5" footer="0.5"/>
  <extLst>
    <ext xmlns:x14="http://schemas.microsoft.com/office/spreadsheetml/2009/9/main" uri="{78C0D931-6437-407d-A8EE-F0AAD7539E65}">
      <x14:conditionalFormattings>
        <x14:conditionalFormatting xmlns:xm="http://schemas.microsoft.com/office/excel/2006/main">
          <x14:cfRule type="expression" priority="2" id="{00000000-000E-0000-0400-000002000000}">
            <xm:f>AND($C2&lt;&gt;"",COUNTIF(قوائم!$B$2:$B$150,$C2)=0)</xm:f>
            <x14:dxf>
              <fill>
                <patternFill patternType="solid">
                  <fgColor rgb="FFFCE4E4"/>
                </patternFill>
              </fill>
            </x14:dxf>
          </x14:cfRule>
          <xm:sqref>A2:D501</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ErrorMessage="1" errorTitle="طبخة غير موجودة" error="اختر اسم طبخة موجود في صفحة الطبخات" xr:uid="{00000000-0002-0000-0400-000000000000}">
          <x14:formula1>
            <xm:f>قوائم!$B$2:$B$150</xm:f>
          </x14:formula1>
          <xm:sqref>C2:C501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00000"/>
  </sheetPr>
  <dimension ref="A1:F501"/>
  <sheetViews>
    <sheetView rightToLeft="1" workbookViewId="0">
      <pane ySplit="1" topLeftCell="A2" activePane="bottomLeft" state="frozen"/>
      <selection pane="bottomLeft" activeCell="B3" sqref="B3"/>
    </sheetView>
  </sheetViews>
  <sheetFormatPr defaultRowHeight="14.25"/>
  <cols>
    <col min="1" max="1" width="10" customWidth="1"/>
    <col min="2" max="2" width="14" customWidth="1"/>
    <col min="3" max="3" width="26" customWidth="1"/>
    <col min="4" max="4" width="12" customWidth="1"/>
    <col min="5" max="5" width="24" customWidth="1"/>
    <col min="6" max="6" width="34" customWidth="1"/>
  </cols>
  <sheetData>
    <row r="1" spans="1:6" ht="26.1" customHeight="1">
      <c r="A1" s="2" t="s">
        <v>151</v>
      </c>
      <c r="B1" s="2" t="s">
        <v>20</v>
      </c>
      <c r="C1" s="2" t="s">
        <v>21</v>
      </c>
      <c r="D1" s="2" t="s">
        <v>22</v>
      </c>
      <c r="E1" s="2" t="s">
        <v>155</v>
      </c>
      <c r="F1" s="2" t="s">
        <v>26</v>
      </c>
    </row>
    <row r="2" spans="1:6" ht="24" customHeight="1">
      <c r="A2" s="5"/>
      <c r="B2" s="18">
        <v>46225</v>
      </c>
      <c r="C2" s="9" t="s">
        <v>87</v>
      </c>
      <c r="D2" s="15">
        <v>10</v>
      </c>
      <c r="E2" s="9" t="s">
        <v>340</v>
      </c>
      <c r="F2" s="9" t="s">
        <v>341</v>
      </c>
    </row>
    <row r="3" spans="1:6" ht="24" customHeight="1">
      <c r="A3" s="5"/>
      <c r="B3" s="18"/>
      <c r="C3" s="9"/>
      <c r="D3" s="15"/>
      <c r="E3" s="9"/>
      <c r="F3" s="9"/>
    </row>
    <row r="4" spans="1:6" ht="24" customHeight="1">
      <c r="A4" s="5" t="str">
        <f t="shared" ref="A4:A65" si="0">IF(C4="","",ROW()-1)</f>
        <v/>
      </c>
      <c r="B4" s="18"/>
      <c r="C4" s="9"/>
      <c r="D4" s="15"/>
      <c r="E4" s="9"/>
      <c r="F4" s="9"/>
    </row>
    <row r="5" spans="1:6" ht="24" customHeight="1">
      <c r="A5" s="5" t="str">
        <f t="shared" si="0"/>
        <v/>
      </c>
      <c r="B5" s="18"/>
      <c r="C5" s="9"/>
      <c r="D5" s="15"/>
      <c r="E5" s="9"/>
      <c r="F5" s="9"/>
    </row>
    <row r="6" spans="1:6" ht="24" customHeight="1">
      <c r="A6" s="5" t="str">
        <f t="shared" si="0"/>
        <v/>
      </c>
      <c r="B6" s="18"/>
      <c r="C6" s="9"/>
      <c r="D6" s="15"/>
      <c r="E6" s="9"/>
      <c r="F6" s="9"/>
    </row>
    <row r="7" spans="1:6" ht="24" customHeight="1">
      <c r="A7" s="5" t="str">
        <f t="shared" si="0"/>
        <v/>
      </c>
      <c r="B7" s="18"/>
      <c r="C7" s="9"/>
      <c r="D7" s="15"/>
      <c r="E7" s="9"/>
      <c r="F7" s="9"/>
    </row>
    <row r="8" spans="1:6" ht="24" customHeight="1">
      <c r="A8" s="5" t="str">
        <f t="shared" si="0"/>
        <v/>
      </c>
      <c r="B8" s="18"/>
      <c r="C8" s="9"/>
      <c r="D8" s="15"/>
      <c r="E8" s="9"/>
      <c r="F8" s="9"/>
    </row>
    <row r="9" spans="1:6" ht="24" customHeight="1">
      <c r="A9" s="5" t="str">
        <f t="shared" si="0"/>
        <v/>
      </c>
      <c r="B9" s="18"/>
      <c r="C9" s="9"/>
      <c r="D9" s="15"/>
      <c r="E9" s="9"/>
      <c r="F9" s="9"/>
    </row>
    <row r="10" spans="1:6" ht="24" customHeight="1">
      <c r="A10" s="5" t="str">
        <f t="shared" si="0"/>
        <v/>
      </c>
      <c r="B10" s="18"/>
      <c r="C10" s="9"/>
      <c r="D10" s="15"/>
      <c r="E10" s="9"/>
      <c r="F10" s="9"/>
    </row>
    <row r="11" spans="1:6" ht="24" customHeight="1">
      <c r="A11" s="5" t="str">
        <f t="shared" si="0"/>
        <v/>
      </c>
      <c r="B11" s="18"/>
      <c r="C11" s="9"/>
      <c r="D11" s="15"/>
      <c r="E11" s="9"/>
      <c r="F11" s="9"/>
    </row>
    <row r="12" spans="1:6" ht="24" customHeight="1">
      <c r="A12" s="5" t="str">
        <f t="shared" si="0"/>
        <v/>
      </c>
      <c r="B12" s="18"/>
      <c r="C12" s="9"/>
      <c r="D12" s="15"/>
      <c r="E12" s="9"/>
      <c r="F12" s="9"/>
    </row>
    <row r="13" spans="1:6" ht="24" customHeight="1">
      <c r="A13" s="5" t="str">
        <f t="shared" si="0"/>
        <v/>
      </c>
      <c r="B13" s="18"/>
      <c r="C13" s="9"/>
      <c r="D13" s="15"/>
      <c r="E13" s="9"/>
      <c r="F13" s="9"/>
    </row>
    <row r="14" spans="1:6" ht="24" customHeight="1">
      <c r="A14" s="5" t="str">
        <f t="shared" si="0"/>
        <v/>
      </c>
      <c r="B14" s="18"/>
      <c r="C14" s="9"/>
      <c r="D14" s="15"/>
      <c r="E14" s="9"/>
      <c r="F14" s="9"/>
    </row>
    <row r="15" spans="1:6" ht="24" customHeight="1">
      <c r="A15" s="5" t="str">
        <f t="shared" si="0"/>
        <v/>
      </c>
      <c r="B15" s="18"/>
      <c r="C15" s="9"/>
      <c r="D15" s="15"/>
      <c r="E15" s="9"/>
      <c r="F15" s="9"/>
    </row>
    <row r="16" spans="1:6" ht="24" customHeight="1">
      <c r="A16" s="5" t="str">
        <f t="shared" si="0"/>
        <v/>
      </c>
      <c r="B16" s="18"/>
      <c r="C16" s="9"/>
      <c r="D16" s="15"/>
      <c r="E16" s="9"/>
      <c r="F16" s="9"/>
    </row>
    <row r="17" spans="1:6" ht="24" customHeight="1">
      <c r="A17" s="5" t="str">
        <f t="shared" si="0"/>
        <v/>
      </c>
      <c r="B17" s="18"/>
      <c r="C17" s="9"/>
      <c r="D17" s="15"/>
      <c r="E17" s="9"/>
      <c r="F17" s="9"/>
    </row>
    <row r="18" spans="1:6" ht="24" customHeight="1">
      <c r="A18" s="5" t="str">
        <f t="shared" si="0"/>
        <v/>
      </c>
      <c r="B18" s="18"/>
      <c r="C18" s="9"/>
      <c r="D18" s="15"/>
      <c r="E18" s="9"/>
      <c r="F18" s="9"/>
    </row>
    <row r="19" spans="1:6" ht="24" customHeight="1">
      <c r="A19" s="5" t="str">
        <f t="shared" si="0"/>
        <v/>
      </c>
      <c r="B19" s="18"/>
      <c r="C19" s="9"/>
      <c r="D19" s="15"/>
      <c r="E19" s="9"/>
      <c r="F19" s="9"/>
    </row>
    <row r="20" spans="1:6" ht="24" customHeight="1">
      <c r="A20" s="5" t="str">
        <f t="shared" si="0"/>
        <v/>
      </c>
      <c r="B20" s="18"/>
      <c r="C20" s="9"/>
      <c r="D20" s="15"/>
      <c r="E20" s="9"/>
      <c r="F20" s="9"/>
    </row>
    <row r="21" spans="1:6" ht="24" customHeight="1">
      <c r="A21" s="5" t="str">
        <f t="shared" si="0"/>
        <v/>
      </c>
      <c r="B21" s="18"/>
      <c r="C21" s="9"/>
      <c r="D21" s="15"/>
      <c r="E21" s="9"/>
      <c r="F21" s="9"/>
    </row>
    <row r="22" spans="1:6" ht="24" customHeight="1">
      <c r="A22" s="5" t="str">
        <f t="shared" si="0"/>
        <v/>
      </c>
      <c r="B22" s="18"/>
      <c r="C22" s="9"/>
      <c r="D22" s="15"/>
      <c r="E22" s="9"/>
      <c r="F22" s="9"/>
    </row>
    <row r="23" spans="1:6" ht="24" customHeight="1">
      <c r="A23" s="5" t="str">
        <f t="shared" si="0"/>
        <v/>
      </c>
      <c r="B23" s="18"/>
      <c r="C23" s="9"/>
      <c r="D23" s="15"/>
      <c r="E23" s="9"/>
      <c r="F23" s="9"/>
    </row>
    <row r="24" spans="1:6" ht="24" customHeight="1">
      <c r="A24" s="5" t="str">
        <f t="shared" si="0"/>
        <v/>
      </c>
      <c r="B24" s="18"/>
      <c r="C24" s="9"/>
      <c r="D24" s="15"/>
      <c r="E24" s="9"/>
      <c r="F24" s="9"/>
    </row>
    <row r="25" spans="1:6" ht="24" customHeight="1">
      <c r="A25" s="5" t="str">
        <f t="shared" si="0"/>
        <v/>
      </c>
      <c r="B25" s="18"/>
      <c r="C25" s="9"/>
      <c r="D25" s="15"/>
      <c r="E25" s="9"/>
      <c r="F25" s="9"/>
    </row>
    <row r="26" spans="1:6" ht="24" customHeight="1">
      <c r="A26" s="5" t="str">
        <f t="shared" si="0"/>
        <v/>
      </c>
      <c r="B26" s="18"/>
      <c r="C26" s="9"/>
      <c r="D26" s="15"/>
      <c r="E26" s="9"/>
      <c r="F26" s="9"/>
    </row>
    <row r="27" spans="1:6" ht="24" customHeight="1">
      <c r="A27" s="5" t="str">
        <f t="shared" si="0"/>
        <v/>
      </c>
      <c r="B27" s="18"/>
      <c r="C27" s="9"/>
      <c r="D27" s="15"/>
      <c r="E27" s="9"/>
      <c r="F27" s="9"/>
    </row>
    <row r="28" spans="1:6" ht="24" customHeight="1">
      <c r="A28" s="5" t="str">
        <f t="shared" si="0"/>
        <v/>
      </c>
      <c r="B28" s="18"/>
      <c r="C28" s="9"/>
      <c r="D28" s="15"/>
      <c r="E28" s="9"/>
      <c r="F28" s="9"/>
    </row>
    <row r="29" spans="1:6" ht="24" customHeight="1">
      <c r="A29" s="5" t="str">
        <f t="shared" si="0"/>
        <v/>
      </c>
      <c r="B29" s="18"/>
      <c r="C29" s="9"/>
      <c r="D29" s="15"/>
      <c r="E29" s="9"/>
      <c r="F29" s="9"/>
    </row>
    <row r="30" spans="1:6" ht="24" customHeight="1">
      <c r="A30" s="5" t="str">
        <f t="shared" si="0"/>
        <v/>
      </c>
      <c r="B30" s="18"/>
      <c r="C30" s="9"/>
      <c r="D30" s="15"/>
      <c r="E30" s="9"/>
      <c r="F30" s="9"/>
    </row>
    <row r="31" spans="1:6" ht="24" customHeight="1">
      <c r="A31" s="5" t="str">
        <f t="shared" si="0"/>
        <v/>
      </c>
      <c r="B31" s="18"/>
      <c r="C31" s="9"/>
      <c r="D31" s="15"/>
      <c r="E31" s="9"/>
      <c r="F31" s="9"/>
    </row>
    <row r="32" spans="1:6" ht="24" customHeight="1">
      <c r="A32" s="5" t="str">
        <f t="shared" si="0"/>
        <v/>
      </c>
      <c r="B32" s="18"/>
      <c r="C32" s="9"/>
      <c r="D32" s="15"/>
      <c r="E32" s="9"/>
      <c r="F32" s="9"/>
    </row>
    <row r="33" spans="1:6" ht="24" customHeight="1">
      <c r="A33" s="5" t="str">
        <f t="shared" si="0"/>
        <v/>
      </c>
      <c r="B33" s="18"/>
      <c r="C33" s="9"/>
      <c r="D33" s="15"/>
      <c r="E33" s="9"/>
      <c r="F33" s="9"/>
    </row>
    <row r="34" spans="1:6" ht="24" customHeight="1">
      <c r="A34" s="5" t="str">
        <f t="shared" si="0"/>
        <v/>
      </c>
      <c r="B34" s="18"/>
      <c r="C34" s="9"/>
      <c r="D34" s="15"/>
      <c r="E34" s="9"/>
      <c r="F34" s="9"/>
    </row>
    <row r="35" spans="1:6" ht="24" customHeight="1">
      <c r="A35" s="5" t="str">
        <f t="shared" si="0"/>
        <v/>
      </c>
      <c r="B35" s="18"/>
      <c r="C35" s="9"/>
      <c r="D35" s="15"/>
      <c r="E35" s="9"/>
      <c r="F35" s="9"/>
    </row>
    <row r="36" spans="1:6" ht="24" customHeight="1">
      <c r="A36" s="5" t="str">
        <f t="shared" si="0"/>
        <v/>
      </c>
      <c r="B36" s="18"/>
      <c r="C36" s="9"/>
      <c r="D36" s="15"/>
      <c r="E36" s="9"/>
      <c r="F36" s="9"/>
    </row>
    <row r="37" spans="1:6" ht="24" customHeight="1">
      <c r="A37" s="5" t="str">
        <f t="shared" si="0"/>
        <v/>
      </c>
      <c r="B37" s="18"/>
      <c r="C37" s="9"/>
      <c r="D37" s="15"/>
      <c r="E37" s="9"/>
      <c r="F37" s="9"/>
    </row>
    <row r="38" spans="1:6" ht="24" customHeight="1">
      <c r="A38" s="5" t="str">
        <f t="shared" si="0"/>
        <v/>
      </c>
      <c r="B38" s="18"/>
      <c r="C38" s="9"/>
      <c r="D38" s="15"/>
      <c r="E38" s="9"/>
      <c r="F38" s="9"/>
    </row>
    <row r="39" spans="1:6" ht="24" customHeight="1">
      <c r="A39" s="5" t="str">
        <f t="shared" si="0"/>
        <v/>
      </c>
      <c r="B39" s="18"/>
      <c r="C39" s="9"/>
      <c r="D39" s="15"/>
      <c r="E39" s="9"/>
      <c r="F39" s="9"/>
    </row>
    <row r="40" spans="1:6" ht="24" customHeight="1">
      <c r="A40" s="5" t="str">
        <f t="shared" si="0"/>
        <v/>
      </c>
      <c r="B40" s="18"/>
      <c r="C40" s="9"/>
      <c r="D40" s="15"/>
      <c r="E40" s="9"/>
      <c r="F40" s="9"/>
    </row>
    <row r="41" spans="1:6" ht="24" customHeight="1">
      <c r="A41" s="5" t="str">
        <f t="shared" si="0"/>
        <v/>
      </c>
      <c r="B41" s="18"/>
      <c r="C41" s="9"/>
      <c r="D41" s="15"/>
      <c r="E41" s="9"/>
      <c r="F41" s="9"/>
    </row>
    <row r="42" spans="1:6" ht="24" customHeight="1">
      <c r="A42" s="5" t="str">
        <f t="shared" si="0"/>
        <v/>
      </c>
      <c r="B42" s="18"/>
      <c r="C42" s="9"/>
      <c r="D42" s="15"/>
      <c r="E42" s="9"/>
      <c r="F42" s="9"/>
    </row>
    <row r="43" spans="1:6" ht="24" customHeight="1">
      <c r="A43" s="5" t="str">
        <f t="shared" si="0"/>
        <v/>
      </c>
      <c r="B43" s="18"/>
      <c r="C43" s="9"/>
      <c r="D43" s="15"/>
      <c r="E43" s="9"/>
      <c r="F43" s="9"/>
    </row>
    <row r="44" spans="1:6" ht="24" customHeight="1">
      <c r="A44" s="5" t="str">
        <f t="shared" si="0"/>
        <v/>
      </c>
      <c r="B44" s="18"/>
      <c r="C44" s="9"/>
      <c r="D44" s="15"/>
      <c r="E44" s="9"/>
      <c r="F44" s="9"/>
    </row>
    <row r="45" spans="1:6" ht="24" customHeight="1">
      <c r="A45" s="5" t="str">
        <f t="shared" si="0"/>
        <v/>
      </c>
      <c r="B45" s="18"/>
      <c r="C45" s="9"/>
      <c r="D45" s="15"/>
      <c r="E45" s="9"/>
      <c r="F45" s="9"/>
    </row>
    <row r="46" spans="1:6" ht="24" customHeight="1">
      <c r="A46" s="5" t="str">
        <f t="shared" si="0"/>
        <v/>
      </c>
      <c r="B46" s="18"/>
      <c r="C46" s="9"/>
      <c r="D46" s="15"/>
      <c r="E46" s="9"/>
      <c r="F46" s="9"/>
    </row>
    <row r="47" spans="1:6" ht="24" customHeight="1">
      <c r="A47" s="5" t="str">
        <f t="shared" si="0"/>
        <v/>
      </c>
      <c r="B47" s="18"/>
      <c r="C47" s="9"/>
      <c r="D47" s="15"/>
      <c r="E47" s="9"/>
      <c r="F47" s="9"/>
    </row>
    <row r="48" spans="1:6" ht="24" customHeight="1">
      <c r="A48" s="5" t="str">
        <f t="shared" si="0"/>
        <v/>
      </c>
      <c r="B48" s="18"/>
      <c r="C48" s="9"/>
      <c r="D48" s="15"/>
      <c r="E48" s="9"/>
      <c r="F48" s="9"/>
    </row>
    <row r="49" spans="1:6" ht="24" customHeight="1">
      <c r="A49" s="5" t="str">
        <f t="shared" si="0"/>
        <v/>
      </c>
      <c r="B49" s="18"/>
      <c r="C49" s="9"/>
      <c r="D49" s="15"/>
      <c r="E49" s="9"/>
      <c r="F49" s="9"/>
    </row>
    <row r="50" spans="1:6" ht="24" customHeight="1">
      <c r="A50" s="5" t="str">
        <f t="shared" si="0"/>
        <v/>
      </c>
      <c r="B50" s="18"/>
      <c r="C50" s="9"/>
      <c r="D50" s="15"/>
      <c r="E50" s="9"/>
      <c r="F50" s="9"/>
    </row>
    <row r="51" spans="1:6" ht="24" customHeight="1">
      <c r="A51" s="5" t="str">
        <f t="shared" si="0"/>
        <v/>
      </c>
      <c r="B51" s="18"/>
      <c r="C51" s="9"/>
      <c r="D51" s="15"/>
      <c r="E51" s="9"/>
      <c r="F51" s="9"/>
    </row>
    <row r="52" spans="1:6" ht="24" customHeight="1">
      <c r="A52" s="5" t="str">
        <f t="shared" si="0"/>
        <v/>
      </c>
      <c r="B52" s="18"/>
      <c r="C52" s="9"/>
      <c r="D52" s="15"/>
      <c r="E52" s="9"/>
      <c r="F52" s="9"/>
    </row>
    <row r="53" spans="1:6" ht="24" customHeight="1">
      <c r="A53" s="5" t="str">
        <f t="shared" si="0"/>
        <v/>
      </c>
      <c r="B53" s="18"/>
      <c r="C53" s="9"/>
      <c r="D53" s="15"/>
      <c r="E53" s="9"/>
      <c r="F53" s="9"/>
    </row>
    <row r="54" spans="1:6" ht="24" customHeight="1">
      <c r="A54" s="5" t="str">
        <f t="shared" si="0"/>
        <v/>
      </c>
      <c r="B54" s="18"/>
      <c r="C54" s="9"/>
      <c r="D54" s="15"/>
      <c r="E54" s="9"/>
      <c r="F54" s="9"/>
    </row>
    <row r="55" spans="1:6" ht="24" customHeight="1">
      <c r="A55" s="5" t="str">
        <f t="shared" si="0"/>
        <v/>
      </c>
      <c r="B55" s="18"/>
      <c r="C55" s="9"/>
      <c r="D55" s="15"/>
      <c r="E55" s="9"/>
      <c r="F55" s="9"/>
    </row>
    <row r="56" spans="1:6" ht="24" customHeight="1">
      <c r="A56" s="5" t="str">
        <f t="shared" si="0"/>
        <v/>
      </c>
      <c r="B56" s="18"/>
      <c r="C56" s="9"/>
      <c r="D56" s="15"/>
      <c r="E56" s="9"/>
      <c r="F56" s="9"/>
    </row>
    <row r="57" spans="1:6" ht="24" customHeight="1">
      <c r="A57" s="5" t="str">
        <f t="shared" si="0"/>
        <v/>
      </c>
      <c r="B57" s="18"/>
      <c r="C57" s="9"/>
      <c r="D57" s="15"/>
      <c r="E57" s="9"/>
      <c r="F57" s="9"/>
    </row>
    <row r="58" spans="1:6" ht="24" customHeight="1">
      <c r="A58" s="5" t="str">
        <f t="shared" si="0"/>
        <v/>
      </c>
      <c r="B58" s="18"/>
      <c r="C58" s="9"/>
      <c r="D58" s="15"/>
      <c r="E58" s="9"/>
      <c r="F58" s="9"/>
    </row>
    <row r="59" spans="1:6" ht="24" customHeight="1">
      <c r="A59" s="5" t="str">
        <f t="shared" si="0"/>
        <v/>
      </c>
      <c r="B59" s="18"/>
      <c r="C59" s="9"/>
      <c r="D59" s="15"/>
      <c r="E59" s="9"/>
      <c r="F59" s="9"/>
    </row>
    <row r="60" spans="1:6" ht="24" customHeight="1">
      <c r="A60" s="5" t="str">
        <f t="shared" si="0"/>
        <v/>
      </c>
      <c r="B60" s="18"/>
      <c r="C60" s="9"/>
      <c r="D60" s="15"/>
      <c r="E60" s="9"/>
      <c r="F60" s="9"/>
    </row>
    <row r="61" spans="1:6" ht="24" customHeight="1">
      <c r="A61" s="5" t="str">
        <f t="shared" si="0"/>
        <v/>
      </c>
      <c r="B61" s="18"/>
      <c r="C61" s="9"/>
      <c r="D61" s="15"/>
      <c r="E61" s="9"/>
      <c r="F61" s="9"/>
    </row>
    <row r="62" spans="1:6" ht="24" customHeight="1">
      <c r="A62" s="5" t="str">
        <f t="shared" si="0"/>
        <v/>
      </c>
      <c r="B62" s="18"/>
      <c r="C62" s="9"/>
      <c r="D62" s="15"/>
      <c r="E62" s="9"/>
      <c r="F62" s="9"/>
    </row>
    <row r="63" spans="1:6" ht="24" customHeight="1">
      <c r="A63" s="5" t="str">
        <f t="shared" si="0"/>
        <v/>
      </c>
      <c r="B63" s="18"/>
      <c r="C63" s="9"/>
      <c r="D63" s="15"/>
      <c r="E63" s="9"/>
      <c r="F63" s="9"/>
    </row>
    <row r="64" spans="1:6" ht="24" customHeight="1">
      <c r="A64" s="5" t="str">
        <f t="shared" si="0"/>
        <v/>
      </c>
      <c r="B64" s="18"/>
      <c r="C64" s="9"/>
      <c r="D64" s="15"/>
      <c r="E64" s="9"/>
      <c r="F64" s="9"/>
    </row>
    <row r="65" spans="1:6" ht="24" customHeight="1">
      <c r="A65" s="5" t="str">
        <f t="shared" si="0"/>
        <v/>
      </c>
      <c r="B65" s="18"/>
      <c r="C65" s="9"/>
      <c r="D65" s="15"/>
      <c r="E65" s="9"/>
      <c r="F65" s="9"/>
    </row>
    <row r="66" spans="1:6" ht="24" customHeight="1">
      <c r="A66" s="5" t="str">
        <f t="shared" ref="A66:A129" si="1">IF(C66="","",ROW()-1)</f>
        <v/>
      </c>
      <c r="B66" s="18"/>
      <c r="C66" s="9"/>
      <c r="D66" s="15"/>
      <c r="E66" s="9"/>
      <c r="F66" s="9"/>
    </row>
    <row r="67" spans="1:6" ht="24" customHeight="1">
      <c r="A67" s="5" t="str">
        <f t="shared" si="1"/>
        <v/>
      </c>
      <c r="B67" s="18"/>
      <c r="C67" s="9"/>
      <c r="D67" s="15"/>
      <c r="E67" s="9"/>
      <c r="F67" s="9"/>
    </row>
    <row r="68" spans="1:6" ht="24" customHeight="1">
      <c r="A68" s="5" t="str">
        <f t="shared" si="1"/>
        <v/>
      </c>
      <c r="B68" s="18"/>
      <c r="C68" s="9"/>
      <c r="D68" s="15"/>
      <c r="E68" s="9"/>
      <c r="F68" s="9"/>
    </row>
    <row r="69" spans="1:6" ht="24" customHeight="1">
      <c r="A69" s="5" t="str">
        <f t="shared" si="1"/>
        <v/>
      </c>
      <c r="B69" s="18"/>
      <c r="C69" s="9"/>
      <c r="D69" s="15"/>
      <c r="E69" s="9"/>
      <c r="F69" s="9"/>
    </row>
    <row r="70" spans="1:6" ht="24" customHeight="1">
      <c r="A70" s="5" t="str">
        <f t="shared" si="1"/>
        <v/>
      </c>
      <c r="B70" s="18"/>
      <c r="C70" s="9"/>
      <c r="D70" s="15"/>
      <c r="E70" s="9"/>
      <c r="F70" s="9"/>
    </row>
    <row r="71" spans="1:6" ht="24" customHeight="1">
      <c r="A71" s="5" t="str">
        <f t="shared" si="1"/>
        <v/>
      </c>
      <c r="B71" s="18"/>
      <c r="C71" s="9"/>
      <c r="D71" s="15"/>
      <c r="E71" s="9"/>
      <c r="F71" s="9"/>
    </row>
    <row r="72" spans="1:6" ht="24" customHeight="1">
      <c r="A72" s="5" t="str">
        <f t="shared" si="1"/>
        <v/>
      </c>
      <c r="B72" s="18"/>
      <c r="C72" s="9"/>
      <c r="D72" s="15"/>
      <c r="E72" s="9"/>
      <c r="F72" s="9"/>
    </row>
    <row r="73" spans="1:6" ht="24" customHeight="1">
      <c r="A73" s="5" t="str">
        <f t="shared" si="1"/>
        <v/>
      </c>
      <c r="B73" s="18"/>
      <c r="C73" s="9"/>
      <c r="D73" s="15"/>
      <c r="E73" s="9"/>
      <c r="F73" s="9"/>
    </row>
    <row r="74" spans="1:6" ht="24" customHeight="1">
      <c r="A74" s="5" t="str">
        <f t="shared" si="1"/>
        <v/>
      </c>
      <c r="B74" s="18"/>
      <c r="C74" s="9"/>
      <c r="D74" s="15"/>
      <c r="E74" s="9"/>
      <c r="F74" s="9"/>
    </row>
    <row r="75" spans="1:6" ht="24" customHeight="1">
      <c r="A75" s="5" t="str">
        <f t="shared" si="1"/>
        <v/>
      </c>
      <c r="B75" s="18"/>
      <c r="C75" s="9"/>
      <c r="D75" s="15"/>
      <c r="E75" s="9"/>
      <c r="F75" s="9"/>
    </row>
    <row r="76" spans="1:6" ht="24" customHeight="1">
      <c r="A76" s="5" t="str">
        <f t="shared" si="1"/>
        <v/>
      </c>
      <c r="B76" s="18"/>
      <c r="C76" s="9"/>
      <c r="D76" s="15"/>
      <c r="E76" s="9"/>
      <c r="F76" s="9"/>
    </row>
    <row r="77" spans="1:6" ht="24" customHeight="1">
      <c r="A77" s="5" t="str">
        <f t="shared" si="1"/>
        <v/>
      </c>
      <c r="B77" s="18"/>
      <c r="C77" s="9"/>
      <c r="D77" s="15"/>
      <c r="E77" s="9"/>
      <c r="F77" s="9"/>
    </row>
    <row r="78" spans="1:6" ht="24" customHeight="1">
      <c r="A78" s="5" t="str">
        <f t="shared" si="1"/>
        <v/>
      </c>
      <c r="B78" s="18"/>
      <c r="C78" s="9"/>
      <c r="D78" s="15"/>
      <c r="E78" s="9"/>
      <c r="F78" s="9"/>
    </row>
    <row r="79" spans="1:6" ht="24" customHeight="1">
      <c r="A79" s="5" t="str">
        <f t="shared" si="1"/>
        <v/>
      </c>
      <c r="B79" s="18"/>
      <c r="C79" s="9"/>
      <c r="D79" s="15"/>
      <c r="E79" s="9"/>
      <c r="F79" s="9"/>
    </row>
    <row r="80" spans="1:6" ht="24" customHeight="1">
      <c r="A80" s="5" t="str">
        <f t="shared" si="1"/>
        <v/>
      </c>
      <c r="B80" s="18"/>
      <c r="C80" s="9"/>
      <c r="D80" s="15"/>
      <c r="E80" s="9"/>
      <c r="F80" s="9"/>
    </row>
    <row r="81" spans="1:6" ht="24" customHeight="1">
      <c r="A81" s="5" t="str">
        <f t="shared" si="1"/>
        <v/>
      </c>
      <c r="B81" s="18"/>
      <c r="C81" s="9"/>
      <c r="D81" s="15"/>
      <c r="E81" s="9"/>
      <c r="F81" s="9"/>
    </row>
    <row r="82" spans="1:6" ht="24" customHeight="1">
      <c r="A82" s="5" t="str">
        <f t="shared" si="1"/>
        <v/>
      </c>
      <c r="B82" s="18"/>
      <c r="C82" s="9"/>
      <c r="D82" s="15"/>
      <c r="E82" s="9"/>
      <c r="F82" s="9"/>
    </row>
    <row r="83" spans="1:6" ht="24" customHeight="1">
      <c r="A83" s="5" t="str">
        <f t="shared" si="1"/>
        <v/>
      </c>
      <c r="B83" s="18"/>
      <c r="C83" s="9"/>
      <c r="D83" s="15"/>
      <c r="E83" s="9"/>
      <c r="F83" s="9"/>
    </row>
    <row r="84" spans="1:6" ht="24" customHeight="1">
      <c r="A84" s="5" t="str">
        <f t="shared" si="1"/>
        <v/>
      </c>
      <c r="B84" s="18"/>
      <c r="C84" s="9"/>
      <c r="D84" s="15"/>
      <c r="E84" s="9"/>
      <c r="F84" s="9"/>
    </row>
    <row r="85" spans="1:6" ht="24" customHeight="1">
      <c r="A85" s="5" t="str">
        <f t="shared" si="1"/>
        <v/>
      </c>
      <c r="B85" s="18"/>
      <c r="C85" s="9"/>
      <c r="D85" s="15"/>
      <c r="E85" s="9"/>
      <c r="F85" s="9"/>
    </row>
    <row r="86" spans="1:6" ht="24" customHeight="1">
      <c r="A86" s="5" t="str">
        <f t="shared" si="1"/>
        <v/>
      </c>
      <c r="B86" s="18"/>
      <c r="C86" s="9"/>
      <c r="D86" s="15"/>
      <c r="E86" s="9"/>
      <c r="F86" s="9"/>
    </row>
    <row r="87" spans="1:6" ht="24" customHeight="1">
      <c r="A87" s="5" t="str">
        <f t="shared" si="1"/>
        <v/>
      </c>
      <c r="B87" s="18"/>
      <c r="C87" s="9"/>
      <c r="D87" s="15"/>
      <c r="E87" s="9"/>
      <c r="F87" s="9"/>
    </row>
    <row r="88" spans="1:6" ht="24" customHeight="1">
      <c r="A88" s="5" t="str">
        <f t="shared" si="1"/>
        <v/>
      </c>
      <c r="B88" s="18"/>
      <c r="C88" s="9"/>
      <c r="D88" s="15"/>
      <c r="E88" s="9"/>
      <c r="F88" s="9"/>
    </row>
    <row r="89" spans="1:6" ht="24" customHeight="1">
      <c r="A89" s="5" t="str">
        <f t="shared" si="1"/>
        <v/>
      </c>
      <c r="B89" s="18"/>
      <c r="C89" s="9"/>
      <c r="D89" s="15"/>
      <c r="E89" s="9"/>
      <c r="F89" s="9"/>
    </row>
    <row r="90" spans="1:6" ht="24" customHeight="1">
      <c r="A90" s="5" t="str">
        <f t="shared" si="1"/>
        <v/>
      </c>
      <c r="B90" s="18"/>
      <c r="C90" s="9"/>
      <c r="D90" s="15"/>
      <c r="E90" s="9"/>
      <c r="F90" s="9"/>
    </row>
    <row r="91" spans="1:6" ht="24" customHeight="1">
      <c r="A91" s="5" t="str">
        <f t="shared" si="1"/>
        <v/>
      </c>
      <c r="B91" s="18"/>
      <c r="C91" s="9"/>
      <c r="D91" s="15"/>
      <c r="E91" s="9"/>
      <c r="F91" s="9"/>
    </row>
    <row r="92" spans="1:6" ht="24" customHeight="1">
      <c r="A92" s="5" t="str">
        <f t="shared" si="1"/>
        <v/>
      </c>
      <c r="B92" s="18"/>
      <c r="C92" s="9"/>
      <c r="D92" s="15"/>
      <c r="E92" s="9"/>
      <c r="F92" s="9"/>
    </row>
    <row r="93" spans="1:6" ht="24" customHeight="1">
      <c r="A93" s="5" t="str">
        <f t="shared" si="1"/>
        <v/>
      </c>
      <c r="B93" s="18"/>
      <c r="C93" s="9"/>
      <c r="D93" s="15"/>
      <c r="E93" s="9"/>
      <c r="F93" s="9"/>
    </row>
    <row r="94" spans="1:6" ht="24" customHeight="1">
      <c r="A94" s="5" t="str">
        <f t="shared" si="1"/>
        <v/>
      </c>
      <c r="B94" s="18"/>
      <c r="C94" s="9"/>
      <c r="D94" s="15"/>
      <c r="E94" s="9"/>
      <c r="F94" s="9"/>
    </row>
    <row r="95" spans="1:6" ht="24" customHeight="1">
      <c r="A95" s="5" t="str">
        <f t="shared" si="1"/>
        <v/>
      </c>
      <c r="B95" s="18"/>
      <c r="C95" s="9"/>
      <c r="D95" s="15"/>
      <c r="E95" s="9"/>
      <c r="F95" s="9"/>
    </row>
    <row r="96" spans="1:6" ht="24" customHeight="1">
      <c r="A96" s="5" t="str">
        <f t="shared" si="1"/>
        <v/>
      </c>
      <c r="B96" s="18"/>
      <c r="C96" s="9"/>
      <c r="D96" s="15"/>
      <c r="E96" s="9"/>
      <c r="F96" s="9"/>
    </row>
    <row r="97" spans="1:6" ht="24" customHeight="1">
      <c r="A97" s="5" t="str">
        <f t="shared" si="1"/>
        <v/>
      </c>
      <c r="B97" s="18"/>
      <c r="C97" s="9"/>
      <c r="D97" s="15"/>
      <c r="E97" s="9"/>
      <c r="F97" s="9"/>
    </row>
    <row r="98" spans="1:6" ht="24" customHeight="1">
      <c r="A98" s="5" t="str">
        <f t="shared" si="1"/>
        <v/>
      </c>
      <c r="B98" s="18"/>
      <c r="C98" s="9"/>
      <c r="D98" s="15"/>
      <c r="E98" s="9"/>
      <c r="F98" s="9"/>
    </row>
    <row r="99" spans="1:6" ht="24" customHeight="1">
      <c r="A99" s="5" t="str">
        <f t="shared" si="1"/>
        <v/>
      </c>
      <c r="B99" s="18"/>
      <c r="C99" s="9"/>
      <c r="D99" s="15"/>
      <c r="E99" s="9"/>
      <c r="F99" s="9"/>
    </row>
    <row r="100" spans="1:6" ht="24" customHeight="1">
      <c r="A100" s="5" t="str">
        <f t="shared" si="1"/>
        <v/>
      </c>
      <c r="B100" s="18"/>
      <c r="C100" s="9"/>
      <c r="D100" s="15"/>
      <c r="E100" s="9"/>
      <c r="F100" s="9"/>
    </row>
    <row r="101" spans="1:6" ht="24" customHeight="1">
      <c r="A101" s="5" t="str">
        <f t="shared" si="1"/>
        <v/>
      </c>
      <c r="B101" s="18"/>
      <c r="C101" s="9"/>
      <c r="D101" s="15"/>
      <c r="E101" s="9"/>
      <c r="F101" s="9"/>
    </row>
    <row r="102" spans="1:6" ht="24" customHeight="1">
      <c r="A102" s="5" t="str">
        <f t="shared" si="1"/>
        <v/>
      </c>
      <c r="B102" s="18"/>
      <c r="C102" s="9"/>
      <c r="D102" s="15"/>
      <c r="E102" s="9"/>
      <c r="F102" s="9"/>
    </row>
    <row r="103" spans="1:6" ht="24" customHeight="1">
      <c r="A103" s="5" t="str">
        <f t="shared" si="1"/>
        <v/>
      </c>
      <c r="B103" s="18"/>
      <c r="C103" s="9"/>
      <c r="D103" s="15"/>
      <c r="E103" s="9"/>
      <c r="F103" s="9"/>
    </row>
    <row r="104" spans="1:6" ht="24" customHeight="1">
      <c r="A104" s="5" t="str">
        <f t="shared" si="1"/>
        <v/>
      </c>
      <c r="B104" s="18"/>
      <c r="C104" s="9"/>
      <c r="D104" s="15"/>
      <c r="E104" s="9"/>
      <c r="F104" s="9"/>
    </row>
    <row r="105" spans="1:6" ht="24" customHeight="1">
      <c r="A105" s="5" t="str">
        <f t="shared" si="1"/>
        <v/>
      </c>
      <c r="B105" s="18"/>
      <c r="C105" s="9"/>
      <c r="D105" s="15"/>
      <c r="E105" s="9"/>
      <c r="F105" s="9"/>
    </row>
    <row r="106" spans="1:6" ht="24" customHeight="1">
      <c r="A106" s="5" t="str">
        <f t="shared" si="1"/>
        <v/>
      </c>
      <c r="B106" s="18"/>
      <c r="C106" s="9"/>
      <c r="D106" s="15"/>
      <c r="E106" s="9"/>
      <c r="F106" s="9"/>
    </row>
    <row r="107" spans="1:6" ht="24" customHeight="1">
      <c r="A107" s="5" t="str">
        <f t="shared" si="1"/>
        <v/>
      </c>
      <c r="B107" s="18"/>
      <c r="C107" s="9"/>
      <c r="D107" s="15"/>
      <c r="E107" s="9"/>
      <c r="F107" s="9"/>
    </row>
    <row r="108" spans="1:6" ht="24" customHeight="1">
      <c r="A108" s="5" t="str">
        <f t="shared" si="1"/>
        <v/>
      </c>
      <c r="B108" s="18"/>
      <c r="C108" s="9"/>
      <c r="D108" s="15"/>
      <c r="E108" s="9"/>
      <c r="F108" s="9"/>
    </row>
    <row r="109" spans="1:6" ht="24" customHeight="1">
      <c r="A109" s="5" t="str">
        <f t="shared" si="1"/>
        <v/>
      </c>
      <c r="B109" s="18"/>
      <c r="C109" s="9"/>
      <c r="D109" s="15"/>
      <c r="E109" s="9"/>
      <c r="F109" s="9"/>
    </row>
    <row r="110" spans="1:6" ht="24" customHeight="1">
      <c r="A110" s="5" t="str">
        <f t="shared" si="1"/>
        <v/>
      </c>
      <c r="B110" s="18"/>
      <c r="C110" s="9"/>
      <c r="D110" s="15"/>
      <c r="E110" s="9"/>
      <c r="F110" s="9"/>
    </row>
    <row r="111" spans="1:6" ht="24" customHeight="1">
      <c r="A111" s="5" t="str">
        <f t="shared" si="1"/>
        <v/>
      </c>
      <c r="B111" s="18"/>
      <c r="C111" s="9"/>
      <c r="D111" s="15"/>
      <c r="E111" s="9"/>
      <c r="F111" s="9"/>
    </row>
    <row r="112" spans="1:6" ht="24" customHeight="1">
      <c r="A112" s="5" t="str">
        <f t="shared" si="1"/>
        <v/>
      </c>
      <c r="B112" s="18"/>
      <c r="C112" s="9"/>
      <c r="D112" s="15"/>
      <c r="E112" s="9"/>
      <c r="F112" s="9"/>
    </row>
    <row r="113" spans="1:6" ht="24" customHeight="1">
      <c r="A113" s="5" t="str">
        <f t="shared" si="1"/>
        <v/>
      </c>
      <c r="B113" s="18"/>
      <c r="C113" s="9"/>
      <c r="D113" s="15"/>
      <c r="E113" s="9"/>
      <c r="F113" s="9"/>
    </row>
    <row r="114" spans="1:6" ht="24" customHeight="1">
      <c r="A114" s="5" t="str">
        <f t="shared" si="1"/>
        <v/>
      </c>
      <c r="B114" s="18"/>
      <c r="C114" s="9"/>
      <c r="D114" s="15"/>
      <c r="E114" s="9"/>
      <c r="F114" s="9"/>
    </row>
    <row r="115" spans="1:6" ht="24" customHeight="1">
      <c r="A115" s="5" t="str">
        <f t="shared" si="1"/>
        <v/>
      </c>
      <c r="B115" s="18"/>
      <c r="C115" s="9"/>
      <c r="D115" s="15"/>
      <c r="E115" s="9"/>
      <c r="F115" s="9"/>
    </row>
    <row r="116" spans="1:6" ht="24" customHeight="1">
      <c r="A116" s="5" t="str">
        <f t="shared" si="1"/>
        <v/>
      </c>
      <c r="B116" s="18"/>
      <c r="C116" s="9"/>
      <c r="D116" s="15"/>
      <c r="E116" s="9"/>
      <c r="F116" s="9"/>
    </row>
    <row r="117" spans="1:6" ht="24" customHeight="1">
      <c r="A117" s="5" t="str">
        <f t="shared" si="1"/>
        <v/>
      </c>
      <c r="B117" s="18"/>
      <c r="C117" s="9"/>
      <c r="D117" s="15"/>
      <c r="E117" s="9"/>
      <c r="F117" s="9"/>
    </row>
    <row r="118" spans="1:6" ht="24" customHeight="1">
      <c r="A118" s="5" t="str">
        <f t="shared" si="1"/>
        <v/>
      </c>
      <c r="B118" s="18"/>
      <c r="C118" s="9"/>
      <c r="D118" s="15"/>
      <c r="E118" s="9"/>
      <c r="F118" s="9"/>
    </row>
    <row r="119" spans="1:6" ht="24" customHeight="1">
      <c r="A119" s="5" t="str">
        <f t="shared" si="1"/>
        <v/>
      </c>
      <c r="B119" s="18"/>
      <c r="C119" s="9"/>
      <c r="D119" s="15"/>
      <c r="E119" s="9"/>
      <c r="F119" s="9"/>
    </row>
    <row r="120" spans="1:6" ht="24" customHeight="1">
      <c r="A120" s="5" t="str">
        <f t="shared" si="1"/>
        <v/>
      </c>
      <c r="B120" s="18"/>
      <c r="C120" s="9"/>
      <c r="D120" s="15"/>
      <c r="E120" s="9"/>
      <c r="F120" s="9"/>
    </row>
    <row r="121" spans="1:6" ht="24" customHeight="1">
      <c r="A121" s="5" t="str">
        <f t="shared" si="1"/>
        <v/>
      </c>
      <c r="B121" s="18"/>
      <c r="C121" s="9"/>
      <c r="D121" s="15"/>
      <c r="E121" s="9"/>
      <c r="F121" s="9"/>
    </row>
    <row r="122" spans="1:6" ht="24" customHeight="1">
      <c r="A122" s="5" t="str">
        <f t="shared" si="1"/>
        <v/>
      </c>
      <c r="B122" s="18"/>
      <c r="C122" s="9"/>
      <c r="D122" s="15"/>
      <c r="E122" s="9"/>
      <c r="F122" s="9"/>
    </row>
    <row r="123" spans="1:6" ht="24" customHeight="1">
      <c r="A123" s="5" t="str">
        <f t="shared" si="1"/>
        <v/>
      </c>
      <c r="B123" s="18"/>
      <c r="C123" s="9"/>
      <c r="D123" s="15"/>
      <c r="E123" s="9"/>
      <c r="F123" s="9"/>
    </row>
    <row r="124" spans="1:6" ht="24" customHeight="1">
      <c r="A124" s="5" t="str">
        <f t="shared" si="1"/>
        <v/>
      </c>
      <c r="B124" s="18"/>
      <c r="C124" s="9"/>
      <c r="D124" s="15"/>
      <c r="E124" s="9"/>
      <c r="F124" s="9"/>
    </row>
    <row r="125" spans="1:6" ht="24" customHeight="1">
      <c r="A125" s="5" t="str">
        <f t="shared" si="1"/>
        <v/>
      </c>
      <c r="B125" s="18"/>
      <c r="C125" s="9"/>
      <c r="D125" s="15"/>
      <c r="E125" s="9"/>
      <c r="F125" s="9"/>
    </row>
    <row r="126" spans="1:6" ht="24" customHeight="1">
      <c r="A126" s="5" t="str">
        <f t="shared" si="1"/>
        <v/>
      </c>
      <c r="B126" s="18"/>
      <c r="C126" s="9"/>
      <c r="D126" s="15"/>
      <c r="E126" s="9"/>
      <c r="F126" s="9"/>
    </row>
    <row r="127" spans="1:6" ht="24" customHeight="1">
      <c r="A127" s="5" t="str">
        <f t="shared" si="1"/>
        <v/>
      </c>
      <c r="B127" s="18"/>
      <c r="C127" s="9"/>
      <c r="D127" s="15"/>
      <c r="E127" s="9"/>
      <c r="F127" s="9"/>
    </row>
    <row r="128" spans="1:6" ht="24" customHeight="1">
      <c r="A128" s="5" t="str">
        <f t="shared" si="1"/>
        <v/>
      </c>
      <c r="B128" s="18"/>
      <c r="C128" s="9"/>
      <c r="D128" s="15"/>
      <c r="E128" s="9"/>
      <c r="F128" s="9"/>
    </row>
    <row r="129" spans="1:6" ht="24" customHeight="1">
      <c r="A129" s="5" t="str">
        <f t="shared" si="1"/>
        <v/>
      </c>
      <c r="B129" s="18"/>
      <c r="C129" s="9"/>
      <c r="D129" s="15"/>
      <c r="E129" s="9"/>
      <c r="F129" s="9"/>
    </row>
    <row r="130" spans="1:6" ht="24" customHeight="1">
      <c r="A130" s="5" t="str">
        <f t="shared" ref="A130:A193" si="2">IF(C130="","",ROW()-1)</f>
        <v/>
      </c>
      <c r="B130" s="18"/>
      <c r="C130" s="9"/>
      <c r="D130" s="15"/>
      <c r="E130" s="9"/>
      <c r="F130" s="9"/>
    </row>
    <row r="131" spans="1:6" ht="24" customHeight="1">
      <c r="A131" s="5" t="str">
        <f t="shared" si="2"/>
        <v/>
      </c>
      <c r="B131" s="18"/>
      <c r="C131" s="9"/>
      <c r="D131" s="15"/>
      <c r="E131" s="9"/>
      <c r="F131" s="9"/>
    </row>
    <row r="132" spans="1:6" ht="24" customHeight="1">
      <c r="A132" s="5" t="str">
        <f t="shared" si="2"/>
        <v/>
      </c>
      <c r="B132" s="18"/>
      <c r="C132" s="9"/>
      <c r="D132" s="15"/>
      <c r="E132" s="9"/>
      <c r="F132" s="9"/>
    </row>
    <row r="133" spans="1:6" ht="24" customHeight="1">
      <c r="A133" s="5" t="str">
        <f t="shared" si="2"/>
        <v/>
      </c>
      <c r="B133" s="18"/>
      <c r="C133" s="9"/>
      <c r="D133" s="15"/>
      <c r="E133" s="9"/>
      <c r="F133" s="9"/>
    </row>
    <row r="134" spans="1:6" ht="24" customHeight="1">
      <c r="A134" s="5" t="str">
        <f t="shared" si="2"/>
        <v/>
      </c>
      <c r="B134" s="18"/>
      <c r="C134" s="9"/>
      <c r="D134" s="15"/>
      <c r="E134" s="9"/>
      <c r="F134" s="9"/>
    </row>
    <row r="135" spans="1:6" ht="24" customHeight="1">
      <c r="A135" s="5" t="str">
        <f t="shared" si="2"/>
        <v/>
      </c>
      <c r="B135" s="18"/>
      <c r="C135" s="9"/>
      <c r="D135" s="15"/>
      <c r="E135" s="9"/>
      <c r="F135" s="9"/>
    </row>
    <row r="136" spans="1:6" ht="24" customHeight="1">
      <c r="A136" s="5" t="str">
        <f t="shared" si="2"/>
        <v/>
      </c>
      <c r="B136" s="18"/>
      <c r="C136" s="9"/>
      <c r="D136" s="15"/>
      <c r="E136" s="9"/>
      <c r="F136" s="9"/>
    </row>
    <row r="137" spans="1:6" ht="24" customHeight="1">
      <c r="A137" s="5" t="str">
        <f t="shared" si="2"/>
        <v/>
      </c>
      <c r="B137" s="18"/>
      <c r="C137" s="9"/>
      <c r="D137" s="15"/>
      <c r="E137" s="9"/>
      <c r="F137" s="9"/>
    </row>
    <row r="138" spans="1:6" ht="24" customHeight="1">
      <c r="A138" s="5" t="str">
        <f t="shared" si="2"/>
        <v/>
      </c>
      <c r="B138" s="18"/>
      <c r="C138" s="9"/>
      <c r="D138" s="15"/>
      <c r="E138" s="9"/>
      <c r="F138" s="9"/>
    </row>
    <row r="139" spans="1:6" ht="24" customHeight="1">
      <c r="A139" s="5" t="str">
        <f t="shared" si="2"/>
        <v/>
      </c>
      <c r="B139" s="18"/>
      <c r="C139" s="9"/>
      <c r="D139" s="15"/>
      <c r="E139" s="9"/>
      <c r="F139" s="9"/>
    </row>
    <row r="140" spans="1:6" ht="24" customHeight="1">
      <c r="A140" s="5" t="str">
        <f t="shared" si="2"/>
        <v/>
      </c>
      <c r="B140" s="18"/>
      <c r="C140" s="9"/>
      <c r="D140" s="15"/>
      <c r="E140" s="9"/>
      <c r="F140" s="9"/>
    </row>
    <row r="141" spans="1:6" ht="24" customHeight="1">
      <c r="A141" s="5" t="str">
        <f t="shared" si="2"/>
        <v/>
      </c>
      <c r="B141" s="18"/>
      <c r="C141" s="9"/>
      <c r="D141" s="15"/>
      <c r="E141" s="9"/>
      <c r="F141" s="9"/>
    </row>
    <row r="142" spans="1:6" ht="24" customHeight="1">
      <c r="A142" s="5" t="str">
        <f t="shared" si="2"/>
        <v/>
      </c>
      <c r="B142" s="18"/>
      <c r="C142" s="9"/>
      <c r="D142" s="15"/>
      <c r="E142" s="9"/>
      <c r="F142" s="9"/>
    </row>
    <row r="143" spans="1:6" ht="24" customHeight="1">
      <c r="A143" s="5" t="str">
        <f t="shared" si="2"/>
        <v/>
      </c>
      <c r="B143" s="18"/>
      <c r="C143" s="9"/>
      <c r="D143" s="15"/>
      <c r="E143" s="9"/>
      <c r="F143" s="9"/>
    </row>
    <row r="144" spans="1:6" ht="24" customHeight="1">
      <c r="A144" s="5" t="str">
        <f t="shared" si="2"/>
        <v/>
      </c>
      <c r="B144" s="18"/>
      <c r="C144" s="9"/>
      <c r="D144" s="15"/>
      <c r="E144" s="9"/>
      <c r="F144" s="9"/>
    </row>
    <row r="145" spans="1:6" ht="24" customHeight="1">
      <c r="A145" s="5" t="str">
        <f t="shared" si="2"/>
        <v/>
      </c>
      <c r="B145" s="18"/>
      <c r="C145" s="9"/>
      <c r="D145" s="15"/>
      <c r="E145" s="9"/>
      <c r="F145" s="9"/>
    </row>
    <row r="146" spans="1:6" ht="24" customHeight="1">
      <c r="A146" s="5" t="str">
        <f t="shared" si="2"/>
        <v/>
      </c>
      <c r="B146" s="18"/>
      <c r="C146" s="9"/>
      <c r="D146" s="15"/>
      <c r="E146" s="9"/>
      <c r="F146" s="9"/>
    </row>
    <row r="147" spans="1:6" ht="24" customHeight="1">
      <c r="A147" s="5" t="str">
        <f t="shared" si="2"/>
        <v/>
      </c>
      <c r="B147" s="18"/>
      <c r="C147" s="9"/>
      <c r="D147" s="15"/>
      <c r="E147" s="9"/>
      <c r="F147" s="9"/>
    </row>
    <row r="148" spans="1:6" ht="24" customHeight="1">
      <c r="A148" s="5" t="str">
        <f t="shared" si="2"/>
        <v/>
      </c>
      <c r="B148" s="18"/>
      <c r="C148" s="9"/>
      <c r="D148" s="15"/>
      <c r="E148" s="9"/>
      <c r="F148" s="9"/>
    </row>
    <row r="149" spans="1:6" ht="24" customHeight="1">
      <c r="A149" s="5" t="str">
        <f t="shared" si="2"/>
        <v/>
      </c>
      <c r="B149" s="18"/>
      <c r="C149" s="9"/>
      <c r="D149" s="15"/>
      <c r="E149" s="9"/>
      <c r="F149" s="9"/>
    </row>
    <row r="150" spans="1:6" ht="24" customHeight="1">
      <c r="A150" s="5" t="str">
        <f t="shared" si="2"/>
        <v/>
      </c>
      <c r="B150" s="18"/>
      <c r="C150" s="9"/>
      <c r="D150" s="15"/>
      <c r="E150" s="9"/>
      <c r="F150" s="9"/>
    </row>
    <row r="151" spans="1:6" ht="24" customHeight="1">
      <c r="A151" s="5" t="str">
        <f t="shared" si="2"/>
        <v/>
      </c>
      <c r="B151" s="18"/>
      <c r="C151" s="9"/>
      <c r="D151" s="15"/>
      <c r="E151" s="9"/>
      <c r="F151" s="9"/>
    </row>
    <row r="152" spans="1:6" ht="24" customHeight="1">
      <c r="A152" s="5" t="str">
        <f t="shared" si="2"/>
        <v/>
      </c>
      <c r="B152" s="18"/>
      <c r="C152" s="9"/>
      <c r="D152" s="15"/>
      <c r="E152" s="9"/>
      <c r="F152" s="9"/>
    </row>
    <row r="153" spans="1:6" ht="24" customHeight="1">
      <c r="A153" s="5" t="str">
        <f t="shared" si="2"/>
        <v/>
      </c>
      <c r="B153" s="18"/>
      <c r="C153" s="9"/>
      <c r="D153" s="15"/>
      <c r="E153" s="9"/>
      <c r="F153" s="9"/>
    </row>
    <row r="154" spans="1:6" ht="24" customHeight="1">
      <c r="A154" s="5" t="str">
        <f t="shared" si="2"/>
        <v/>
      </c>
      <c r="B154" s="18"/>
      <c r="C154" s="9"/>
      <c r="D154" s="15"/>
      <c r="E154" s="9"/>
      <c r="F154" s="9"/>
    </row>
    <row r="155" spans="1:6" ht="24" customHeight="1">
      <c r="A155" s="5" t="str">
        <f t="shared" si="2"/>
        <v/>
      </c>
      <c r="B155" s="18"/>
      <c r="C155" s="9"/>
      <c r="D155" s="15"/>
      <c r="E155" s="9"/>
      <c r="F155" s="9"/>
    </row>
    <row r="156" spans="1:6" ht="24" customHeight="1">
      <c r="A156" s="5" t="str">
        <f t="shared" si="2"/>
        <v/>
      </c>
      <c r="B156" s="18"/>
      <c r="C156" s="9"/>
      <c r="D156" s="15"/>
      <c r="E156" s="9"/>
      <c r="F156" s="9"/>
    </row>
    <row r="157" spans="1:6" ht="24" customHeight="1">
      <c r="A157" s="5" t="str">
        <f t="shared" si="2"/>
        <v/>
      </c>
      <c r="B157" s="18"/>
      <c r="C157" s="9"/>
      <c r="D157" s="15"/>
      <c r="E157" s="9"/>
      <c r="F157" s="9"/>
    </row>
    <row r="158" spans="1:6" ht="24" customHeight="1">
      <c r="A158" s="5" t="str">
        <f t="shared" si="2"/>
        <v/>
      </c>
      <c r="B158" s="18"/>
      <c r="C158" s="9"/>
      <c r="D158" s="15"/>
      <c r="E158" s="9"/>
      <c r="F158" s="9"/>
    </row>
    <row r="159" spans="1:6" ht="24" customHeight="1">
      <c r="A159" s="5" t="str">
        <f t="shared" si="2"/>
        <v/>
      </c>
      <c r="B159" s="18"/>
      <c r="C159" s="9"/>
      <c r="D159" s="15"/>
      <c r="E159" s="9"/>
      <c r="F159" s="9"/>
    </row>
    <row r="160" spans="1:6" ht="24" customHeight="1">
      <c r="A160" s="5" t="str">
        <f t="shared" si="2"/>
        <v/>
      </c>
      <c r="B160" s="18"/>
      <c r="C160" s="9"/>
      <c r="D160" s="15"/>
      <c r="E160" s="9"/>
      <c r="F160" s="9"/>
    </row>
    <row r="161" spans="1:6" ht="24" customHeight="1">
      <c r="A161" s="5" t="str">
        <f t="shared" si="2"/>
        <v/>
      </c>
      <c r="B161" s="18"/>
      <c r="C161" s="9"/>
      <c r="D161" s="15"/>
      <c r="E161" s="9"/>
      <c r="F161" s="9"/>
    </row>
    <row r="162" spans="1:6" ht="24" customHeight="1">
      <c r="A162" s="5" t="str">
        <f t="shared" si="2"/>
        <v/>
      </c>
      <c r="B162" s="18"/>
      <c r="C162" s="9"/>
      <c r="D162" s="15"/>
      <c r="E162" s="9"/>
      <c r="F162" s="9"/>
    </row>
    <row r="163" spans="1:6" ht="24" customHeight="1">
      <c r="A163" s="5" t="str">
        <f t="shared" si="2"/>
        <v/>
      </c>
      <c r="B163" s="18"/>
      <c r="C163" s="9"/>
      <c r="D163" s="15"/>
      <c r="E163" s="9"/>
      <c r="F163" s="9"/>
    </row>
    <row r="164" spans="1:6" ht="24" customHeight="1">
      <c r="A164" s="5" t="str">
        <f t="shared" si="2"/>
        <v/>
      </c>
      <c r="B164" s="18"/>
      <c r="C164" s="9"/>
      <c r="D164" s="15"/>
      <c r="E164" s="9"/>
      <c r="F164" s="9"/>
    </row>
    <row r="165" spans="1:6" ht="24" customHeight="1">
      <c r="A165" s="5" t="str">
        <f t="shared" si="2"/>
        <v/>
      </c>
      <c r="B165" s="18"/>
      <c r="C165" s="9"/>
      <c r="D165" s="15"/>
      <c r="E165" s="9"/>
      <c r="F165" s="9"/>
    </row>
    <row r="166" spans="1:6" ht="24" customHeight="1">
      <c r="A166" s="5" t="str">
        <f t="shared" si="2"/>
        <v/>
      </c>
      <c r="B166" s="18"/>
      <c r="C166" s="9"/>
      <c r="D166" s="15"/>
      <c r="E166" s="9"/>
      <c r="F166" s="9"/>
    </row>
    <row r="167" spans="1:6" ht="24" customHeight="1">
      <c r="A167" s="5" t="str">
        <f t="shared" si="2"/>
        <v/>
      </c>
      <c r="B167" s="18"/>
      <c r="C167" s="9"/>
      <c r="D167" s="15"/>
      <c r="E167" s="9"/>
      <c r="F167" s="9"/>
    </row>
    <row r="168" spans="1:6" ht="24" customHeight="1">
      <c r="A168" s="5" t="str">
        <f t="shared" si="2"/>
        <v/>
      </c>
      <c r="B168" s="18"/>
      <c r="C168" s="9"/>
      <c r="D168" s="15"/>
      <c r="E168" s="9"/>
      <c r="F168" s="9"/>
    </row>
    <row r="169" spans="1:6" ht="24" customHeight="1">
      <c r="A169" s="5" t="str">
        <f t="shared" si="2"/>
        <v/>
      </c>
      <c r="B169" s="18"/>
      <c r="C169" s="9"/>
      <c r="D169" s="15"/>
      <c r="E169" s="9"/>
      <c r="F169" s="9"/>
    </row>
    <row r="170" spans="1:6" ht="24" customHeight="1">
      <c r="A170" s="5" t="str">
        <f t="shared" si="2"/>
        <v/>
      </c>
      <c r="B170" s="18"/>
      <c r="C170" s="9"/>
      <c r="D170" s="15"/>
      <c r="E170" s="9"/>
      <c r="F170" s="9"/>
    </row>
    <row r="171" spans="1:6" ht="24" customHeight="1">
      <c r="A171" s="5" t="str">
        <f t="shared" si="2"/>
        <v/>
      </c>
      <c r="B171" s="18"/>
      <c r="C171" s="9"/>
      <c r="D171" s="15"/>
      <c r="E171" s="9"/>
      <c r="F171" s="9"/>
    </row>
    <row r="172" spans="1:6" ht="24" customHeight="1">
      <c r="A172" s="5" t="str">
        <f t="shared" si="2"/>
        <v/>
      </c>
      <c r="B172" s="18"/>
      <c r="C172" s="9"/>
      <c r="D172" s="15"/>
      <c r="E172" s="9"/>
      <c r="F172" s="9"/>
    </row>
    <row r="173" spans="1:6" ht="24" customHeight="1">
      <c r="A173" s="5" t="str">
        <f t="shared" si="2"/>
        <v/>
      </c>
      <c r="B173" s="18"/>
      <c r="C173" s="9"/>
      <c r="D173" s="15"/>
      <c r="E173" s="9"/>
      <c r="F173" s="9"/>
    </row>
    <row r="174" spans="1:6" ht="24" customHeight="1">
      <c r="A174" s="5" t="str">
        <f t="shared" si="2"/>
        <v/>
      </c>
      <c r="B174" s="18"/>
      <c r="C174" s="9"/>
      <c r="D174" s="15"/>
      <c r="E174" s="9"/>
      <c r="F174" s="9"/>
    </row>
    <row r="175" spans="1:6" ht="24" customHeight="1">
      <c r="A175" s="5" t="str">
        <f t="shared" si="2"/>
        <v/>
      </c>
      <c r="B175" s="18"/>
      <c r="C175" s="9"/>
      <c r="D175" s="15"/>
      <c r="E175" s="9"/>
      <c r="F175" s="9"/>
    </row>
    <row r="176" spans="1:6" ht="24" customHeight="1">
      <c r="A176" s="5" t="str">
        <f t="shared" si="2"/>
        <v/>
      </c>
      <c r="B176" s="18"/>
      <c r="C176" s="9"/>
      <c r="D176" s="15"/>
      <c r="E176" s="9"/>
      <c r="F176" s="9"/>
    </row>
    <row r="177" spans="1:6" ht="24" customHeight="1">
      <c r="A177" s="5" t="str">
        <f t="shared" si="2"/>
        <v/>
      </c>
      <c r="B177" s="18"/>
      <c r="C177" s="9"/>
      <c r="D177" s="15"/>
      <c r="E177" s="9"/>
      <c r="F177" s="9"/>
    </row>
    <row r="178" spans="1:6" ht="24" customHeight="1">
      <c r="A178" s="5" t="str">
        <f t="shared" si="2"/>
        <v/>
      </c>
      <c r="B178" s="18"/>
      <c r="C178" s="9"/>
      <c r="D178" s="15"/>
      <c r="E178" s="9"/>
      <c r="F178" s="9"/>
    </row>
    <row r="179" spans="1:6" ht="24" customHeight="1">
      <c r="A179" s="5" t="str">
        <f t="shared" si="2"/>
        <v/>
      </c>
      <c r="B179" s="18"/>
      <c r="C179" s="9"/>
      <c r="D179" s="15"/>
      <c r="E179" s="9"/>
      <c r="F179" s="9"/>
    </row>
    <row r="180" spans="1:6" ht="24" customHeight="1">
      <c r="A180" s="5" t="str">
        <f t="shared" si="2"/>
        <v/>
      </c>
      <c r="B180" s="18"/>
      <c r="C180" s="9"/>
      <c r="D180" s="15"/>
      <c r="E180" s="9"/>
      <c r="F180" s="9"/>
    </row>
    <row r="181" spans="1:6" ht="24" customHeight="1">
      <c r="A181" s="5" t="str">
        <f t="shared" si="2"/>
        <v/>
      </c>
      <c r="B181" s="18"/>
      <c r="C181" s="9"/>
      <c r="D181" s="15"/>
      <c r="E181" s="9"/>
      <c r="F181" s="9"/>
    </row>
    <row r="182" spans="1:6" ht="24" customHeight="1">
      <c r="A182" s="5" t="str">
        <f t="shared" si="2"/>
        <v/>
      </c>
      <c r="B182" s="18"/>
      <c r="C182" s="9"/>
      <c r="D182" s="15"/>
      <c r="E182" s="9"/>
      <c r="F182" s="9"/>
    </row>
    <row r="183" spans="1:6" ht="24" customHeight="1">
      <c r="A183" s="5" t="str">
        <f t="shared" si="2"/>
        <v/>
      </c>
      <c r="B183" s="18"/>
      <c r="C183" s="9"/>
      <c r="D183" s="15"/>
      <c r="E183" s="9"/>
      <c r="F183" s="9"/>
    </row>
    <row r="184" spans="1:6" ht="24" customHeight="1">
      <c r="A184" s="5" t="str">
        <f t="shared" si="2"/>
        <v/>
      </c>
      <c r="B184" s="18"/>
      <c r="C184" s="9"/>
      <c r="D184" s="15"/>
      <c r="E184" s="9"/>
      <c r="F184" s="9"/>
    </row>
    <row r="185" spans="1:6" ht="24" customHeight="1">
      <c r="A185" s="5" t="str">
        <f t="shared" si="2"/>
        <v/>
      </c>
      <c r="B185" s="18"/>
      <c r="C185" s="9"/>
      <c r="D185" s="15"/>
      <c r="E185" s="9"/>
      <c r="F185" s="9"/>
    </row>
    <row r="186" spans="1:6" ht="24" customHeight="1">
      <c r="A186" s="5" t="str">
        <f t="shared" si="2"/>
        <v/>
      </c>
      <c r="B186" s="18"/>
      <c r="C186" s="9"/>
      <c r="D186" s="15"/>
      <c r="E186" s="9"/>
      <c r="F186" s="9"/>
    </row>
    <row r="187" spans="1:6" ht="24" customHeight="1">
      <c r="A187" s="5" t="str">
        <f t="shared" si="2"/>
        <v/>
      </c>
      <c r="B187" s="18"/>
      <c r="C187" s="9"/>
      <c r="D187" s="15"/>
      <c r="E187" s="9"/>
      <c r="F187" s="9"/>
    </row>
    <row r="188" spans="1:6" ht="24" customHeight="1">
      <c r="A188" s="5" t="str">
        <f t="shared" si="2"/>
        <v/>
      </c>
      <c r="B188" s="18"/>
      <c r="C188" s="9"/>
      <c r="D188" s="15"/>
      <c r="E188" s="9"/>
      <c r="F188" s="9"/>
    </row>
    <row r="189" spans="1:6" ht="24" customHeight="1">
      <c r="A189" s="5" t="str">
        <f t="shared" si="2"/>
        <v/>
      </c>
      <c r="B189" s="18"/>
      <c r="C189" s="9"/>
      <c r="D189" s="15"/>
      <c r="E189" s="9"/>
      <c r="F189" s="9"/>
    </row>
    <row r="190" spans="1:6" ht="24" customHeight="1">
      <c r="A190" s="5" t="str">
        <f t="shared" si="2"/>
        <v/>
      </c>
      <c r="B190" s="18"/>
      <c r="C190" s="9"/>
      <c r="D190" s="15"/>
      <c r="E190" s="9"/>
      <c r="F190" s="9"/>
    </row>
    <row r="191" spans="1:6" ht="24" customHeight="1">
      <c r="A191" s="5" t="str">
        <f t="shared" si="2"/>
        <v/>
      </c>
      <c r="B191" s="18"/>
      <c r="C191" s="9"/>
      <c r="D191" s="15"/>
      <c r="E191" s="9"/>
      <c r="F191" s="9"/>
    </row>
    <row r="192" spans="1:6" ht="24" customHeight="1">
      <c r="A192" s="5" t="str">
        <f t="shared" si="2"/>
        <v/>
      </c>
      <c r="B192" s="18"/>
      <c r="C192" s="9"/>
      <c r="D192" s="15"/>
      <c r="E192" s="9"/>
      <c r="F192" s="9"/>
    </row>
    <row r="193" spans="1:6" ht="24" customHeight="1">
      <c r="A193" s="5" t="str">
        <f t="shared" si="2"/>
        <v/>
      </c>
      <c r="B193" s="18"/>
      <c r="C193" s="9"/>
      <c r="D193" s="15"/>
      <c r="E193" s="9"/>
      <c r="F193" s="9"/>
    </row>
    <row r="194" spans="1:6" ht="24" customHeight="1">
      <c r="A194" s="5" t="str">
        <f t="shared" ref="A194:A257" si="3">IF(C194="","",ROW()-1)</f>
        <v/>
      </c>
      <c r="B194" s="18"/>
      <c r="C194" s="9"/>
      <c r="D194" s="15"/>
      <c r="E194" s="9"/>
      <c r="F194" s="9"/>
    </row>
    <row r="195" spans="1:6" ht="24" customHeight="1">
      <c r="A195" s="5" t="str">
        <f t="shared" si="3"/>
        <v/>
      </c>
      <c r="B195" s="18"/>
      <c r="C195" s="9"/>
      <c r="D195" s="15"/>
      <c r="E195" s="9"/>
      <c r="F195" s="9"/>
    </row>
    <row r="196" spans="1:6" ht="24" customHeight="1">
      <c r="A196" s="5" t="str">
        <f t="shared" si="3"/>
        <v/>
      </c>
      <c r="B196" s="18"/>
      <c r="C196" s="9"/>
      <c r="D196" s="15"/>
      <c r="E196" s="9"/>
      <c r="F196" s="9"/>
    </row>
    <row r="197" spans="1:6" ht="24" customHeight="1">
      <c r="A197" s="5" t="str">
        <f t="shared" si="3"/>
        <v/>
      </c>
      <c r="B197" s="18"/>
      <c r="C197" s="9"/>
      <c r="D197" s="15"/>
      <c r="E197" s="9"/>
      <c r="F197" s="9"/>
    </row>
    <row r="198" spans="1:6" ht="24" customHeight="1">
      <c r="A198" s="5" t="str">
        <f t="shared" si="3"/>
        <v/>
      </c>
      <c r="B198" s="18"/>
      <c r="C198" s="9"/>
      <c r="D198" s="15"/>
      <c r="E198" s="9"/>
      <c r="F198" s="9"/>
    </row>
    <row r="199" spans="1:6" ht="24" customHeight="1">
      <c r="A199" s="5" t="str">
        <f t="shared" si="3"/>
        <v/>
      </c>
      <c r="B199" s="18"/>
      <c r="C199" s="9"/>
      <c r="D199" s="15"/>
      <c r="E199" s="9"/>
      <c r="F199" s="9"/>
    </row>
    <row r="200" spans="1:6" ht="24" customHeight="1">
      <c r="A200" s="5" t="str">
        <f t="shared" si="3"/>
        <v/>
      </c>
      <c r="B200" s="18"/>
      <c r="C200" s="9"/>
      <c r="D200" s="15"/>
      <c r="E200" s="9"/>
      <c r="F200" s="9"/>
    </row>
    <row r="201" spans="1:6" ht="24" customHeight="1">
      <c r="A201" s="5" t="str">
        <f t="shared" si="3"/>
        <v/>
      </c>
      <c r="B201" s="18"/>
      <c r="C201" s="9"/>
      <c r="D201" s="15"/>
      <c r="E201" s="9"/>
      <c r="F201" s="9"/>
    </row>
    <row r="202" spans="1:6" ht="24" customHeight="1">
      <c r="A202" s="5" t="str">
        <f t="shared" si="3"/>
        <v/>
      </c>
      <c r="B202" s="18"/>
      <c r="C202" s="9"/>
      <c r="D202" s="15"/>
      <c r="E202" s="9"/>
      <c r="F202" s="9"/>
    </row>
    <row r="203" spans="1:6" ht="24" customHeight="1">
      <c r="A203" s="5" t="str">
        <f t="shared" si="3"/>
        <v/>
      </c>
      <c r="B203" s="18"/>
      <c r="C203" s="9"/>
      <c r="D203" s="15"/>
      <c r="E203" s="9"/>
      <c r="F203" s="9"/>
    </row>
    <row r="204" spans="1:6" ht="24" customHeight="1">
      <c r="A204" s="5" t="str">
        <f t="shared" si="3"/>
        <v/>
      </c>
      <c r="B204" s="18"/>
      <c r="C204" s="9"/>
      <c r="D204" s="15"/>
      <c r="E204" s="9"/>
      <c r="F204" s="9"/>
    </row>
    <row r="205" spans="1:6" ht="24" customHeight="1">
      <c r="A205" s="5" t="str">
        <f t="shared" si="3"/>
        <v/>
      </c>
      <c r="B205" s="18"/>
      <c r="C205" s="9"/>
      <c r="D205" s="15"/>
      <c r="E205" s="9"/>
      <c r="F205" s="9"/>
    </row>
    <row r="206" spans="1:6" ht="24" customHeight="1">
      <c r="A206" s="5" t="str">
        <f t="shared" si="3"/>
        <v/>
      </c>
      <c r="B206" s="18"/>
      <c r="C206" s="9"/>
      <c r="D206" s="15"/>
      <c r="E206" s="9"/>
      <c r="F206" s="9"/>
    </row>
    <row r="207" spans="1:6" ht="24" customHeight="1">
      <c r="A207" s="5" t="str">
        <f t="shared" si="3"/>
        <v/>
      </c>
      <c r="B207" s="18"/>
      <c r="C207" s="9"/>
      <c r="D207" s="15"/>
      <c r="E207" s="9"/>
      <c r="F207" s="9"/>
    </row>
    <row r="208" spans="1:6" ht="24" customHeight="1">
      <c r="A208" s="5" t="str">
        <f t="shared" si="3"/>
        <v/>
      </c>
      <c r="B208" s="18"/>
      <c r="C208" s="9"/>
      <c r="D208" s="15"/>
      <c r="E208" s="9"/>
      <c r="F208" s="9"/>
    </row>
    <row r="209" spans="1:6" ht="24" customHeight="1">
      <c r="A209" s="5" t="str">
        <f t="shared" si="3"/>
        <v/>
      </c>
      <c r="B209" s="18"/>
      <c r="C209" s="9"/>
      <c r="D209" s="15"/>
      <c r="E209" s="9"/>
      <c r="F209" s="9"/>
    </row>
    <row r="210" spans="1:6" ht="24" customHeight="1">
      <c r="A210" s="5" t="str">
        <f t="shared" si="3"/>
        <v/>
      </c>
      <c r="B210" s="18"/>
      <c r="C210" s="9"/>
      <c r="D210" s="15"/>
      <c r="E210" s="9"/>
      <c r="F210" s="9"/>
    </row>
    <row r="211" spans="1:6" ht="24" customHeight="1">
      <c r="A211" s="5" t="str">
        <f t="shared" si="3"/>
        <v/>
      </c>
      <c r="B211" s="18"/>
      <c r="C211" s="9"/>
      <c r="D211" s="15"/>
      <c r="E211" s="9"/>
      <c r="F211" s="9"/>
    </row>
    <row r="212" spans="1:6" ht="24" customHeight="1">
      <c r="A212" s="5" t="str">
        <f t="shared" si="3"/>
        <v/>
      </c>
      <c r="B212" s="18"/>
      <c r="C212" s="9"/>
      <c r="D212" s="15"/>
      <c r="E212" s="9"/>
      <c r="F212" s="9"/>
    </row>
    <row r="213" spans="1:6" ht="24" customHeight="1">
      <c r="A213" s="5" t="str">
        <f t="shared" si="3"/>
        <v/>
      </c>
      <c r="B213" s="18"/>
      <c r="C213" s="9"/>
      <c r="D213" s="15"/>
      <c r="E213" s="9"/>
      <c r="F213" s="9"/>
    </row>
    <row r="214" spans="1:6" ht="24" customHeight="1">
      <c r="A214" s="5" t="str">
        <f t="shared" si="3"/>
        <v/>
      </c>
      <c r="B214" s="18"/>
      <c r="C214" s="9"/>
      <c r="D214" s="15"/>
      <c r="E214" s="9"/>
      <c r="F214" s="9"/>
    </row>
    <row r="215" spans="1:6" ht="24" customHeight="1">
      <c r="A215" s="5" t="str">
        <f t="shared" si="3"/>
        <v/>
      </c>
      <c r="B215" s="18"/>
      <c r="C215" s="9"/>
      <c r="D215" s="15"/>
      <c r="E215" s="9"/>
      <c r="F215" s="9"/>
    </row>
    <row r="216" spans="1:6" ht="24" customHeight="1">
      <c r="A216" s="5" t="str">
        <f t="shared" si="3"/>
        <v/>
      </c>
      <c r="B216" s="18"/>
      <c r="C216" s="9"/>
      <c r="D216" s="15"/>
      <c r="E216" s="9"/>
      <c r="F216" s="9"/>
    </row>
    <row r="217" spans="1:6" ht="24" customHeight="1">
      <c r="A217" s="5" t="str">
        <f t="shared" si="3"/>
        <v/>
      </c>
      <c r="B217" s="18"/>
      <c r="C217" s="9"/>
      <c r="D217" s="15"/>
      <c r="E217" s="9"/>
      <c r="F217" s="9"/>
    </row>
    <row r="218" spans="1:6" ht="24" customHeight="1">
      <c r="A218" s="5" t="str">
        <f t="shared" si="3"/>
        <v/>
      </c>
      <c r="B218" s="18"/>
      <c r="C218" s="9"/>
      <c r="D218" s="15"/>
      <c r="E218" s="9"/>
      <c r="F218" s="9"/>
    </row>
    <row r="219" spans="1:6" ht="24" customHeight="1">
      <c r="A219" s="5" t="str">
        <f t="shared" si="3"/>
        <v/>
      </c>
      <c r="B219" s="18"/>
      <c r="C219" s="9"/>
      <c r="D219" s="15"/>
      <c r="E219" s="9"/>
      <c r="F219" s="9"/>
    </row>
    <row r="220" spans="1:6" ht="24" customHeight="1">
      <c r="A220" s="5" t="str">
        <f t="shared" si="3"/>
        <v/>
      </c>
      <c r="B220" s="18"/>
      <c r="C220" s="9"/>
      <c r="D220" s="15"/>
      <c r="E220" s="9"/>
      <c r="F220" s="9"/>
    </row>
    <row r="221" spans="1:6" ht="24" customHeight="1">
      <c r="A221" s="5" t="str">
        <f t="shared" si="3"/>
        <v/>
      </c>
      <c r="B221" s="18"/>
      <c r="C221" s="9"/>
      <c r="D221" s="15"/>
      <c r="E221" s="9"/>
      <c r="F221" s="9"/>
    </row>
    <row r="222" spans="1:6" ht="24" customHeight="1">
      <c r="A222" s="5" t="str">
        <f t="shared" si="3"/>
        <v/>
      </c>
      <c r="B222" s="18"/>
      <c r="C222" s="9"/>
      <c r="D222" s="15"/>
      <c r="E222" s="9"/>
      <c r="F222" s="9"/>
    </row>
    <row r="223" spans="1:6" ht="24" customHeight="1">
      <c r="A223" s="5" t="str">
        <f t="shared" si="3"/>
        <v/>
      </c>
      <c r="B223" s="18"/>
      <c r="C223" s="9"/>
      <c r="D223" s="15"/>
      <c r="E223" s="9"/>
      <c r="F223" s="9"/>
    </row>
    <row r="224" spans="1:6" ht="24" customHeight="1">
      <c r="A224" s="5" t="str">
        <f t="shared" si="3"/>
        <v/>
      </c>
      <c r="B224" s="18"/>
      <c r="C224" s="9"/>
      <c r="D224" s="15"/>
      <c r="E224" s="9"/>
      <c r="F224" s="9"/>
    </row>
    <row r="225" spans="1:6" ht="24" customHeight="1">
      <c r="A225" s="5" t="str">
        <f t="shared" si="3"/>
        <v/>
      </c>
      <c r="B225" s="18"/>
      <c r="C225" s="9"/>
      <c r="D225" s="15"/>
      <c r="E225" s="9"/>
      <c r="F225" s="9"/>
    </row>
    <row r="226" spans="1:6" ht="24" customHeight="1">
      <c r="A226" s="5" t="str">
        <f t="shared" si="3"/>
        <v/>
      </c>
      <c r="B226" s="18"/>
      <c r="C226" s="9"/>
      <c r="D226" s="15"/>
      <c r="E226" s="9"/>
      <c r="F226" s="9"/>
    </row>
    <row r="227" spans="1:6" ht="24" customHeight="1">
      <c r="A227" s="5" t="str">
        <f t="shared" si="3"/>
        <v/>
      </c>
      <c r="B227" s="18"/>
      <c r="C227" s="9"/>
      <c r="D227" s="15"/>
      <c r="E227" s="9"/>
      <c r="F227" s="9"/>
    </row>
    <row r="228" spans="1:6" ht="24" customHeight="1">
      <c r="A228" s="5" t="str">
        <f t="shared" si="3"/>
        <v/>
      </c>
      <c r="B228" s="18"/>
      <c r="C228" s="9"/>
      <c r="D228" s="15"/>
      <c r="E228" s="9"/>
      <c r="F228" s="9"/>
    </row>
    <row r="229" spans="1:6" ht="24" customHeight="1">
      <c r="A229" s="5" t="str">
        <f t="shared" si="3"/>
        <v/>
      </c>
      <c r="B229" s="18"/>
      <c r="C229" s="9"/>
      <c r="D229" s="15"/>
      <c r="E229" s="9"/>
      <c r="F229" s="9"/>
    </row>
    <row r="230" spans="1:6" ht="24" customHeight="1">
      <c r="A230" s="5" t="str">
        <f t="shared" si="3"/>
        <v/>
      </c>
      <c r="B230" s="18"/>
      <c r="C230" s="9"/>
      <c r="D230" s="15"/>
      <c r="E230" s="9"/>
      <c r="F230" s="9"/>
    </row>
    <row r="231" spans="1:6" ht="24" customHeight="1">
      <c r="A231" s="5" t="str">
        <f t="shared" si="3"/>
        <v/>
      </c>
      <c r="B231" s="18"/>
      <c r="C231" s="9"/>
      <c r="D231" s="15"/>
      <c r="E231" s="9"/>
      <c r="F231" s="9"/>
    </row>
    <row r="232" spans="1:6" ht="24" customHeight="1">
      <c r="A232" s="5" t="str">
        <f t="shared" si="3"/>
        <v/>
      </c>
      <c r="B232" s="18"/>
      <c r="C232" s="9"/>
      <c r="D232" s="15"/>
      <c r="E232" s="9"/>
      <c r="F232" s="9"/>
    </row>
    <row r="233" spans="1:6" ht="24" customHeight="1">
      <c r="A233" s="5" t="str">
        <f t="shared" si="3"/>
        <v/>
      </c>
      <c r="B233" s="18"/>
      <c r="C233" s="9"/>
      <c r="D233" s="15"/>
      <c r="E233" s="9"/>
      <c r="F233" s="9"/>
    </row>
    <row r="234" spans="1:6" ht="24" customHeight="1">
      <c r="A234" s="5" t="str">
        <f t="shared" si="3"/>
        <v/>
      </c>
      <c r="B234" s="18"/>
      <c r="C234" s="9"/>
      <c r="D234" s="15"/>
      <c r="E234" s="9"/>
      <c r="F234" s="9"/>
    </row>
    <row r="235" spans="1:6" ht="24" customHeight="1">
      <c r="A235" s="5" t="str">
        <f t="shared" si="3"/>
        <v/>
      </c>
      <c r="B235" s="18"/>
      <c r="C235" s="9"/>
      <c r="D235" s="15"/>
      <c r="E235" s="9"/>
      <c r="F235" s="9"/>
    </row>
    <row r="236" spans="1:6" ht="24" customHeight="1">
      <c r="A236" s="5" t="str">
        <f t="shared" si="3"/>
        <v/>
      </c>
      <c r="B236" s="18"/>
      <c r="C236" s="9"/>
      <c r="D236" s="15"/>
      <c r="E236" s="9"/>
      <c r="F236" s="9"/>
    </row>
    <row r="237" spans="1:6" ht="24" customHeight="1">
      <c r="A237" s="5" t="str">
        <f t="shared" si="3"/>
        <v/>
      </c>
      <c r="B237" s="18"/>
      <c r="C237" s="9"/>
      <c r="D237" s="15"/>
      <c r="E237" s="9"/>
      <c r="F237" s="9"/>
    </row>
    <row r="238" spans="1:6" ht="24" customHeight="1">
      <c r="A238" s="5" t="str">
        <f t="shared" si="3"/>
        <v/>
      </c>
      <c r="B238" s="18"/>
      <c r="C238" s="9"/>
      <c r="D238" s="15"/>
      <c r="E238" s="9"/>
      <c r="F238" s="9"/>
    </row>
    <row r="239" spans="1:6" ht="24" customHeight="1">
      <c r="A239" s="5" t="str">
        <f t="shared" si="3"/>
        <v/>
      </c>
      <c r="B239" s="18"/>
      <c r="C239" s="9"/>
      <c r="D239" s="15"/>
      <c r="E239" s="9"/>
      <c r="F239" s="9"/>
    </row>
    <row r="240" spans="1:6" ht="24" customHeight="1">
      <c r="A240" s="5" t="str">
        <f t="shared" si="3"/>
        <v/>
      </c>
      <c r="B240" s="18"/>
      <c r="C240" s="9"/>
      <c r="D240" s="15"/>
      <c r="E240" s="9"/>
      <c r="F240" s="9"/>
    </row>
    <row r="241" spans="1:6" ht="24" customHeight="1">
      <c r="A241" s="5" t="str">
        <f t="shared" si="3"/>
        <v/>
      </c>
      <c r="B241" s="18"/>
      <c r="C241" s="9"/>
      <c r="D241" s="15"/>
      <c r="E241" s="9"/>
      <c r="F241" s="9"/>
    </row>
    <row r="242" spans="1:6" ht="24" customHeight="1">
      <c r="A242" s="5" t="str">
        <f t="shared" si="3"/>
        <v/>
      </c>
      <c r="B242" s="18"/>
      <c r="C242" s="9"/>
      <c r="D242" s="15"/>
      <c r="E242" s="9"/>
      <c r="F242" s="9"/>
    </row>
    <row r="243" spans="1:6" ht="24" customHeight="1">
      <c r="A243" s="5" t="str">
        <f t="shared" si="3"/>
        <v/>
      </c>
      <c r="B243" s="18"/>
      <c r="C243" s="9"/>
      <c r="D243" s="15"/>
      <c r="E243" s="9"/>
      <c r="F243" s="9"/>
    </row>
    <row r="244" spans="1:6" ht="24" customHeight="1">
      <c r="A244" s="5" t="str">
        <f t="shared" si="3"/>
        <v/>
      </c>
      <c r="B244" s="18"/>
      <c r="C244" s="9"/>
      <c r="D244" s="15"/>
      <c r="E244" s="9"/>
      <c r="F244" s="9"/>
    </row>
    <row r="245" spans="1:6" ht="24" customHeight="1">
      <c r="A245" s="5" t="str">
        <f t="shared" si="3"/>
        <v/>
      </c>
      <c r="B245" s="18"/>
      <c r="C245" s="9"/>
      <c r="D245" s="15"/>
      <c r="E245" s="9"/>
      <c r="F245" s="9"/>
    </row>
    <row r="246" spans="1:6" ht="24" customHeight="1">
      <c r="A246" s="5" t="str">
        <f t="shared" si="3"/>
        <v/>
      </c>
      <c r="B246" s="18"/>
      <c r="C246" s="9"/>
      <c r="D246" s="15"/>
      <c r="E246" s="9"/>
      <c r="F246" s="9"/>
    </row>
    <row r="247" spans="1:6" ht="24" customHeight="1">
      <c r="A247" s="5" t="str">
        <f t="shared" si="3"/>
        <v/>
      </c>
      <c r="B247" s="18"/>
      <c r="C247" s="9"/>
      <c r="D247" s="15"/>
      <c r="E247" s="9"/>
      <c r="F247" s="9"/>
    </row>
    <row r="248" spans="1:6" ht="24" customHeight="1">
      <c r="A248" s="5" t="str">
        <f t="shared" si="3"/>
        <v/>
      </c>
      <c r="B248" s="18"/>
      <c r="C248" s="9"/>
      <c r="D248" s="15"/>
      <c r="E248" s="9"/>
      <c r="F248" s="9"/>
    </row>
    <row r="249" spans="1:6" ht="24" customHeight="1">
      <c r="A249" s="5" t="str">
        <f t="shared" si="3"/>
        <v/>
      </c>
      <c r="B249" s="18"/>
      <c r="C249" s="9"/>
      <c r="D249" s="15"/>
      <c r="E249" s="9"/>
      <c r="F249" s="9"/>
    </row>
    <row r="250" spans="1:6" ht="24" customHeight="1">
      <c r="A250" s="5" t="str">
        <f t="shared" si="3"/>
        <v/>
      </c>
      <c r="B250" s="18"/>
      <c r="C250" s="9"/>
      <c r="D250" s="15"/>
      <c r="E250" s="9"/>
      <c r="F250" s="9"/>
    </row>
    <row r="251" spans="1:6" ht="24" customHeight="1">
      <c r="A251" s="5" t="str">
        <f t="shared" si="3"/>
        <v/>
      </c>
      <c r="B251" s="18"/>
      <c r="C251" s="9"/>
      <c r="D251" s="15"/>
      <c r="E251" s="9"/>
      <c r="F251" s="9"/>
    </row>
    <row r="252" spans="1:6" ht="24" customHeight="1">
      <c r="A252" s="5" t="str">
        <f t="shared" si="3"/>
        <v/>
      </c>
      <c r="B252" s="18"/>
      <c r="C252" s="9"/>
      <c r="D252" s="15"/>
      <c r="E252" s="9"/>
      <c r="F252" s="9"/>
    </row>
    <row r="253" spans="1:6" ht="24" customHeight="1">
      <c r="A253" s="5" t="str">
        <f t="shared" si="3"/>
        <v/>
      </c>
      <c r="B253" s="18"/>
      <c r="C253" s="9"/>
      <c r="D253" s="15"/>
      <c r="E253" s="9"/>
      <c r="F253" s="9"/>
    </row>
    <row r="254" spans="1:6" ht="24" customHeight="1">
      <c r="A254" s="5" t="str">
        <f t="shared" si="3"/>
        <v/>
      </c>
      <c r="B254" s="18"/>
      <c r="C254" s="9"/>
      <c r="D254" s="15"/>
      <c r="E254" s="9"/>
      <c r="F254" s="9"/>
    </row>
    <row r="255" spans="1:6" ht="24" customHeight="1">
      <c r="A255" s="5" t="str">
        <f t="shared" si="3"/>
        <v/>
      </c>
      <c r="B255" s="18"/>
      <c r="C255" s="9"/>
      <c r="D255" s="15"/>
      <c r="E255" s="9"/>
      <c r="F255" s="9"/>
    </row>
    <row r="256" spans="1:6" ht="24" customHeight="1">
      <c r="A256" s="5" t="str">
        <f t="shared" si="3"/>
        <v/>
      </c>
      <c r="B256" s="18"/>
      <c r="C256" s="9"/>
      <c r="D256" s="15"/>
      <c r="E256" s="9"/>
      <c r="F256" s="9"/>
    </row>
    <row r="257" spans="1:6" ht="24" customHeight="1">
      <c r="A257" s="5" t="str">
        <f t="shared" si="3"/>
        <v/>
      </c>
      <c r="B257" s="18"/>
      <c r="C257" s="9"/>
      <c r="D257" s="15"/>
      <c r="E257" s="9"/>
      <c r="F257" s="9"/>
    </row>
    <row r="258" spans="1:6" ht="24" customHeight="1">
      <c r="A258" s="5" t="str">
        <f t="shared" ref="A258:A321" si="4">IF(C258="","",ROW()-1)</f>
        <v/>
      </c>
      <c r="B258" s="18"/>
      <c r="C258" s="9"/>
      <c r="D258" s="15"/>
      <c r="E258" s="9"/>
      <c r="F258" s="9"/>
    </row>
    <row r="259" spans="1:6" ht="24" customHeight="1">
      <c r="A259" s="5" t="str">
        <f t="shared" si="4"/>
        <v/>
      </c>
      <c r="B259" s="18"/>
      <c r="C259" s="9"/>
      <c r="D259" s="15"/>
      <c r="E259" s="9"/>
      <c r="F259" s="9"/>
    </row>
    <row r="260" spans="1:6" ht="24" customHeight="1">
      <c r="A260" s="5" t="str">
        <f t="shared" si="4"/>
        <v/>
      </c>
      <c r="B260" s="18"/>
      <c r="C260" s="9"/>
      <c r="D260" s="15"/>
      <c r="E260" s="9"/>
      <c r="F260" s="9"/>
    </row>
    <row r="261" spans="1:6" ht="24" customHeight="1">
      <c r="A261" s="5" t="str">
        <f t="shared" si="4"/>
        <v/>
      </c>
      <c r="B261" s="18"/>
      <c r="C261" s="9"/>
      <c r="D261" s="15"/>
      <c r="E261" s="9"/>
      <c r="F261" s="9"/>
    </row>
    <row r="262" spans="1:6" ht="24" customHeight="1">
      <c r="A262" s="5" t="str">
        <f t="shared" si="4"/>
        <v/>
      </c>
      <c r="B262" s="18"/>
      <c r="C262" s="9"/>
      <c r="D262" s="15"/>
      <c r="E262" s="9"/>
      <c r="F262" s="9"/>
    </row>
    <row r="263" spans="1:6" ht="24" customHeight="1">
      <c r="A263" s="5" t="str">
        <f t="shared" si="4"/>
        <v/>
      </c>
      <c r="B263" s="18"/>
      <c r="C263" s="9"/>
      <c r="D263" s="15"/>
      <c r="E263" s="9"/>
      <c r="F263" s="9"/>
    </row>
    <row r="264" spans="1:6" ht="24" customHeight="1">
      <c r="A264" s="5" t="str">
        <f t="shared" si="4"/>
        <v/>
      </c>
      <c r="B264" s="18"/>
      <c r="C264" s="9"/>
      <c r="D264" s="15"/>
      <c r="E264" s="9"/>
      <c r="F264" s="9"/>
    </row>
    <row r="265" spans="1:6" ht="24" customHeight="1">
      <c r="A265" s="5" t="str">
        <f t="shared" si="4"/>
        <v/>
      </c>
      <c r="B265" s="18"/>
      <c r="C265" s="9"/>
      <c r="D265" s="15"/>
      <c r="E265" s="9"/>
      <c r="F265" s="9"/>
    </row>
    <row r="266" spans="1:6" ht="24" customHeight="1">
      <c r="A266" s="5" t="str">
        <f t="shared" si="4"/>
        <v/>
      </c>
      <c r="B266" s="18"/>
      <c r="C266" s="9"/>
      <c r="D266" s="15"/>
      <c r="E266" s="9"/>
      <c r="F266" s="9"/>
    </row>
    <row r="267" spans="1:6" ht="24" customHeight="1">
      <c r="A267" s="5" t="str">
        <f t="shared" si="4"/>
        <v/>
      </c>
      <c r="B267" s="18"/>
      <c r="C267" s="9"/>
      <c r="D267" s="15"/>
      <c r="E267" s="9"/>
      <c r="F267" s="9"/>
    </row>
    <row r="268" spans="1:6" ht="24" customHeight="1">
      <c r="A268" s="5" t="str">
        <f t="shared" si="4"/>
        <v/>
      </c>
      <c r="B268" s="18"/>
      <c r="C268" s="9"/>
      <c r="D268" s="15"/>
      <c r="E268" s="9"/>
      <c r="F268" s="9"/>
    </row>
    <row r="269" spans="1:6" ht="24" customHeight="1">
      <c r="A269" s="5" t="str">
        <f t="shared" si="4"/>
        <v/>
      </c>
      <c r="B269" s="18"/>
      <c r="C269" s="9"/>
      <c r="D269" s="15"/>
      <c r="E269" s="9"/>
      <c r="F269" s="9"/>
    </row>
    <row r="270" spans="1:6" ht="24" customHeight="1">
      <c r="A270" s="5" t="str">
        <f t="shared" si="4"/>
        <v/>
      </c>
      <c r="B270" s="18"/>
      <c r="C270" s="9"/>
      <c r="D270" s="15"/>
      <c r="E270" s="9"/>
      <c r="F270" s="9"/>
    </row>
    <row r="271" spans="1:6" ht="24" customHeight="1">
      <c r="A271" s="5" t="str">
        <f t="shared" si="4"/>
        <v/>
      </c>
      <c r="B271" s="18"/>
      <c r="C271" s="9"/>
      <c r="D271" s="15"/>
      <c r="E271" s="9"/>
      <c r="F271" s="9"/>
    </row>
    <row r="272" spans="1:6" ht="24" customHeight="1">
      <c r="A272" s="5" t="str">
        <f t="shared" si="4"/>
        <v/>
      </c>
      <c r="B272" s="18"/>
      <c r="C272" s="9"/>
      <c r="D272" s="15"/>
      <c r="E272" s="9"/>
      <c r="F272" s="9"/>
    </row>
    <row r="273" spans="1:6" ht="24" customHeight="1">
      <c r="A273" s="5" t="str">
        <f t="shared" si="4"/>
        <v/>
      </c>
      <c r="B273" s="18"/>
      <c r="C273" s="9"/>
      <c r="D273" s="15"/>
      <c r="E273" s="9"/>
      <c r="F273" s="9"/>
    </row>
    <row r="274" spans="1:6" ht="24" customHeight="1">
      <c r="A274" s="5" t="str">
        <f t="shared" si="4"/>
        <v/>
      </c>
      <c r="B274" s="18"/>
      <c r="C274" s="9"/>
      <c r="D274" s="15"/>
      <c r="E274" s="9"/>
      <c r="F274" s="9"/>
    </row>
    <row r="275" spans="1:6" ht="24" customHeight="1">
      <c r="A275" s="5" t="str">
        <f t="shared" si="4"/>
        <v/>
      </c>
      <c r="B275" s="18"/>
      <c r="C275" s="9"/>
      <c r="D275" s="15"/>
      <c r="E275" s="9"/>
      <c r="F275" s="9"/>
    </row>
    <row r="276" spans="1:6" ht="24" customHeight="1">
      <c r="A276" s="5" t="str">
        <f t="shared" si="4"/>
        <v/>
      </c>
      <c r="B276" s="18"/>
      <c r="C276" s="9"/>
      <c r="D276" s="15"/>
      <c r="E276" s="9"/>
      <c r="F276" s="9"/>
    </row>
    <row r="277" spans="1:6" ht="24" customHeight="1">
      <c r="A277" s="5" t="str">
        <f t="shared" si="4"/>
        <v/>
      </c>
      <c r="B277" s="18"/>
      <c r="C277" s="9"/>
      <c r="D277" s="15"/>
      <c r="E277" s="9"/>
      <c r="F277" s="9"/>
    </row>
    <row r="278" spans="1:6" ht="24" customHeight="1">
      <c r="A278" s="5" t="str">
        <f t="shared" si="4"/>
        <v/>
      </c>
      <c r="B278" s="18"/>
      <c r="C278" s="9"/>
      <c r="D278" s="15"/>
      <c r="E278" s="9"/>
      <c r="F278" s="9"/>
    </row>
    <row r="279" spans="1:6" ht="24" customHeight="1">
      <c r="A279" s="5" t="str">
        <f t="shared" si="4"/>
        <v/>
      </c>
      <c r="B279" s="18"/>
      <c r="C279" s="9"/>
      <c r="D279" s="15"/>
      <c r="E279" s="9"/>
      <c r="F279" s="9"/>
    </row>
    <row r="280" spans="1:6" ht="24" customHeight="1">
      <c r="A280" s="5" t="str">
        <f t="shared" si="4"/>
        <v/>
      </c>
      <c r="B280" s="18"/>
      <c r="C280" s="9"/>
      <c r="D280" s="15"/>
      <c r="E280" s="9"/>
      <c r="F280" s="9"/>
    </row>
    <row r="281" spans="1:6" ht="24" customHeight="1">
      <c r="A281" s="5" t="str">
        <f t="shared" si="4"/>
        <v/>
      </c>
      <c r="B281" s="18"/>
      <c r="C281" s="9"/>
      <c r="D281" s="15"/>
      <c r="E281" s="9"/>
      <c r="F281" s="9"/>
    </row>
    <row r="282" spans="1:6" ht="24" customHeight="1">
      <c r="A282" s="5" t="str">
        <f t="shared" si="4"/>
        <v/>
      </c>
      <c r="B282" s="18"/>
      <c r="C282" s="9"/>
      <c r="D282" s="15"/>
      <c r="E282" s="9"/>
      <c r="F282" s="9"/>
    </row>
    <row r="283" spans="1:6" ht="24" customHeight="1">
      <c r="A283" s="5" t="str">
        <f t="shared" si="4"/>
        <v/>
      </c>
      <c r="B283" s="18"/>
      <c r="C283" s="9"/>
      <c r="D283" s="15"/>
      <c r="E283" s="9"/>
      <c r="F283" s="9"/>
    </row>
    <row r="284" spans="1:6" ht="24" customHeight="1">
      <c r="A284" s="5" t="str">
        <f t="shared" si="4"/>
        <v/>
      </c>
      <c r="B284" s="18"/>
      <c r="C284" s="9"/>
      <c r="D284" s="15"/>
      <c r="E284" s="9"/>
      <c r="F284" s="9"/>
    </row>
    <row r="285" spans="1:6" ht="24" customHeight="1">
      <c r="A285" s="5" t="str">
        <f t="shared" si="4"/>
        <v/>
      </c>
      <c r="B285" s="18"/>
      <c r="C285" s="9"/>
      <c r="D285" s="15"/>
      <c r="E285" s="9"/>
      <c r="F285" s="9"/>
    </row>
    <row r="286" spans="1:6" ht="24" customHeight="1">
      <c r="A286" s="5" t="str">
        <f t="shared" si="4"/>
        <v/>
      </c>
      <c r="B286" s="18"/>
      <c r="C286" s="9"/>
      <c r="D286" s="15"/>
      <c r="E286" s="9"/>
      <c r="F286" s="9"/>
    </row>
    <row r="287" spans="1:6" ht="24" customHeight="1">
      <c r="A287" s="5" t="str">
        <f t="shared" si="4"/>
        <v/>
      </c>
      <c r="B287" s="18"/>
      <c r="C287" s="9"/>
      <c r="D287" s="15"/>
      <c r="E287" s="9"/>
      <c r="F287" s="9"/>
    </row>
    <row r="288" spans="1:6" ht="24" customHeight="1">
      <c r="A288" s="5" t="str">
        <f t="shared" si="4"/>
        <v/>
      </c>
      <c r="B288" s="18"/>
      <c r="C288" s="9"/>
      <c r="D288" s="15"/>
      <c r="E288" s="9"/>
      <c r="F288" s="9"/>
    </row>
    <row r="289" spans="1:6" ht="24" customHeight="1">
      <c r="A289" s="5" t="str">
        <f t="shared" si="4"/>
        <v/>
      </c>
      <c r="B289" s="18"/>
      <c r="C289" s="9"/>
      <c r="D289" s="15"/>
      <c r="E289" s="9"/>
      <c r="F289" s="9"/>
    </row>
    <row r="290" spans="1:6" ht="24" customHeight="1">
      <c r="A290" s="5" t="str">
        <f t="shared" si="4"/>
        <v/>
      </c>
      <c r="B290" s="18"/>
      <c r="C290" s="9"/>
      <c r="D290" s="15"/>
      <c r="E290" s="9"/>
      <c r="F290" s="9"/>
    </row>
    <row r="291" spans="1:6" ht="24" customHeight="1">
      <c r="A291" s="5" t="str">
        <f t="shared" si="4"/>
        <v/>
      </c>
      <c r="B291" s="18"/>
      <c r="C291" s="9"/>
      <c r="D291" s="15"/>
      <c r="E291" s="9"/>
      <c r="F291" s="9"/>
    </row>
    <row r="292" spans="1:6" ht="24" customHeight="1">
      <c r="A292" s="5" t="str">
        <f t="shared" si="4"/>
        <v/>
      </c>
      <c r="B292" s="18"/>
      <c r="C292" s="9"/>
      <c r="D292" s="15"/>
      <c r="E292" s="9"/>
      <c r="F292" s="9"/>
    </row>
    <row r="293" spans="1:6" ht="24" customHeight="1">
      <c r="A293" s="5" t="str">
        <f t="shared" si="4"/>
        <v/>
      </c>
      <c r="B293" s="18"/>
      <c r="C293" s="9"/>
      <c r="D293" s="15"/>
      <c r="E293" s="9"/>
      <c r="F293" s="9"/>
    </row>
    <row r="294" spans="1:6" ht="24" customHeight="1">
      <c r="A294" s="5" t="str">
        <f t="shared" si="4"/>
        <v/>
      </c>
      <c r="B294" s="18"/>
      <c r="C294" s="9"/>
      <c r="D294" s="15"/>
      <c r="E294" s="9"/>
      <c r="F294" s="9"/>
    </row>
    <row r="295" spans="1:6" ht="24" customHeight="1">
      <c r="A295" s="5" t="str">
        <f t="shared" si="4"/>
        <v/>
      </c>
      <c r="B295" s="18"/>
      <c r="C295" s="9"/>
      <c r="D295" s="15"/>
      <c r="E295" s="9"/>
      <c r="F295" s="9"/>
    </row>
    <row r="296" spans="1:6" ht="24" customHeight="1">
      <c r="A296" s="5" t="str">
        <f t="shared" si="4"/>
        <v/>
      </c>
      <c r="B296" s="18"/>
      <c r="C296" s="9"/>
      <c r="D296" s="15"/>
      <c r="E296" s="9"/>
      <c r="F296" s="9"/>
    </row>
    <row r="297" spans="1:6" ht="24" customHeight="1">
      <c r="A297" s="5" t="str">
        <f t="shared" si="4"/>
        <v/>
      </c>
      <c r="B297" s="18"/>
      <c r="C297" s="9"/>
      <c r="D297" s="15"/>
      <c r="E297" s="9"/>
      <c r="F297" s="9"/>
    </row>
    <row r="298" spans="1:6" ht="24" customHeight="1">
      <c r="A298" s="5" t="str">
        <f t="shared" si="4"/>
        <v/>
      </c>
      <c r="B298" s="18"/>
      <c r="C298" s="9"/>
      <c r="D298" s="15"/>
      <c r="E298" s="9"/>
      <c r="F298" s="9"/>
    </row>
    <row r="299" spans="1:6" ht="24" customHeight="1">
      <c r="A299" s="5" t="str">
        <f t="shared" si="4"/>
        <v/>
      </c>
      <c r="B299" s="18"/>
      <c r="C299" s="9"/>
      <c r="D299" s="15"/>
      <c r="E299" s="9"/>
      <c r="F299" s="9"/>
    </row>
    <row r="300" spans="1:6" ht="24" customHeight="1">
      <c r="A300" s="5" t="str">
        <f t="shared" si="4"/>
        <v/>
      </c>
      <c r="B300" s="18"/>
      <c r="C300" s="9"/>
      <c r="D300" s="15"/>
      <c r="E300" s="9"/>
      <c r="F300" s="9"/>
    </row>
    <row r="301" spans="1:6" ht="24" customHeight="1">
      <c r="A301" s="5" t="str">
        <f t="shared" si="4"/>
        <v/>
      </c>
      <c r="B301" s="18"/>
      <c r="C301" s="9"/>
      <c r="D301" s="15"/>
      <c r="E301" s="9"/>
      <c r="F301" s="9"/>
    </row>
    <row r="302" spans="1:6" ht="24" customHeight="1">
      <c r="A302" s="5" t="str">
        <f t="shared" si="4"/>
        <v/>
      </c>
      <c r="B302" s="18"/>
      <c r="C302" s="9"/>
      <c r="D302" s="15"/>
      <c r="E302" s="9"/>
      <c r="F302" s="9"/>
    </row>
    <row r="303" spans="1:6" ht="24" customHeight="1">
      <c r="A303" s="5" t="str">
        <f t="shared" si="4"/>
        <v/>
      </c>
      <c r="B303" s="18"/>
      <c r="C303" s="9"/>
      <c r="D303" s="15"/>
      <c r="E303" s="9"/>
      <c r="F303" s="9"/>
    </row>
    <row r="304" spans="1:6" ht="24" customHeight="1">
      <c r="A304" s="5" t="str">
        <f t="shared" si="4"/>
        <v/>
      </c>
      <c r="B304" s="18"/>
      <c r="C304" s="9"/>
      <c r="D304" s="15"/>
      <c r="E304" s="9"/>
      <c r="F304" s="9"/>
    </row>
    <row r="305" spans="1:6" ht="24" customHeight="1">
      <c r="A305" s="5" t="str">
        <f t="shared" si="4"/>
        <v/>
      </c>
      <c r="B305" s="18"/>
      <c r="C305" s="9"/>
      <c r="D305" s="15"/>
      <c r="E305" s="9"/>
      <c r="F305" s="9"/>
    </row>
    <row r="306" spans="1:6" ht="24" customHeight="1">
      <c r="A306" s="5" t="str">
        <f t="shared" si="4"/>
        <v/>
      </c>
      <c r="B306" s="18"/>
      <c r="C306" s="9"/>
      <c r="D306" s="15"/>
      <c r="E306" s="9"/>
      <c r="F306" s="9"/>
    </row>
    <row r="307" spans="1:6" ht="24" customHeight="1">
      <c r="A307" s="5" t="str">
        <f t="shared" si="4"/>
        <v/>
      </c>
      <c r="B307" s="18"/>
      <c r="C307" s="9"/>
      <c r="D307" s="15"/>
      <c r="E307" s="9"/>
      <c r="F307" s="9"/>
    </row>
    <row r="308" spans="1:6" ht="24" customHeight="1">
      <c r="A308" s="5" t="str">
        <f t="shared" si="4"/>
        <v/>
      </c>
      <c r="B308" s="18"/>
      <c r="C308" s="9"/>
      <c r="D308" s="15"/>
      <c r="E308" s="9"/>
      <c r="F308" s="9"/>
    </row>
    <row r="309" spans="1:6" ht="24" customHeight="1">
      <c r="A309" s="5" t="str">
        <f t="shared" si="4"/>
        <v/>
      </c>
      <c r="B309" s="18"/>
      <c r="C309" s="9"/>
      <c r="D309" s="15"/>
      <c r="E309" s="9"/>
      <c r="F309" s="9"/>
    </row>
    <row r="310" spans="1:6" ht="24" customHeight="1">
      <c r="A310" s="5" t="str">
        <f t="shared" si="4"/>
        <v/>
      </c>
      <c r="B310" s="18"/>
      <c r="C310" s="9"/>
      <c r="D310" s="15"/>
      <c r="E310" s="9"/>
      <c r="F310" s="9"/>
    </row>
    <row r="311" spans="1:6" ht="24" customHeight="1">
      <c r="A311" s="5" t="str">
        <f t="shared" si="4"/>
        <v/>
      </c>
      <c r="B311" s="18"/>
      <c r="C311" s="9"/>
      <c r="D311" s="15"/>
      <c r="E311" s="9"/>
      <c r="F311" s="9"/>
    </row>
    <row r="312" spans="1:6" ht="24" customHeight="1">
      <c r="A312" s="5" t="str">
        <f t="shared" si="4"/>
        <v/>
      </c>
      <c r="B312" s="18"/>
      <c r="C312" s="9"/>
      <c r="D312" s="15"/>
      <c r="E312" s="9"/>
      <c r="F312" s="9"/>
    </row>
    <row r="313" spans="1:6" ht="24" customHeight="1">
      <c r="A313" s="5" t="str">
        <f t="shared" si="4"/>
        <v/>
      </c>
      <c r="B313" s="18"/>
      <c r="C313" s="9"/>
      <c r="D313" s="15"/>
      <c r="E313" s="9"/>
      <c r="F313" s="9"/>
    </row>
    <row r="314" spans="1:6" ht="24" customHeight="1">
      <c r="A314" s="5" t="str">
        <f t="shared" si="4"/>
        <v/>
      </c>
      <c r="B314" s="18"/>
      <c r="C314" s="9"/>
      <c r="D314" s="15"/>
      <c r="E314" s="9"/>
      <c r="F314" s="9"/>
    </row>
    <row r="315" spans="1:6" ht="24" customHeight="1">
      <c r="A315" s="5" t="str">
        <f t="shared" si="4"/>
        <v/>
      </c>
      <c r="B315" s="18"/>
      <c r="C315" s="9"/>
      <c r="D315" s="15"/>
      <c r="E315" s="9"/>
      <c r="F315" s="9"/>
    </row>
    <row r="316" spans="1:6" ht="24" customHeight="1">
      <c r="A316" s="5" t="str">
        <f t="shared" si="4"/>
        <v/>
      </c>
      <c r="B316" s="18"/>
      <c r="C316" s="9"/>
      <c r="D316" s="15"/>
      <c r="E316" s="9"/>
      <c r="F316" s="9"/>
    </row>
    <row r="317" spans="1:6" ht="24" customHeight="1">
      <c r="A317" s="5" t="str">
        <f t="shared" si="4"/>
        <v/>
      </c>
      <c r="B317" s="18"/>
      <c r="C317" s="9"/>
      <c r="D317" s="15"/>
      <c r="E317" s="9"/>
      <c r="F317" s="9"/>
    </row>
    <row r="318" spans="1:6" ht="24" customHeight="1">
      <c r="A318" s="5" t="str">
        <f t="shared" si="4"/>
        <v/>
      </c>
      <c r="B318" s="18"/>
      <c r="C318" s="9"/>
      <c r="D318" s="15"/>
      <c r="E318" s="9"/>
      <c r="F318" s="9"/>
    </row>
    <row r="319" spans="1:6" ht="24" customHeight="1">
      <c r="A319" s="5" t="str">
        <f t="shared" si="4"/>
        <v/>
      </c>
      <c r="B319" s="18"/>
      <c r="C319" s="9"/>
      <c r="D319" s="15"/>
      <c r="E319" s="9"/>
      <c r="F319" s="9"/>
    </row>
    <row r="320" spans="1:6" ht="24" customHeight="1">
      <c r="A320" s="5" t="str">
        <f t="shared" si="4"/>
        <v/>
      </c>
      <c r="B320" s="18"/>
      <c r="C320" s="9"/>
      <c r="D320" s="15"/>
      <c r="E320" s="9"/>
      <c r="F320" s="9"/>
    </row>
    <row r="321" spans="1:6" ht="24" customHeight="1">
      <c r="A321" s="5" t="str">
        <f t="shared" si="4"/>
        <v/>
      </c>
      <c r="B321" s="18"/>
      <c r="C321" s="9"/>
      <c r="D321" s="15"/>
      <c r="E321" s="9"/>
      <c r="F321" s="9"/>
    </row>
    <row r="322" spans="1:6" ht="24" customHeight="1">
      <c r="A322" s="5" t="str">
        <f t="shared" ref="A322:A385" si="5">IF(C322="","",ROW()-1)</f>
        <v/>
      </c>
      <c r="B322" s="18"/>
      <c r="C322" s="9"/>
      <c r="D322" s="15"/>
      <c r="E322" s="9"/>
      <c r="F322" s="9"/>
    </row>
    <row r="323" spans="1:6" ht="24" customHeight="1">
      <c r="A323" s="5" t="str">
        <f t="shared" si="5"/>
        <v/>
      </c>
      <c r="B323" s="18"/>
      <c r="C323" s="9"/>
      <c r="D323" s="15"/>
      <c r="E323" s="9"/>
      <c r="F323" s="9"/>
    </row>
    <row r="324" spans="1:6" ht="24" customHeight="1">
      <c r="A324" s="5" t="str">
        <f t="shared" si="5"/>
        <v/>
      </c>
      <c r="B324" s="18"/>
      <c r="C324" s="9"/>
      <c r="D324" s="15"/>
      <c r="E324" s="9"/>
      <c r="F324" s="9"/>
    </row>
    <row r="325" spans="1:6" ht="24" customHeight="1">
      <c r="A325" s="5" t="str">
        <f t="shared" si="5"/>
        <v/>
      </c>
      <c r="B325" s="18"/>
      <c r="C325" s="9"/>
      <c r="D325" s="15"/>
      <c r="E325" s="9"/>
      <c r="F325" s="9"/>
    </row>
    <row r="326" spans="1:6" ht="24" customHeight="1">
      <c r="A326" s="5" t="str">
        <f t="shared" si="5"/>
        <v/>
      </c>
      <c r="B326" s="18"/>
      <c r="C326" s="9"/>
      <c r="D326" s="15"/>
      <c r="E326" s="9"/>
      <c r="F326" s="9"/>
    </row>
    <row r="327" spans="1:6" ht="24" customHeight="1">
      <c r="A327" s="5" t="str">
        <f t="shared" si="5"/>
        <v/>
      </c>
      <c r="B327" s="18"/>
      <c r="C327" s="9"/>
      <c r="D327" s="15"/>
      <c r="E327" s="9"/>
      <c r="F327" s="9"/>
    </row>
    <row r="328" spans="1:6" ht="24" customHeight="1">
      <c r="A328" s="5" t="str">
        <f t="shared" si="5"/>
        <v/>
      </c>
      <c r="B328" s="18"/>
      <c r="C328" s="9"/>
      <c r="D328" s="15"/>
      <c r="E328" s="9"/>
      <c r="F328" s="9"/>
    </row>
    <row r="329" spans="1:6" ht="24" customHeight="1">
      <c r="A329" s="5" t="str">
        <f t="shared" si="5"/>
        <v/>
      </c>
      <c r="B329" s="18"/>
      <c r="C329" s="9"/>
      <c r="D329" s="15"/>
      <c r="E329" s="9"/>
      <c r="F329" s="9"/>
    </row>
    <row r="330" spans="1:6" ht="24" customHeight="1">
      <c r="A330" s="5" t="str">
        <f t="shared" si="5"/>
        <v/>
      </c>
      <c r="B330" s="18"/>
      <c r="C330" s="9"/>
      <c r="D330" s="15"/>
      <c r="E330" s="9"/>
      <c r="F330" s="9"/>
    </row>
    <row r="331" spans="1:6" ht="24" customHeight="1">
      <c r="A331" s="5" t="str">
        <f t="shared" si="5"/>
        <v/>
      </c>
      <c r="B331" s="18"/>
      <c r="C331" s="9"/>
      <c r="D331" s="15"/>
      <c r="E331" s="9"/>
      <c r="F331" s="9"/>
    </row>
    <row r="332" spans="1:6" ht="24" customHeight="1">
      <c r="A332" s="5" t="str">
        <f t="shared" si="5"/>
        <v/>
      </c>
      <c r="B332" s="18"/>
      <c r="C332" s="9"/>
      <c r="D332" s="15"/>
      <c r="E332" s="9"/>
      <c r="F332" s="9"/>
    </row>
    <row r="333" spans="1:6" ht="24" customHeight="1">
      <c r="A333" s="5" t="str">
        <f t="shared" si="5"/>
        <v/>
      </c>
      <c r="B333" s="18"/>
      <c r="C333" s="9"/>
      <c r="D333" s="15"/>
      <c r="E333" s="9"/>
      <c r="F333" s="9"/>
    </row>
    <row r="334" spans="1:6" ht="24" customHeight="1">
      <c r="A334" s="5" t="str">
        <f t="shared" si="5"/>
        <v/>
      </c>
      <c r="B334" s="18"/>
      <c r="C334" s="9"/>
      <c r="D334" s="15"/>
      <c r="E334" s="9"/>
      <c r="F334" s="9"/>
    </row>
    <row r="335" spans="1:6" ht="24" customHeight="1">
      <c r="A335" s="5" t="str">
        <f t="shared" si="5"/>
        <v/>
      </c>
      <c r="B335" s="18"/>
      <c r="C335" s="9"/>
      <c r="D335" s="15"/>
      <c r="E335" s="9"/>
      <c r="F335" s="9"/>
    </row>
    <row r="336" spans="1:6" ht="24" customHeight="1">
      <c r="A336" s="5" t="str">
        <f t="shared" si="5"/>
        <v/>
      </c>
      <c r="B336" s="18"/>
      <c r="C336" s="9"/>
      <c r="D336" s="15"/>
      <c r="E336" s="9"/>
      <c r="F336" s="9"/>
    </row>
    <row r="337" spans="1:6" ht="24" customHeight="1">
      <c r="A337" s="5" t="str">
        <f t="shared" si="5"/>
        <v/>
      </c>
      <c r="B337" s="18"/>
      <c r="C337" s="9"/>
      <c r="D337" s="15"/>
      <c r="E337" s="9"/>
      <c r="F337" s="9"/>
    </row>
    <row r="338" spans="1:6" ht="24" customHeight="1">
      <c r="A338" s="5" t="str">
        <f t="shared" si="5"/>
        <v/>
      </c>
      <c r="B338" s="18"/>
      <c r="C338" s="9"/>
      <c r="D338" s="15"/>
      <c r="E338" s="9"/>
      <c r="F338" s="9"/>
    </row>
    <row r="339" spans="1:6" ht="24" customHeight="1">
      <c r="A339" s="5" t="str">
        <f t="shared" si="5"/>
        <v/>
      </c>
      <c r="B339" s="18"/>
      <c r="C339" s="9"/>
      <c r="D339" s="15"/>
      <c r="E339" s="9"/>
      <c r="F339" s="9"/>
    </row>
    <row r="340" spans="1:6" ht="24" customHeight="1">
      <c r="A340" s="5" t="str">
        <f t="shared" si="5"/>
        <v/>
      </c>
      <c r="B340" s="18"/>
      <c r="C340" s="9"/>
      <c r="D340" s="15"/>
      <c r="E340" s="9"/>
      <c r="F340" s="9"/>
    </row>
    <row r="341" spans="1:6" ht="24" customHeight="1">
      <c r="A341" s="5" t="str">
        <f t="shared" si="5"/>
        <v/>
      </c>
      <c r="B341" s="18"/>
      <c r="C341" s="9"/>
      <c r="D341" s="15"/>
      <c r="E341" s="9"/>
      <c r="F341" s="9"/>
    </row>
    <row r="342" spans="1:6" ht="24" customHeight="1">
      <c r="A342" s="5" t="str">
        <f t="shared" si="5"/>
        <v/>
      </c>
      <c r="B342" s="18"/>
      <c r="C342" s="9"/>
      <c r="D342" s="15"/>
      <c r="E342" s="9"/>
      <c r="F342" s="9"/>
    </row>
    <row r="343" spans="1:6" ht="24" customHeight="1">
      <c r="A343" s="5" t="str">
        <f t="shared" si="5"/>
        <v/>
      </c>
      <c r="B343" s="18"/>
      <c r="C343" s="9"/>
      <c r="D343" s="15"/>
      <c r="E343" s="9"/>
      <c r="F343" s="9"/>
    </row>
    <row r="344" spans="1:6" ht="24" customHeight="1">
      <c r="A344" s="5" t="str">
        <f t="shared" si="5"/>
        <v/>
      </c>
      <c r="B344" s="18"/>
      <c r="C344" s="9"/>
      <c r="D344" s="15"/>
      <c r="E344" s="9"/>
      <c r="F344" s="9"/>
    </row>
    <row r="345" spans="1:6" ht="24" customHeight="1">
      <c r="A345" s="5" t="str">
        <f t="shared" si="5"/>
        <v/>
      </c>
      <c r="B345" s="18"/>
      <c r="C345" s="9"/>
      <c r="D345" s="15"/>
      <c r="E345" s="9"/>
      <c r="F345" s="9"/>
    </row>
    <row r="346" spans="1:6" ht="24" customHeight="1">
      <c r="A346" s="5" t="str">
        <f t="shared" si="5"/>
        <v/>
      </c>
      <c r="B346" s="18"/>
      <c r="C346" s="9"/>
      <c r="D346" s="15"/>
      <c r="E346" s="9"/>
      <c r="F346" s="9"/>
    </row>
    <row r="347" spans="1:6" ht="24" customHeight="1">
      <c r="A347" s="5" t="str">
        <f t="shared" si="5"/>
        <v/>
      </c>
      <c r="B347" s="18"/>
      <c r="C347" s="9"/>
      <c r="D347" s="15"/>
      <c r="E347" s="9"/>
      <c r="F347" s="9"/>
    </row>
    <row r="348" spans="1:6" ht="24" customHeight="1">
      <c r="A348" s="5" t="str">
        <f t="shared" si="5"/>
        <v/>
      </c>
      <c r="B348" s="18"/>
      <c r="C348" s="9"/>
      <c r="D348" s="15"/>
      <c r="E348" s="9"/>
      <c r="F348" s="9"/>
    </row>
    <row r="349" spans="1:6" ht="24" customHeight="1">
      <c r="A349" s="5" t="str">
        <f t="shared" si="5"/>
        <v/>
      </c>
      <c r="B349" s="18"/>
      <c r="C349" s="9"/>
      <c r="D349" s="15"/>
      <c r="E349" s="9"/>
      <c r="F349" s="9"/>
    </row>
    <row r="350" spans="1:6" ht="24" customHeight="1">
      <c r="A350" s="5" t="str">
        <f t="shared" si="5"/>
        <v/>
      </c>
      <c r="B350" s="18"/>
      <c r="C350" s="9"/>
      <c r="D350" s="15"/>
      <c r="E350" s="9"/>
      <c r="F350" s="9"/>
    </row>
    <row r="351" spans="1:6" ht="24" customHeight="1">
      <c r="A351" s="5" t="str">
        <f t="shared" si="5"/>
        <v/>
      </c>
      <c r="B351" s="18"/>
      <c r="C351" s="9"/>
      <c r="D351" s="15"/>
      <c r="E351" s="9"/>
      <c r="F351" s="9"/>
    </row>
    <row r="352" spans="1:6" ht="24" customHeight="1">
      <c r="A352" s="5" t="str">
        <f t="shared" si="5"/>
        <v/>
      </c>
      <c r="B352" s="18"/>
      <c r="C352" s="9"/>
      <c r="D352" s="15"/>
      <c r="E352" s="9"/>
      <c r="F352" s="9"/>
    </row>
    <row r="353" spans="1:6" ht="24" customHeight="1">
      <c r="A353" s="5" t="str">
        <f t="shared" si="5"/>
        <v/>
      </c>
      <c r="B353" s="18"/>
      <c r="C353" s="9"/>
      <c r="D353" s="15"/>
      <c r="E353" s="9"/>
      <c r="F353" s="9"/>
    </row>
    <row r="354" spans="1:6" ht="24" customHeight="1">
      <c r="A354" s="5" t="str">
        <f t="shared" si="5"/>
        <v/>
      </c>
      <c r="B354" s="18"/>
      <c r="C354" s="9"/>
      <c r="D354" s="15"/>
      <c r="E354" s="9"/>
      <c r="F354" s="9"/>
    </row>
    <row r="355" spans="1:6" ht="24" customHeight="1">
      <c r="A355" s="5" t="str">
        <f t="shared" si="5"/>
        <v/>
      </c>
      <c r="B355" s="18"/>
      <c r="C355" s="9"/>
      <c r="D355" s="15"/>
      <c r="E355" s="9"/>
      <c r="F355" s="9"/>
    </row>
    <row r="356" spans="1:6" ht="24" customHeight="1">
      <c r="A356" s="5" t="str">
        <f t="shared" si="5"/>
        <v/>
      </c>
      <c r="B356" s="18"/>
      <c r="C356" s="9"/>
      <c r="D356" s="15"/>
      <c r="E356" s="9"/>
      <c r="F356" s="9"/>
    </row>
    <row r="357" spans="1:6" ht="24" customHeight="1">
      <c r="A357" s="5" t="str">
        <f t="shared" si="5"/>
        <v/>
      </c>
      <c r="B357" s="18"/>
      <c r="C357" s="9"/>
      <c r="D357" s="15"/>
      <c r="E357" s="9"/>
      <c r="F357" s="9"/>
    </row>
    <row r="358" spans="1:6" ht="24" customHeight="1">
      <c r="A358" s="5" t="str">
        <f t="shared" si="5"/>
        <v/>
      </c>
      <c r="B358" s="18"/>
      <c r="C358" s="9"/>
      <c r="D358" s="15"/>
      <c r="E358" s="9"/>
      <c r="F358" s="9"/>
    </row>
    <row r="359" spans="1:6" ht="24" customHeight="1">
      <c r="A359" s="5" t="str">
        <f t="shared" si="5"/>
        <v/>
      </c>
      <c r="B359" s="18"/>
      <c r="C359" s="9"/>
      <c r="D359" s="15"/>
      <c r="E359" s="9"/>
      <c r="F359" s="9"/>
    </row>
    <row r="360" spans="1:6" ht="24" customHeight="1">
      <c r="A360" s="5" t="str">
        <f t="shared" si="5"/>
        <v/>
      </c>
      <c r="B360" s="18"/>
      <c r="C360" s="9"/>
      <c r="D360" s="15"/>
      <c r="E360" s="9"/>
      <c r="F360" s="9"/>
    </row>
    <row r="361" spans="1:6" ht="24" customHeight="1">
      <c r="A361" s="5" t="str">
        <f t="shared" si="5"/>
        <v/>
      </c>
      <c r="B361" s="18"/>
      <c r="C361" s="9"/>
      <c r="D361" s="15"/>
      <c r="E361" s="9"/>
      <c r="F361" s="9"/>
    </row>
    <row r="362" spans="1:6" ht="24" customHeight="1">
      <c r="A362" s="5" t="str">
        <f t="shared" si="5"/>
        <v/>
      </c>
      <c r="B362" s="18"/>
      <c r="C362" s="9"/>
      <c r="D362" s="15"/>
      <c r="E362" s="9"/>
      <c r="F362" s="9"/>
    </row>
    <row r="363" spans="1:6" ht="24" customHeight="1">
      <c r="A363" s="5" t="str">
        <f t="shared" si="5"/>
        <v/>
      </c>
      <c r="B363" s="18"/>
      <c r="C363" s="9"/>
      <c r="D363" s="15"/>
      <c r="E363" s="9"/>
      <c r="F363" s="9"/>
    </row>
    <row r="364" spans="1:6" ht="24" customHeight="1">
      <c r="A364" s="5" t="str">
        <f t="shared" si="5"/>
        <v/>
      </c>
      <c r="B364" s="18"/>
      <c r="C364" s="9"/>
      <c r="D364" s="15"/>
      <c r="E364" s="9"/>
      <c r="F364" s="9"/>
    </row>
    <row r="365" spans="1:6" ht="24" customHeight="1">
      <c r="A365" s="5" t="str">
        <f t="shared" si="5"/>
        <v/>
      </c>
      <c r="B365" s="18"/>
      <c r="C365" s="9"/>
      <c r="D365" s="15"/>
      <c r="E365" s="9"/>
      <c r="F365" s="9"/>
    </row>
    <row r="366" spans="1:6" ht="24" customHeight="1">
      <c r="A366" s="5" t="str">
        <f t="shared" si="5"/>
        <v/>
      </c>
      <c r="B366" s="18"/>
      <c r="C366" s="9"/>
      <c r="D366" s="15"/>
      <c r="E366" s="9"/>
      <c r="F366" s="9"/>
    </row>
    <row r="367" spans="1:6" ht="24" customHeight="1">
      <c r="A367" s="5" t="str">
        <f t="shared" si="5"/>
        <v/>
      </c>
      <c r="B367" s="18"/>
      <c r="C367" s="9"/>
      <c r="D367" s="15"/>
      <c r="E367" s="9"/>
      <c r="F367" s="9"/>
    </row>
    <row r="368" spans="1:6" ht="24" customHeight="1">
      <c r="A368" s="5" t="str">
        <f t="shared" si="5"/>
        <v/>
      </c>
      <c r="B368" s="18"/>
      <c r="C368" s="9"/>
      <c r="D368" s="15"/>
      <c r="E368" s="9"/>
      <c r="F368" s="9"/>
    </row>
    <row r="369" spans="1:6" ht="24" customHeight="1">
      <c r="A369" s="5" t="str">
        <f t="shared" si="5"/>
        <v/>
      </c>
      <c r="B369" s="18"/>
      <c r="C369" s="9"/>
      <c r="D369" s="15"/>
      <c r="E369" s="9"/>
      <c r="F369" s="9"/>
    </row>
    <row r="370" spans="1:6" ht="24" customHeight="1">
      <c r="A370" s="5" t="str">
        <f t="shared" si="5"/>
        <v/>
      </c>
      <c r="B370" s="18"/>
      <c r="C370" s="9"/>
      <c r="D370" s="15"/>
      <c r="E370" s="9"/>
      <c r="F370" s="9"/>
    </row>
    <row r="371" spans="1:6" ht="24" customHeight="1">
      <c r="A371" s="5" t="str">
        <f t="shared" si="5"/>
        <v/>
      </c>
      <c r="B371" s="18"/>
      <c r="C371" s="9"/>
      <c r="D371" s="15"/>
      <c r="E371" s="9"/>
      <c r="F371" s="9"/>
    </row>
    <row r="372" spans="1:6" ht="24" customHeight="1">
      <c r="A372" s="5" t="str">
        <f t="shared" si="5"/>
        <v/>
      </c>
      <c r="B372" s="18"/>
      <c r="C372" s="9"/>
      <c r="D372" s="15"/>
      <c r="E372" s="9"/>
      <c r="F372" s="9"/>
    </row>
    <row r="373" spans="1:6" ht="24" customHeight="1">
      <c r="A373" s="5" t="str">
        <f t="shared" si="5"/>
        <v/>
      </c>
      <c r="B373" s="18"/>
      <c r="C373" s="9"/>
      <c r="D373" s="15"/>
      <c r="E373" s="9"/>
      <c r="F373" s="9"/>
    </row>
    <row r="374" spans="1:6" ht="24" customHeight="1">
      <c r="A374" s="5" t="str">
        <f t="shared" si="5"/>
        <v/>
      </c>
      <c r="B374" s="18"/>
      <c r="C374" s="9"/>
      <c r="D374" s="15"/>
      <c r="E374" s="9"/>
      <c r="F374" s="9"/>
    </row>
    <row r="375" spans="1:6" ht="24" customHeight="1">
      <c r="A375" s="5" t="str">
        <f t="shared" si="5"/>
        <v/>
      </c>
      <c r="B375" s="18"/>
      <c r="C375" s="9"/>
      <c r="D375" s="15"/>
      <c r="E375" s="9"/>
      <c r="F375" s="9"/>
    </row>
    <row r="376" spans="1:6" ht="24" customHeight="1">
      <c r="A376" s="5" t="str">
        <f t="shared" si="5"/>
        <v/>
      </c>
      <c r="B376" s="18"/>
      <c r="C376" s="9"/>
      <c r="D376" s="15"/>
      <c r="E376" s="9"/>
      <c r="F376" s="9"/>
    </row>
    <row r="377" spans="1:6" ht="24" customHeight="1">
      <c r="A377" s="5" t="str">
        <f t="shared" si="5"/>
        <v/>
      </c>
      <c r="B377" s="18"/>
      <c r="C377" s="9"/>
      <c r="D377" s="15"/>
      <c r="E377" s="9"/>
      <c r="F377" s="9"/>
    </row>
    <row r="378" spans="1:6" ht="24" customHeight="1">
      <c r="A378" s="5" t="str">
        <f t="shared" si="5"/>
        <v/>
      </c>
      <c r="B378" s="18"/>
      <c r="C378" s="9"/>
      <c r="D378" s="15"/>
      <c r="E378" s="9"/>
      <c r="F378" s="9"/>
    </row>
    <row r="379" spans="1:6" ht="24" customHeight="1">
      <c r="A379" s="5" t="str">
        <f t="shared" si="5"/>
        <v/>
      </c>
      <c r="B379" s="18"/>
      <c r="C379" s="9"/>
      <c r="D379" s="15"/>
      <c r="E379" s="9"/>
      <c r="F379" s="9"/>
    </row>
    <row r="380" spans="1:6" ht="24" customHeight="1">
      <c r="A380" s="5" t="str">
        <f t="shared" si="5"/>
        <v/>
      </c>
      <c r="B380" s="18"/>
      <c r="C380" s="9"/>
      <c r="D380" s="15"/>
      <c r="E380" s="9"/>
      <c r="F380" s="9"/>
    </row>
    <row r="381" spans="1:6" ht="24" customHeight="1">
      <c r="A381" s="5" t="str">
        <f t="shared" si="5"/>
        <v/>
      </c>
      <c r="B381" s="18"/>
      <c r="C381" s="9"/>
      <c r="D381" s="15"/>
      <c r="E381" s="9"/>
      <c r="F381" s="9"/>
    </row>
    <row r="382" spans="1:6" ht="24" customHeight="1">
      <c r="A382" s="5" t="str">
        <f t="shared" si="5"/>
        <v/>
      </c>
      <c r="B382" s="18"/>
      <c r="C382" s="9"/>
      <c r="D382" s="15"/>
      <c r="E382" s="9"/>
      <c r="F382" s="9"/>
    </row>
    <row r="383" spans="1:6" ht="24" customHeight="1">
      <c r="A383" s="5" t="str">
        <f t="shared" si="5"/>
        <v/>
      </c>
      <c r="B383" s="18"/>
      <c r="C383" s="9"/>
      <c r="D383" s="15"/>
      <c r="E383" s="9"/>
      <c r="F383" s="9"/>
    </row>
    <row r="384" spans="1:6" ht="24" customHeight="1">
      <c r="A384" s="5" t="str">
        <f t="shared" si="5"/>
        <v/>
      </c>
      <c r="B384" s="18"/>
      <c r="C384" s="9"/>
      <c r="D384" s="15"/>
      <c r="E384" s="9"/>
      <c r="F384" s="9"/>
    </row>
    <row r="385" spans="1:6" ht="24" customHeight="1">
      <c r="A385" s="5" t="str">
        <f t="shared" si="5"/>
        <v/>
      </c>
      <c r="B385" s="18"/>
      <c r="C385" s="9"/>
      <c r="D385" s="15"/>
      <c r="E385" s="9"/>
      <c r="F385" s="9"/>
    </row>
    <row r="386" spans="1:6" ht="24" customHeight="1">
      <c r="A386" s="5" t="str">
        <f t="shared" ref="A386:A449" si="6">IF(C386="","",ROW()-1)</f>
        <v/>
      </c>
      <c r="B386" s="18"/>
      <c r="C386" s="9"/>
      <c r="D386" s="15"/>
      <c r="E386" s="9"/>
      <c r="F386" s="9"/>
    </row>
    <row r="387" spans="1:6" ht="24" customHeight="1">
      <c r="A387" s="5" t="str">
        <f t="shared" si="6"/>
        <v/>
      </c>
      <c r="B387" s="18"/>
      <c r="C387" s="9"/>
      <c r="D387" s="15"/>
      <c r="E387" s="9"/>
      <c r="F387" s="9"/>
    </row>
    <row r="388" spans="1:6" ht="24" customHeight="1">
      <c r="A388" s="5" t="str">
        <f t="shared" si="6"/>
        <v/>
      </c>
      <c r="B388" s="18"/>
      <c r="C388" s="9"/>
      <c r="D388" s="15"/>
      <c r="E388" s="9"/>
      <c r="F388" s="9"/>
    </row>
    <row r="389" spans="1:6" ht="24" customHeight="1">
      <c r="A389" s="5" t="str">
        <f t="shared" si="6"/>
        <v/>
      </c>
      <c r="B389" s="18"/>
      <c r="C389" s="9"/>
      <c r="D389" s="15"/>
      <c r="E389" s="9"/>
      <c r="F389" s="9"/>
    </row>
    <row r="390" spans="1:6" ht="24" customHeight="1">
      <c r="A390" s="5" t="str">
        <f t="shared" si="6"/>
        <v/>
      </c>
      <c r="B390" s="18"/>
      <c r="C390" s="9"/>
      <c r="D390" s="15"/>
      <c r="E390" s="9"/>
      <c r="F390" s="9"/>
    </row>
    <row r="391" spans="1:6" ht="24" customHeight="1">
      <c r="A391" s="5" t="str">
        <f t="shared" si="6"/>
        <v/>
      </c>
      <c r="B391" s="18"/>
      <c r="C391" s="9"/>
      <c r="D391" s="15"/>
      <c r="E391" s="9"/>
      <c r="F391" s="9"/>
    </row>
    <row r="392" spans="1:6" ht="24" customHeight="1">
      <c r="A392" s="5" t="str">
        <f t="shared" si="6"/>
        <v/>
      </c>
      <c r="B392" s="18"/>
      <c r="C392" s="9"/>
      <c r="D392" s="15"/>
      <c r="E392" s="9"/>
      <c r="F392" s="9"/>
    </row>
    <row r="393" spans="1:6" ht="24" customHeight="1">
      <c r="A393" s="5" t="str">
        <f t="shared" si="6"/>
        <v/>
      </c>
      <c r="B393" s="18"/>
      <c r="C393" s="9"/>
      <c r="D393" s="15"/>
      <c r="E393" s="9"/>
      <c r="F393" s="9"/>
    </row>
    <row r="394" spans="1:6" ht="24" customHeight="1">
      <c r="A394" s="5" t="str">
        <f t="shared" si="6"/>
        <v/>
      </c>
      <c r="B394" s="18"/>
      <c r="C394" s="9"/>
      <c r="D394" s="15"/>
      <c r="E394" s="9"/>
      <c r="F394" s="9"/>
    </row>
    <row r="395" spans="1:6" ht="24" customHeight="1">
      <c r="A395" s="5" t="str">
        <f t="shared" si="6"/>
        <v/>
      </c>
      <c r="B395" s="18"/>
      <c r="C395" s="9"/>
      <c r="D395" s="15"/>
      <c r="E395" s="9"/>
      <c r="F395" s="9"/>
    </row>
    <row r="396" spans="1:6" ht="24" customHeight="1">
      <c r="A396" s="5" t="str">
        <f t="shared" si="6"/>
        <v/>
      </c>
      <c r="B396" s="18"/>
      <c r="C396" s="9"/>
      <c r="D396" s="15"/>
      <c r="E396" s="9"/>
      <c r="F396" s="9"/>
    </row>
    <row r="397" spans="1:6" ht="24" customHeight="1">
      <c r="A397" s="5" t="str">
        <f t="shared" si="6"/>
        <v/>
      </c>
      <c r="B397" s="18"/>
      <c r="C397" s="9"/>
      <c r="D397" s="15"/>
      <c r="E397" s="9"/>
      <c r="F397" s="9"/>
    </row>
    <row r="398" spans="1:6" ht="24" customHeight="1">
      <c r="A398" s="5" t="str">
        <f t="shared" si="6"/>
        <v/>
      </c>
      <c r="B398" s="18"/>
      <c r="C398" s="9"/>
      <c r="D398" s="15"/>
      <c r="E398" s="9"/>
      <c r="F398" s="9"/>
    </row>
    <row r="399" spans="1:6" ht="24" customHeight="1">
      <c r="A399" s="5" t="str">
        <f t="shared" si="6"/>
        <v/>
      </c>
      <c r="B399" s="18"/>
      <c r="C399" s="9"/>
      <c r="D399" s="15"/>
      <c r="E399" s="9"/>
      <c r="F399" s="9"/>
    </row>
    <row r="400" spans="1:6" ht="24" customHeight="1">
      <c r="A400" s="5" t="str">
        <f t="shared" si="6"/>
        <v/>
      </c>
      <c r="B400" s="18"/>
      <c r="C400" s="9"/>
      <c r="D400" s="15"/>
      <c r="E400" s="9"/>
      <c r="F400" s="9"/>
    </row>
    <row r="401" spans="1:6" ht="24" customHeight="1">
      <c r="A401" s="5" t="str">
        <f t="shared" si="6"/>
        <v/>
      </c>
      <c r="B401" s="18"/>
      <c r="C401" s="9"/>
      <c r="D401" s="15"/>
      <c r="E401" s="9"/>
      <c r="F401" s="9"/>
    </row>
    <row r="402" spans="1:6" ht="24" customHeight="1">
      <c r="A402" s="5" t="str">
        <f t="shared" si="6"/>
        <v/>
      </c>
      <c r="B402" s="18"/>
      <c r="C402" s="9"/>
      <c r="D402" s="15"/>
      <c r="E402" s="9"/>
      <c r="F402" s="9"/>
    </row>
    <row r="403" spans="1:6" ht="24" customHeight="1">
      <c r="A403" s="5" t="str">
        <f t="shared" si="6"/>
        <v/>
      </c>
      <c r="B403" s="18"/>
      <c r="C403" s="9"/>
      <c r="D403" s="15"/>
      <c r="E403" s="9"/>
      <c r="F403" s="9"/>
    </row>
    <row r="404" spans="1:6" ht="24" customHeight="1">
      <c r="A404" s="5" t="str">
        <f t="shared" si="6"/>
        <v/>
      </c>
      <c r="B404" s="18"/>
      <c r="C404" s="9"/>
      <c r="D404" s="15"/>
      <c r="E404" s="9"/>
      <c r="F404" s="9"/>
    </row>
    <row r="405" spans="1:6" ht="24" customHeight="1">
      <c r="A405" s="5" t="str">
        <f t="shared" si="6"/>
        <v/>
      </c>
      <c r="B405" s="18"/>
      <c r="C405" s="9"/>
      <c r="D405" s="15"/>
      <c r="E405" s="9"/>
      <c r="F405" s="9"/>
    </row>
    <row r="406" spans="1:6" ht="24" customHeight="1">
      <c r="A406" s="5" t="str">
        <f t="shared" si="6"/>
        <v/>
      </c>
      <c r="B406" s="18"/>
      <c r="C406" s="9"/>
      <c r="D406" s="15"/>
      <c r="E406" s="9"/>
      <c r="F406" s="9"/>
    </row>
    <row r="407" spans="1:6" ht="24" customHeight="1">
      <c r="A407" s="5" t="str">
        <f t="shared" si="6"/>
        <v/>
      </c>
      <c r="B407" s="18"/>
      <c r="C407" s="9"/>
      <c r="D407" s="15"/>
      <c r="E407" s="9"/>
      <c r="F407" s="9"/>
    </row>
    <row r="408" spans="1:6" ht="24" customHeight="1">
      <c r="A408" s="5" t="str">
        <f t="shared" si="6"/>
        <v/>
      </c>
      <c r="B408" s="18"/>
      <c r="C408" s="9"/>
      <c r="D408" s="15"/>
      <c r="E408" s="9"/>
      <c r="F408" s="9"/>
    </row>
    <row r="409" spans="1:6" ht="24" customHeight="1">
      <c r="A409" s="5" t="str">
        <f t="shared" si="6"/>
        <v/>
      </c>
      <c r="B409" s="18"/>
      <c r="C409" s="9"/>
      <c r="D409" s="15"/>
      <c r="E409" s="9"/>
      <c r="F409" s="9"/>
    </row>
    <row r="410" spans="1:6" ht="24" customHeight="1">
      <c r="A410" s="5" t="str">
        <f t="shared" si="6"/>
        <v/>
      </c>
      <c r="B410" s="18"/>
      <c r="C410" s="9"/>
      <c r="D410" s="15"/>
      <c r="E410" s="9"/>
      <c r="F410" s="9"/>
    </row>
    <row r="411" spans="1:6" ht="24" customHeight="1">
      <c r="A411" s="5" t="str">
        <f t="shared" si="6"/>
        <v/>
      </c>
      <c r="B411" s="18"/>
      <c r="C411" s="9"/>
      <c r="D411" s="15"/>
      <c r="E411" s="9"/>
      <c r="F411" s="9"/>
    </row>
    <row r="412" spans="1:6" ht="24" customHeight="1">
      <c r="A412" s="5" t="str">
        <f t="shared" si="6"/>
        <v/>
      </c>
      <c r="B412" s="18"/>
      <c r="C412" s="9"/>
      <c r="D412" s="15"/>
      <c r="E412" s="9"/>
      <c r="F412" s="9"/>
    </row>
    <row r="413" spans="1:6" ht="24" customHeight="1">
      <c r="A413" s="5" t="str">
        <f t="shared" si="6"/>
        <v/>
      </c>
      <c r="B413" s="18"/>
      <c r="C413" s="9"/>
      <c r="D413" s="15"/>
      <c r="E413" s="9"/>
      <c r="F413" s="9"/>
    </row>
    <row r="414" spans="1:6" ht="24" customHeight="1">
      <c r="A414" s="5" t="str">
        <f t="shared" si="6"/>
        <v/>
      </c>
      <c r="B414" s="18"/>
      <c r="C414" s="9"/>
      <c r="D414" s="15"/>
      <c r="E414" s="9"/>
      <c r="F414" s="9"/>
    </row>
    <row r="415" spans="1:6" ht="24" customHeight="1">
      <c r="A415" s="5" t="str">
        <f t="shared" si="6"/>
        <v/>
      </c>
      <c r="B415" s="18"/>
      <c r="C415" s="9"/>
      <c r="D415" s="15"/>
      <c r="E415" s="9"/>
      <c r="F415" s="9"/>
    </row>
    <row r="416" spans="1:6" ht="24" customHeight="1">
      <c r="A416" s="5" t="str">
        <f t="shared" si="6"/>
        <v/>
      </c>
      <c r="B416" s="18"/>
      <c r="C416" s="9"/>
      <c r="D416" s="15"/>
      <c r="E416" s="9"/>
      <c r="F416" s="9"/>
    </row>
    <row r="417" spans="1:6" ht="24" customHeight="1">
      <c r="A417" s="5" t="str">
        <f t="shared" si="6"/>
        <v/>
      </c>
      <c r="B417" s="18"/>
      <c r="C417" s="9"/>
      <c r="D417" s="15"/>
      <c r="E417" s="9"/>
      <c r="F417" s="9"/>
    </row>
    <row r="418" spans="1:6" ht="24" customHeight="1">
      <c r="A418" s="5" t="str">
        <f t="shared" si="6"/>
        <v/>
      </c>
      <c r="B418" s="18"/>
      <c r="C418" s="9"/>
      <c r="D418" s="15"/>
      <c r="E418" s="9"/>
      <c r="F418" s="9"/>
    </row>
    <row r="419" spans="1:6" ht="24" customHeight="1">
      <c r="A419" s="5" t="str">
        <f t="shared" si="6"/>
        <v/>
      </c>
      <c r="B419" s="18"/>
      <c r="C419" s="9"/>
      <c r="D419" s="15"/>
      <c r="E419" s="9"/>
      <c r="F419" s="9"/>
    </row>
    <row r="420" spans="1:6" ht="24" customHeight="1">
      <c r="A420" s="5" t="str">
        <f t="shared" si="6"/>
        <v/>
      </c>
      <c r="B420" s="18"/>
      <c r="C420" s="9"/>
      <c r="D420" s="15"/>
      <c r="E420" s="9"/>
      <c r="F420" s="9"/>
    </row>
    <row r="421" spans="1:6" ht="24" customHeight="1">
      <c r="A421" s="5" t="str">
        <f t="shared" si="6"/>
        <v/>
      </c>
      <c r="B421" s="18"/>
      <c r="C421" s="9"/>
      <c r="D421" s="15"/>
      <c r="E421" s="9"/>
      <c r="F421" s="9"/>
    </row>
    <row r="422" spans="1:6" ht="24" customHeight="1">
      <c r="A422" s="5" t="str">
        <f t="shared" si="6"/>
        <v/>
      </c>
      <c r="B422" s="18"/>
      <c r="C422" s="9"/>
      <c r="D422" s="15"/>
      <c r="E422" s="9"/>
      <c r="F422" s="9"/>
    </row>
    <row r="423" spans="1:6" ht="24" customHeight="1">
      <c r="A423" s="5" t="str">
        <f t="shared" si="6"/>
        <v/>
      </c>
      <c r="B423" s="18"/>
      <c r="C423" s="9"/>
      <c r="D423" s="15"/>
      <c r="E423" s="9"/>
      <c r="F423" s="9"/>
    </row>
    <row r="424" spans="1:6" ht="24" customHeight="1">
      <c r="A424" s="5" t="str">
        <f t="shared" si="6"/>
        <v/>
      </c>
      <c r="B424" s="18"/>
      <c r="C424" s="9"/>
      <c r="D424" s="15"/>
      <c r="E424" s="9"/>
      <c r="F424" s="9"/>
    </row>
    <row r="425" spans="1:6" ht="24" customHeight="1">
      <c r="A425" s="5" t="str">
        <f t="shared" si="6"/>
        <v/>
      </c>
      <c r="B425" s="18"/>
      <c r="C425" s="9"/>
      <c r="D425" s="15"/>
      <c r="E425" s="9"/>
      <c r="F425" s="9"/>
    </row>
    <row r="426" spans="1:6" ht="24" customHeight="1">
      <c r="A426" s="5" t="str">
        <f t="shared" si="6"/>
        <v/>
      </c>
      <c r="B426" s="18"/>
      <c r="C426" s="9"/>
      <c r="D426" s="15"/>
      <c r="E426" s="9"/>
      <c r="F426" s="9"/>
    </row>
    <row r="427" spans="1:6" ht="24" customHeight="1">
      <c r="A427" s="5" t="str">
        <f t="shared" si="6"/>
        <v/>
      </c>
      <c r="B427" s="18"/>
      <c r="C427" s="9"/>
      <c r="D427" s="15"/>
      <c r="E427" s="9"/>
      <c r="F427" s="9"/>
    </row>
    <row r="428" spans="1:6" ht="24" customHeight="1">
      <c r="A428" s="5" t="str">
        <f t="shared" si="6"/>
        <v/>
      </c>
      <c r="B428" s="18"/>
      <c r="C428" s="9"/>
      <c r="D428" s="15"/>
      <c r="E428" s="9"/>
      <c r="F428" s="9"/>
    </row>
    <row r="429" spans="1:6" ht="24" customHeight="1">
      <c r="A429" s="5" t="str">
        <f t="shared" si="6"/>
        <v/>
      </c>
      <c r="B429" s="18"/>
      <c r="C429" s="9"/>
      <c r="D429" s="15"/>
      <c r="E429" s="9"/>
      <c r="F429" s="9"/>
    </row>
    <row r="430" spans="1:6" ht="24" customHeight="1">
      <c r="A430" s="5" t="str">
        <f t="shared" si="6"/>
        <v/>
      </c>
      <c r="B430" s="18"/>
      <c r="C430" s="9"/>
      <c r="D430" s="15"/>
      <c r="E430" s="9"/>
      <c r="F430" s="9"/>
    </row>
    <row r="431" spans="1:6" ht="24" customHeight="1">
      <c r="A431" s="5" t="str">
        <f t="shared" si="6"/>
        <v/>
      </c>
      <c r="B431" s="18"/>
      <c r="C431" s="9"/>
      <c r="D431" s="15"/>
      <c r="E431" s="9"/>
      <c r="F431" s="9"/>
    </row>
    <row r="432" spans="1:6" ht="24" customHeight="1">
      <c r="A432" s="5" t="str">
        <f t="shared" si="6"/>
        <v/>
      </c>
      <c r="B432" s="18"/>
      <c r="C432" s="9"/>
      <c r="D432" s="15"/>
      <c r="E432" s="9"/>
      <c r="F432" s="9"/>
    </row>
    <row r="433" spans="1:6" ht="24" customHeight="1">
      <c r="A433" s="5" t="str">
        <f t="shared" si="6"/>
        <v/>
      </c>
      <c r="B433" s="18"/>
      <c r="C433" s="9"/>
      <c r="D433" s="15"/>
      <c r="E433" s="9"/>
      <c r="F433" s="9"/>
    </row>
    <row r="434" spans="1:6" ht="24" customHeight="1">
      <c r="A434" s="5" t="str">
        <f t="shared" si="6"/>
        <v/>
      </c>
      <c r="B434" s="18"/>
      <c r="C434" s="9"/>
      <c r="D434" s="15"/>
      <c r="E434" s="9"/>
      <c r="F434" s="9"/>
    </row>
    <row r="435" spans="1:6" ht="24" customHeight="1">
      <c r="A435" s="5" t="str">
        <f t="shared" si="6"/>
        <v/>
      </c>
      <c r="B435" s="18"/>
      <c r="C435" s="9"/>
      <c r="D435" s="15"/>
      <c r="E435" s="9"/>
      <c r="F435" s="9"/>
    </row>
    <row r="436" spans="1:6" ht="24" customHeight="1">
      <c r="A436" s="5" t="str">
        <f t="shared" si="6"/>
        <v/>
      </c>
      <c r="B436" s="18"/>
      <c r="C436" s="9"/>
      <c r="D436" s="15"/>
      <c r="E436" s="9"/>
      <c r="F436" s="9"/>
    </row>
    <row r="437" spans="1:6" ht="24" customHeight="1">
      <c r="A437" s="5" t="str">
        <f t="shared" si="6"/>
        <v/>
      </c>
      <c r="B437" s="18"/>
      <c r="C437" s="9"/>
      <c r="D437" s="15"/>
      <c r="E437" s="9"/>
      <c r="F437" s="9"/>
    </row>
    <row r="438" spans="1:6" ht="24" customHeight="1">
      <c r="A438" s="5" t="str">
        <f t="shared" si="6"/>
        <v/>
      </c>
      <c r="B438" s="18"/>
      <c r="C438" s="9"/>
      <c r="D438" s="15"/>
      <c r="E438" s="9"/>
      <c r="F438" s="9"/>
    </row>
    <row r="439" spans="1:6" ht="24" customHeight="1">
      <c r="A439" s="5" t="str">
        <f t="shared" si="6"/>
        <v/>
      </c>
      <c r="B439" s="18"/>
      <c r="C439" s="9"/>
      <c r="D439" s="15"/>
      <c r="E439" s="9"/>
      <c r="F439" s="9"/>
    </row>
    <row r="440" spans="1:6" ht="24" customHeight="1">
      <c r="A440" s="5" t="str">
        <f t="shared" si="6"/>
        <v/>
      </c>
      <c r="B440" s="18"/>
      <c r="C440" s="9"/>
      <c r="D440" s="15"/>
      <c r="E440" s="9"/>
      <c r="F440" s="9"/>
    </row>
    <row r="441" spans="1:6" ht="24" customHeight="1">
      <c r="A441" s="5" t="str">
        <f t="shared" si="6"/>
        <v/>
      </c>
      <c r="B441" s="18"/>
      <c r="C441" s="9"/>
      <c r="D441" s="15"/>
      <c r="E441" s="9"/>
      <c r="F441" s="9"/>
    </row>
    <row r="442" spans="1:6" ht="24" customHeight="1">
      <c r="A442" s="5" t="str">
        <f t="shared" si="6"/>
        <v/>
      </c>
      <c r="B442" s="18"/>
      <c r="C442" s="9"/>
      <c r="D442" s="15"/>
      <c r="E442" s="9"/>
      <c r="F442" s="9"/>
    </row>
    <row r="443" spans="1:6" ht="24" customHeight="1">
      <c r="A443" s="5" t="str">
        <f t="shared" si="6"/>
        <v/>
      </c>
      <c r="B443" s="18"/>
      <c r="C443" s="9"/>
      <c r="D443" s="15"/>
      <c r="E443" s="9"/>
      <c r="F443" s="9"/>
    </row>
    <row r="444" spans="1:6" ht="24" customHeight="1">
      <c r="A444" s="5" t="str">
        <f t="shared" si="6"/>
        <v/>
      </c>
      <c r="B444" s="18"/>
      <c r="C444" s="9"/>
      <c r="D444" s="15"/>
      <c r="E444" s="9"/>
      <c r="F444" s="9"/>
    </row>
    <row r="445" spans="1:6" ht="24" customHeight="1">
      <c r="A445" s="5" t="str">
        <f t="shared" si="6"/>
        <v/>
      </c>
      <c r="B445" s="18"/>
      <c r="C445" s="9"/>
      <c r="D445" s="15"/>
      <c r="E445" s="9"/>
      <c r="F445" s="9"/>
    </row>
    <row r="446" spans="1:6" ht="24" customHeight="1">
      <c r="A446" s="5" t="str">
        <f t="shared" si="6"/>
        <v/>
      </c>
      <c r="B446" s="18"/>
      <c r="C446" s="9"/>
      <c r="D446" s="15"/>
      <c r="E446" s="9"/>
      <c r="F446" s="9"/>
    </row>
    <row r="447" spans="1:6" ht="24" customHeight="1">
      <c r="A447" s="5" t="str">
        <f t="shared" si="6"/>
        <v/>
      </c>
      <c r="B447" s="18"/>
      <c r="C447" s="9"/>
      <c r="D447" s="15"/>
      <c r="E447" s="9"/>
      <c r="F447" s="9"/>
    </row>
    <row r="448" spans="1:6" ht="24" customHeight="1">
      <c r="A448" s="5" t="str">
        <f t="shared" si="6"/>
        <v/>
      </c>
      <c r="B448" s="18"/>
      <c r="C448" s="9"/>
      <c r="D448" s="15"/>
      <c r="E448" s="9"/>
      <c r="F448" s="9"/>
    </row>
    <row r="449" spans="1:6" ht="24" customHeight="1">
      <c r="A449" s="5" t="str">
        <f t="shared" si="6"/>
        <v/>
      </c>
      <c r="B449" s="18"/>
      <c r="C449" s="9"/>
      <c r="D449" s="15"/>
      <c r="E449" s="9"/>
      <c r="F449" s="9"/>
    </row>
    <row r="450" spans="1:6" ht="24" customHeight="1">
      <c r="A450" s="5" t="str">
        <f t="shared" ref="A450:A501" si="7">IF(C450="","",ROW()-1)</f>
        <v/>
      </c>
      <c r="B450" s="18"/>
      <c r="C450" s="9"/>
      <c r="D450" s="15"/>
      <c r="E450" s="9"/>
      <c r="F450" s="9"/>
    </row>
    <row r="451" spans="1:6" ht="24" customHeight="1">
      <c r="A451" s="5" t="str">
        <f t="shared" si="7"/>
        <v/>
      </c>
      <c r="B451" s="18"/>
      <c r="C451" s="9"/>
      <c r="D451" s="15"/>
      <c r="E451" s="9"/>
      <c r="F451" s="9"/>
    </row>
    <row r="452" spans="1:6" ht="24" customHeight="1">
      <c r="A452" s="5" t="str">
        <f t="shared" si="7"/>
        <v/>
      </c>
      <c r="B452" s="18"/>
      <c r="C452" s="9"/>
      <c r="D452" s="15"/>
      <c r="E452" s="9"/>
      <c r="F452" s="9"/>
    </row>
    <row r="453" spans="1:6" ht="24" customHeight="1">
      <c r="A453" s="5" t="str">
        <f t="shared" si="7"/>
        <v/>
      </c>
      <c r="B453" s="18"/>
      <c r="C453" s="9"/>
      <c r="D453" s="15"/>
      <c r="E453" s="9"/>
      <c r="F453" s="9"/>
    </row>
    <row r="454" spans="1:6" ht="24" customHeight="1">
      <c r="A454" s="5" t="str">
        <f t="shared" si="7"/>
        <v/>
      </c>
      <c r="B454" s="18"/>
      <c r="C454" s="9"/>
      <c r="D454" s="15"/>
      <c r="E454" s="9"/>
      <c r="F454" s="9"/>
    </row>
    <row r="455" spans="1:6" ht="24" customHeight="1">
      <c r="A455" s="5" t="str">
        <f t="shared" si="7"/>
        <v/>
      </c>
      <c r="B455" s="18"/>
      <c r="C455" s="9"/>
      <c r="D455" s="15"/>
      <c r="E455" s="9"/>
      <c r="F455" s="9"/>
    </row>
    <row r="456" spans="1:6" ht="24" customHeight="1">
      <c r="A456" s="5" t="str">
        <f t="shared" si="7"/>
        <v/>
      </c>
      <c r="B456" s="18"/>
      <c r="C456" s="9"/>
      <c r="D456" s="15"/>
      <c r="E456" s="9"/>
      <c r="F456" s="9"/>
    </row>
    <row r="457" spans="1:6" ht="24" customHeight="1">
      <c r="A457" s="5" t="str">
        <f t="shared" si="7"/>
        <v/>
      </c>
      <c r="B457" s="18"/>
      <c r="C457" s="9"/>
      <c r="D457" s="15"/>
      <c r="E457" s="9"/>
      <c r="F457" s="9"/>
    </row>
    <row r="458" spans="1:6" ht="24" customHeight="1">
      <c r="A458" s="5" t="str">
        <f t="shared" si="7"/>
        <v/>
      </c>
      <c r="B458" s="18"/>
      <c r="C458" s="9"/>
      <c r="D458" s="15"/>
      <c r="E458" s="9"/>
      <c r="F458" s="9"/>
    </row>
    <row r="459" spans="1:6" ht="24" customHeight="1">
      <c r="A459" s="5" t="str">
        <f t="shared" si="7"/>
        <v/>
      </c>
      <c r="B459" s="18"/>
      <c r="C459" s="9"/>
      <c r="D459" s="15"/>
      <c r="E459" s="9"/>
      <c r="F459" s="9"/>
    </row>
    <row r="460" spans="1:6" ht="24" customHeight="1">
      <c r="A460" s="5" t="str">
        <f t="shared" si="7"/>
        <v/>
      </c>
      <c r="B460" s="18"/>
      <c r="C460" s="9"/>
      <c r="D460" s="15"/>
      <c r="E460" s="9"/>
      <c r="F460" s="9"/>
    </row>
    <row r="461" spans="1:6" ht="24" customHeight="1">
      <c r="A461" s="5" t="str">
        <f t="shared" si="7"/>
        <v/>
      </c>
      <c r="B461" s="18"/>
      <c r="C461" s="9"/>
      <c r="D461" s="15"/>
      <c r="E461" s="9"/>
      <c r="F461" s="9"/>
    </row>
    <row r="462" spans="1:6" ht="24" customHeight="1">
      <c r="A462" s="5" t="str">
        <f t="shared" si="7"/>
        <v/>
      </c>
      <c r="B462" s="18"/>
      <c r="C462" s="9"/>
      <c r="D462" s="15"/>
      <c r="E462" s="9"/>
      <c r="F462" s="9"/>
    </row>
    <row r="463" spans="1:6" ht="24" customHeight="1">
      <c r="A463" s="5" t="str">
        <f t="shared" si="7"/>
        <v/>
      </c>
      <c r="B463" s="18"/>
      <c r="C463" s="9"/>
      <c r="D463" s="15"/>
      <c r="E463" s="9"/>
      <c r="F463" s="9"/>
    </row>
    <row r="464" spans="1:6" ht="24" customHeight="1">
      <c r="A464" s="5" t="str">
        <f t="shared" si="7"/>
        <v/>
      </c>
      <c r="B464" s="18"/>
      <c r="C464" s="9"/>
      <c r="D464" s="15"/>
      <c r="E464" s="9"/>
      <c r="F464" s="9"/>
    </row>
    <row r="465" spans="1:6" ht="24" customHeight="1">
      <c r="A465" s="5" t="str">
        <f t="shared" si="7"/>
        <v/>
      </c>
      <c r="B465" s="18"/>
      <c r="C465" s="9"/>
      <c r="D465" s="15"/>
      <c r="E465" s="9"/>
      <c r="F465" s="9"/>
    </row>
    <row r="466" spans="1:6" ht="24" customHeight="1">
      <c r="A466" s="5" t="str">
        <f t="shared" si="7"/>
        <v/>
      </c>
      <c r="B466" s="18"/>
      <c r="C466" s="9"/>
      <c r="D466" s="15"/>
      <c r="E466" s="9"/>
      <c r="F466" s="9"/>
    </row>
    <row r="467" spans="1:6" ht="24" customHeight="1">
      <c r="A467" s="5" t="str">
        <f t="shared" si="7"/>
        <v/>
      </c>
      <c r="B467" s="18"/>
      <c r="C467" s="9"/>
      <c r="D467" s="15"/>
      <c r="E467" s="9"/>
      <c r="F467" s="9"/>
    </row>
    <row r="468" spans="1:6" ht="24" customHeight="1">
      <c r="A468" s="5" t="str">
        <f t="shared" si="7"/>
        <v/>
      </c>
      <c r="B468" s="18"/>
      <c r="C468" s="9"/>
      <c r="D468" s="15"/>
      <c r="E468" s="9"/>
      <c r="F468" s="9"/>
    </row>
    <row r="469" spans="1:6" ht="24" customHeight="1">
      <c r="A469" s="5" t="str">
        <f t="shared" si="7"/>
        <v/>
      </c>
      <c r="B469" s="18"/>
      <c r="C469" s="9"/>
      <c r="D469" s="15"/>
      <c r="E469" s="9"/>
      <c r="F469" s="9"/>
    </row>
    <row r="470" spans="1:6" ht="24" customHeight="1">
      <c r="A470" s="5" t="str">
        <f t="shared" si="7"/>
        <v/>
      </c>
      <c r="B470" s="18"/>
      <c r="C470" s="9"/>
      <c r="D470" s="15"/>
      <c r="E470" s="9"/>
      <c r="F470" s="9"/>
    </row>
    <row r="471" spans="1:6" ht="24" customHeight="1">
      <c r="A471" s="5" t="str">
        <f t="shared" si="7"/>
        <v/>
      </c>
      <c r="B471" s="18"/>
      <c r="C471" s="9"/>
      <c r="D471" s="15"/>
      <c r="E471" s="9"/>
      <c r="F471" s="9"/>
    </row>
    <row r="472" spans="1:6" ht="24" customHeight="1">
      <c r="A472" s="5" t="str">
        <f t="shared" si="7"/>
        <v/>
      </c>
      <c r="B472" s="18"/>
      <c r="C472" s="9"/>
      <c r="D472" s="15"/>
      <c r="E472" s="9"/>
      <c r="F472" s="9"/>
    </row>
    <row r="473" spans="1:6" ht="24" customHeight="1">
      <c r="A473" s="5" t="str">
        <f t="shared" si="7"/>
        <v/>
      </c>
      <c r="B473" s="18"/>
      <c r="C473" s="9"/>
      <c r="D473" s="15"/>
      <c r="E473" s="9"/>
      <c r="F473" s="9"/>
    </row>
    <row r="474" spans="1:6" ht="24" customHeight="1">
      <c r="A474" s="5" t="str">
        <f t="shared" si="7"/>
        <v/>
      </c>
      <c r="B474" s="18"/>
      <c r="C474" s="9"/>
      <c r="D474" s="15"/>
      <c r="E474" s="9"/>
      <c r="F474" s="9"/>
    </row>
    <row r="475" spans="1:6" ht="24" customHeight="1">
      <c r="A475" s="5" t="str">
        <f t="shared" si="7"/>
        <v/>
      </c>
      <c r="B475" s="18"/>
      <c r="C475" s="9"/>
      <c r="D475" s="15"/>
      <c r="E475" s="9"/>
      <c r="F475" s="9"/>
    </row>
    <row r="476" spans="1:6" ht="24" customHeight="1">
      <c r="A476" s="5" t="str">
        <f t="shared" si="7"/>
        <v/>
      </c>
      <c r="B476" s="18"/>
      <c r="C476" s="9"/>
      <c r="D476" s="15"/>
      <c r="E476" s="9"/>
      <c r="F476" s="9"/>
    </row>
    <row r="477" spans="1:6" ht="24" customHeight="1">
      <c r="A477" s="5" t="str">
        <f t="shared" si="7"/>
        <v/>
      </c>
      <c r="B477" s="18"/>
      <c r="C477" s="9"/>
      <c r="D477" s="15"/>
      <c r="E477" s="9"/>
      <c r="F477" s="9"/>
    </row>
    <row r="478" spans="1:6" ht="24" customHeight="1">
      <c r="A478" s="5" t="str">
        <f t="shared" si="7"/>
        <v/>
      </c>
      <c r="B478" s="18"/>
      <c r="C478" s="9"/>
      <c r="D478" s="15"/>
      <c r="E478" s="9"/>
      <c r="F478" s="9"/>
    </row>
    <row r="479" spans="1:6" ht="24" customHeight="1">
      <c r="A479" s="5" t="str">
        <f t="shared" si="7"/>
        <v/>
      </c>
      <c r="B479" s="18"/>
      <c r="C479" s="9"/>
      <c r="D479" s="15"/>
      <c r="E479" s="9"/>
      <c r="F479" s="9"/>
    </row>
    <row r="480" spans="1:6" ht="24" customHeight="1">
      <c r="A480" s="5" t="str">
        <f t="shared" si="7"/>
        <v/>
      </c>
      <c r="B480" s="18"/>
      <c r="C480" s="9"/>
      <c r="D480" s="15"/>
      <c r="E480" s="9"/>
      <c r="F480" s="9"/>
    </row>
    <row r="481" spans="1:6" ht="24" customHeight="1">
      <c r="A481" s="5" t="str">
        <f t="shared" si="7"/>
        <v/>
      </c>
      <c r="B481" s="18"/>
      <c r="C481" s="9"/>
      <c r="D481" s="15"/>
      <c r="E481" s="9"/>
      <c r="F481" s="9"/>
    </row>
    <row r="482" spans="1:6" ht="24" customHeight="1">
      <c r="A482" s="5" t="str">
        <f t="shared" si="7"/>
        <v/>
      </c>
      <c r="B482" s="18"/>
      <c r="C482" s="9"/>
      <c r="D482" s="15"/>
      <c r="E482" s="9"/>
      <c r="F482" s="9"/>
    </row>
    <row r="483" spans="1:6" ht="24" customHeight="1">
      <c r="A483" s="5" t="str">
        <f t="shared" si="7"/>
        <v/>
      </c>
      <c r="B483" s="18"/>
      <c r="C483" s="9"/>
      <c r="D483" s="15"/>
      <c r="E483" s="9"/>
      <c r="F483" s="9"/>
    </row>
    <row r="484" spans="1:6" ht="24" customHeight="1">
      <c r="A484" s="5" t="str">
        <f t="shared" si="7"/>
        <v/>
      </c>
      <c r="B484" s="18"/>
      <c r="C484" s="9"/>
      <c r="D484" s="15"/>
      <c r="E484" s="9"/>
      <c r="F484" s="9"/>
    </row>
    <row r="485" spans="1:6" ht="24" customHeight="1">
      <c r="A485" s="5" t="str">
        <f t="shared" si="7"/>
        <v/>
      </c>
      <c r="B485" s="18"/>
      <c r="C485" s="9"/>
      <c r="D485" s="15"/>
      <c r="E485" s="9"/>
      <c r="F485" s="9"/>
    </row>
    <row r="486" spans="1:6" ht="24" customHeight="1">
      <c r="A486" s="5" t="str">
        <f t="shared" si="7"/>
        <v/>
      </c>
      <c r="B486" s="18"/>
      <c r="C486" s="9"/>
      <c r="D486" s="15"/>
      <c r="E486" s="9"/>
      <c r="F486" s="9"/>
    </row>
    <row r="487" spans="1:6" ht="24" customHeight="1">
      <c r="A487" s="5" t="str">
        <f t="shared" si="7"/>
        <v/>
      </c>
      <c r="B487" s="18"/>
      <c r="C487" s="9"/>
      <c r="D487" s="15"/>
      <c r="E487" s="9"/>
      <c r="F487" s="9"/>
    </row>
    <row r="488" spans="1:6" ht="24" customHeight="1">
      <c r="A488" s="5" t="str">
        <f t="shared" si="7"/>
        <v/>
      </c>
      <c r="B488" s="18"/>
      <c r="C488" s="9"/>
      <c r="D488" s="15"/>
      <c r="E488" s="9"/>
      <c r="F488" s="9"/>
    </row>
    <row r="489" spans="1:6" ht="24" customHeight="1">
      <c r="A489" s="5" t="str">
        <f t="shared" si="7"/>
        <v/>
      </c>
      <c r="B489" s="18"/>
      <c r="C489" s="9"/>
      <c r="D489" s="15"/>
      <c r="E489" s="9"/>
      <c r="F489" s="9"/>
    </row>
    <row r="490" spans="1:6" ht="24" customHeight="1">
      <c r="A490" s="5" t="str">
        <f t="shared" si="7"/>
        <v/>
      </c>
      <c r="B490" s="18"/>
      <c r="C490" s="9"/>
      <c r="D490" s="15"/>
      <c r="E490" s="9"/>
      <c r="F490" s="9"/>
    </row>
    <row r="491" spans="1:6" ht="24" customHeight="1">
      <c r="A491" s="5" t="str">
        <f t="shared" si="7"/>
        <v/>
      </c>
      <c r="B491" s="18"/>
      <c r="C491" s="9"/>
      <c r="D491" s="15"/>
      <c r="E491" s="9"/>
      <c r="F491" s="9"/>
    </row>
    <row r="492" spans="1:6" ht="24" customHeight="1">
      <c r="A492" s="5" t="str">
        <f t="shared" si="7"/>
        <v/>
      </c>
      <c r="B492" s="18"/>
      <c r="C492" s="9"/>
      <c r="D492" s="15"/>
      <c r="E492" s="9"/>
      <c r="F492" s="9"/>
    </row>
    <row r="493" spans="1:6" ht="24" customHeight="1">
      <c r="A493" s="5" t="str">
        <f t="shared" si="7"/>
        <v/>
      </c>
      <c r="B493" s="18"/>
      <c r="C493" s="9"/>
      <c r="D493" s="15"/>
      <c r="E493" s="9"/>
      <c r="F493" s="9"/>
    </row>
    <row r="494" spans="1:6" ht="24" customHeight="1">
      <c r="A494" s="5" t="str">
        <f t="shared" si="7"/>
        <v/>
      </c>
      <c r="B494" s="18"/>
      <c r="C494" s="9"/>
      <c r="D494" s="15"/>
      <c r="E494" s="9"/>
      <c r="F494" s="9"/>
    </row>
    <row r="495" spans="1:6" ht="24" customHeight="1">
      <c r="A495" s="5" t="str">
        <f t="shared" si="7"/>
        <v/>
      </c>
      <c r="B495" s="18"/>
      <c r="C495" s="9"/>
      <c r="D495" s="15"/>
      <c r="E495" s="9"/>
      <c r="F495" s="9"/>
    </row>
    <row r="496" spans="1:6" ht="24" customHeight="1">
      <c r="A496" s="5" t="str">
        <f t="shared" si="7"/>
        <v/>
      </c>
      <c r="B496" s="18"/>
      <c r="C496" s="9"/>
      <c r="D496" s="15"/>
      <c r="E496" s="9"/>
      <c r="F496" s="9"/>
    </row>
    <row r="497" spans="1:6" ht="24" customHeight="1">
      <c r="A497" s="5" t="str">
        <f t="shared" si="7"/>
        <v/>
      </c>
      <c r="B497" s="18"/>
      <c r="C497" s="9"/>
      <c r="D497" s="15"/>
      <c r="E497" s="9"/>
      <c r="F497" s="9"/>
    </row>
    <row r="498" spans="1:6" ht="24" customHeight="1">
      <c r="A498" s="5" t="str">
        <f t="shared" si="7"/>
        <v/>
      </c>
      <c r="B498" s="18"/>
      <c r="C498" s="9"/>
      <c r="D498" s="15"/>
      <c r="E498" s="9"/>
      <c r="F498" s="9"/>
    </row>
    <row r="499" spans="1:6" ht="24" customHeight="1">
      <c r="A499" s="5" t="str">
        <f t="shared" si="7"/>
        <v/>
      </c>
      <c r="B499" s="18"/>
      <c r="C499" s="9"/>
      <c r="D499" s="15"/>
      <c r="E499" s="9"/>
      <c r="F499" s="9"/>
    </row>
    <row r="500" spans="1:6" ht="24" customHeight="1">
      <c r="A500" s="5" t="str">
        <f t="shared" si="7"/>
        <v/>
      </c>
      <c r="B500" s="18"/>
      <c r="C500" s="9"/>
      <c r="D500" s="15"/>
      <c r="E500" s="9"/>
      <c r="F500" s="9"/>
    </row>
    <row r="501" spans="1:6" ht="24" customHeight="1">
      <c r="A501" s="5" t="str">
        <f t="shared" si="7"/>
        <v/>
      </c>
      <c r="B501" s="18"/>
      <c r="C501" s="9"/>
      <c r="D501" s="15"/>
      <c r="E501" s="9"/>
      <c r="F501" s="9"/>
    </row>
  </sheetData>
  <autoFilter ref="A1:F501" xr:uid="{00000000-0009-0000-0000-000005000000}"/>
  <conditionalFormatting sqref="A2:F501">
    <cfRule type="expression" dxfId="15" priority="1">
      <formula>AND(OR($C2&lt;&gt;"",$D2&lt;&gt;"",$B2&lt;&gt;""),OR($C2="",$D2="",$B2=""))</formula>
    </cfRule>
  </conditionalFormatting>
  <pageMargins left="0.75" right="0.75" top="1" bottom="1" header="0.5" footer="0.5"/>
  <extLst>
    <ext xmlns:x14="http://schemas.microsoft.com/office/spreadsheetml/2009/9/main" uri="{78C0D931-6437-407d-A8EE-F0AAD7539E65}">
      <x14:conditionalFormattings>
        <x14:conditionalFormatting xmlns:xm="http://schemas.microsoft.com/office/excel/2006/main">
          <x14:cfRule type="expression" priority="2" id="{00000000-000E-0000-0500-000002000000}">
            <xm:f>AND($C2&lt;&gt;"",COUNTIF(المواد!$A$2:$A$319,$C2)=0)</xm:f>
            <x14:dxf>
              <fill>
                <patternFill patternType="solid">
                  <fgColor rgb="FFFCE4E4"/>
                </patternFill>
              </fill>
            </x14:dxf>
          </x14:cfRule>
          <xm:sqref>A2:F501</xm:sqref>
        </x14:conditionalFormatting>
      </x14:conditionalFormattings>
    </ext>
    <ext xmlns:x14="http://schemas.microsoft.com/office/spreadsheetml/2009/9/main" uri="{CCE6A557-97BC-4b89-ADB6-D9C93CAAB3DF}">
      <x14:dataValidations xmlns:xm="http://schemas.microsoft.com/office/excel/2006/main" count="2">
        <x14:dataValidation type="custom" allowBlank="1" showErrorMessage="1" errorTitle="كمية غير متاحة" error="الكمية المطلوبة أكبر من الرصيد المتوفر لهذه المادة، أو الكمية سالبة/صفر" xr:uid="{00000000-0002-0000-0500-000001000000}">
          <x14:formula1>
            <xm:f>AND($D2&gt;0,$D2&lt;=ROUND(SUMIFS(الإدخالات!$D$2:$D$501,الإدخالات!$C$2:$C$501,$C2)+SUMIFS('تعديل الجرد'!$F$2:$F$501,'تعديل الجرد'!$C$2:$C$501,$C2)-SUMPRODUCT((الطبخات!$B$2:$B$900=$C2)*الطبخات!$C$2:$C$900*COUNTIF('سجل الإنتاج'!$C$2:$C$501,الطبخات!$A$2:$A$900))-SUMIFS($D$1:D1,$C$1:C1,$C2),3))</xm:f>
          </x14:formula1>
          <xm:sqref>D2:D501</xm:sqref>
        </x14:dataValidation>
        <x14:dataValidation type="list" allowBlank="1" showErrorMessage="1" errorTitle="مادة غير موجودة" error="اختر مادة من صفحة المواد" xr:uid="{00000000-0002-0000-0500-000000000000}">
          <x14:formula1>
            <xm:f>المواد!$A$2:$A$319</xm:f>
          </x14:formula1>
          <xm:sqref>C2:C501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B45F06"/>
  </sheetPr>
  <dimension ref="A1:H501"/>
  <sheetViews>
    <sheetView rightToLeft="1" workbookViewId="0">
      <pane ySplit="1" topLeftCell="A2" activePane="bottomLeft" state="frozen"/>
      <selection pane="bottomLeft" activeCell="A2" sqref="A2:XFD2"/>
    </sheetView>
  </sheetViews>
  <sheetFormatPr defaultRowHeight="14.25"/>
  <cols>
    <col min="1" max="1" width="10" customWidth="1"/>
    <col min="2" max="2" width="14" customWidth="1"/>
    <col min="3" max="3" width="26" customWidth="1"/>
    <col min="4" max="4" width="22" customWidth="1"/>
    <col min="5" max="5" width="18" customWidth="1"/>
    <col min="6" max="6" width="12" customWidth="1"/>
    <col min="7" max="7" width="24" customWidth="1"/>
    <col min="8" max="8" width="30" customWidth="1"/>
  </cols>
  <sheetData>
    <row r="1" spans="1:8" ht="26.1" customHeight="1">
      <c r="A1" s="2" t="s">
        <v>151</v>
      </c>
      <c r="B1" s="2" t="s">
        <v>20</v>
      </c>
      <c r="C1" s="2" t="s">
        <v>21</v>
      </c>
      <c r="D1" s="2" t="s">
        <v>156</v>
      </c>
      <c r="E1" s="2" t="s">
        <v>157</v>
      </c>
      <c r="F1" s="2" t="s">
        <v>158</v>
      </c>
      <c r="G1" s="2" t="s">
        <v>159</v>
      </c>
      <c r="H1" s="2" t="s">
        <v>26</v>
      </c>
    </row>
    <row r="2" spans="1:8" ht="24" customHeight="1">
      <c r="A2" s="5"/>
      <c r="B2" s="18"/>
      <c r="C2" s="9"/>
      <c r="D2" s="10"/>
      <c r="E2" s="15"/>
      <c r="F2" s="19"/>
      <c r="G2" s="9"/>
      <c r="H2" s="9"/>
    </row>
    <row r="3" spans="1:8" ht="24" customHeight="1">
      <c r="A3" s="5" t="str">
        <f t="shared" ref="A3:A65" si="0">IF(C3="","",ROW()-1)</f>
        <v/>
      </c>
      <c r="B3" s="18"/>
      <c r="C3" s="9"/>
      <c r="D3" s="10" t="str">
        <f>IF($C3="","",ROUND(SUMIFS(الإدخالات!$D$2:$D$501,الإدخالات!$C$2:$C$501,$C3)+SUMIFS($F$1:F2,$C$1:C2,$C3)-SUMIFS('الصرف المباشر'!$D$2:$D$501,'الصرف المباشر'!$C$2:$C$501,$C3)-SUMPRODUCT((الطبخات!$B$2:$B$900=$C3)*الطبخات!$C$2:$C$900*COUNTIF('سجل الإنتاج'!$C$2:$C$501,الطبخات!$A$2:$A$900)),3))</f>
        <v/>
      </c>
      <c r="E3" s="15"/>
      <c r="F3" s="19" t="str">
        <f t="shared" ref="F3:F65" si="1">IF(OR($C3="",$E3=""),"",ROUND($E3-$D3,3))</f>
        <v/>
      </c>
      <c r="G3" s="9"/>
      <c r="H3" s="9"/>
    </row>
    <row r="4" spans="1:8" ht="24" customHeight="1">
      <c r="A4" s="5" t="str">
        <f t="shared" si="0"/>
        <v/>
      </c>
      <c r="B4" s="18"/>
      <c r="C4" s="9"/>
      <c r="D4" s="10" t="str">
        <f>IF($C4="","",ROUND(SUMIFS(الإدخالات!$D$2:$D$501,الإدخالات!$C$2:$C$501,$C4)+SUMIFS($F$1:F3,$C$1:C3,$C4)-SUMIFS('الصرف المباشر'!$D$2:$D$501,'الصرف المباشر'!$C$2:$C$501,$C4)-SUMPRODUCT((الطبخات!$B$2:$B$900=$C4)*الطبخات!$C$2:$C$900*COUNTIF('سجل الإنتاج'!$C$2:$C$501,الطبخات!$A$2:$A$900)),3))</f>
        <v/>
      </c>
      <c r="E4" s="15"/>
      <c r="F4" s="19" t="str">
        <f t="shared" si="1"/>
        <v/>
      </c>
      <c r="G4" s="9"/>
      <c r="H4" s="9"/>
    </row>
    <row r="5" spans="1:8" ht="24" customHeight="1">
      <c r="A5" s="5" t="str">
        <f t="shared" si="0"/>
        <v/>
      </c>
      <c r="B5" s="18"/>
      <c r="C5" s="9"/>
      <c r="D5" s="10" t="str">
        <f>IF($C5="","",ROUND(SUMIFS(الإدخالات!$D$2:$D$501,الإدخالات!$C$2:$C$501,$C5)+SUMIFS($F$1:F4,$C$1:C4,$C5)-SUMIFS('الصرف المباشر'!$D$2:$D$501,'الصرف المباشر'!$C$2:$C$501,$C5)-SUMPRODUCT((الطبخات!$B$2:$B$900=$C5)*الطبخات!$C$2:$C$900*COUNTIF('سجل الإنتاج'!$C$2:$C$501,الطبخات!$A$2:$A$900)),3))</f>
        <v/>
      </c>
      <c r="E5" s="15"/>
      <c r="F5" s="19" t="str">
        <f t="shared" si="1"/>
        <v/>
      </c>
      <c r="G5" s="9"/>
      <c r="H5" s="9"/>
    </row>
    <row r="6" spans="1:8" ht="24" customHeight="1">
      <c r="A6" s="5" t="str">
        <f t="shared" si="0"/>
        <v/>
      </c>
      <c r="B6" s="18"/>
      <c r="C6" s="9"/>
      <c r="D6" s="10" t="str">
        <f>IF($C6="","",ROUND(SUMIFS(الإدخالات!$D$2:$D$501,الإدخالات!$C$2:$C$501,$C6)+SUMIFS($F$1:F5,$C$1:C5,$C6)-SUMIFS('الصرف المباشر'!$D$2:$D$501,'الصرف المباشر'!$C$2:$C$501,$C6)-SUMPRODUCT((الطبخات!$B$2:$B$900=$C6)*الطبخات!$C$2:$C$900*COUNTIF('سجل الإنتاج'!$C$2:$C$501,الطبخات!$A$2:$A$900)),3))</f>
        <v/>
      </c>
      <c r="E6" s="15"/>
      <c r="F6" s="19" t="str">
        <f t="shared" si="1"/>
        <v/>
      </c>
      <c r="G6" s="9"/>
      <c r="H6" s="9"/>
    </row>
    <row r="7" spans="1:8" ht="24" customHeight="1">
      <c r="A7" s="5" t="str">
        <f t="shared" si="0"/>
        <v/>
      </c>
      <c r="B7" s="18"/>
      <c r="C7" s="9"/>
      <c r="D7" s="10" t="str">
        <f>IF($C7="","",ROUND(SUMIFS(الإدخالات!$D$2:$D$501,الإدخالات!$C$2:$C$501,$C7)+SUMIFS($F$1:F6,$C$1:C6,$C7)-SUMIFS('الصرف المباشر'!$D$2:$D$501,'الصرف المباشر'!$C$2:$C$501,$C7)-SUMPRODUCT((الطبخات!$B$2:$B$900=$C7)*الطبخات!$C$2:$C$900*COUNTIF('سجل الإنتاج'!$C$2:$C$501,الطبخات!$A$2:$A$900)),3))</f>
        <v/>
      </c>
      <c r="E7" s="15"/>
      <c r="F7" s="19" t="str">
        <f t="shared" si="1"/>
        <v/>
      </c>
      <c r="G7" s="9"/>
      <c r="H7" s="9"/>
    </row>
    <row r="8" spans="1:8" ht="24" customHeight="1">
      <c r="A8" s="5" t="str">
        <f t="shared" si="0"/>
        <v/>
      </c>
      <c r="B8" s="18"/>
      <c r="C8" s="9"/>
      <c r="D8" s="10" t="str">
        <f>IF($C8="","",ROUND(SUMIFS(الإدخالات!$D$2:$D$501,الإدخالات!$C$2:$C$501,$C8)+SUMIFS($F$1:F7,$C$1:C7,$C8)-SUMIFS('الصرف المباشر'!$D$2:$D$501,'الصرف المباشر'!$C$2:$C$501,$C8)-SUMPRODUCT((الطبخات!$B$2:$B$900=$C8)*الطبخات!$C$2:$C$900*COUNTIF('سجل الإنتاج'!$C$2:$C$501,الطبخات!$A$2:$A$900)),3))</f>
        <v/>
      </c>
      <c r="E8" s="15"/>
      <c r="F8" s="19" t="str">
        <f t="shared" si="1"/>
        <v/>
      </c>
      <c r="G8" s="9"/>
      <c r="H8" s="9"/>
    </row>
    <row r="9" spans="1:8" ht="24" customHeight="1">
      <c r="A9" s="5" t="str">
        <f t="shared" si="0"/>
        <v/>
      </c>
      <c r="B9" s="18"/>
      <c r="C9" s="9"/>
      <c r="D9" s="10" t="str">
        <f>IF($C9="","",ROUND(SUMIFS(الإدخالات!$D$2:$D$501,الإدخالات!$C$2:$C$501,$C9)+SUMIFS($F$1:F8,$C$1:C8,$C9)-SUMIFS('الصرف المباشر'!$D$2:$D$501,'الصرف المباشر'!$C$2:$C$501,$C9)-SUMPRODUCT((الطبخات!$B$2:$B$900=$C9)*الطبخات!$C$2:$C$900*COUNTIF('سجل الإنتاج'!$C$2:$C$501,الطبخات!$A$2:$A$900)),3))</f>
        <v/>
      </c>
      <c r="E9" s="15"/>
      <c r="F9" s="19" t="str">
        <f t="shared" si="1"/>
        <v/>
      </c>
      <c r="G9" s="9"/>
      <c r="H9" s="9"/>
    </row>
    <row r="10" spans="1:8" ht="24" customHeight="1">
      <c r="A10" s="5" t="str">
        <f t="shared" si="0"/>
        <v/>
      </c>
      <c r="B10" s="18"/>
      <c r="C10" s="9"/>
      <c r="D10" s="10" t="str">
        <f>IF($C10="","",ROUND(SUMIFS(الإدخالات!$D$2:$D$501,الإدخالات!$C$2:$C$501,$C10)+SUMIFS($F$1:F9,$C$1:C9,$C10)-SUMIFS('الصرف المباشر'!$D$2:$D$501,'الصرف المباشر'!$C$2:$C$501,$C10)-SUMPRODUCT((الطبخات!$B$2:$B$900=$C10)*الطبخات!$C$2:$C$900*COUNTIF('سجل الإنتاج'!$C$2:$C$501,الطبخات!$A$2:$A$900)),3))</f>
        <v/>
      </c>
      <c r="E10" s="15"/>
      <c r="F10" s="19" t="str">
        <f t="shared" si="1"/>
        <v/>
      </c>
      <c r="G10" s="9"/>
      <c r="H10" s="9"/>
    </row>
    <row r="11" spans="1:8" ht="24" customHeight="1">
      <c r="A11" s="5" t="str">
        <f t="shared" si="0"/>
        <v/>
      </c>
      <c r="B11" s="18"/>
      <c r="C11" s="9"/>
      <c r="D11" s="10" t="str">
        <f>IF($C11="","",ROUND(SUMIFS(الإدخالات!$D$2:$D$501,الإدخالات!$C$2:$C$501,$C11)+SUMIFS($F$1:F10,$C$1:C10,$C11)-SUMIFS('الصرف المباشر'!$D$2:$D$501,'الصرف المباشر'!$C$2:$C$501,$C11)-SUMPRODUCT((الطبخات!$B$2:$B$900=$C11)*الطبخات!$C$2:$C$900*COUNTIF('سجل الإنتاج'!$C$2:$C$501,الطبخات!$A$2:$A$900)),3))</f>
        <v/>
      </c>
      <c r="E11" s="15"/>
      <c r="F11" s="19" t="str">
        <f t="shared" si="1"/>
        <v/>
      </c>
      <c r="G11" s="9"/>
      <c r="H11" s="9"/>
    </row>
    <row r="12" spans="1:8" ht="24" customHeight="1">
      <c r="A12" s="5" t="str">
        <f t="shared" si="0"/>
        <v/>
      </c>
      <c r="B12" s="18"/>
      <c r="C12" s="9"/>
      <c r="D12" s="10" t="str">
        <f>IF($C12="","",ROUND(SUMIFS(الإدخالات!$D$2:$D$501,الإدخالات!$C$2:$C$501,$C12)+SUMIFS($F$1:F11,$C$1:C11,$C12)-SUMIFS('الصرف المباشر'!$D$2:$D$501,'الصرف المباشر'!$C$2:$C$501,$C12)-SUMPRODUCT((الطبخات!$B$2:$B$900=$C12)*الطبخات!$C$2:$C$900*COUNTIF('سجل الإنتاج'!$C$2:$C$501,الطبخات!$A$2:$A$900)),3))</f>
        <v/>
      </c>
      <c r="E12" s="15"/>
      <c r="F12" s="19" t="str">
        <f t="shared" si="1"/>
        <v/>
      </c>
      <c r="G12" s="9"/>
      <c r="H12" s="9"/>
    </row>
    <row r="13" spans="1:8" ht="24" customHeight="1">
      <c r="A13" s="5" t="str">
        <f t="shared" si="0"/>
        <v/>
      </c>
      <c r="B13" s="18"/>
      <c r="C13" s="9"/>
      <c r="D13" s="10" t="str">
        <f>IF($C13="","",ROUND(SUMIFS(الإدخالات!$D$2:$D$501,الإدخالات!$C$2:$C$501,$C13)+SUMIFS($F$1:F12,$C$1:C12,$C13)-SUMIFS('الصرف المباشر'!$D$2:$D$501,'الصرف المباشر'!$C$2:$C$501,$C13)-SUMPRODUCT((الطبخات!$B$2:$B$900=$C13)*الطبخات!$C$2:$C$900*COUNTIF('سجل الإنتاج'!$C$2:$C$501,الطبخات!$A$2:$A$900)),3))</f>
        <v/>
      </c>
      <c r="E13" s="15"/>
      <c r="F13" s="19" t="str">
        <f t="shared" si="1"/>
        <v/>
      </c>
      <c r="G13" s="9"/>
      <c r="H13" s="9"/>
    </row>
    <row r="14" spans="1:8" ht="24" customHeight="1">
      <c r="A14" s="5" t="str">
        <f t="shared" si="0"/>
        <v/>
      </c>
      <c r="B14" s="18"/>
      <c r="C14" s="9"/>
      <c r="D14" s="10" t="str">
        <f>IF($C14="","",ROUND(SUMIFS(الإدخالات!$D$2:$D$501,الإدخالات!$C$2:$C$501,$C14)+SUMIFS($F$1:F13,$C$1:C13,$C14)-SUMIFS('الصرف المباشر'!$D$2:$D$501,'الصرف المباشر'!$C$2:$C$501,$C14)-SUMPRODUCT((الطبخات!$B$2:$B$900=$C14)*الطبخات!$C$2:$C$900*COUNTIF('سجل الإنتاج'!$C$2:$C$501,الطبخات!$A$2:$A$900)),3))</f>
        <v/>
      </c>
      <c r="E14" s="15"/>
      <c r="F14" s="19" t="str">
        <f t="shared" si="1"/>
        <v/>
      </c>
      <c r="G14" s="9"/>
      <c r="H14" s="9"/>
    </row>
    <row r="15" spans="1:8" ht="24" customHeight="1">
      <c r="A15" s="5" t="str">
        <f t="shared" si="0"/>
        <v/>
      </c>
      <c r="B15" s="18"/>
      <c r="C15" s="9"/>
      <c r="D15" s="10" t="str">
        <f>IF($C15="","",ROUND(SUMIFS(الإدخالات!$D$2:$D$501,الإدخالات!$C$2:$C$501,$C15)+SUMIFS($F$1:F14,$C$1:C14,$C15)-SUMIFS('الصرف المباشر'!$D$2:$D$501,'الصرف المباشر'!$C$2:$C$501,$C15)-SUMPRODUCT((الطبخات!$B$2:$B$900=$C15)*الطبخات!$C$2:$C$900*COUNTIF('سجل الإنتاج'!$C$2:$C$501,الطبخات!$A$2:$A$900)),3))</f>
        <v/>
      </c>
      <c r="E15" s="15"/>
      <c r="F15" s="19" t="str">
        <f t="shared" si="1"/>
        <v/>
      </c>
      <c r="G15" s="9"/>
      <c r="H15" s="9"/>
    </row>
    <row r="16" spans="1:8" ht="24" customHeight="1">
      <c r="A16" s="5" t="str">
        <f t="shared" si="0"/>
        <v/>
      </c>
      <c r="B16" s="18"/>
      <c r="C16" s="9"/>
      <c r="D16" s="10" t="str">
        <f>IF($C16="","",ROUND(SUMIFS(الإدخالات!$D$2:$D$501,الإدخالات!$C$2:$C$501,$C16)+SUMIFS($F$1:F15,$C$1:C15,$C16)-SUMIFS('الصرف المباشر'!$D$2:$D$501,'الصرف المباشر'!$C$2:$C$501,$C16)-SUMPRODUCT((الطبخات!$B$2:$B$900=$C16)*الطبخات!$C$2:$C$900*COUNTIF('سجل الإنتاج'!$C$2:$C$501,الطبخات!$A$2:$A$900)),3))</f>
        <v/>
      </c>
      <c r="E16" s="15"/>
      <c r="F16" s="19" t="str">
        <f t="shared" si="1"/>
        <v/>
      </c>
      <c r="G16" s="9"/>
      <c r="H16" s="9"/>
    </row>
    <row r="17" spans="1:8" ht="24" customHeight="1">
      <c r="A17" s="5" t="str">
        <f t="shared" si="0"/>
        <v/>
      </c>
      <c r="B17" s="18"/>
      <c r="C17" s="9"/>
      <c r="D17" s="10" t="str">
        <f>IF($C17="","",ROUND(SUMIFS(الإدخالات!$D$2:$D$501,الإدخالات!$C$2:$C$501,$C17)+SUMIFS($F$1:F16,$C$1:C16,$C17)-SUMIFS('الصرف المباشر'!$D$2:$D$501,'الصرف المباشر'!$C$2:$C$501,$C17)-SUMPRODUCT((الطبخات!$B$2:$B$900=$C17)*الطبخات!$C$2:$C$900*COUNTIF('سجل الإنتاج'!$C$2:$C$501,الطبخات!$A$2:$A$900)),3))</f>
        <v/>
      </c>
      <c r="E17" s="15"/>
      <c r="F17" s="19" t="str">
        <f t="shared" si="1"/>
        <v/>
      </c>
      <c r="G17" s="9"/>
      <c r="H17" s="9"/>
    </row>
    <row r="18" spans="1:8" ht="24" customHeight="1">
      <c r="A18" s="5" t="str">
        <f t="shared" si="0"/>
        <v/>
      </c>
      <c r="B18" s="18"/>
      <c r="C18" s="9"/>
      <c r="D18" s="10" t="str">
        <f>IF($C18="","",ROUND(SUMIFS(الإدخالات!$D$2:$D$501,الإدخالات!$C$2:$C$501,$C18)+SUMIFS($F$1:F17,$C$1:C17,$C18)-SUMIFS('الصرف المباشر'!$D$2:$D$501,'الصرف المباشر'!$C$2:$C$501,$C18)-SUMPRODUCT((الطبخات!$B$2:$B$900=$C18)*الطبخات!$C$2:$C$900*COUNTIF('سجل الإنتاج'!$C$2:$C$501,الطبخات!$A$2:$A$900)),3))</f>
        <v/>
      </c>
      <c r="E18" s="15"/>
      <c r="F18" s="19" t="str">
        <f t="shared" si="1"/>
        <v/>
      </c>
      <c r="G18" s="9"/>
      <c r="H18" s="9"/>
    </row>
    <row r="19" spans="1:8" ht="24" customHeight="1">
      <c r="A19" s="5" t="str">
        <f t="shared" si="0"/>
        <v/>
      </c>
      <c r="B19" s="18"/>
      <c r="C19" s="9"/>
      <c r="D19" s="10" t="str">
        <f>IF($C19="","",ROUND(SUMIFS(الإدخالات!$D$2:$D$501,الإدخالات!$C$2:$C$501,$C19)+SUMIFS($F$1:F18,$C$1:C18,$C19)-SUMIFS('الصرف المباشر'!$D$2:$D$501,'الصرف المباشر'!$C$2:$C$501,$C19)-SUMPRODUCT((الطبخات!$B$2:$B$900=$C19)*الطبخات!$C$2:$C$900*COUNTIF('سجل الإنتاج'!$C$2:$C$501,الطبخات!$A$2:$A$900)),3))</f>
        <v/>
      </c>
      <c r="E19" s="15"/>
      <c r="F19" s="19" t="str">
        <f t="shared" si="1"/>
        <v/>
      </c>
      <c r="G19" s="9"/>
      <c r="H19" s="9"/>
    </row>
    <row r="20" spans="1:8" ht="24" customHeight="1">
      <c r="A20" s="5" t="str">
        <f t="shared" si="0"/>
        <v/>
      </c>
      <c r="B20" s="18"/>
      <c r="C20" s="9"/>
      <c r="D20" s="10" t="str">
        <f>IF($C20="","",ROUND(SUMIFS(الإدخالات!$D$2:$D$501,الإدخالات!$C$2:$C$501,$C20)+SUMIFS($F$1:F19,$C$1:C19,$C20)-SUMIFS('الصرف المباشر'!$D$2:$D$501,'الصرف المباشر'!$C$2:$C$501,$C20)-SUMPRODUCT((الطبخات!$B$2:$B$900=$C20)*الطبخات!$C$2:$C$900*COUNTIF('سجل الإنتاج'!$C$2:$C$501,الطبخات!$A$2:$A$900)),3))</f>
        <v/>
      </c>
      <c r="E20" s="15"/>
      <c r="F20" s="19" t="str">
        <f t="shared" si="1"/>
        <v/>
      </c>
      <c r="G20" s="9"/>
      <c r="H20" s="9"/>
    </row>
    <row r="21" spans="1:8" ht="24" customHeight="1">
      <c r="A21" s="5" t="str">
        <f t="shared" si="0"/>
        <v/>
      </c>
      <c r="B21" s="18"/>
      <c r="C21" s="9"/>
      <c r="D21" s="10" t="str">
        <f>IF($C21="","",ROUND(SUMIFS(الإدخالات!$D$2:$D$501,الإدخالات!$C$2:$C$501,$C21)+SUMIFS($F$1:F20,$C$1:C20,$C21)-SUMIFS('الصرف المباشر'!$D$2:$D$501,'الصرف المباشر'!$C$2:$C$501,$C21)-SUMPRODUCT((الطبخات!$B$2:$B$900=$C21)*الطبخات!$C$2:$C$900*COUNTIF('سجل الإنتاج'!$C$2:$C$501,الطبخات!$A$2:$A$900)),3))</f>
        <v/>
      </c>
      <c r="E21" s="15"/>
      <c r="F21" s="19" t="str">
        <f t="shared" si="1"/>
        <v/>
      </c>
      <c r="G21" s="9"/>
      <c r="H21" s="9"/>
    </row>
    <row r="22" spans="1:8" ht="24" customHeight="1">
      <c r="A22" s="5" t="str">
        <f t="shared" si="0"/>
        <v/>
      </c>
      <c r="B22" s="18"/>
      <c r="C22" s="9"/>
      <c r="D22" s="10" t="str">
        <f>IF($C22="","",ROUND(SUMIFS(الإدخالات!$D$2:$D$501,الإدخالات!$C$2:$C$501,$C22)+SUMIFS($F$1:F21,$C$1:C21,$C22)-SUMIFS('الصرف المباشر'!$D$2:$D$501,'الصرف المباشر'!$C$2:$C$501,$C22)-SUMPRODUCT((الطبخات!$B$2:$B$900=$C22)*الطبخات!$C$2:$C$900*COUNTIF('سجل الإنتاج'!$C$2:$C$501,الطبخات!$A$2:$A$900)),3))</f>
        <v/>
      </c>
      <c r="E22" s="15"/>
      <c r="F22" s="19" t="str">
        <f t="shared" si="1"/>
        <v/>
      </c>
      <c r="G22" s="9"/>
      <c r="H22" s="9"/>
    </row>
    <row r="23" spans="1:8" ht="24" customHeight="1">
      <c r="A23" s="5" t="str">
        <f t="shared" si="0"/>
        <v/>
      </c>
      <c r="B23" s="18"/>
      <c r="C23" s="9"/>
      <c r="D23" s="10" t="str">
        <f>IF($C23="","",ROUND(SUMIFS(الإدخالات!$D$2:$D$501,الإدخالات!$C$2:$C$501,$C23)+SUMIFS($F$1:F22,$C$1:C22,$C23)-SUMIFS('الصرف المباشر'!$D$2:$D$501,'الصرف المباشر'!$C$2:$C$501,$C23)-SUMPRODUCT((الطبخات!$B$2:$B$900=$C23)*الطبخات!$C$2:$C$900*COUNTIF('سجل الإنتاج'!$C$2:$C$501,الطبخات!$A$2:$A$900)),3))</f>
        <v/>
      </c>
      <c r="E23" s="15"/>
      <c r="F23" s="19" t="str">
        <f t="shared" si="1"/>
        <v/>
      </c>
      <c r="G23" s="9"/>
      <c r="H23" s="9"/>
    </row>
    <row r="24" spans="1:8" ht="24" customHeight="1">
      <c r="A24" s="5" t="str">
        <f t="shared" si="0"/>
        <v/>
      </c>
      <c r="B24" s="18"/>
      <c r="C24" s="9"/>
      <c r="D24" s="10" t="str">
        <f>IF($C24="","",ROUND(SUMIFS(الإدخالات!$D$2:$D$501,الإدخالات!$C$2:$C$501,$C24)+SUMIFS($F$1:F23,$C$1:C23,$C24)-SUMIFS('الصرف المباشر'!$D$2:$D$501,'الصرف المباشر'!$C$2:$C$501,$C24)-SUMPRODUCT((الطبخات!$B$2:$B$900=$C24)*الطبخات!$C$2:$C$900*COUNTIF('سجل الإنتاج'!$C$2:$C$501,الطبخات!$A$2:$A$900)),3))</f>
        <v/>
      </c>
      <c r="E24" s="15"/>
      <c r="F24" s="19" t="str">
        <f t="shared" si="1"/>
        <v/>
      </c>
      <c r="G24" s="9"/>
      <c r="H24" s="9"/>
    </row>
    <row r="25" spans="1:8" ht="24" customHeight="1">
      <c r="A25" s="5" t="str">
        <f t="shared" si="0"/>
        <v/>
      </c>
      <c r="B25" s="18"/>
      <c r="C25" s="9"/>
      <c r="D25" s="10" t="str">
        <f>IF($C25="","",ROUND(SUMIFS(الإدخالات!$D$2:$D$501,الإدخالات!$C$2:$C$501,$C25)+SUMIFS($F$1:F24,$C$1:C24,$C25)-SUMIFS('الصرف المباشر'!$D$2:$D$501,'الصرف المباشر'!$C$2:$C$501,$C25)-SUMPRODUCT((الطبخات!$B$2:$B$900=$C25)*الطبخات!$C$2:$C$900*COUNTIF('سجل الإنتاج'!$C$2:$C$501,الطبخات!$A$2:$A$900)),3))</f>
        <v/>
      </c>
      <c r="E25" s="15"/>
      <c r="F25" s="19" t="str">
        <f t="shared" si="1"/>
        <v/>
      </c>
      <c r="G25" s="9"/>
      <c r="H25" s="9"/>
    </row>
    <row r="26" spans="1:8" ht="24" customHeight="1">
      <c r="A26" s="5" t="str">
        <f t="shared" si="0"/>
        <v/>
      </c>
      <c r="B26" s="18"/>
      <c r="C26" s="9"/>
      <c r="D26" s="10" t="str">
        <f>IF($C26="","",ROUND(SUMIFS(الإدخالات!$D$2:$D$501,الإدخالات!$C$2:$C$501,$C26)+SUMIFS($F$1:F25,$C$1:C25,$C26)-SUMIFS('الصرف المباشر'!$D$2:$D$501,'الصرف المباشر'!$C$2:$C$501,$C26)-SUMPRODUCT((الطبخات!$B$2:$B$900=$C26)*الطبخات!$C$2:$C$900*COUNTIF('سجل الإنتاج'!$C$2:$C$501,الطبخات!$A$2:$A$900)),3))</f>
        <v/>
      </c>
      <c r="E26" s="15"/>
      <c r="F26" s="19" t="str">
        <f t="shared" si="1"/>
        <v/>
      </c>
      <c r="G26" s="9"/>
      <c r="H26" s="9"/>
    </row>
    <row r="27" spans="1:8" ht="24" customHeight="1">
      <c r="A27" s="5" t="str">
        <f t="shared" si="0"/>
        <v/>
      </c>
      <c r="B27" s="18"/>
      <c r="C27" s="9"/>
      <c r="D27" s="10" t="str">
        <f>IF($C27="","",ROUND(SUMIFS(الإدخالات!$D$2:$D$501,الإدخالات!$C$2:$C$501,$C27)+SUMIFS($F$1:F26,$C$1:C26,$C27)-SUMIFS('الصرف المباشر'!$D$2:$D$501,'الصرف المباشر'!$C$2:$C$501,$C27)-SUMPRODUCT((الطبخات!$B$2:$B$900=$C27)*الطبخات!$C$2:$C$900*COUNTIF('سجل الإنتاج'!$C$2:$C$501,الطبخات!$A$2:$A$900)),3))</f>
        <v/>
      </c>
      <c r="E27" s="15"/>
      <c r="F27" s="19" t="str">
        <f t="shared" si="1"/>
        <v/>
      </c>
      <c r="G27" s="9"/>
      <c r="H27" s="9"/>
    </row>
    <row r="28" spans="1:8" ht="24" customHeight="1">
      <c r="A28" s="5" t="str">
        <f t="shared" si="0"/>
        <v/>
      </c>
      <c r="B28" s="18"/>
      <c r="C28" s="9"/>
      <c r="D28" s="10" t="str">
        <f>IF($C28="","",ROUND(SUMIFS(الإدخالات!$D$2:$D$501,الإدخالات!$C$2:$C$501,$C28)+SUMIFS($F$1:F27,$C$1:C27,$C28)-SUMIFS('الصرف المباشر'!$D$2:$D$501,'الصرف المباشر'!$C$2:$C$501,$C28)-SUMPRODUCT((الطبخات!$B$2:$B$900=$C28)*الطبخات!$C$2:$C$900*COUNTIF('سجل الإنتاج'!$C$2:$C$501,الطبخات!$A$2:$A$900)),3))</f>
        <v/>
      </c>
      <c r="E28" s="15"/>
      <c r="F28" s="19" t="str">
        <f t="shared" si="1"/>
        <v/>
      </c>
      <c r="G28" s="9"/>
      <c r="H28" s="9"/>
    </row>
    <row r="29" spans="1:8" ht="24" customHeight="1">
      <c r="A29" s="5" t="str">
        <f t="shared" si="0"/>
        <v/>
      </c>
      <c r="B29" s="18"/>
      <c r="C29" s="9"/>
      <c r="D29" s="10" t="str">
        <f>IF($C29="","",ROUND(SUMIFS(الإدخالات!$D$2:$D$501,الإدخالات!$C$2:$C$501,$C29)+SUMIFS($F$1:F28,$C$1:C28,$C29)-SUMIFS('الصرف المباشر'!$D$2:$D$501,'الصرف المباشر'!$C$2:$C$501,$C29)-SUMPRODUCT((الطبخات!$B$2:$B$900=$C29)*الطبخات!$C$2:$C$900*COUNTIF('سجل الإنتاج'!$C$2:$C$501,الطبخات!$A$2:$A$900)),3))</f>
        <v/>
      </c>
      <c r="E29" s="15"/>
      <c r="F29" s="19" t="str">
        <f t="shared" si="1"/>
        <v/>
      </c>
      <c r="G29" s="9"/>
      <c r="H29" s="9"/>
    </row>
    <row r="30" spans="1:8" ht="24" customHeight="1">
      <c r="A30" s="5" t="str">
        <f t="shared" si="0"/>
        <v/>
      </c>
      <c r="B30" s="18"/>
      <c r="C30" s="9"/>
      <c r="D30" s="10" t="str">
        <f>IF($C30="","",ROUND(SUMIFS(الإدخالات!$D$2:$D$501,الإدخالات!$C$2:$C$501,$C30)+SUMIFS($F$1:F29,$C$1:C29,$C30)-SUMIFS('الصرف المباشر'!$D$2:$D$501,'الصرف المباشر'!$C$2:$C$501,$C30)-SUMPRODUCT((الطبخات!$B$2:$B$900=$C30)*الطبخات!$C$2:$C$900*COUNTIF('سجل الإنتاج'!$C$2:$C$501,الطبخات!$A$2:$A$900)),3))</f>
        <v/>
      </c>
      <c r="E30" s="15"/>
      <c r="F30" s="19" t="str">
        <f t="shared" si="1"/>
        <v/>
      </c>
      <c r="G30" s="9"/>
      <c r="H30" s="9"/>
    </row>
    <row r="31" spans="1:8" ht="24" customHeight="1">
      <c r="A31" s="5" t="str">
        <f t="shared" si="0"/>
        <v/>
      </c>
      <c r="B31" s="18"/>
      <c r="C31" s="9"/>
      <c r="D31" s="10" t="str">
        <f>IF($C31="","",ROUND(SUMIFS(الإدخالات!$D$2:$D$501,الإدخالات!$C$2:$C$501,$C31)+SUMIFS($F$1:F30,$C$1:C30,$C31)-SUMIFS('الصرف المباشر'!$D$2:$D$501,'الصرف المباشر'!$C$2:$C$501,$C31)-SUMPRODUCT((الطبخات!$B$2:$B$900=$C31)*الطبخات!$C$2:$C$900*COUNTIF('سجل الإنتاج'!$C$2:$C$501,الطبخات!$A$2:$A$900)),3))</f>
        <v/>
      </c>
      <c r="E31" s="15"/>
      <c r="F31" s="19" t="str">
        <f t="shared" si="1"/>
        <v/>
      </c>
      <c r="G31" s="9"/>
      <c r="H31" s="9"/>
    </row>
    <row r="32" spans="1:8" ht="24" customHeight="1">
      <c r="A32" s="5" t="str">
        <f t="shared" si="0"/>
        <v/>
      </c>
      <c r="B32" s="18"/>
      <c r="C32" s="9"/>
      <c r="D32" s="10" t="str">
        <f>IF($C32="","",ROUND(SUMIFS(الإدخالات!$D$2:$D$501,الإدخالات!$C$2:$C$501,$C32)+SUMIFS($F$1:F31,$C$1:C31,$C32)-SUMIFS('الصرف المباشر'!$D$2:$D$501,'الصرف المباشر'!$C$2:$C$501,$C32)-SUMPRODUCT((الطبخات!$B$2:$B$900=$C32)*الطبخات!$C$2:$C$900*COUNTIF('سجل الإنتاج'!$C$2:$C$501,الطبخات!$A$2:$A$900)),3))</f>
        <v/>
      </c>
      <c r="E32" s="15"/>
      <c r="F32" s="19" t="str">
        <f t="shared" si="1"/>
        <v/>
      </c>
      <c r="G32" s="9"/>
      <c r="H32" s="9"/>
    </row>
    <row r="33" spans="1:8" ht="24" customHeight="1">
      <c r="A33" s="5" t="str">
        <f t="shared" si="0"/>
        <v/>
      </c>
      <c r="B33" s="18"/>
      <c r="C33" s="9"/>
      <c r="D33" s="10" t="str">
        <f>IF($C33="","",ROUND(SUMIFS(الإدخالات!$D$2:$D$501,الإدخالات!$C$2:$C$501,$C33)+SUMIFS($F$1:F32,$C$1:C32,$C33)-SUMIFS('الصرف المباشر'!$D$2:$D$501,'الصرف المباشر'!$C$2:$C$501,$C33)-SUMPRODUCT((الطبخات!$B$2:$B$900=$C33)*الطبخات!$C$2:$C$900*COUNTIF('سجل الإنتاج'!$C$2:$C$501,الطبخات!$A$2:$A$900)),3))</f>
        <v/>
      </c>
      <c r="E33" s="15"/>
      <c r="F33" s="19" t="str">
        <f t="shared" si="1"/>
        <v/>
      </c>
      <c r="G33" s="9"/>
      <c r="H33" s="9"/>
    </row>
    <row r="34" spans="1:8" ht="24" customHeight="1">
      <c r="A34" s="5" t="str">
        <f t="shared" si="0"/>
        <v/>
      </c>
      <c r="B34" s="18"/>
      <c r="C34" s="9"/>
      <c r="D34" s="10" t="str">
        <f>IF($C34="","",ROUND(SUMIFS(الإدخالات!$D$2:$D$501,الإدخالات!$C$2:$C$501,$C34)+SUMIFS($F$1:F33,$C$1:C33,$C34)-SUMIFS('الصرف المباشر'!$D$2:$D$501,'الصرف المباشر'!$C$2:$C$501,$C34)-SUMPRODUCT((الطبخات!$B$2:$B$900=$C34)*الطبخات!$C$2:$C$900*COUNTIF('سجل الإنتاج'!$C$2:$C$501,الطبخات!$A$2:$A$900)),3))</f>
        <v/>
      </c>
      <c r="E34" s="15"/>
      <c r="F34" s="19" t="str">
        <f t="shared" si="1"/>
        <v/>
      </c>
      <c r="G34" s="9"/>
      <c r="H34" s="9"/>
    </row>
    <row r="35" spans="1:8" ht="24" customHeight="1">
      <c r="A35" s="5" t="str">
        <f t="shared" si="0"/>
        <v/>
      </c>
      <c r="B35" s="18"/>
      <c r="C35" s="9"/>
      <c r="D35" s="10" t="str">
        <f>IF($C35="","",ROUND(SUMIFS(الإدخالات!$D$2:$D$501,الإدخالات!$C$2:$C$501,$C35)+SUMIFS($F$1:F34,$C$1:C34,$C35)-SUMIFS('الصرف المباشر'!$D$2:$D$501,'الصرف المباشر'!$C$2:$C$501,$C35)-SUMPRODUCT((الطبخات!$B$2:$B$900=$C35)*الطبخات!$C$2:$C$900*COUNTIF('سجل الإنتاج'!$C$2:$C$501,الطبخات!$A$2:$A$900)),3))</f>
        <v/>
      </c>
      <c r="E35" s="15"/>
      <c r="F35" s="19" t="str">
        <f t="shared" si="1"/>
        <v/>
      </c>
      <c r="G35" s="9"/>
      <c r="H35" s="9"/>
    </row>
    <row r="36" spans="1:8" ht="24" customHeight="1">
      <c r="A36" s="5" t="str">
        <f t="shared" si="0"/>
        <v/>
      </c>
      <c r="B36" s="18"/>
      <c r="C36" s="9"/>
      <c r="D36" s="10" t="str">
        <f>IF($C36="","",ROUND(SUMIFS(الإدخالات!$D$2:$D$501,الإدخالات!$C$2:$C$501,$C36)+SUMIFS($F$1:F35,$C$1:C35,$C36)-SUMIFS('الصرف المباشر'!$D$2:$D$501,'الصرف المباشر'!$C$2:$C$501,$C36)-SUMPRODUCT((الطبخات!$B$2:$B$900=$C36)*الطبخات!$C$2:$C$900*COUNTIF('سجل الإنتاج'!$C$2:$C$501,الطبخات!$A$2:$A$900)),3))</f>
        <v/>
      </c>
      <c r="E36" s="15"/>
      <c r="F36" s="19" t="str">
        <f t="shared" si="1"/>
        <v/>
      </c>
      <c r="G36" s="9"/>
      <c r="H36" s="9"/>
    </row>
    <row r="37" spans="1:8" ht="24" customHeight="1">
      <c r="A37" s="5" t="str">
        <f t="shared" si="0"/>
        <v/>
      </c>
      <c r="B37" s="18"/>
      <c r="C37" s="9"/>
      <c r="D37" s="10" t="str">
        <f>IF($C37="","",ROUND(SUMIFS(الإدخالات!$D$2:$D$501,الإدخالات!$C$2:$C$501,$C37)+SUMIFS($F$1:F36,$C$1:C36,$C37)-SUMIFS('الصرف المباشر'!$D$2:$D$501,'الصرف المباشر'!$C$2:$C$501,$C37)-SUMPRODUCT((الطبخات!$B$2:$B$900=$C37)*الطبخات!$C$2:$C$900*COUNTIF('سجل الإنتاج'!$C$2:$C$501,الطبخات!$A$2:$A$900)),3))</f>
        <v/>
      </c>
      <c r="E37" s="15"/>
      <c r="F37" s="19" t="str">
        <f t="shared" si="1"/>
        <v/>
      </c>
      <c r="G37" s="9"/>
      <c r="H37" s="9"/>
    </row>
    <row r="38" spans="1:8" ht="24" customHeight="1">
      <c r="A38" s="5" t="str">
        <f t="shared" si="0"/>
        <v/>
      </c>
      <c r="B38" s="18"/>
      <c r="C38" s="9"/>
      <c r="D38" s="10" t="str">
        <f>IF($C38="","",ROUND(SUMIFS(الإدخالات!$D$2:$D$501,الإدخالات!$C$2:$C$501,$C38)+SUMIFS($F$1:F37,$C$1:C37,$C38)-SUMIFS('الصرف المباشر'!$D$2:$D$501,'الصرف المباشر'!$C$2:$C$501,$C38)-SUMPRODUCT((الطبخات!$B$2:$B$900=$C38)*الطبخات!$C$2:$C$900*COUNTIF('سجل الإنتاج'!$C$2:$C$501,الطبخات!$A$2:$A$900)),3))</f>
        <v/>
      </c>
      <c r="E38" s="15"/>
      <c r="F38" s="19" t="str">
        <f t="shared" si="1"/>
        <v/>
      </c>
      <c r="G38" s="9"/>
      <c r="H38" s="9"/>
    </row>
    <row r="39" spans="1:8" ht="24" customHeight="1">
      <c r="A39" s="5" t="str">
        <f t="shared" si="0"/>
        <v/>
      </c>
      <c r="B39" s="18"/>
      <c r="C39" s="9"/>
      <c r="D39" s="10" t="str">
        <f>IF($C39="","",ROUND(SUMIFS(الإدخالات!$D$2:$D$501,الإدخالات!$C$2:$C$501,$C39)+SUMIFS($F$1:F38,$C$1:C38,$C39)-SUMIFS('الصرف المباشر'!$D$2:$D$501,'الصرف المباشر'!$C$2:$C$501,$C39)-SUMPRODUCT((الطبخات!$B$2:$B$900=$C39)*الطبخات!$C$2:$C$900*COUNTIF('سجل الإنتاج'!$C$2:$C$501,الطبخات!$A$2:$A$900)),3))</f>
        <v/>
      </c>
      <c r="E39" s="15"/>
      <c r="F39" s="19" t="str">
        <f t="shared" si="1"/>
        <v/>
      </c>
      <c r="G39" s="9"/>
      <c r="H39" s="9"/>
    </row>
    <row r="40" spans="1:8" ht="24" customHeight="1">
      <c r="A40" s="5" t="str">
        <f t="shared" si="0"/>
        <v/>
      </c>
      <c r="B40" s="18"/>
      <c r="C40" s="9"/>
      <c r="D40" s="10" t="str">
        <f>IF($C40="","",ROUND(SUMIFS(الإدخالات!$D$2:$D$501,الإدخالات!$C$2:$C$501,$C40)+SUMIFS($F$1:F39,$C$1:C39,$C40)-SUMIFS('الصرف المباشر'!$D$2:$D$501,'الصرف المباشر'!$C$2:$C$501,$C40)-SUMPRODUCT((الطبخات!$B$2:$B$900=$C40)*الطبخات!$C$2:$C$900*COUNTIF('سجل الإنتاج'!$C$2:$C$501,الطبخات!$A$2:$A$900)),3))</f>
        <v/>
      </c>
      <c r="E40" s="15"/>
      <c r="F40" s="19" t="str">
        <f t="shared" si="1"/>
        <v/>
      </c>
      <c r="G40" s="9"/>
      <c r="H40" s="9"/>
    </row>
    <row r="41" spans="1:8" ht="24" customHeight="1">
      <c r="A41" s="5" t="str">
        <f t="shared" si="0"/>
        <v/>
      </c>
      <c r="B41" s="18"/>
      <c r="C41" s="9"/>
      <c r="D41" s="10" t="str">
        <f>IF($C41="","",ROUND(SUMIFS(الإدخالات!$D$2:$D$501,الإدخالات!$C$2:$C$501,$C41)+SUMIFS($F$1:F40,$C$1:C40,$C41)-SUMIFS('الصرف المباشر'!$D$2:$D$501,'الصرف المباشر'!$C$2:$C$501,$C41)-SUMPRODUCT((الطبخات!$B$2:$B$900=$C41)*الطبخات!$C$2:$C$900*COUNTIF('سجل الإنتاج'!$C$2:$C$501,الطبخات!$A$2:$A$900)),3))</f>
        <v/>
      </c>
      <c r="E41" s="15"/>
      <c r="F41" s="19" t="str">
        <f t="shared" si="1"/>
        <v/>
      </c>
      <c r="G41" s="9"/>
      <c r="H41" s="9"/>
    </row>
    <row r="42" spans="1:8" ht="24" customHeight="1">
      <c r="A42" s="5" t="str">
        <f t="shared" si="0"/>
        <v/>
      </c>
      <c r="B42" s="18"/>
      <c r="C42" s="9"/>
      <c r="D42" s="10" t="str">
        <f>IF($C42="","",ROUND(SUMIFS(الإدخالات!$D$2:$D$501,الإدخالات!$C$2:$C$501,$C42)+SUMIFS($F$1:F41,$C$1:C41,$C42)-SUMIFS('الصرف المباشر'!$D$2:$D$501,'الصرف المباشر'!$C$2:$C$501,$C42)-SUMPRODUCT((الطبخات!$B$2:$B$900=$C42)*الطبخات!$C$2:$C$900*COUNTIF('سجل الإنتاج'!$C$2:$C$501,الطبخات!$A$2:$A$900)),3))</f>
        <v/>
      </c>
      <c r="E42" s="15"/>
      <c r="F42" s="19" t="str">
        <f t="shared" si="1"/>
        <v/>
      </c>
      <c r="G42" s="9"/>
      <c r="H42" s="9"/>
    </row>
    <row r="43" spans="1:8" ht="24" customHeight="1">
      <c r="A43" s="5" t="str">
        <f t="shared" si="0"/>
        <v/>
      </c>
      <c r="B43" s="18"/>
      <c r="C43" s="9"/>
      <c r="D43" s="10" t="str">
        <f>IF($C43="","",ROUND(SUMIFS(الإدخالات!$D$2:$D$501,الإدخالات!$C$2:$C$501,$C43)+SUMIFS($F$1:F42,$C$1:C42,$C43)-SUMIFS('الصرف المباشر'!$D$2:$D$501,'الصرف المباشر'!$C$2:$C$501,$C43)-SUMPRODUCT((الطبخات!$B$2:$B$900=$C43)*الطبخات!$C$2:$C$900*COUNTIF('سجل الإنتاج'!$C$2:$C$501,الطبخات!$A$2:$A$900)),3))</f>
        <v/>
      </c>
      <c r="E43" s="15"/>
      <c r="F43" s="19" t="str">
        <f t="shared" si="1"/>
        <v/>
      </c>
      <c r="G43" s="9"/>
      <c r="H43" s="9"/>
    </row>
    <row r="44" spans="1:8" ht="24" customHeight="1">
      <c r="A44" s="5" t="str">
        <f t="shared" si="0"/>
        <v/>
      </c>
      <c r="B44" s="18"/>
      <c r="C44" s="9"/>
      <c r="D44" s="10" t="str">
        <f>IF($C44="","",ROUND(SUMIFS(الإدخالات!$D$2:$D$501,الإدخالات!$C$2:$C$501,$C44)+SUMIFS($F$1:F43,$C$1:C43,$C44)-SUMIFS('الصرف المباشر'!$D$2:$D$501,'الصرف المباشر'!$C$2:$C$501,$C44)-SUMPRODUCT((الطبخات!$B$2:$B$900=$C44)*الطبخات!$C$2:$C$900*COUNTIF('سجل الإنتاج'!$C$2:$C$501,الطبخات!$A$2:$A$900)),3))</f>
        <v/>
      </c>
      <c r="E44" s="15"/>
      <c r="F44" s="19" t="str">
        <f t="shared" si="1"/>
        <v/>
      </c>
      <c r="G44" s="9"/>
      <c r="H44" s="9"/>
    </row>
    <row r="45" spans="1:8" ht="24" customHeight="1">
      <c r="A45" s="5" t="str">
        <f t="shared" si="0"/>
        <v/>
      </c>
      <c r="B45" s="18"/>
      <c r="C45" s="9"/>
      <c r="D45" s="10" t="str">
        <f>IF($C45="","",ROUND(SUMIFS(الإدخالات!$D$2:$D$501,الإدخالات!$C$2:$C$501,$C45)+SUMIFS($F$1:F44,$C$1:C44,$C45)-SUMIFS('الصرف المباشر'!$D$2:$D$501,'الصرف المباشر'!$C$2:$C$501,$C45)-SUMPRODUCT((الطبخات!$B$2:$B$900=$C45)*الطبخات!$C$2:$C$900*COUNTIF('سجل الإنتاج'!$C$2:$C$501,الطبخات!$A$2:$A$900)),3))</f>
        <v/>
      </c>
      <c r="E45" s="15"/>
      <c r="F45" s="19" t="str">
        <f t="shared" si="1"/>
        <v/>
      </c>
      <c r="G45" s="9"/>
      <c r="H45" s="9"/>
    </row>
    <row r="46" spans="1:8" ht="24" customHeight="1">
      <c r="A46" s="5" t="str">
        <f t="shared" si="0"/>
        <v/>
      </c>
      <c r="B46" s="18"/>
      <c r="C46" s="9"/>
      <c r="D46" s="10" t="str">
        <f>IF($C46="","",ROUND(SUMIFS(الإدخالات!$D$2:$D$501,الإدخالات!$C$2:$C$501,$C46)+SUMIFS($F$1:F45,$C$1:C45,$C46)-SUMIFS('الصرف المباشر'!$D$2:$D$501,'الصرف المباشر'!$C$2:$C$501,$C46)-SUMPRODUCT((الطبخات!$B$2:$B$900=$C46)*الطبخات!$C$2:$C$900*COUNTIF('سجل الإنتاج'!$C$2:$C$501,الطبخات!$A$2:$A$900)),3))</f>
        <v/>
      </c>
      <c r="E46" s="15"/>
      <c r="F46" s="19" t="str">
        <f t="shared" si="1"/>
        <v/>
      </c>
      <c r="G46" s="9"/>
      <c r="H46" s="9"/>
    </row>
    <row r="47" spans="1:8" ht="24" customHeight="1">
      <c r="A47" s="5" t="str">
        <f t="shared" si="0"/>
        <v/>
      </c>
      <c r="B47" s="18"/>
      <c r="C47" s="9"/>
      <c r="D47" s="10" t="str">
        <f>IF($C47="","",ROUND(SUMIFS(الإدخالات!$D$2:$D$501,الإدخالات!$C$2:$C$501,$C47)+SUMIFS($F$1:F46,$C$1:C46,$C47)-SUMIFS('الصرف المباشر'!$D$2:$D$501,'الصرف المباشر'!$C$2:$C$501,$C47)-SUMPRODUCT((الطبخات!$B$2:$B$900=$C47)*الطبخات!$C$2:$C$900*COUNTIF('سجل الإنتاج'!$C$2:$C$501,الطبخات!$A$2:$A$900)),3))</f>
        <v/>
      </c>
      <c r="E47" s="15"/>
      <c r="F47" s="19" t="str">
        <f t="shared" si="1"/>
        <v/>
      </c>
      <c r="G47" s="9"/>
      <c r="H47" s="9"/>
    </row>
    <row r="48" spans="1:8" ht="24" customHeight="1">
      <c r="A48" s="5" t="str">
        <f t="shared" si="0"/>
        <v/>
      </c>
      <c r="B48" s="18"/>
      <c r="C48" s="9"/>
      <c r="D48" s="10" t="str">
        <f>IF($C48="","",ROUND(SUMIFS(الإدخالات!$D$2:$D$501,الإدخالات!$C$2:$C$501,$C48)+SUMIFS($F$1:F47,$C$1:C47,$C48)-SUMIFS('الصرف المباشر'!$D$2:$D$501,'الصرف المباشر'!$C$2:$C$501,$C48)-SUMPRODUCT((الطبخات!$B$2:$B$900=$C48)*الطبخات!$C$2:$C$900*COUNTIF('سجل الإنتاج'!$C$2:$C$501,الطبخات!$A$2:$A$900)),3))</f>
        <v/>
      </c>
      <c r="E48" s="15"/>
      <c r="F48" s="19" t="str">
        <f t="shared" si="1"/>
        <v/>
      </c>
      <c r="G48" s="9"/>
      <c r="H48" s="9"/>
    </row>
    <row r="49" spans="1:8" ht="24" customHeight="1">
      <c r="A49" s="5" t="str">
        <f t="shared" si="0"/>
        <v/>
      </c>
      <c r="B49" s="18"/>
      <c r="C49" s="9"/>
      <c r="D49" s="10" t="str">
        <f>IF($C49="","",ROUND(SUMIFS(الإدخالات!$D$2:$D$501,الإدخالات!$C$2:$C$501,$C49)+SUMIFS($F$1:F48,$C$1:C48,$C49)-SUMIFS('الصرف المباشر'!$D$2:$D$501,'الصرف المباشر'!$C$2:$C$501,$C49)-SUMPRODUCT((الطبخات!$B$2:$B$900=$C49)*الطبخات!$C$2:$C$900*COUNTIF('سجل الإنتاج'!$C$2:$C$501,الطبخات!$A$2:$A$900)),3))</f>
        <v/>
      </c>
      <c r="E49" s="15"/>
      <c r="F49" s="19" t="str">
        <f t="shared" si="1"/>
        <v/>
      </c>
      <c r="G49" s="9"/>
      <c r="H49" s="9"/>
    </row>
    <row r="50" spans="1:8" ht="24" customHeight="1">
      <c r="A50" s="5" t="str">
        <f t="shared" si="0"/>
        <v/>
      </c>
      <c r="B50" s="18"/>
      <c r="C50" s="9"/>
      <c r="D50" s="10" t="str">
        <f>IF($C50="","",ROUND(SUMIFS(الإدخالات!$D$2:$D$501,الإدخالات!$C$2:$C$501,$C50)+SUMIFS($F$1:F49,$C$1:C49,$C50)-SUMIFS('الصرف المباشر'!$D$2:$D$501,'الصرف المباشر'!$C$2:$C$501,$C50)-SUMPRODUCT((الطبخات!$B$2:$B$900=$C50)*الطبخات!$C$2:$C$900*COUNTIF('سجل الإنتاج'!$C$2:$C$501,الطبخات!$A$2:$A$900)),3))</f>
        <v/>
      </c>
      <c r="E50" s="15"/>
      <c r="F50" s="19" t="str">
        <f t="shared" si="1"/>
        <v/>
      </c>
      <c r="G50" s="9"/>
      <c r="H50" s="9"/>
    </row>
    <row r="51" spans="1:8" ht="24" customHeight="1">
      <c r="A51" s="5" t="str">
        <f t="shared" si="0"/>
        <v/>
      </c>
      <c r="B51" s="18"/>
      <c r="C51" s="9"/>
      <c r="D51" s="10" t="str">
        <f>IF($C51="","",ROUND(SUMIFS(الإدخالات!$D$2:$D$501,الإدخالات!$C$2:$C$501,$C51)+SUMIFS($F$1:F50,$C$1:C50,$C51)-SUMIFS('الصرف المباشر'!$D$2:$D$501,'الصرف المباشر'!$C$2:$C$501,$C51)-SUMPRODUCT((الطبخات!$B$2:$B$900=$C51)*الطبخات!$C$2:$C$900*COUNTIF('سجل الإنتاج'!$C$2:$C$501,الطبخات!$A$2:$A$900)),3))</f>
        <v/>
      </c>
      <c r="E51" s="15"/>
      <c r="F51" s="19" t="str">
        <f t="shared" si="1"/>
        <v/>
      </c>
      <c r="G51" s="9"/>
      <c r="H51" s="9"/>
    </row>
    <row r="52" spans="1:8" ht="24" customHeight="1">
      <c r="A52" s="5" t="str">
        <f t="shared" si="0"/>
        <v/>
      </c>
      <c r="B52" s="18"/>
      <c r="C52" s="9"/>
      <c r="D52" s="10" t="str">
        <f>IF($C52="","",ROUND(SUMIFS(الإدخالات!$D$2:$D$501,الإدخالات!$C$2:$C$501,$C52)+SUMIFS($F$1:F51,$C$1:C51,$C52)-SUMIFS('الصرف المباشر'!$D$2:$D$501,'الصرف المباشر'!$C$2:$C$501,$C52)-SUMPRODUCT((الطبخات!$B$2:$B$900=$C52)*الطبخات!$C$2:$C$900*COUNTIF('سجل الإنتاج'!$C$2:$C$501,الطبخات!$A$2:$A$900)),3))</f>
        <v/>
      </c>
      <c r="E52" s="15"/>
      <c r="F52" s="19" t="str">
        <f t="shared" si="1"/>
        <v/>
      </c>
      <c r="G52" s="9"/>
      <c r="H52" s="9"/>
    </row>
    <row r="53" spans="1:8" ht="24" customHeight="1">
      <c r="A53" s="5" t="str">
        <f t="shared" si="0"/>
        <v/>
      </c>
      <c r="B53" s="18"/>
      <c r="C53" s="9"/>
      <c r="D53" s="10" t="str">
        <f>IF($C53="","",ROUND(SUMIFS(الإدخالات!$D$2:$D$501,الإدخالات!$C$2:$C$501,$C53)+SUMIFS($F$1:F52,$C$1:C52,$C53)-SUMIFS('الصرف المباشر'!$D$2:$D$501,'الصرف المباشر'!$C$2:$C$501,$C53)-SUMPRODUCT((الطبخات!$B$2:$B$900=$C53)*الطبخات!$C$2:$C$900*COUNTIF('سجل الإنتاج'!$C$2:$C$501,الطبخات!$A$2:$A$900)),3))</f>
        <v/>
      </c>
      <c r="E53" s="15"/>
      <c r="F53" s="19" t="str">
        <f t="shared" si="1"/>
        <v/>
      </c>
      <c r="G53" s="9"/>
      <c r="H53" s="9"/>
    </row>
    <row r="54" spans="1:8" ht="24" customHeight="1">
      <c r="A54" s="5" t="str">
        <f t="shared" si="0"/>
        <v/>
      </c>
      <c r="B54" s="18"/>
      <c r="C54" s="9"/>
      <c r="D54" s="10" t="str">
        <f>IF($C54="","",ROUND(SUMIFS(الإدخالات!$D$2:$D$501,الإدخالات!$C$2:$C$501,$C54)+SUMIFS($F$1:F53,$C$1:C53,$C54)-SUMIFS('الصرف المباشر'!$D$2:$D$501,'الصرف المباشر'!$C$2:$C$501,$C54)-SUMPRODUCT((الطبخات!$B$2:$B$900=$C54)*الطبخات!$C$2:$C$900*COUNTIF('سجل الإنتاج'!$C$2:$C$501,الطبخات!$A$2:$A$900)),3))</f>
        <v/>
      </c>
      <c r="E54" s="15"/>
      <c r="F54" s="19" t="str">
        <f t="shared" si="1"/>
        <v/>
      </c>
      <c r="G54" s="9"/>
      <c r="H54" s="9"/>
    </row>
    <row r="55" spans="1:8" ht="24" customHeight="1">
      <c r="A55" s="5" t="str">
        <f t="shared" si="0"/>
        <v/>
      </c>
      <c r="B55" s="18"/>
      <c r="C55" s="9"/>
      <c r="D55" s="10" t="str">
        <f>IF($C55="","",ROUND(SUMIFS(الإدخالات!$D$2:$D$501,الإدخالات!$C$2:$C$501,$C55)+SUMIFS($F$1:F54,$C$1:C54,$C55)-SUMIFS('الصرف المباشر'!$D$2:$D$501,'الصرف المباشر'!$C$2:$C$501,$C55)-SUMPRODUCT((الطبخات!$B$2:$B$900=$C55)*الطبخات!$C$2:$C$900*COUNTIF('سجل الإنتاج'!$C$2:$C$501,الطبخات!$A$2:$A$900)),3))</f>
        <v/>
      </c>
      <c r="E55" s="15"/>
      <c r="F55" s="19" t="str">
        <f t="shared" si="1"/>
        <v/>
      </c>
      <c r="G55" s="9"/>
      <c r="H55" s="9"/>
    </row>
    <row r="56" spans="1:8" ht="24" customHeight="1">
      <c r="A56" s="5" t="str">
        <f t="shared" si="0"/>
        <v/>
      </c>
      <c r="B56" s="18"/>
      <c r="C56" s="9"/>
      <c r="D56" s="10" t="str">
        <f>IF($C56="","",ROUND(SUMIFS(الإدخالات!$D$2:$D$501,الإدخالات!$C$2:$C$501,$C56)+SUMIFS($F$1:F55,$C$1:C55,$C56)-SUMIFS('الصرف المباشر'!$D$2:$D$501,'الصرف المباشر'!$C$2:$C$501,$C56)-SUMPRODUCT((الطبخات!$B$2:$B$900=$C56)*الطبخات!$C$2:$C$900*COUNTIF('سجل الإنتاج'!$C$2:$C$501,الطبخات!$A$2:$A$900)),3))</f>
        <v/>
      </c>
      <c r="E56" s="15"/>
      <c r="F56" s="19" t="str">
        <f t="shared" si="1"/>
        <v/>
      </c>
      <c r="G56" s="9"/>
      <c r="H56" s="9"/>
    </row>
    <row r="57" spans="1:8" ht="24" customHeight="1">
      <c r="A57" s="5" t="str">
        <f t="shared" si="0"/>
        <v/>
      </c>
      <c r="B57" s="18"/>
      <c r="C57" s="9"/>
      <c r="D57" s="10" t="str">
        <f>IF($C57="","",ROUND(SUMIFS(الإدخالات!$D$2:$D$501,الإدخالات!$C$2:$C$501,$C57)+SUMIFS($F$1:F56,$C$1:C56,$C57)-SUMIFS('الصرف المباشر'!$D$2:$D$501,'الصرف المباشر'!$C$2:$C$501,$C57)-SUMPRODUCT((الطبخات!$B$2:$B$900=$C57)*الطبخات!$C$2:$C$900*COUNTIF('سجل الإنتاج'!$C$2:$C$501,الطبخات!$A$2:$A$900)),3))</f>
        <v/>
      </c>
      <c r="E57" s="15"/>
      <c r="F57" s="19" t="str">
        <f t="shared" si="1"/>
        <v/>
      </c>
      <c r="G57" s="9"/>
      <c r="H57" s="9"/>
    </row>
    <row r="58" spans="1:8" ht="24" customHeight="1">
      <c r="A58" s="5" t="str">
        <f t="shared" si="0"/>
        <v/>
      </c>
      <c r="B58" s="18"/>
      <c r="C58" s="9"/>
      <c r="D58" s="10" t="str">
        <f>IF($C58="","",ROUND(SUMIFS(الإدخالات!$D$2:$D$501,الإدخالات!$C$2:$C$501,$C58)+SUMIFS($F$1:F57,$C$1:C57,$C58)-SUMIFS('الصرف المباشر'!$D$2:$D$501,'الصرف المباشر'!$C$2:$C$501,$C58)-SUMPRODUCT((الطبخات!$B$2:$B$900=$C58)*الطبخات!$C$2:$C$900*COUNTIF('سجل الإنتاج'!$C$2:$C$501,الطبخات!$A$2:$A$900)),3))</f>
        <v/>
      </c>
      <c r="E58" s="15"/>
      <c r="F58" s="19" t="str">
        <f t="shared" si="1"/>
        <v/>
      </c>
      <c r="G58" s="9"/>
      <c r="H58" s="9"/>
    </row>
    <row r="59" spans="1:8" ht="24" customHeight="1">
      <c r="A59" s="5" t="str">
        <f t="shared" si="0"/>
        <v/>
      </c>
      <c r="B59" s="18"/>
      <c r="C59" s="9"/>
      <c r="D59" s="10" t="str">
        <f>IF($C59="","",ROUND(SUMIFS(الإدخالات!$D$2:$D$501,الإدخالات!$C$2:$C$501,$C59)+SUMIFS($F$1:F58,$C$1:C58,$C59)-SUMIFS('الصرف المباشر'!$D$2:$D$501,'الصرف المباشر'!$C$2:$C$501,$C59)-SUMPRODUCT((الطبخات!$B$2:$B$900=$C59)*الطبخات!$C$2:$C$900*COUNTIF('سجل الإنتاج'!$C$2:$C$501,الطبخات!$A$2:$A$900)),3))</f>
        <v/>
      </c>
      <c r="E59" s="15"/>
      <c r="F59" s="19" t="str">
        <f t="shared" si="1"/>
        <v/>
      </c>
      <c r="G59" s="9"/>
      <c r="H59" s="9"/>
    </row>
    <row r="60" spans="1:8" ht="24" customHeight="1">
      <c r="A60" s="5" t="str">
        <f t="shared" si="0"/>
        <v/>
      </c>
      <c r="B60" s="18"/>
      <c r="C60" s="9"/>
      <c r="D60" s="10" t="str">
        <f>IF($C60="","",ROUND(SUMIFS(الإدخالات!$D$2:$D$501,الإدخالات!$C$2:$C$501,$C60)+SUMIFS($F$1:F59,$C$1:C59,$C60)-SUMIFS('الصرف المباشر'!$D$2:$D$501,'الصرف المباشر'!$C$2:$C$501,$C60)-SUMPRODUCT((الطبخات!$B$2:$B$900=$C60)*الطبخات!$C$2:$C$900*COUNTIF('سجل الإنتاج'!$C$2:$C$501,الطبخات!$A$2:$A$900)),3))</f>
        <v/>
      </c>
      <c r="E60" s="15"/>
      <c r="F60" s="19" t="str">
        <f t="shared" si="1"/>
        <v/>
      </c>
      <c r="G60" s="9"/>
      <c r="H60" s="9"/>
    </row>
    <row r="61" spans="1:8" ht="24" customHeight="1">
      <c r="A61" s="5" t="str">
        <f t="shared" si="0"/>
        <v/>
      </c>
      <c r="B61" s="18"/>
      <c r="C61" s="9"/>
      <c r="D61" s="10" t="str">
        <f>IF($C61="","",ROUND(SUMIFS(الإدخالات!$D$2:$D$501,الإدخالات!$C$2:$C$501,$C61)+SUMIFS($F$1:F60,$C$1:C60,$C61)-SUMIFS('الصرف المباشر'!$D$2:$D$501,'الصرف المباشر'!$C$2:$C$501,$C61)-SUMPRODUCT((الطبخات!$B$2:$B$900=$C61)*الطبخات!$C$2:$C$900*COUNTIF('سجل الإنتاج'!$C$2:$C$501,الطبخات!$A$2:$A$900)),3))</f>
        <v/>
      </c>
      <c r="E61" s="15"/>
      <c r="F61" s="19" t="str">
        <f t="shared" si="1"/>
        <v/>
      </c>
      <c r="G61" s="9"/>
      <c r="H61" s="9"/>
    </row>
    <row r="62" spans="1:8" ht="24" customHeight="1">
      <c r="A62" s="5" t="str">
        <f t="shared" si="0"/>
        <v/>
      </c>
      <c r="B62" s="18"/>
      <c r="C62" s="9"/>
      <c r="D62" s="10" t="str">
        <f>IF($C62="","",ROUND(SUMIFS(الإدخالات!$D$2:$D$501,الإدخالات!$C$2:$C$501,$C62)+SUMIFS($F$1:F61,$C$1:C61,$C62)-SUMIFS('الصرف المباشر'!$D$2:$D$501,'الصرف المباشر'!$C$2:$C$501,$C62)-SUMPRODUCT((الطبخات!$B$2:$B$900=$C62)*الطبخات!$C$2:$C$900*COUNTIF('سجل الإنتاج'!$C$2:$C$501,الطبخات!$A$2:$A$900)),3))</f>
        <v/>
      </c>
      <c r="E62" s="15"/>
      <c r="F62" s="19" t="str">
        <f t="shared" si="1"/>
        <v/>
      </c>
      <c r="G62" s="9"/>
      <c r="H62" s="9"/>
    </row>
    <row r="63" spans="1:8" ht="24" customHeight="1">
      <c r="A63" s="5" t="str">
        <f t="shared" si="0"/>
        <v/>
      </c>
      <c r="B63" s="18"/>
      <c r="C63" s="9"/>
      <c r="D63" s="10" t="str">
        <f>IF($C63="","",ROUND(SUMIFS(الإدخالات!$D$2:$D$501,الإدخالات!$C$2:$C$501,$C63)+SUMIFS($F$1:F62,$C$1:C62,$C63)-SUMIFS('الصرف المباشر'!$D$2:$D$501,'الصرف المباشر'!$C$2:$C$501,$C63)-SUMPRODUCT((الطبخات!$B$2:$B$900=$C63)*الطبخات!$C$2:$C$900*COUNTIF('سجل الإنتاج'!$C$2:$C$501,الطبخات!$A$2:$A$900)),3))</f>
        <v/>
      </c>
      <c r="E63" s="15"/>
      <c r="F63" s="19" t="str">
        <f t="shared" si="1"/>
        <v/>
      </c>
      <c r="G63" s="9"/>
      <c r="H63" s="9"/>
    </row>
    <row r="64" spans="1:8" ht="24" customHeight="1">
      <c r="A64" s="5" t="str">
        <f t="shared" si="0"/>
        <v/>
      </c>
      <c r="B64" s="18"/>
      <c r="C64" s="9"/>
      <c r="D64" s="10" t="str">
        <f>IF($C64="","",ROUND(SUMIFS(الإدخالات!$D$2:$D$501,الإدخالات!$C$2:$C$501,$C64)+SUMIFS($F$1:F63,$C$1:C63,$C64)-SUMIFS('الصرف المباشر'!$D$2:$D$501,'الصرف المباشر'!$C$2:$C$501,$C64)-SUMPRODUCT((الطبخات!$B$2:$B$900=$C64)*الطبخات!$C$2:$C$900*COUNTIF('سجل الإنتاج'!$C$2:$C$501,الطبخات!$A$2:$A$900)),3))</f>
        <v/>
      </c>
      <c r="E64" s="15"/>
      <c r="F64" s="19" t="str">
        <f t="shared" si="1"/>
        <v/>
      </c>
      <c r="G64" s="9"/>
      <c r="H64" s="9"/>
    </row>
    <row r="65" spans="1:8" ht="24" customHeight="1">
      <c r="A65" s="5" t="str">
        <f t="shared" si="0"/>
        <v/>
      </c>
      <c r="B65" s="18"/>
      <c r="C65" s="9"/>
      <c r="D65" s="10" t="str">
        <f>IF($C65="","",ROUND(SUMIFS(الإدخالات!$D$2:$D$501,الإدخالات!$C$2:$C$501,$C65)+SUMIFS($F$1:F64,$C$1:C64,$C65)-SUMIFS('الصرف المباشر'!$D$2:$D$501,'الصرف المباشر'!$C$2:$C$501,$C65)-SUMPRODUCT((الطبخات!$B$2:$B$900=$C65)*الطبخات!$C$2:$C$900*COUNTIF('سجل الإنتاج'!$C$2:$C$501,الطبخات!$A$2:$A$900)),3))</f>
        <v/>
      </c>
      <c r="E65" s="15"/>
      <c r="F65" s="19" t="str">
        <f t="shared" si="1"/>
        <v/>
      </c>
      <c r="G65" s="9"/>
      <c r="H65" s="9"/>
    </row>
    <row r="66" spans="1:8" ht="24" customHeight="1">
      <c r="A66" s="5" t="str">
        <f t="shared" ref="A66:A129" si="2">IF(C66="","",ROW()-1)</f>
        <v/>
      </c>
      <c r="B66" s="18"/>
      <c r="C66" s="9"/>
      <c r="D66" s="10" t="str">
        <f>IF($C66="","",ROUND(SUMIFS(الإدخالات!$D$2:$D$501,الإدخالات!$C$2:$C$501,$C66)+SUMIFS($F$1:F65,$C$1:C65,$C66)-SUMIFS('الصرف المباشر'!$D$2:$D$501,'الصرف المباشر'!$C$2:$C$501,$C66)-SUMPRODUCT((الطبخات!$B$2:$B$900=$C66)*الطبخات!$C$2:$C$900*COUNTIF('سجل الإنتاج'!$C$2:$C$501,الطبخات!$A$2:$A$900)),3))</f>
        <v/>
      </c>
      <c r="E66" s="15"/>
      <c r="F66" s="19" t="str">
        <f t="shared" ref="F66:F129" si="3">IF(OR($C66="",$E66=""),"",ROUND($E66-$D66,3))</f>
        <v/>
      </c>
      <c r="G66" s="9"/>
      <c r="H66" s="9"/>
    </row>
    <row r="67" spans="1:8" ht="24" customHeight="1">
      <c r="A67" s="5" t="str">
        <f t="shared" si="2"/>
        <v/>
      </c>
      <c r="B67" s="18"/>
      <c r="C67" s="9"/>
      <c r="D67" s="10" t="str">
        <f>IF($C67="","",ROUND(SUMIFS(الإدخالات!$D$2:$D$501,الإدخالات!$C$2:$C$501,$C67)+SUMIFS($F$1:F66,$C$1:C66,$C67)-SUMIFS('الصرف المباشر'!$D$2:$D$501,'الصرف المباشر'!$C$2:$C$501,$C67)-SUMPRODUCT((الطبخات!$B$2:$B$900=$C67)*الطبخات!$C$2:$C$900*COUNTIF('سجل الإنتاج'!$C$2:$C$501,الطبخات!$A$2:$A$900)),3))</f>
        <v/>
      </c>
      <c r="E67" s="15"/>
      <c r="F67" s="19" t="str">
        <f t="shared" si="3"/>
        <v/>
      </c>
      <c r="G67" s="9"/>
      <c r="H67" s="9"/>
    </row>
    <row r="68" spans="1:8" ht="24" customHeight="1">
      <c r="A68" s="5" t="str">
        <f t="shared" si="2"/>
        <v/>
      </c>
      <c r="B68" s="18"/>
      <c r="C68" s="9"/>
      <c r="D68" s="10" t="str">
        <f>IF($C68="","",ROUND(SUMIFS(الإدخالات!$D$2:$D$501,الإدخالات!$C$2:$C$501,$C68)+SUMIFS($F$1:F67,$C$1:C67,$C68)-SUMIFS('الصرف المباشر'!$D$2:$D$501,'الصرف المباشر'!$C$2:$C$501,$C68)-SUMPRODUCT((الطبخات!$B$2:$B$900=$C68)*الطبخات!$C$2:$C$900*COUNTIF('سجل الإنتاج'!$C$2:$C$501,الطبخات!$A$2:$A$900)),3))</f>
        <v/>
      </c>
      <c r="E68" s="15"/>
      <c r="F68" s="19" t="str">
        <f t="shared" si="3"/>
        <v/>
      </c>
      <c r="G68" s="9"/>
      <c r="H68" s="9"/>
    </row>
    <row r="69" spans="1:8" ht="24" customHeight="1">
      <c r="A69" s="5" t="str">
        <f t="shared" si="2"/>
        <v/>
      </c>
      <c r="B69" s="18"/>
      <c r="C69" s="9"/>
      <c r="D69" s="10" t="str">
        <f>IF($C69="","",ROUND(SUMIFS(الإدخالات!$D$2:$D$501,الإدخالات!$C$2:$C$501,$C69)+SUMIFS($F$1:F68,$C$1:C68,$C69)-SUMIFS('الصرف المباشر'!$D$2:$D$501,'الصرف المباشر'!$C$2:$C$501,$C69)-SUMPRODUCT((الطبخات!$B$2:$B$900=$C69)*الطبخات!$C$2:$C$900*COUNTIF('سجل الإنتاج'!$C$2:$C$501,الطبخات!$A$2:$A$900)),3))</f>
        <v/>
      </c>
      <c r="E69" s="15"/>
      <c r="F69" s="19" t="str">
        <f t="shared" si="3"/>
        <v/>
      </c>
      <c r="G69" s="9"/>
      <c r="H69" s="9"/>
    </row>
    <row r="70" spans="1:8" ht="24" customHeight="1">
      <c r="A70" s="5" t="str">
        <f t="shared" si="2"/>
        <v/>
      </c>
      <c r="B70" s="18"/>
      <c r="C70" s="9"/>
      <c r="D70" s="10" t="str">
        <f>IF($C70="","",ROUND(SUMIFS(الإدخالات!$D$2:$D$501,الإدخالات!$C$2:$C$501,$C70)+SUMIFS($F$1:F69,$C$1:C69,$C70)-SUMIFS('الصرف المباشر'!$D$2:$D$501,'الصرف المباشر'!$C$2:$C$501,$C70)-SUMPRODUCT((الطبخات!$B$2:$B$900=$C70)*الطبخات!$C$2:$C$900*COUNTIF('سجل الإنتاج'!$C$2:$C$501,الطبخات!$A$2:$A$900)),3))</f>
        <v/>
      </c>
      <c r="E70" s="15"/>
      <c r="F70" s="19" t="str">
        <f t="shared" si="3"/>
        <v/>
      </c>
      <c r="G70" s="9"/>
      <c r="H70" s="9"/>
    </row>
    <row r="71" spans="1:8" ht="24" customHeight="1">
      <c r="A71" s="5" t="str">
        <f t="shared" si="2"/>
        <v/>
      </c>
      <c r="B71" s="18"/>
      <c r="C71" s="9"/>
      <c r="D71" s="10" t="str">
        <f>IF($C71="","",ROUND(SUMIFS(الإدخالات!$D$2:$D$501,الإدخالات!$C$2:$C$501,$C71)+SUMIFS($F$1:F70,$C$1:C70,$C71)-SUMIFS('الصرف المباشر'!$D$2:$D$501,'الصرف المباشر'!$C$2:$C$501,$C71)-SUMPRODUCT((الطبخات!$B$2:$B$900=$C71)*الطبخات!$C$2:$C$900*COUNTIF('سجل الإنتاج'!$C$2:$C$501,الطبخات!$A$2:$A$900)),3))</f>
        <v/>
      </c>
      <c r="E71" s="15"/>
      <c r="F71" s="19" t="str">
        <f t="shared" si="3"/>
        <v/>
      </c>
      <c r="G71" s="9"/>
      <c r="H71" s="9"/>
    </row>
    <row r="72" spans="1:8" ht="24" customHeight="1">
      <c r="A72" s="5" t="str">
        <f t="shared" si="2"/>
        <v/>
      </c>
      <c r="B72" s="18"/>
      <c r="C72" s="9"/>
      <c r="D72" s="10" t="str">
        <f>IF($C72="","",ROUND(SUMIFS(الإدخالات!$D$2:$D$501,الإدخالات!$C$2:$C$501,$C72)+SUMIFS($F$1:F71,$C$1:C71,$C72)-SUMIFS('الصرف المباشر'!$D$2:$D$501,'الصرف المباشر'!$C$2:$C$501,$C72)-SUMPRODUCT((الطبخات!$B$2:$B$900=$C72)*الطبخات!$C$2:$C$900*COUNTIF('سجل الإنتاج'!$C$2:$C$501,الطبخات!$A$2:$A$900)),3))</f>
        <v/>
      </c>
      <c r="E72" s="15"/>
      <c r="F72" s="19" t="str">
        <f t="shared" si="3"/>
        <v/>
      </c>
      <c r="G72" s="9"/>
      <c r="H72" s="9"/>
    </row>
    <row r="73" spans="1:8" ht="24" customHeight="1">
      <c r="A73" s="5" t="str">
        <f t="shared" si="2"/>
        <v/>
      </c>
      <c r="B73" s="18"/>
      <c r="C73" s="9"/>
      <c r="D73" s="10" t="str">
        <f>IF($C73="","",ROUND(SUMIFS(الإدخالات!$D$2:$D$501,الإدخالات!$C$2:$C$501,$C73)+SUMIFS($F$1:F72,$C$1:C72,$C73)-SUMIFS('الصرف المباشر'!$D$2:$D$501,'الصرف المباشر'!$C$2:$C$501,$C73)-SUMPRODUCT((الطبخات!$B$2:$B$900=$C73)*الطبخات!$C$2:$C$900*COUNTIF('سجل الإنتاج'!$C$2:$C$501,الطبخات!$A$2:$A$900)),3))</f>
        <v/>
      </c>
      <c r="E73" s="15"/>
      <c r="F73" s="19" t="str">
        <f t="shared" si="3"/>
        <v/>
      </c>
      <c r="G73" s="9"/>
      <c r="H73" s="9"/>
    </row>
    <row r="74" spans="1:8" ht="24" customHeight="1">
      <c r="A74" s="5" t="str">
        <f t="shared" si="2"/>
        <v/>
      </c>
      <c r="B74" s="18"/>
      <c r="C74" s="9"/>
      <c r="D74" s="10" t="str">
        <f>IF($C74="","",ROUND(SUMIFS(الإدخالات!$D$2:$D$501,الإدخالات!$C$2:$C$501,$C74)+SUMIFS($F$1:F73,$C$1:C73,$C74)-SUMIFS('الصرف المباشر'!$D$2:$D$501,'الصرف المباشر'!$C$2:$C$501,$C74)-SUMPRODUCT((الطبخات!$B$2:$B$900=$C74)*الطبخات!$C$2:$C$900*COUNTIF('سجل الإنتاج'!$C$2:$C$501,الطبخات!$A$2:$A$900)),3))</f>
        <v/>
      </c>
      <c r="E74" s="15"/>
      <c r="F74" s="19" t="str">
        <f t="shared" si="3"/>
        <v/>
      </c>
      <c r="G74" s="9"/>
      <c r="H74" s="9"/>
    </row>
    <row r="75" spans="1:8" ht="24" customHeight="1">
      <c r="A75" s="5" t="str">
        <f t="shared" si="2"/>
        <v/>
      </c>
      <c r="B75" s="18"/>
      <c r="C75" s="9"/>
      <c r="D75" s="10" t="str">
        <f>IF($C75="","",ROUND(SUMIFS(الإدخالات!$D$2:$D$501,الإدخالات!$C$2:$C$501,$C75)+SUMIFS($F$1:F74,$C$1:C74,$C75)-SUMIFS('الصرف المباشر'!$D$2:$D$501,'الصرف المباشر'!$C$2:$C$501,$C75)-SUMPRODUCT((الطبخات!$B$2:$B$900=$C75)*الطبخات!$C$2:$C$900*COUNTIF('سجل الإنتاج'!$C$2:$C$501,الطبخات!$A$2:$A$900)),3))</f>
        <v/>
      </c>
      <c r="E75" s="15"/>
      <c r="F75" s="19" t="str">
        <f t="shared" si="3"/>
        <v/>
      </c>
      <c r="G75" s="9"/>
      <c r="H75" s="9"/>
    </row>
    <row r="76" spans="1:8" ht="24" customHeight="1">
      <c r="A76" s="5" t="str">
        <f t="shared" si="2"/>
        <v/>
      </c>
      <c r="B76" s="18"/>
      <c r="C76" s="9"/>
      <c r="D76" s="10" t="str">
        <f>IF($C76="","",ROUND(SUMIFS(الإدخالات!$D$2:$D$501,الإدخالات!$C$2:$C$501,$C76)+SUMIFS($F$1:F75,$C$1:C75,$C76)-SUMIFS('الصرف المباشر'!$D$2:$D$501,'الصرف المباشر'!$C$2:$C$501,$C76)-SUMPRODUCT((الطبخات!$B$2:$B$900=$C76)*الطبخات!$C$2:$C$900*COUNTIF('سجل الإنتاج'!$C$2:$C$501,الطبخات!$A$2:$A$900)),3))</f>
        <v/>
      </c>
      <c r="E76" s="15"/>
      <c r="F76" s="19" t="str">
        <f t="shared" si="3"/>
        <v/>
      </c>
      <c r="G76" s="9"/>
      <c r="H76" s="9"/>
    </row>
    <row r="77" spans="1:8" ht="24" customHeight="1">
      <c r="A77" s="5" t="str">
        <f t="shared" si="2"/>
        <v/>
      </c>
      <c r="B77" s="18"/>
      <c r="C77" s="9"/>
      <c r="D77" s="10" t="str">
        <f>IF($C77="","",ROUND(SUMIFS(الإدخالات!$D$2:$D$501,الإدخالات!$C$2:$C$501,$C77)+SUMIFS($F$1:F76,$C$1:C76,$C77)-SUMIFS('الصرف المباشر'!$D$2:$D$501,'الصرف المباشر'!$C$2:$C$501,$C77)-SUMPRODUCT((الطبخات!$B$2:$B$900=$C77)*الطبخات!$C$2:$C$900*COUNTIF('سجل الإنتاج'!$C$2:$C$501,الطبخات!$A$2:$A$900)),3))</f>
        <v/>
      </c>
      <c r="E77" s="15"/>
      <c r="F77" s="19" t="str">
        <f t="shared" si="3"/>
        <v/>
      </c>
      <c r="G77" s="9"/>
      <c r="H77" s="9"/>
    </row>
    <row r="78" spans="1:8" ht="24" customHeight="1">
      <c r="A78" s="5" t="str">
        <f t="shared" si="2"/>
        <v/>
      </c>
      <c r="B78" s="18"/>
      <c r="C78" s="9"/>
      <c r="D78" s="10" t="str">
        <f>IF($C78="","",ROUND(SUMIFS(الإدخالات!$D$2:$D$501,الإدخالات!$C$2:$C$501,$C78)+SUMIFS($F$1:F77,$C$1:C77,$C78)-SUMIFS('الصرف المباشر'!$D$2:$D$501,'الصرف المباشر'!$C$2:$C$501,$C78)-SUMPRODUCT((الطبخات!$B$2:$B$900=$C78)*الطبخات!$C$2:$C$900*COUNTIF('سجل الإنتاج'!$C$2:$C$501,الطبخات!$A$2:$A$900)),3))</f>
        <v/>
      </c>
      <c r="E78" s="15"/>
      <c r="F78" s="19" t="str">
        <f t="shared" si="3"/>
        <v/>
      </c>
      <c r="G78" s="9"/>
      <c r="H78" s="9"/>
    </row>
    <row r="79" spans="1:8" ht="24" customHeight="1">
      <c r="A79" s="5" t="str">
        <f t="shared" si="2"/>
        <v/>
      </c>
      <c r="B79" s="18"/>
      <c r="C79" s="9"/>
      <c r="D79" s="10" t="str">
        <f>IF($C79="","",ROUND(SUMIFS(الإدخالات!$D$2:$D$501,الإدخالات!$C$2:$C$501,$C79)+SUMIFS($F$1:F78,$C$1:C78,$C79)-SUMIFS('الصرف المباشر'!$D$2:$D$501,'الصرف المباشر'!$C$2:$C$501,$C79)-SUMPRODUCT((الطبخات!$B$2:$B$900=$C79)*الطبخات!$C$2:$C$900*COUNTIF('سجل الإنتاج'!$C$2:$C$501,الطبخات!$A$2:$A$900)),3))</f>
        <v/>
      </c>
      <c r="E79" s="15"/>
      <c r="F79" s="19" t="str">
        <f t="shared" si="3"/>
        <v/>
      </c>
      <c r="G79" s="9"/>
      <c r="H79" s="9"/>
    </row>
    <row r="80" spans="1:8" ht="24" customHeight="1">
      <c r="A80" s="5" t="str">
        <f t="shared" si="2"/>
        <v/>
      </c>
      <c r="B80" s="18"/>
      <c r="C80" s="9"/>
      <c r="D80" s="10" t="str">
        <f>IF($C80="","",ROUND(SUMIFS(الإدخالات!$D$2:$D$501,الإدخالات!$C$2:$C$501,$C80)+SUMIFS($F$1:F79,$C$1:C79,$C80)-SUMIFS('الصرف المباشر'!$D$2:$D$501,'الصرف المباشر'!$C$2:$C$501,$C80)-SUMPRODUCT((الطبخات!$B$2:$B$900=$C80)*الطبخات!$C$2:$C$900*COUNTIF('سجل الإنتاج'!$C$2:$C$501,الطبخات!$A$2:$A$900)),3))</f>
        <v/>
      </c>
      <c r="E80" s="15"/>
      <c r="F80" s="19" t="str">
        <f t="shared" si="3"/>
        <v/>
      </c>
      <c r="G80" s="9"/>
      <c r="H80" s="9"/>
    </row>
    <row r="81" spans="1:8" ht="24" customHeight="1">
      <c r="A81" s="5" t="str">
        <f t="shared" si="2"/>
        <v/>
      </c>
      <c r="B81" s="18"/>
      <c r="C81" s="9"/>
      <c r="D81" s="10" t="str">
        <f>IF($C81="","",ROUND(SUMIFS(الإدخالات!$D$2:$D$501,الإدخالات!$C$2:$C$501,$C81)+SUMIFS($F$1:F80,$C$1:C80,$C81)-SUMIFS('الصرف المباشر'!$D$2:$D$501,'الصرف المباشر'!$C$2:$C$501,$C81)-SUMPRODUCT((الطبخات!$B$2:$B$900=$C81)*الطبخات!$C$2:$C$900*COUNTIF('سجل الإنتاج'!$C$2:$C$501,الطبخات!$A$2:$A$900)),3))</f>
        <v/>
      </c>
      <c r="E81" s="15"/>
      <c r="F81" s="19" t="str">
        <f t="shared" si="3"/>
        <v/>
      </c>
      <c r="G81" s="9"/>
      <c r="H81" s="9"/>
    </row>
    <row r="82" spans="1:8" ht="24" customHeight="1">
      <c r="A82" s="5" t="str">
        <f t="shared" si="2"/>
        <v/>
      </c>
      <c r="B82" s="18"/>
      <c r="C82" s="9"/>
      <c r="D82" s="10" t="str">
        <f>IF($C82="","",ROUND(SUMIFS(الإدخالات!$D$2:$D$501,الإدخالات!$C$2:$C$501,$C82)+SUMIFS($F$1:F81,$C$1:C81,$C82)-SUMIFS('الصرف المباشر'!$D$2:$D$501,'الصرف المباشر'!$C$2:$C$501,$C82)-SUMPRODUCT((الطبخات!$B$2:$B$900=$C82)*الطبخات!$C$2:$C$900*COUNTIF('سجل الإنتاج'!$C$2:$C$501,الطبخات!$A$2:$A$900)),3))</f>
        <v/>
      </c>
      <c r="E82" s="15"/>
      <c r="F82" s="19" t="str">
        <f t="shared" si="3"/>
        <v/>
      </c>
      <c r="G82" s="9"/>
      <c r="H82" s="9"/>
    </row>
    <row r="83" spans="1:8" ht="24" customHeight="1">
      <c r="A83" s="5" t="str">
        <f t="shared" si="2"/>
        <v/>
      </c>
      <c r="B83" s="18"/>
      <c r="C83" s="9"/>
      <c r="D83" s="10" t="str">
        <f>IF($C83="","",ROUND(SUMIFS(الإدخالات!$D$2:$D$501,الإدخالات!$C$2:$C$501,$C83)+SUMIFS($F$1:F82,$C$1:C82,$C83)-SUMIFS('الصرف المباشر'!$D$2:$D$501,'الصرف المباشر'!$C$2:$C$501,$C83)-SUMPRODUCT((الطبخات!$B$2:$B$900=$C83)*الطبخات!$C$2:$C$900*COUNTIF('سجل الإنتاج'!$C$2:$C$501,الطبخات!$A$2:$A$900)),3))</f>
        <v/>
      </c>
      <c r="E83" s="15"/>
      <c r="F83" s="19" t="str">
        <f t="shared" si="3"/>
        <v/>
      </c>
      <c r="G83" s="9"/>
      <c r="H83" s="9"/>
    </row>
    <row r="84" spans="1:8" ht="24" customHeight="1">
      <c r="A84" s="5" t="str">
        <f t="shared" si="2"/>
        <v/>
      </c>
      <c r="B84" s="18"/>
      <c r="C84" s="9"/>
      <c r="D84" s="10" t="str">
        <f>IF($C84="","",ROUND(SUMIFS(الإدخالات!$D$2:$D$501,الإدخالات!$C$2:$C$501,$C84)+SUMIFS($F$1:F83,$C$1:C83,$C84)-SUMIFS('الصرف المباشر'!$D$2:$D$501,'الصرف المباشر'!$C$2:$C$501,$C84)-SUMPRODUCT((الطبخات!$B$2:$B$900=$C84)*الطبخات!$C$2:$C$900*COUNTIF('سجل الإنتاج'!$C$2:$C$501,الطبخات!$A$2:$A$900)),3))</f>
        <v/>
      </c>
      <c r="E84" s="15"/>
      <c r="F84" s="19" t="str">
        <f t="shared" si="3"/>
        <v/>
      </c>
      <c r="G84" s="9"/>
      <c r="H84" s="9"/>
    </row>
    <row r="85" spans="1:8" ht="24" customHeight="1">
      <c r="A85" s="5" t="str">
        <f t="shared" si="2"/>
        <v/>
      </c>
      <c r="B85" s="18"/>
      <c r="C85" s="9"/>
      <c r="D85" s="10" t="str">
        <f>IF($C85="","",ROUND(SUMIFS(الإدخالات!$D$2:$D$501,الإدخالات!$C$2:$C$501,$C85)+SUMIFS($F$1:F84,$C$1:C84,$C85)-SUMIFS('الصرف المباشر'!$D$2:$D$501,'الصرف المباشر'!$C$2:$C$501,$C85)-SUMPRODUCT((الطبخات!$B$2:$B$900=$C85)*الطبخات!$C$2:$C$900*COUNTIF('سجل الإنتاج'!$C$2:$C$501,الطبخات!$A$2:$A$900)),3))</f>
        <v/>
      </c>
      <c r="E85" s="15"/>
      <c r="F85" s="19" t="str">
        <f t="shared" si="3"/>
        <v/>
      </c>
      <c r="G85" s="9"/>
      <c r="H85" s="9"/>
    </row>
    <row r="86" spans="1:8" ht="24" customHeight="1">
      <c r="A86" s="5" t="str">
        <f t="shared" si="2"/>
        <v/>
      </c>
      <c r="B86" s="18"/>
      <c r="C86" s="9"/>
      <c r="D86" s="10" t="str">
        <f>IF($C86="","",ROUND(SUMIFS(الإدخالات!$D$2:$D$501,الإدخالات!$C$2:$C$501,$C86)+SUMIFS($F$1:F85,$C$1:C85,$C86)-SUMIFS('الصرف المباشر'!$D$2:$D$501,'الصرف المباشر'!$C$2:$C$501,$C86)-SUMPRODUCT((الطبخات!$B$2:$B$900=$C86)*الطبخات!$C$2:$C$900*COUNTIF('سجل الإنتاج'!$C$2:$C$501,الطبخات!$A$2:$A$900)),3))</f>
        <v/>
      </c>
      <c r="E86" s="15"/>
      <c r="F86" s="19" t="str">
        <f t="shared" si="3"/>
        <v/>
      </c>
      <c r="G86" s="9"/>
      <c r="H86" s="9"/>
    </row>
    <row r="87" spans="1:8" ht="24" customHeight="1">
      <c r="A87" s="5" t="str">
        <f t="shared" si="2"/>
        <v/>
      </c>
      <c r="B87" s="18"/>
      <c r="C87" s="9"/>
      <c r="D87" s="10" t="str">
        <f>IF($C87="","",ROUND(SUMIFS(الإدخالات!$D$2:$D$501,الإدخالات!$C$2:$C$501,$C87)+SUMIFS($F$1:F86,$C$1:C86,$C87)-SUMIFS('الصرف المباشر'!$D$2:$D$501,'الصرف المباشر'!$C$2:$C$501,$C87)-SUMPRODUCT((الطبخات!$B$2:$B$900=$C87)*الطبخات!$C$2:$C$900*COUNTIF('سجل الإنتاج'!$C$2:$C$501,الطبخات!$A$2:$A$900)),3))</f>
        <v/>
      </c>
      <c r="E87" s="15"/>
      <c r="F87" s="19" t="str">
        <f t="shared" si="3"/>
        <v/>
      </c>
      <c r="G87" s="9"/>
      <c r="H87" s="9"/>
    </row>
    <row r="88" spans="1:8" ht="24" customHeight="1">
      <c r="A88" s="5" t="str">
        <f t="shared" si="2"/>
        <v/>
      </c>
      <c r="B88" s="18"/>
      <c r="C88" s="9"/>
      <c r="D88" s="10" t="str">
        <f>IF($C88="","",ROUND(SUMIFS(الإدخالات!$D$2:$D$501,الإدخالات!$C$2:$C$501,$C88)+SUMIFS($F$1:F87,$C$1:C87,$C88)-SUMIFS('الصرف المباشر'!$D$2:$D$501,'الصرف المباشر'!$C$2:$C$501,$C88)-SUMPRODUCT((الطبخات!$B$2:$B$900=$C88)*الطبخات!$C$2:$C$900*COUNTIF('سجل الإنتاج'!$C$2:$C$501,الطبخات!$A$2:$A$900)),3))</f>
        <v/>
      </c>
      <c r="E88" s="15"/>
      <c r="F88" s="19" t="str">
        <f t="shared" si="3"/>
        <v/>
      </c>
      <c r="G88" s="9"/>
      <c r="H88" s="9"/>
    </row>
    <row r="89" spans="1:8" ht="24" customHeight="1">
      <c r="A89" s="5" t="str">
        <f t="shared" si="2"/>
        <v/>
      </c>
      <c r="B89" s="18"/>
      <c r="C89" s="9"/>
      <c r="D89" s="10" t="str">
        <f>IF($C89="","",ROUND(SUMIFS(الإدخالات!$D$2:$D$501,الإدخالات!$C$2:$C$501,$C89)+SUMIFS($F$1:F88,$C$1:C88,$C89)-SUMIFS('الصرف المباشر'!$D$2:$D$501,'الصرف المباشر'!$C$2:$C$501,$C89)-SUMPRODUCT((الطبخات!$B$2:$B$900=$C89)*الطبخات!$C$2:$C$900*COUNTIF('سجل الإنتاج'!$C$2:$C$501,الطبخات!$A$2:$A$900)),3))</f>
        <v/>
      </c>
      <c r="E89" s="15"/>
      <c r="F89" s="19" t="str">
        <f t="shared" si="3"/>
        <v/>
      </c>
      <c r="G89" s="9"/>
      <c r="H89" s="9"/>
    </row>
    <row r="90" spans="1:8" ht="24" customHeight="1">
      <c r="A90" s="5" t="str">
        <f t="shared" si="2"/>
        <v/>
      </c>
      <c r="B90" s="18"/>
      <c r="C90" s="9"/>
      <c r="D90" s="10" t="str">
        <f>IF($C90="","",ROUND(SUMIFS(الإدخالات!$D$2:$D$501,الإدخالات!$C$2:$C$501,$C90)+SUMIFS($F$1:F89,$C$1:C89,$C90)-SUMIFS('الصرف المباشر'!$D$2:$D$501,'الصرف المباشر'!$C$2:$C$501,$C90)-SUMPRODUCT((الطبخات!$B$2:$B$900=$C90)*الطبخات!$C$2:$C$900*COUNTIF('سجل الإنتاج'!$C$2:$C$501,الطبخات!$A$2:$A$900)),3))</f>
        <v/>
      </c>
      <c r="E90" s="15"/>
      <c r="F90" s="19" t="str">
        <f t="shared" si="3"/>
        <v/>
      </c>
      <c r="G90" s="9"/>
      <c r="H90" s="9"/>
    </row>
    <row r="91" spans="1:8" ht="24" customHeight="1">
      <c r="A91" s="5" t="str">
        <f t="shared" si="2"/>
        <v/>
      </c>
      <c r="B91" s="18"/>
      <c r="C91" s="9"/>
      <c r="D91" s="10" t="str">
        <f>IF($C91="","",ROUND(SUMIFS(الإدخالات!$D$2:$D$501,الإدخالات!$C$2:$C$501,$C91)+SUMIFS($F$1:F90,$C$1:C90,$C91)-SUMIFS('الصرف المباشر'!$D$2:$D$501,'الصرف المباشر'!$C$2:$C$501,$C91)-SUMPRODUCT((الطبخات!$B$2:$B$900=$C91)*الطبخات!$C$2:$C$900*COUNTIF('سجل الإنتاج'!$C$2:$C$501,الطبخات!$A$2:$A$900)),3))</f>
        <v/>
      </c>
      <c r="E91" s="15"/>
      <c r="F91" s="19" t="str">
        <f t="shared" si="3"/>
        <v/>
      </c>
      <c r="G91" s="9"/>
      <c r="H91" s="9"/>
    </row>
    <row r="92" spans="1:8" ht="24" customHeight="1">
      <c r="A92" s="5" t="str">
        <f t="shared" si="2"/>
        <v/>
      </c>
      <c r="B92" s="18"/>
      <c r="C92" s="9"/>
      <c r="D92" s="10" t="str">
        <f>IF($C92="","",ROUND(SUMIFS(الإدخالات!$D$2:$D$501,الإدخالات!$C$2:$C$501,$C92)+SUMIFS($F$1:F91,$C$1:C91,$C92)-SUMIFS('الصرف المباشر'!$D$2:$D$501,'الصرف المباشر'!$C$2:$C$501,$C92)-SUMPRODUCT((الطبخات!$B$2:$B$900=$C92)*الطبخات!$C$2:$C$900*COUNTIF('سجل الإنتاج'!$C$2:$C$501,الطبخات!$A$2:$A$900)),3))</f>
        <v/>
      </c>
      <c r="E92" s="15"/>
      <c r="F92" s="19" t="str">
        <f t="shared" si="3"/>
        <v/>
      </c>
      <c r="G92" s="9"/>
      <c r="H92" s="9"/>
    </row>
    <row r="93" spans="1:8" ht="24" customHeight="1">
      <c r="A93" s="5" t="str">
        <f t="shared" si="2"/>
        <v/>
      </c>
      <c r="B93" s="18"/>
      <c r="C93" s="9"/>
      <c r="D93" s="10" t="str">
        <f>IF($C93="","",ROUND(SUMIFS(الإدخالات!$D$2:$D$501,الإدخالات!$C$2:$C$501,$C93)+SUMIFS($F$1:F92,$C$1:C92,$C93)-SUMIFS('الصرف المباشر'!$D$2:$D$501,'الصرف المباشر'!$C$2:$C$501,$C93)-SUMPRODUCT((الطبخات!$B$2:$B$900=$C93)*الطبخات!$C$2:$C$900*COUNTIF('سجل الإنتاج'!$C$2:$C$501,الطبخات!$A$2:$A$900)),3))</f>
        <v/>
      </c>
      <c r="E93" s="15"/>
      <c r="F93" s="19" t="str">
        <f t="shared" si="3"/>
        <v/>
      </c>
      <c r="G93" s="9"/>
      <c r="H93" s="9"/>
    </row>
    <row r="94" spans="1:8" ht="24" customHeight="1">
      <c r="A94" s="5" t="str">
        <f t="shared" si="2"/>
        <v/>
      </c>
      <c r="B94" s="18"/>
      <c r="C94" s="9"/>
      <c r="D94" s="10" t="str">
        <f>IF($C94="","",ROUND(SUMIFS(الإدخالات!$D$2:$D$501,الإدخالات!$C$2:$C$501,$C94)+SUMIFS($F$1:F93,$C$1:C93,$C94)-SUMIFS('الصرف المباشر'!$D$2:$D$501,'الصرف المباشر'!$C$2:$C$501,$C94)-SUMPRODUCT((الطبخات!$B$2:$B$900=$C94)*الطبخات!$C$2:$C$900*COUNTIF('سجل الإنتاج'!$C$2:$C$501,الطبخات!$A$2:$A$900)),3))</f>
        <v/>
      </c>
      <c r="E94" s="15"/>
      <c r="F94" s="19" t="str">
        <f t="shared" si="3"/>
        <v/>
      </c>
      <c r="G94" s="9"/>
      <c r="H94" s="9"/>
    </row>
    <row r="95" spans="1:8" ht="24" customHeight="1">
      <c r="A95" s="5" t="str">
        <f t="shared" si="2"/>
        <v/>
      </c>
      <c r="B95" s="18"/>
      <c r="C95" s="9"/>
      <c r="D95" s="10" t="str">
        <f>IF($C95="","",ROUND(SUMIFS(الإدخالات!$D$2:$D$501,الإدخالات!$C$2:$C$501,$C95)+SUMIFS($F$1:F94,$C$1:C94,$C95)-SUMIFS('الصرف المباشر'!$D$2:$D$501,'الصرف المباشر'!$C$2:$C$501,$C95)-SUMPRODUCT((الطبخات!$B$2:$B$900=$C95)*الطبخات!$C$2:$C$900*COUNTIF('سجل الإنتاج'!$C$2:$C$501,الطبخات!$A$2:$A$900)),3))</f>
        <v/>
      </c>
      <c r="E95" s="15"/>
      <c r="F95" s="19" t="str">
        <f t="shared" si="3"/>
        <v/>
      </c>
      <c r="G95" s="9"/>
      <c r="H95" s="9"/>
    </row>
    <row r="96" spans="1:8" ht="24" customHeight="1">
      <c r="A96" s="5" t="str">
        <f t="shared" si="2"/>
        <v/>
      </c>
      <c r="B96" s="18"/>
      <c r="C96" s="9"/>
      <c r="D96" s="10" t="str">
        <f>IF($C96="","",ROUND(SUMIFS(الإدخالات!$D$2:$D$501,الإدخالات!$C$2:$C$501,$C96)+SUMIFS($F$1:F95,$C$1:C95,$C96)-SUMIFS('الصرف المباشر'!$D$2:$D$501,'الصرف المباشر'!$C$2:$C$501,$C96)-SUMPRODUCT((الطبخات!$B$2:$B$900=$C96)*الطبخات!$C$2:$C$900*COUNTIF('سجل الإنتاج'!$C$2:$C$501,الطبخات!$A$2:$A$900)),3))</f>
        <v/>
      </c>
      <c r="E96" s="15"/>
      <c r="F96" s="19" t="str">
        <f t="shared" si="3"/>
        <v/>
      </c>
      <c r="G96" s="9"/>
      <c r="H96" s="9"/>
    </row>
    <row r="97" spans="1:8" ht="24" customHeight="1">
      <c r="A97" s="5" t="str">
        <f t="shared" si="2"/>
        <v/>
      </c>
      <c r="B97" s="18"/>
      <c r="C97" s="9"/>
      <c r="D97" s="10" t="str">
        <f>IF($C97="","",ROUND(SUMIFS(الإدخالات!$D$2:$D$501,الإدخالات!$C$2:$C$501,$C97)+SUMIFS($F$1:F96,$C$1:C96,$C97)-SUMIFS('الصرف المباشر'!$D$2:$D$501,'الصرف المباشر'!$C$2:$C$501,$C97)-SUMPRODUCT((الطبخات!$B$2:$B$900=$C97)*الطبخات!$C$2:$C$900*COUNTIF('سجل الإنتاج'!$C$2:$C$501,الطبخات!$A$2:$A$900)),3))</f>
        <v/>
      </c>
      <c r="E97" s="15"/>
      <c r="F97" s="19" t="str">
        <f t="shared" si="3"/>
        <v/>
      </c>
      <c r="G97" s="9"/>
      <c r="H97" s="9"/>
    </row>
    <row r="98" spans="1:8" ht="24" customHeight="1">
      <c r="A98" s="5" t="str">
        <f t="shared" si="2"/>
        <v/>
      </c>
      <c r="B98" s="18"/>
      <c r="C98" s="9"/>
      <c r="D98" s="10" t="str">
        <f>IF($C98="","",ROUND(SUMIFS(الإدخالات!$D$2:$D$501,الإدخالات!$C$2:$C$501,$C98)+SUMIFS($F$1:F97,$C$1:C97,$C98)-SUMIFS('الصرف المباشر'!$D$2:$D$501,'الصرف المباشر'!$C$2:$C$501,$C98)-SUMPRODUCT((الطبخات!$B$2:$B$900=$C98)*الطبخات!$C$2:$C$900*COUNTIF('سجل الإنتاج'!$C$2:$C$501,الطبخات!$A$2:$A$900)),3))</f>
        <v/>
      </c>
      <c r="E98" s="15"/>
      <c r="F98" s="19" t="str">
        <f t="shared" si="3"/>
        <v/>
      </c>
      <c r="G98" s="9"/>
      <c r="H98" s="9"/>
    </row>
    <row r="99" spans="1:8" ht="24" customHeight="1">
      <c r="A99" s="5" t="str">
        <f t="shared" si="2"/>
        <v/>
      </c>
      <c r="B99" s="18"/>
      <c r="C99" s="9"/>
      <c r="D99" s="10" t="str">
        <f>IF($C99="","",ROUND(SUMIFS(الإدخالات!$D$2:$D$501,الإدخالات!$C$2:$C$501,$C99)+SUMIFS($F$1:F98,$C$1:C98,$C99)-SUMIFS('الصرف المباشر'!$D$2:$D$501,'الصرف المباشر'!$C$2:$C$501,$C99)-SUMPRODUCT((الطبخات!$B$2:$B$900=$C99)*الطبخات!$C$2:$C$900*COUNTIF('سجل الإنتاج'!$C$2:$C$501,الطبخات!$A$2:$A$900)),3))</f>
        <v/>
      </c>
      <c r="E99" s="15"/>
      <c r="F99" s="19" t="str">
        <f t="shared" si="3"/>
        <v/>
      </c>
      <c r="G99" s="9"/>
      <c r="H99" s="9"/>
    </row>
    <row r="100" spans="1:8" ht="24" customHeight="1">
      <c r="A100" s="5" t="str">
        <f t="shared" si="2"/>
        <v/>
      </c>
      <c r="B100" s="18"/>
      <c r="C100" s="9"/>
      <c r="D100" s="10" t="str">
        <f>IF($C100="","",ROUND(SUMIFS(الإدخالات!$D$2:$D$501,الإدخالات!$C$2:$C$501,$C100)+SUMIFS($F$1:F99,$C$1:C99,$C100)-SUMIFS('الصرف المباشر'!$D$2:$D$501,'الصرف المباشر'!$C$2:$C$501,$C100)-SUMPRODUCT((الطبخات!$B$2:$B$900=$C100)*الطبخات!$C$2:$C$900*COUNTIF('سجل الإنتاج'!$C$2:$C$501,الطبخات!$A$2:$A$900)),3))</f>
        <v/>
      </c>
      <c r="E100" s="15"/>
      <c r="F100" s="19" t="str">
        <f t="shared" si="3"/>
        <v/>
      </c>
      <c r="G100" s="9"/>
      <c r="H100" s="9"/>
    </row>
    <row r="101" spans="1:8" ht="24" customHeight="1">
      <c r="A101" s="5" t="str">
        <f t="shared" si="2"/>
        <v/>
      </c>
      <c r="B101" s="18"/>
      <c r="C101" s="9"/>
      <c r="D101" s="10" t="str">
        <f>IF($C101="","",ROUND(SUMIFS(الإدخالات!$D$2:$D$501,الإدخالات!$C$2:$C$501,$C101)+SUMIFS($F$1:F100,$C$1:C100,$C101)-SUMIFS('الصرف المباشر'!$D$2:$D$501,'الصرف المباشر'!$C$2:$C$501,$C101)-SUMPRODUCT((الطبخات!$B$2:$B$900=$C101)*الطبخات!$C$2:$C$900*COUNTIF('سجل الإنتاج'!$C$2:$C$501,الطبخات!$A$2:$A$900)),3))</f>
        <v/>
      </c>
      <c r="E101" s="15"/>
      <c r="F101" s="19" t="str">
        <f t="shared" si="3"/>
        <v/>
      </c>
      <c r="G101" s="9"/>
      <c r="H101" s="9"/>
    </row>
    <row r="102" spans="1:8" ht="24" customHeight="1">
      <c r="A102" s="5" t="str">
        <f t="shared" si="2"/>
        <v/>
      </c>
      <c r="B102" s="18"/>
      <c r="C102" s="9"/>
      <c r="D102" s="10" t="str">
        <f>IF($C102="","",ROUND(SUMIFS(الإدخالات!$D$2:$D$501,الإدخالات!$C$2:$C$501,$C102)+SUMIFS($F$1:F101,$C$1:C101,$C102)-SUMIFS('الصرف المباشر'!$D$2:$D$501,'الصرف المباشر'!$C$2:$C$501,$C102)-SUMPRODUCT((الطبخات!$B$2:$B$900=$C102)*الطبخات!$C$2:$C$900*COUNTIF('سجل الإنتاج'!$C$2:$C$501,الطبخات!$A$2:$A$900)),3))</f>
        <v/>
      </c>
      <c r="E102" s="15"/>
      <c r="F102" s="19" t="str">
        <f t="shared" si="3"/>
        <v/>
      </c>
      <c r="G102" s="9"/>
      <c r="H102" s="9"/>
    </row>
    <row r="103" spans="1:8" ht="24" customHeight="1">
      <c r="A103" s="5" t="str">
        <f t="shared" si="2"/>
        <v/>
      </c>
      <c r="B103" s="18"/>
      <c r="C103" s="9"/>
      <c r="D103" s="10" t="str">
        <f>IF($C103="","",ROUND(SUMIFS(الإدخالات!$D$2:$D$501,الإدخالات!$C$2:$C$501,$C103)+SUMIFS($F$1:F102,$C$1:C102,$C103)-SUMIFS('الصرف المباشر'!$D$2:$D$501,'الصرف المباشر'!$C$2:$C$501,$C103)-SUMPRODUCT((الطبخات!$B$2:$B$900=$C103)*الطبخات!$C$2:$C$900*COUNTIF('سجل الإنتاج'!$C$2:$C$501,الطبخات!$A$2:$A$900)),3))</f>
        <v/>
      </c>
      <c r="E103" s="15"/>
      <c r="F103" s="19" t="str">
        <f t="shared" si="3"/>
        <v/>
      </c>
      <c r="G103" s="9"/>
      <c r="H103" s="9"/>
    </row>
    <row r="104" spans="1:8" ht="24" customHeight="1">
      <c r="A104" s="5" t="str">
        <f t="shared" si="2"/>
        <v/>
      </c>
      <c r="B104" s="18"/>
      <c r="C104" s="9"/>
      <c r="D104" s="10" t="str">
        <f>IF($C104="","",ROUND(SUMIFS(الإدخالات!$D$2:$D$501,الإدخالات!$C$2:$C$501,$C104)+SUMIFS($F$1:F103,$C$1:C103,$C104)-SUMIFS('الصرف المباشر'!$D$2:$D$501,'الصرف المباشر'!$C$2:$C$501,$C104)-SUMPRODUCT((الطبخات!$B$2:$B$900=$C104)*الطبخات!$C$2:$C$900*COUNTIF('سجل الإنتاج'!$C$2:$C$501,الطبخات!$A$2:$A$900)),3))</f>
        <v/>
      </c>
      <c r="E104" s="15"/>
      <c r="F104" s="19" t="str">
        <f t="shared" si="3"/>
        <v/>
      </c>
      <c r="G104" s="9"/>
      <c r="H104" s="9"/>
    </row>
    <row r="105" spans="1:8" ht="24" customHeight="1">
      <c r="A105" s="5" t="str">
        <f t="shared" si="2"/>
        <v/>
      </c>
      <c r="B105" s="18"/>
      <c r="C105" s="9"/>
      <c r="D105" s="10" t="str">
        <f>IF($C105="","",ROUND(SUMIFS(الإدخالات!$D$2:$D$501,الإدخالات!$C$2:$C$501,$C105)+SUMIFS($F$1:F104,$C$1:C104,$C105)-SUMIFS('الصرف المباشر'!$D$2:$D$501,'الصرف المباشر'!$C$2:$C$501,$C105)-SUMPRODUCT((الطبخات!$B$2:$B$900=$C105)*الطبخات!$C$2:$C$900*COUNTIF('سجل الإنتاج'!$C$2:$C$501,الطبخات!$A$2:$A$900)),3))</f>
        <v/>
      </c>
      <c r="E105" s="15"/>
      <c r="F105" s="19" t="str">
        <f t="shared" si="3"/>
        <v/>
      </c>
      <c r="G105" s="9"/>
      <c r="H105" s="9"/>
    </row>
    <row r="106" spans="1:8" ht="24" customHeight="1">
      <c r="A106" s="5" t="str">
        <f t="shared" si="2"/>
        <v/>
      </c>
      <c r="B106" s="18"/>
      <c r="C106" s="9"/>
      <c r="D106" s="10" t="str">
        <f>IF($C106="","",ROUND(SUMIFS(الإدخالات!$D$2:$D$501,الإدخالات!$C$2:$C$501,$C106)+SUMIFS($F$1:F105,$C$1:C105,$C106)-SUMIFS('الصرف المباشر'!$D$2:$D$501,'الصرف المباشر'!$C$2:$C$501,$C106)-SUMPRODUCT((الطبخات!$B$2:$B$900=$C106)*الطبخات!$C$2:$C$900*COUNTIF('سجل الإنتاج'!$C$2:$C$501,الطبخات!$A$2:$A$900)),3))</f>
        <v/>
      </c>
      <c r="E106" s="15"/>
      <c r="F106" s="19" t="str">
        <f t="shared" si="3"/>
        <v/>
      </c>
      <c r="G106" s="9"/>
      <c r="H106" s="9"/>
    </row>
    <row r="107" spans="1:8" ht="24" customHeight="1">
      <c r="A107" s="5" t="str">
        <f t="shared" si="2"/>
        <v/>
      </c>
      <c r="B107" s="18"/>
      <c r="C107" s="9"/>
      <c r="D107" s="10" t="str">
        <f>IF($C107="","",ROUND(SUMIFS(الإدخالات!$D$2:$D$501,الإدخالات!$C$2:$C$501,$C107)+SUMIFS($F$1:F106,$C$1:C106,$C107)-SUMIFS('الصرف المباشر'!$D$2:$D$501,'الصرف المباشر'!$C$2:$C$501,$C107)-SUMPRODUCT((الطبخات!$B$2:$B$900=$C107)*الطبخات!$C$2:$C$900*COUNTIF('سجل الإنتاج'!$C$2:$C$501,الطبخات!$A$2:$A$900)),3))</f>
        <v/>
      </c>
      <c r="E107" s="15"/>
      <c r="F107" s="19" t="str">
        <f t="shared" si="3"/>
        <v/>
      </c>
      <c r="G107" s="9"/>
      <c r="H107" s="9"/>
    </row>
    <row r="108" spans="1:8" ht="24" customHeight="1">
      <c r="A108" s="5" t="str">
        <f t="shared" si="2"/>
        <v/>
      </c>
      <c r="B108" s="18"/>
      <c r="C108" s="9"/>
      <c r="D108" s="10" t="str">
        <f>IF($C108="","",ROUND(SUMIFS(الإدخالات!$D$2:$D$501,الإدخالات!$C$2:$C$501,$C108)+SUMIFS($F$1:F107,$C$1:C107,$C108)-SUMIFS('الصرف المباشر'!$D$2:$D$501,'الصرف المباشر'!$C$2:$C$501,$C108)-SUMPRODUCT((الطبخات!$B$2:$B$900=$C108)*الطبخات!$C$2:$C$900*COUNTIF('سجل الإنتاج'!$C$2:$C$501,الطبخات!$A$2:$A$900)),3))</f>
        <v/>
      </c>
      <c r="E108" s="15"/>
      <c r="F108" s="19" t="str">
        <f t="shared" si="3"/>
        <v/>
      </c>
      <c r="G108" s="9"/>
      <c r="H108" s="9"/>
    </row>
    <row r="109" spans="1:8" ht="24" customHeight="1">
      <c r="A109" s="5" t="str">
        <f t="shared" si="2"/>
        <v/>
      </c>
      <c r="B109" s="18"/>
      <c r="C109" s="9"/>
      <c r="D109" s="10" t="str">
        <f>IF($C109="","",ROUND(SUMIFS(الإدخالات!$D$2:$D$501,الإدخالات!$C$2:$C$501,$C109)+SUMIFS($F$1:F108,$C$1:C108,$C109)-SUMIFS('الصرف المباشر'!$D$2:$D$501,'الصرف المباشر'!$C$2:$C$501,$C109)-SUMPRODUCT((الطبخات!$B$2:$B$900=$C109)*الطبخات!$C$2:$C$900*COUNTIF('سجل الإنتاج'!$C$2:$C$501,الطبخات!$A$2:$A$900)),3))</f>
        <v/>
      </c>
      <c r="E109" s="15"/>
      <c r="F109" s="19" t="str">
        <f t="shared" si="3"/>
        <v/>
      </c>
      <c r="G109" s="9"/>
      <c r="H109" s="9"/>
    </row>
    <row r="110" spans="1:8" ht="24" customHeight="1">
      <c r="A110" s="5" t="str">
        <f t="shared" si="2"/>
        <v/>
      </c>
      <c r="B110" s="18"/>
      <c r="C110" s="9"/>
      <c r="D110" s="10" t="str">
        <f>IF($C110="","",ROUND(SUMIFS(الإدخالات!$D$2:$D$501,الإدخالات!$C$2:$C$501,$C110)+SUMIFS($F$1:F109,$C$1:C109,$C110)-SUMIFS('الصرف المباشر'!$D$2:$D$501,'الصرف المباشر'!$C$2:$C$501,$C110)-SUMPRODUCT((الطبخات!$B$2:$B$900=$C110)*الطبخات!$C$2:$C$900*COUNTIF('سجل الإنتاج'!$C$2:$C$501,الطبخات!$A$2:$A$900)),3))</f>
        <v/>
      </c>
      <c r="E110" s="15"/>
      <c r="F110" s="19" t="str">
        <f t="shared" si="3"/>
        <v/>
      </c>
      <c r="G110" s="9"/>
      <c r="H110" s="9"/>
    </row>
    <row r="111" spans="1:8" ht="24" customHeight="1">
      <c r="A111" s="5" t="str">
        <f t="shared" si="2"/>
        <v/>
      </c>
      <c r="B111" s="18"/>
      <c r="C111" s="9"/>
      <c r="D111" s="10" t="str">
        <f>IF($C111="","",ROUND(SUMIFS(الإدخالات!$D$2:$D$501,الإدخالات!$C$2:$C$501,$C111)+SUMIFS($F$1:F110,$C$1:C110,$C111)-SUMIFS('الصرف المباشر'!$D$2:$D$501,'الصرف المباشر'!$C$2:$C$501,$C111)-SUMPRODUCT((الطبخات!$B$2:$B$900=$C111)*الطبخات!$C$2:$C$900*COUNTIF('سجل الإنتاج'!$C$2:$C$501,الطبخات!$A$2:$A$900)),3))</f>
        <v/>
      </c>
      <c r="E111" s="15"/>
      <c r="F111" s="19" t="str">
        <f t="shared" si="3"/>
        <v/>
      </c>
      <c r="G111" s="9"/>
      <c r="H111" s="9"/>
    </row>
    <row r="112" spans="1:8" ht="24" customHeight="1">
      <c r="A112" s="5" t="str">
        <f t="shared" si="2"/>
        <v/>
      </c>
      <c r="B112" s="18"/>
      <c r="C112" s="9"/>
      <c r="D112" s="10" t="str">
        <f>IF($C112="","",ROUND(SUMIFS(الإدخالات!$D$2:$D$501,الإدخالات!$C$2:$C$501,$C112)+SUMIFS($F$1:F111,$C$1:C111,$C112)-SUMIFS('الصرف المباشر'!$D$2:$D$501,'الصرف المباشر'!$C$2:$C$501,$C112)-SUMPRODUCT((الطبخات!$B$2:$B$900=$C112)*الطبخات!$C$2:$C$900*COUNTIF('سجل الإنتاج'!$C$2:$C$501,الطبخات!$A$2:$A$900)),3))</f>
        <v/>
      </c>
      <c r="E112" s="15"/>
      <c r="F112" s="19" t="str">
        <f t="shared" si="3"/>
        <v/>
      </c>
      <c r="G112" s="9"/>
      <c r="H112" s="9"/>
    </row>
    <row r="113" spans="1:8" ht="24" customHeight="1">
      <c r="A113" s="5" t="str">
        <f t="shared" si="2"/>
        <v/>
      </c>
      <c r="B113" s="18"/>
      <c r="C113" s="9"/>
      <c r="D113" s="10" t="str">
        <f>IF($C113="","",ROUND(SUMIFS(الإدخالات!$D$2:$D$501,الإدخالات!$C$2:$C$501,$C113)+SUMIFS($F$1:F112,$C$1:C112,$C113)-SUMIFS('الصرف المباشر'!$D$2:$D$501,'الصرف المباشر'!$C$2:$C$501,$C113)-SUMPRODUCT((الطبخات!$B$2:$B$900=$C113)*الطبخات!$C$2:$C$900*COUNTIF('سجل الإنتاج'!$C$2:$C$501,الطبخات!$A$2:$A$900)),3))</f>
        <v/>
      </c>
      <c r="E113" s="15"/>
      <c r="F113" s="19" t="str">
        <f t="shared" si="3"/>
        <v/>
      </c>
      <c r="G113" s="9"/>
      <c r="H113" s="9"/>
    </row>
    <row r="114" spans="1:8" ht="24" customHeight="1">
      <c r="A114" s="5" t="str">
        <f t="shared" si="2"/>
        <v/>
      </c>
      <c r="B114" s="18"/>
      <c r="C114" s="9"/>
      <c r="D114" s="10" t="str">
        <f>IF($C114="","",ROUND(SUMIFS(الإدخالات!$D$2:$D$501,الإدخالات!$C$2:$C$501,$C114)+SUMIFS($F$1:F113,$C$1:C113,$C114)-SUMIFS('الصرف المباشر'!$D$2:$D$501,'الصرف المباشر'!$C$2:$C$501,$C114)-SUMPRODUCT((الطبخات!$B$2:$B$900=$C114)*الطبخات!$C$2:$C$900*COUNTIF('سجل الإنتاج'!$C$2:$C$501,الطبخات!$A$2:$A$900)),3))</f>
        <v/>
      </c>
      <c r="E114" s="15"/>
      <c r="F114" s="19" t="str">
        <f t="shared" si="3"/>
        <v/>
      </c>
      <c r="G114" s="9"/>
      <c r="H114" s="9"/>
    </row>
    <row r="115" spans="1:8" ht="24" customHeight="1">
      <c r="A115" s="5" t="str">
        <f t="shared" si="2"/>
        <v/>
      </c>
      <c r="B115" s="18"/>
      <c r="C115" s="9"/>
      <c r="D115" s="10" t="str">
        <f>IF($C115="","",ROUND(SUMIFS(الإدخالات!$D$2:$D$501,الإدخالات!$C$2:$C$501,$C115)+SUMIFS($F$1:F114,$C$1:C114,$C115)-SUMIFS('الصرف المباشر'!$D$2:$D$501,'الصرف المباشر'!$C$2:$C$501,$C115)-SUMPRODUCT((الطبخات!$B$2:$B$900=$C115)*الطبخات!$C$2:$C$900*COUNTIF('سجل الإنتاج'!$C$2:$C$501,الطبخات!$A$2:$A$900)),3))</f>
        <v/>
      </c>
      <c r="E115" s="15"/>
      <c r="F115" s="19" t="str">
        <f t="shared" si="3"/>
        <v/>
      </c>
      <c r="G115" s="9"/>
      <c r="H115" s="9"/>
    </row>
    <row r="116" spans="1:8" ht="24" customHeight="1">
      <c r="A116" s="5" t="str">
        <f t="shared" si="2"/>
        <v/>
      </c>
      <c r="B116" s="18"/>
      <c r="C116" s="9"/>
      <c r="D116" s="10" t="str">
        <f>IF($C116="","",ROUND(SUMIFS(الإدخالات!$D$2:$D$501,الإدخالات!$C$2:$C$501,$C116)+SUMIFS($F$1:F115,$C$1:C115,$C116)-SUMIFS('الصرف المباشر'!$D$2:$D$501,'الصرف المباشر'!$C$2:$C$501,$C116)-SUMPRODUCT((الطبخات!$B$2:$B$900=$C116)*الطبخات!$C$2:$C$900*COUNTIF('سجل الإنتاج'!$C$2:$C$501,الطبخات!$A$2:$A$900)),3))</f>
        <v/>
      </c>
      <c r="E116" s="15"/>
      <c r="F116" s="19" t="str">
        <f t="shared" si="3"/>
        <v/>
      </c>
      <c r="G116" s="9"/>
      <c r="H116" s="9"/>
    </row>
    <row r="117" spans="1:8" ht="24" customHeight="1">
      <c r="A117" s="5" t="str">
        <f t="shared" si="2"/>
        <v/>
      </c>
      <c r="B117" s="18"/>
      <c r="C117" s="9"/>
      <c r="D117" s="10" t="str">
        <f>IF($C117="","",ROUND(SUMIFS(الإدخالات!$D$2:$D$501,الإدخالات!$C$2:$C$501,$C117)+SUMIFS($F$1:F116,$C$1:C116,$C117)-SUMIFS('الصرف المباشر'!$D$2:$D$501,'الصرف المباشر'!$C$2:$C$501,$C117)-SUMPRODUCT((الطبخات!$B$2:$B$900=$C117)*الطبخات!$C$2:$C$900*COUNTIF('سجل الإنتاج'!$C$2:$C$501,الطبخات!$A$2:$A$900)),3))</f>
        <v/>
      </c>
      <c r="E117" s="15"/>
      <c r="F117" s="19" t="str">
        <f t="shared" si="3"/>
        <v/>
      </c>
      <c r="G117" s="9"/>
      <c r="H117" s="9"/>
    </row>
    <row r="118" spans="1:8" ht="24" customHeight="1">
      <c r="A118" s="5" t="str">
        <f t="shared" si="2"/>
        <v/>
      </c>
      <c r="B118" s="18"/>
      <c r="C118" s="9"/>
      <c r="D118" s="10" t="str">
        <f>IF($C118="","",ROUND(SUMIFS(الإدخالات!$D$2:$D$501,الإدخالات!$C$2:$C$501,$C118)+SUMIFS($F$1:F117,$C$1:C117,$C118)-SUMIFS('الصرف المباشر'!$D$2:$D$501,'الصرف المباشر'!$C$2:$C$501,$C118)-SUMPRODUCT((الطبخات!$B$2:$B$900=$C118)*الطبخات!$C$2:$C$900*COUNTIF('سجل الإنتاج'!$C$2:$C$501,الطبخات!$A$2:$A$900)),3))</f>
        <v/>
      </c>
      <c r="E118" s="15"/>
      <c r="F118" s="19" t="str">
        <f t="shared" si="3"/>
        <v/>
      </c>
      <c r="G118" s="9"/>
      <c r="H118" s="9"/>
    </row>
    <row r="119" spans="1:8" ht="24" customHeight="1">
      <c r="A119" s="5" t="str">
        <f t="shared" si="2"/>
        <v/>
      </c>
      <c r="B119" s="18"/>
      <c r="C119" s="9"/>
      <c r="D119" s="10" t="str">
        <f>IF($C119="","",ROUND(SUMIFS(الإدخالات!$D$2:$D$501,الإدخالات!$C$2:$C$501,$C119)+SUMIFS($F$1:F118,$C$1:C118,$C119)-SUMIFS('الصرف المباشر'!$D$2:$D$501,'الصرف المباشر'!$C$2:$C$501,$C119)-SUMPRODUCT((الطبخات!$B$2:$B$900=$C119)*الطبخات!$C$2:$C$900*COUNTIF('سجل الإنتاج'!$C$2:$C$501,الطبخات!$A$2:$A$900)),3))</f>
        <v/>
      </c>
      <c r="E119" s="15"/>
      <c r="F119" s="19" t="str">
        <f t="shared" si="3"/>
        <v/>
      </c>
      <c r="G119" s="9"/>
      <c r="H119" s="9"/>
    </row>
    <row r="120" spans="1:8" ht="24" customHeight="1">
      <c r="A120" s="5" t="str">
        <f t="shared" si="2"/>
        <v/>
      </c>
      <c r="B120" s="18"/>
      <c r="C120" s="9"/>
      <c r="D120" s="10" t="str">
        <f>IF($C120="","",ROUND(SUMIFS(الإدخالات!$D$2:$D$501,الإدخالات!$C$2:$C$501,$C120)+SUMIFS($F$1:F119,$C$1:C119,$C120)-SUMIFS('الصرف المباشر'!$D$2:$D$501,'الصرف المباشر'!$C$2:$C$501,$C120)-SUMPRODUCT((الطبخات!$B$2:$B$900=$C120)*الطبخات!$C$2:$C$900*COUNTIF('سجل الإنتاج'!$C$2:$C$501,الطبخات!$A$2:$A$900)),3))</f>
        <v/>
      </c>
      <c r="E120" s="15"/>
      <c r="F120" s="19" t="str">
        <f t="shared" si="3"/>
        <v/>
      </c>
      <c r="G120" s="9"/>
      <c r="H120" s="9"/>
    </row>
    <row r="121" spans="1:8" ht="24" customHeight="1">
      <c r="A121" s="5" t="str">
        <f t="shared" si="2"/>
        <v/>
      </c>
      <c r="B121" s="18"/>
      <c r="C121" s="9"/>
      <c r="D121" s="10" t="str">
        <f>IF($C121="","",ROUND(SUMIFS(الإدخالات!$D$2:$D$501,الإدخالات!$C$2:$C$501,$C121)+SUMIFS($F$1:F120,$C$1:C120,$C121)-SUMIFS('الصرف المباشر'!$D$2:$D$501,'الصرف المباشر'!$C$2:$C$501,$C121)-SUMPRODUCT((الطبخات!$B$2:$B$900=$C121)*الطبخات!$C$2:$C$900*COUNTIF('سجل الإنتاج'!$C$2:$C$501,الطبخات!$A$2:$A$900)),3))</f>
        <v/>
      </c>
      <c r="E121" s="15"/>
      <c r="F121" s="19" t="str">
        <f t="shared" si="3"/>
        <v/>
      </c>
      <c r="G121" s="9"/>
      <c r="H121" s="9"/>
    </row>
    <row r="122" spans="1:8" ht="24" customHeight="1">
      <c r="A122" s="5" t="str">
        <f t="shared" si="2"/>
        <v/>
      </c>
      <c r="B122" s="18"/>
      <c r="C122" s="9"/>
      <c r="D122" s="10" t="str">
        <f>IF($C122="","",ROUND(SUMIFS(الإدخالات!$D$2:$D$501,الإدخالات!$C$2:$C$501,$C122)+SUMIFS($F$1:F121,$C$1:C121,$C122)-SUMIFS('الصرف المباشر'!$D$2:$D$501,'الصرف المباشر'!$C$2:$C$501,$C122)-SUMPRODUCT((الطبخات!$B$2:$B$900=$C122)*الطبخات!$C$2:$C$900*COUNTIF('سجل الإنتاج'!$C$2:$C$501,الطبخات!$A$2:$A$900)),3))</f>
        <v/>
      </c>
      <c r="E122" s="15"/>
      <c r="F122" s="19" t="str">
        <f t="shared" si="3"/>
        <v/>
      </c>
      <c r="G122" s="9"/>
      <c r="H122" s="9"/>
    </row>
    <row r="123" spans="1:8" ht="24" customHeight="1">
      <c r="A123" s="5" t="str">
        <f t="shared" si="2"/>
        <v/>
      </c>
      <c r="B123" s="18"/>
      <c r="C123" s="9"/>
      <c r="D123" s="10" t="str">
        <f>IF($C123="","",ROUND(SUMIFS(الإدخالات!$D$2:$D$501,الإدخالات!$C$2:$C$501,$C123)+SUMIFS($F$1:F122,$C$1:C122,$C123)-SUMIFS('الصرف المباشر'!$D$2:$D$501,'الصرف المباشر'!$C$2:$C$501,$C123)-SUMPRODUCT((الطبخات!$B$2:$B$900=$C123)*الطبخات!$C$2:$C$900*COUNTIF('سجل الإنتاج'!$C$2:$C$501,الطبخات!$A$2:$A$900)),3))</f>
        <v/>
      </c>
      <c r="E123" s="15"/>
      <c r="F123" s="19" t="str">
        <f t="shared" si="3"/>
        <v/>
      </c>
      <c r="G123" s="9"/>
      <c r="H123" s="9"/>
    </row>
    <row r="124" spans="1:8" ht="24" customHeight="1">
      <c r="A124" s="5" t="str">
        <f t="shared" si="2"/>
        <v/>
      </c>
      <c r="B124" s="18"/>
      <c r="C124" s="9"/>
      <c r="D124" s="10" t="str">
        <f>IF($C124="","",ROUND(SUMIFS(الإدخالات!$D$2:$D$501,الإدخالات!$C$2:$C$501,$C124)+SUMIFS($F$1:F123,$C$1:C123,$C124)-SUMIFS('الصرف المباشر'!$D$2:$D$501,'الصرف المباشر'!$C$2:$C$501,$C124)-SUMPRODUCT((الطبخات!$B$2:$B$900=$C124)*الطبخات!$C$2:$C$900*COUNTIF('سجل الإنتاج'!$C$2:$C$501,الطبخات!$A$2:$A$900)),3))</f>
        <v/>
      </c>
      <c r="E124" s="15"/>
      <c r="F124" s="19" t="str">
        <f t="shared" si="3"/>
        <v/>
      </c>
      <c r="G124" s="9"/>
      <c r="H124" s="9"/>
    </row>
    <row r="125" spans="1:8" ht="24" customHeight="1">
      <c r="A125" s="5" t="str">
        <f t="shared" si="2"/>
        <v/>
      </c>
      <c r="B125" s="18"/>
      <c r="C125" s="9"/>
      <c r="D125" s="10" t="str">
        <f>IF($C125="","",ROUND(SUMIFS(الإدخالات!$D$2:$D$501,الإدخالات!$C$2:$C$501,$C125)+SUMIFS($F$1:F124,$C$1:C124,$C125)-SUMIFS('الصرف المباشر'!$D$2:$D$501,'الصرف المباشر'!$C$2:$C$501,$C125)-SUMPRODUCT((الطبخات!$B$2:$B$900=$C125)*الطبخات!$C$2:$C$900*COUNTIF('سجل الإنتاج'!$C$2:$C$501,الطبخات!$A$2:$A$900)),3))</f>
        <v/>
      </c>
      <c r="E125" s="15"/>
      <c r="F125" s="19" t="str">
        <f t="shared" si="3"/>
        <v/>
      </c>
      <c r="G125" s="9"/>
      <c r="H125" s="9"/>
    </row>
    <row r="126" spans="1:8" ht="24" customHeight="1">
      <c r="A126" s="5" t="str">
        <f t="shared" si="2"/>
        <v/>
      </c>
      <c r="B126" s="18"/>
      <c r="C126" s="9"/>
      <c r="D126" s="10" t="str">
        <f>IF($C126="","",ROUND(SUMIFS(الإدخالات!$D$2:$D$501,الإدخالات!$C$2:$C$501,$C126)+SUMIFS($F$1:F125,$C$1:C125,$C126)-SUMIFS('الصرف المباشر'!$D$2:$D$501,'الصرف المباشر'!$C$2:$C$501,$C126)-SUMPRODUCT((الطبخات!$B$2:$B$900=$C126)*الطبخات!$C$2:$C$900*COUNTIF('سجل الإنتاج'!$C$2:$C$501,الطبخات!$A$2:$A$900)),3))</f>
        <v/>
      </c>
      <c r="E126" s="15"/>
      <c r="F126" s="19" t="str">
        <f t="shared" si="3"/>
        <v/>
      </c>
      <c r="G126" s="9"/>
      <c r="H126" s="9"/>
    </row>
    <row r="127" spans="1:8" ht="24" customHeight="1">
      <c r="A127" s="5" t="str">
        <f t="shared" si="2"/>
        <v/>
      </c>
      <c r="B127" s="18"/>
      <c r="C127" s="9"/>
      <c r="D127" s="10" t="str">
        <f>IF($C127="","",ROUND(SUMIFS(الإدخالات!$D$2:$D$501,الإدخالات!$C$2:$C$501,$C127)+SUMIFS($F$1:F126,$C$1:C126,$C127)-SUMIFS('الصرف المباشر'!$D$2:$D$501,'الصرف المباشر'!$C$2:$C$501,$C127)-SUMPRODUCT((الطبخات!$B$2:$B$900=$C127)*الطبخات!$C$2:$C$900*COUNTIF('سجل الإنتاج'!$C$2:$C$501,الطبخات!$A$2:$A$900)),3))</f>
        <v/>
      </c>
      <c r="E127" s="15"/>
      <c r="F127" s="19" t="str">
        <f t="shared" si="3"/>
        <v/>
      </c>
      <c r="G127" s="9"/>
      <c r="H127" s="9"/>
    </row>
    <row r="128" spans="1:8" ht="24" customHeight="1">
      <c r="A128" s="5" t="str">
        <f t="shared" si="2"/>
        <v/>
      </c>
      <c r="B128" s="18"/>
      <c r="C128" s="9"/>
      <c r="D128" s="10" t="str">
        <f>IF($C128="","",ROUND(SUMIFS(الإدخالات!$D$2:$D$501,الإدخالات!$C$2:$C$501,$C128)+SUMIFS($F$1:F127,$C$1:C127,$C128)-SUMIFS('الصرف المباشر'!$D$2:$D$501,'الصرف المباشر'!$C$2:$C$501,$C128)-SUMPRODUCT((الطبخات!$B$2:$B$900=$C128)*الطبخات!$C$2:$C$900*COUNTIF('سجل الإنتاج'!$C$2:$C$501,الطبخات!$A$2:$A$900)),3))</f>
        <v/>
      </c>
      <c r="E128" s="15"/>
      <c r="F128" s="19" t="str">
        <f t="shared" si="3"/>
        <v/>
      </c>
      <c r="G128" s="9"/>
      <c r="H128" s="9"/>
    </row>
    <row r="129" spans="1:8" ht="24" customHeight="1">
      <c r="A129" s="5" t="str">
        <f t="shared" si="2"/>
        <v/>
      </c>
      <c r="B129" s="18"/>
      <c r="C129" s="9"/>
      <c r="D129" s="10" t="str">
        <f>IF($C129="","",ROUND(SUMIFS(الإدخالات!$D$2:$D$501,الإدخالات!$C$2:$C$501,$C129)+SUMIFS($F$1:F128,$C$1:C128,$C129)-SUMIFS('الصرف المباشر'!$D$2:$D$501,'الصرف المباشر'!$C$2:$C$501,$C129)-SUMPRODUCT((الطبخات!$B$2:$B$900=$C129)*الطبخات!$C$2:$C$900*COUNTIF('سجل الإنتاج'!$C$2:$C$501,الطبخات!$A$2:$A$900)),3))</f>
        <v/>
      </c>
      <c r="E129" s="15"/>
      <c r="F129" s="19" t="str">
        <f t="shared" si="3"/>
        <v/>
      </c>
      <c r="G129" s="9"/>
      <c r="H129" s="9"/>
    </row>
    <row r="130" spans="1:8" ht="24" customHeight="1">
      <c r="A130" s="5" t="str">
        <f t="shared" ref="A130:A193" si="4">IF(C130="","",ROW()-1)</f>
        <v/>
      </c>
      <c r="B130" s="18"/>
      <c r="C130" s="9"/>
      <c r="D130" s="10" t="str">
        <f>IF($C130="","",ROUND(SUMIFS(الإدخالات!$D$2:$D$501,الإدخالات!$C$2:$C$501,$C130)+SUMIFS($F$1:F129,$C$1:C129,$C130)-SUMIFS('الصرف المباشر'!$D$2:$D$501,'الصرف المباشر'!$C$2:$C$501,$C130)-SUMPRODUCT((الطبخات!$B$2:$B$900=$C130)*الطبخات!$C$2:$C$900*COUNTIF('سجل الإنتاج'!$C$2:$C$501,الطبخات!$A$2:$A$900)),3))</f>
        <v/>
      </c>
      <c r="E130" s="15"/>
      <c r="F130" s="19" t="str">
        <f t="shared" ref="F130:F193" si="5">IF(OR($C130="",$E130=""),"",ROUND($E130-$D130,3))</f>
        <v/>
      </c>
      <c r="G130" s="9"/>
      <c r="H130" s="9"/>
    </row>
    <row r="131" spans="1:8" ht="24" customHeight="1">
      <c r="A131" s="5" t="str">
        <f t="shared" si="4"/>
        <v/>
      </c>
      <c r="B131" s="18"/>
      <c r="C131" s="9"/>
      <c r="D131" s="10" t="str">
        <f>IF($C131="","",ROUND(SUMIFS(الإدخالات!$D$2:$D$501,الإدخالات!$C$2:$C$501,$C131)+SUMIFS($F$1:F130,$C$1:C130,$C131)-SUMIFS('الصرف المباشر'!$D$2:$D$501,'الصرف المباشر'!$C$2:$C$501,$C131)-SUMPRODUCT((الطبخات!$B$2:$B$900=$C131)*الطبخات!$C$2:$C$900*COUNTIF('سجل الإنتاج'!$C$2:$C$501,الطبخات!$A$2:$A$900)),3))</f>
        <v/>
      </c>
      <c r="E131" s="15"/>
      <c r="F131" s="19" t="str">
        <f t="shared" si="5"/>
        <v/>
      </c>
      <c r="G131" s="9"/>
      <c r="H131" s="9"/>
    </row>
    <row r="132" spans="1:8" ht="24" customHeight="1">
      <c r="A132" s="5" t="str">
        <f t="shared" si="4"/>
        <v/>
      </c>
      <c r="B132" s="18"/>
      <c r="C132" s="9"/>
      <c r="D132" s="10" t="str">
        <f>IF($C132="","",ROUND(SUMIFS(الإدخالات!$D$2:$D$501,الإدخالات!$C$2:$C$501,$C132)+SUMIFS($F$1:F131,$C$1:C131,$C132)-SUMIFS('الصرف المباشر'!$D$2:$D$501,'الصرف المباشر'!$C$2:$C$501,$C132)-SUMPRODUCT((الطبخات!$B$2:$B$900=$C132)*الطبخات!$C$2:$C$900*COUNTIF('سجل الإنتاج'!$C$2:$C$501,الطبخات!$A$2:$A$900)),3))</f>
        <v/>
      </c>
      <c r="E132" s="15"/>
      <c r="F132" s="19" t="str">
        <f t="shared" si="5"/>
        <v/>
      </c>
      <c r="G132" s="9"/>
      <c r="H132" s="9"/>
    </row>
    <row r="133" spans="1:8" ht="24" customHeight="1">
      <c r="A133" s="5" t="str">
        <f t="shared" si="4"/>
        <v/>
      </c>
      <c r="B133" s="18"/>
      <c r="C133" s="9"/>
      <c r="D133" s="10" t="str">
        <f>IF($C133="","",ROUND(SUMIFS(الإدخالات!$D$2:$D$501,الإدخالات!$C$2:$C$501,$C133)+SUMIFS($F$1:F132,$C$1:C132,$C133)-SUMIFS('الصرف المباشر'!$D$2:$D$501,'الصرف المباشر'!$C$2:$C$501,$C133)-SUMPRODUCT((الطبخات!$B$2:$B$900=$C133)*الطبخات!$C$2:$C$900*COUNTIF('سجل الإنتاج'!$C$2:$C$501,الطبخات!$A$2:$A$900)),3))</f>
        <v/>
      </c>
      <c r="E133" s="15"/>
      <c r="F133" s="19" t="str">
        <f t="shared" si="5"/>
        <v/>
      </c>
      <c r="G133" s="9"/>
      <c r="H133" s="9"/>
    </row>
    <row r="134" spans="1:8" ht="24" customHeight="1">
      <c r="A134" s="5" t="str">
        <f t="shared" si="4"/>
        <v/>
      </c>
      <c r="B134" s="18"/>
      <c r="C134" s="9"/>
      <c r="D134" s="10" t="str">
        <f>IF($C134="","",ROUND(SUMIFS(الإدخالات!$D$2:$D$501,الإدخالات!$C$2:$C$501,$C134)+SUMIFS($F$1:F133,$C$1:C133,$C134)-SUMIFS('الصرف المباشر'!$D$2:$D$501,'الصرف المباشر'!$C$2:$C$501,$C134)-SUMPRODUCT((الطبخات!$B$2:$B$900=$C134)*الطبخات!$C$2:$C$900*COUNTIF('سجل الإنتاج'!$C$2:$C$501,الطبخات!$A$2:$A$900)),3))</f>
        <v/>
      </c>
      <c r="E134" s="15"/>
      <c r="F134" s="19" t="str">
        <f t="shared" si="5"/>
        <v/>
      </c>
      <c r="G134" s="9"/>
      <c r="H134" s="9"/>
    </row>
    <row r="135" spans="1:8" ht="24" customHeight="1">
      <c r="A135" s="5" t="str">
        <f t="shared" si="4"/>
        <v/>
      </c>
      <c r="B135" s="18"/>
      <c r="C135" s="9"/>
      <c r="D135" s="10" t="str">
        <f>IF($C135="","",ROUND(SUMIFS(الإدخالات!$D$2:$D$501,الإدخالات!$C$2:$C$501,$C135)+SUMIFS($F$1:F134,$C$1:C134,$C135)-SUMIFS('الصرف المباشر'!$D$2:$D$501,'الصرف المباشر'!$C$2:$C$501,$C135)-SUMPRODUCT((الطبخات!$B$2:$B$900=$C135)*الطبخات!$C$2:$C$900*COUNTIF('سجل الإنتاج'!$C$2:$C$501,الطبخات!$A$2:$A$900)),3))</f>
        <v/>
      </c>
      <c r="E135" s="15"/>
      <c r="F135" s="19" t="str">
        <f t="shared" si="5"/>
        <v/>
      </c>
      <c r="G135" s="9"/>
      <c r="H135" s="9"/>
    </row>
    <row r="136" spans="1:8" ht="24" customHeight="1">
      <c r="A136" s="5" t="str">
        <f t="shared" si="4"/>
        <v/>
      </c>
      <c r="B136" s="18"/>
      <c r="C136" s="9"/>
      <c r="D136" s="10" t="str">
        <f>IF($C136="","",ROUND(SUMIFS(الإدخالات!$D$2:$D$501,الإدخالات!$C$2:$C$501,$C136)+SUMIFS($F$1:F135,$C$1:C135,$C136)-SUMIFS('الصرف المباشر'!$D$2:$D$501,'الصرف المباشر'!$C$2:$C$501,$C136)-SUMPRODUCT((الطبخات!$B$2:$B$900=$C136)*الطبخات!$C$2:$C$900*COUNTIF('سجل الإنتاج'!$C$2:$C$501,الطبخات!$A$2:$A$900)),3))</f>
        <v/>
      </c>
      <c r="E136" s="15"/>
      <c r="F136" s="19" t="str">
        <f t="shared" si="5"/>
        <v/>
      </c>
      <c r="G136" s="9"/>
      <c r="H136" s="9"/>
    </row>
    <row r="137" spans="1:8" ht="24" customHeight="1">
      <c r="A137" s="5" t="str">
        <f t="shared" si="4"/>
        <v/>
      </c>
      <c r="B137" s="18"/>
      <c r="C137" s="9"/>
      <c r="D137" s="10" t="str">
        <f>IF($C137="","",ROUND(SUMIFS(الإدخالات!$D$2:$D$501,الإدخالات!$C$2:$C$501,$C137)+SUMIFS($F$1:F136,$C$1:C136,$C137)-SUMIFS('الصرف المباشر'!$D$2:$D$501,'الصرف المباشر'!$C$2:$C$501,$C137)-SUMPRODUCT((الطبخات!$B$2:$B$900=$C137)*الطبخات!$C$2:$C$900*COUNTIF('سجل الإنتاج'!$C$2:$C$501,الطبخات!$A$2:$A$900)),3))</f>
        <v/>
      </c>
      <c r="E137" s="15"/>
      <c r="F137" s="19" t="str">
        <f t="shared" si="5"/>
        <v/>
      </c>
      <c r="G137" s="9"/>
      <c r="H137" s="9"/>
    </row>
    <row r="138" spans="1:8" ht="24" customHeight="1">
      <c r="A138" s="5" t="str">
        <f t="shared" si="4"/>
        <v/>
      </c>
      <c r="B138" s="18"/>
      <c r="C138" s="9"/>
      <c r="D138" s="10" t="str">
        <f>IF($C138="","",ROUND(SUMIFS(الإدخالات!$D$2:$D$501,الإدخالات!$C$2:$C$501,$C138)+SUMIFS($F$1:F137,$C$1:C137,$C138)-SUMIFS('الصرف المباشر'!$D$2:$D$501,'الصرف المباشر'!$C$2:$C$501,$C138)-SUMPRODUCT((الطبخات!$B$2:$B$900=$C138)*الطبخات!$C$2:$C$900*COUNTIF('سجل الإنتاج'!$C$2:$C$501,الطبخات!$A$2:$A$900)),3))</f>
        <v/>
      </c>
      <c r="E138" s="15"/>
      <c r="F138" s="19" t="str">
        <f t="shared" si="5"/>
        <v/>
      </c>
      <c r="G138" s="9"/>
      <c r="H138" s="9"/>
    </row>
    <row r="139" spans="1:8" ht="24" customHeight="1">
      <c r="A139" s="5" t="str">
        <f t="shared" si="4"/>
        <v/>
      </c>
      <c r="B139" s="18"/>
      <c r="C139" s="9"/>
      <c r="D139" s="10" t="str">
        <f>IF($C139="","",ROUND(SUMIFS(الإدخالات!$D$2:$D$501,الإدخالات!$C$2:$C$501,$C139)+SUMIFS($F$1:F138,$C$1:C138,$C139)-SUMIFS('الصرف المباشر'!$D$2:$D$501,'الصرف المباشر'!$C$2:$C$501,$C139)-SUMPRODUCT((الطبخات!$B$2:$B$900=$C139)*الطبخات!$C$2:$C$900*COUNTIF('سجل الإنتاج'!$C$2:$C$501,الطبخات!$A$2:$A$900)),3))</f>
        <v/>
      </c>
      <c r="E139" s="15"/>
      <c r="F139" s="19" t="str">
        <f t="shared" si="5"/>
        <v/>
      </c>
      <c r="G139" s="9"/>
      <c r="H139" s="9"/>
    </row>
    <row r="140" spans="1:8" ht="24" customHeight="1">
      <c r="A140" s="5" t="str">
        <f t="shared" si="4"/>
        <v/>
      </c>
      <c r="B140" s="18"/>
      <c r="C140" s="9"/>
      <c r="D140" s="10" t="str">
        <f>IF($C140="","",ROUND(SUMIFS(الإدخالات!$D$2:$D$501,الإدخالات!$C$2:$C$501,$C140)+SUMIFS($F$1:F139,$C$1:C139,$C140)-SUMIFS('الصرف المباشر'!$D$2:$D$501,'الصرف المباشر'!$C$2:$C$501,$C140)-SUMPRODUCT((الطبخات!$B$2:$B$900=$C140)*الطبخات!$C$2:$C$900*COUNTIF('سجل الإنتاج'!$C$2:$C$501,الطبخات!$A$2:$A$900)),3))</f>
        <v/>
      </c>
      <c r="E140" s="15"/>
      <c r="F140" s="19" t="str">
        <f t="shared" si="5"/>
        <v/>
      </c>
      <c r="G140" s="9"/>
      <c r="H140" s="9"/>
    </row>
    <row r="141" spans="1:8" ht="24" customHeight="1">
      <c r="A141" s="5" t="str">
        <f t="shared" si="4"/>
        <v/>
      </c>
      <c r="B141" s="18"/>
      <c r="C141" s="9"/>
      <c r="D141" s="10" t="str">
        <f>IF($C141="","",ROUND(SUMIFS(الإدخالات!$D$2:$D$501,الإدخالات!$C$2:$C$501,$C141)+SUMIFS($F$1:F140,$C$1:C140,$C141)-SUMIFS('الصرف المباشر'!$D$2:$D$501,'الصرف المباشر'!$C$2:$C$501,$C141)-SUMPRODUCT((الطبخات!$B$2:$B$900=$C141)*الطبخات!$C$2:$C$900*COUNTIF('سجل الإنتاج'!$C$2:$C$501,الطبخات!$A$2:$A$900)),3))</f>
        <v/>
      </c>
      <c r="E141" s="15"/>
      <c r="F141" s="19" t="str">
        <f t="shared" si="5"/>
        <v/>
      </c>
      <c r="G141" s="9"/>
      <c r="H141" s="9"/>
    </row>
    <row r="142" spans="1:8" ht="24" customHeight="1">
      <c r="A142" s="5" t="str">
        <f t="shared" si="4"/>
        <v/>
      </c>
      <c r="B142" s="18"/>
      <c r="C142" s="9"/>
      <c r="D142" s="10" t="str">
        <f>IF($C142="","",ROUND(SUMIFS(الإدخالات!$D$2:$D$501,الإدخالات!$C$2:$C$501,$C142)+SUMIFS($F$1:F141,$C$1:C141,$C142)-SUMIFS('الصرف المباشر'!$D$2:$D$501,'الصرف المباشر'!$C$2:$C$501,$C142)-SUMPRODUCT((الطبخات!$B$2:$B$900=$C142)*الطبخات!$C$2:$C$900*COUNTIF('سجل الإنتاج'!$C$2:$C$501,الطبخات!$A$2:$A$900)),3))</f>
        <v/>
      </c>
      <c r="E142" s="15"/>
      <c r="F142" s="19" t="str">
        <f t="shared" si="5"/>
        <v/>
      </c>
      <c r="G142" s="9"/>
      <c r="H142" s="9"/>
    </row>
    <row r="143" spans="1:8" ht="24" customHeight="1">
      <c r="A143" s="5" t="str">
        <f t="shared" si="4"/>
        <v/>
      </c>
      <c r="B143" s="18"/>
      <c r="C143" s="9"/>
      <c r="D143" s="10" t="str">
        <f>IF($C143="","",ROUND(SUMIFS(الإدخالات!$D$2:$D$501,الإدخالات!$C$2:$C$501,$C143)+SUMIFS($F$1:F142,$C$1:C142,$C143)-SUMIFS('الصرف المباشر'!$D$2:$D$501,'الصرف المباشر'!$C$2:$C$501,$C143)-SUMPRODUCT((الطبخات!$B$2:$B$900=$C143)*الطبخات!$C$2:$C$900*COUNTIF('سجل الإنتاج'!$C$2:$C$501,الطبخات!$A$2:$A$900)),3))</f>
        <v/>
      </c>
      <c r="E143" s="15"/>
      <c r="F143" s="19" t="str">
        <f t="shared" si="5"/>
        <v/>
      </c>
      <c r="G143" s="9"/>
      <c r="H143" s="9"/>
    </row>
    <row r="144" spans="1:8" ht="24" customHeight="1">
      <c r="A144" s="5" t="str">
        <f t="shared" si="4"/>
        <v/>
      </c>
      <c r="B144" s="18"/>
      <c r="C144" s="9"/>
      <c r="D144" s="10" t="str">
        <f>IF($C144="","",ROUND(SUMIFS(الإدخالات!$D$2:$D$501,الإدخالات!$C$2:$C$501,$C144)+SUMIFS($F$1:F143,$C$1:C143,$C144)-SUMIFS('الصرف المباشر'!$D$2:$D$501,'الصرف المباشر'!$C$2:$C$501,$C144)-SUMPRODUCT((الطبخات!$B$2:$B$900=$C144)*الطبخات!$C$2:$C$900*COUNTIF('سجل الإنتاج'!$C$2:$C$501,الطبخات!$A$2:$A$900)),3))</f>
        <v/>
      </c>
      <c r="E144" s="15"/>
      <c r="F144" s="19" t="str">
        <f t="shared" si="5"/>
        <v/>
      </c>
      <c r="G144" s="9"/>
      <c r="H144" s="9"/>
    </row>
    <row r="145" spans="1:8" ht="24" customHeight="1">
      <c r="A145" s="5" t="str">
        <f t="shared" si="4"/>
        <v/>
      </c>
      <c r="B145" s="18"/>
      <c r="C145" s="9"/>
      <c r="D145" s="10" t="str">
        <f>IF($C145="","",ROUND(SUMIFS(الإدخالات!$D$2:$D$501,الإدخالات!$C$2:$C$501,$C145)+SUMIFS($F$1:F144,$C$1:C144,$C145)-SUMIFS('الصرف المباشر'!$D$2:$D$501,'الصرف المباشر'!$C$2:$C$501,$C145)-SUMPRODUCT((الطبخات!$B$2:$B$900=$C145)*الطبخات!$C$2:$C$900*COUNTIF('سجل الإنتاج'!$C$2:$C$501,الطبخات!$A$2:$A$900)),3))</f>
        <v/>
      </c>
      <c r="E145" s="15"/>
      <c r="F145" s="19" t="str">
        <f t="shared" si="5"/>
        <v/>
      </c>
      <c r="G145" s="9"/>
      <c r="H145" s="9"/>
    </row>
    <row r="146" spans="1:8" ht="24" customHeight="1">
      <c r="A146" s="5" t="str">
        <f t="shared" si="4"/>
        <v/>
      </c>
      <c r="B146" s="18"/>
      <c r="C146" s="9"/>
      <c r="D146" s="10" t="str">
        <f>IF($C146="","",ROUND(SUMIFS(الإدخالات!$D$2:$D$501,الإدخالات!$C$2:$C$501,$C146)+SUMIFS($F$1:F145,$C$1:C145,$C146)-SUMIFS('الصرف المباشر'!$D$2:$D$501,'الصرف المباشر'!$C$2:$C$501,$C146)-SUMPRODUCT((الطبخات!$B$2:$B$900=$C146)*الطبخات!$C$2:$C$900*COUNTIF('سجل الإنتاج'!$C$2:$C$501,الطبخات!$A$2:$A$900)),3))</f>
        <v/>
      </c>
      <c r="E146" s="15"/>
      <c r="F146" s="19" t="str">
        <f t="shared" si="5"/>
        <v/>
      </c>
      <c r="G146" s="9"/>
      <c r="H146" s="9"/>
    </row>
    <row r="147" spans="1:8" ht="24" customHeight="1">
      <c r="A147" s="5" t="str">
        <f t="shared" si="4"/>
        <v/>
      </c>
      <c r="B147" s="18"/>
      <c r="C147" s="9"/>
      <c r="D147" s="10" t="str">
        <f>IF($C147="","",ROUND(SUMIFS(الإدخالات!$D$2:$D$501,الإدخالات!$C$2:$C$501,$C147)+SUMIFS($F$1:F146,$C$1:C146,$C147)-SUMIFS('الصرف المباشر'!$D$2:$D$501,'الصرف المباشر'!$C$2:$C$501,$C147)-SUMPRODUCT((الطبخات!$B$2:$B$900=$C147)*الطبخات!$C$2:$C$900*COUNTIF('سجل الإنتاج'!$C$2:$C$501,الطبخات!$A$2:$A$900)),3))</f>
        <v/>
      </c>
      <c r="E147" s="15"/>
      <c r="F147" s="19" t="str">
        <f t="shared" si="5"/>
        <v/>
      </c>
      <c r="G147" s="9"/>
      <c r="H147" s="9"/>
    </row>
    <row r="148" spans="1:8" ht="24" customHeight="1">
      <c r="A148" s="5" t="str">
        <f t="shared" si="4"/>
        <v/>
      </c>
      <c r="B148" s="18"/>
      <c r="C148" s="9"/>
      <c r="D148" s="10" t="str">
        <f>IF($C148="","",ROUND(SUMIFS(الإدخالات!$D$2:$D$501,الإدخالات!$C$2:$C$501,$C148)+SUMIFS($F$1:F147,$C$1:C147,$C148)-SUMIFS('الصرف المباشر'!$D$2:$D$501,'الصرف المباشر'!$C$2:$C$501,$C148)-SUMPRODUCT((الطبخات!$B$2:$B$900=$C148)*الطبخات!$C$2:$C$900*COUNTIF('سجل الإنتاج'!$C$2:$C$501,الطبخات!$A$2:$A$900)),3))</f>
        <v/>
      </c>
      <c r="E148" s="15"/>
      <c r="F148" s="19" t="str">
        <f t="shared" si="5"/>
        <v/>
      </c>
      <c r="G148" s="9"/>
      <c r="H148" s="9"/>
    </row>
    <row r="149" spans="1:8" ht="24" customHeight="1">
      <c r="A149" s="5" t="str">
        <f t="shared" si="4"/>
        <v/>
      </c>
      <c r="B149" s="18"/>
      <c r="C149" s="9"/>
      <c r="D149" s="10" t="str">
        <f>IF($C149="","",ROUND(SUMIFS(الإدخالات!$D$2:$D$501,الإدخالات!$C$2:$C$501,$C149)+SUMIFS($F$1:F148,$C$1:C148,$C149)-SUMIFS('الصرف المباشر'!$D$2:$D$501,'الصرف المباشر'!$C$2:$C$501,$C149)-SUMPRODUCT((الطبخات!$B$2:$B$900=$C149)*الطبخات!$C$2:$C$900*COUNTIF('سجل الإنتاج'!$C$2:$C$501,الطبخات!$A$2:$A$900)),3))</f>
        <v/>
      </c>
      <c r="E149" s="15"/>
      <c r="F149" s="19" t="str">
        <f t="shared" si="5"/>
        <v/>
      </c>
      <c r="G149" s="9"/>
      <c r="H149" s="9"/>
    </row>
    <row r="150" spans="1:8" ht="24" customHeight="1">
      <c r="A150" s="5" t="str">
        <f t="shared" si="4"/>
        <v/>
      </c>
      <c r="B150" s="18"/>
      <c r="C150" s="9"/>
      <c r="D150" s="10" t="str">
        <f>IF($C150="","",ROUND(SUMIFS(الإدخالات!$D$2:$D$501,الإدخالات!$C$2:$C$501,$C150)+SUMIFS($F$1:F149,$C$1:C149,$C150)-SUMIFS('الصرف المباشر'!$D$2:$D$501,'الصرف المباشر'!$C$2:$C$501,$C150)-SUMPRODUCT((الطبخات!$B$2:$B$900=$C150)*الطبخات!$C$2:$C$900*COUNTIF('سجل الإنتاج'!$C$2:$C$501,الطبخات!$A$2:$A$900)),3))</f>
        <v/>
      </c>
      <c r="E150" s="15"/>
      <c r="F150" s="19" t="str">
        <f t="shared" si="5"/>
        <v/>
      </c>
      <c r="G150" s="9"/>
      <c r="H150" s="9"/>
    </row>
    <row r="151" spans="1:8" ht="24" customHeight="1">
      <c r="A151" s="5" t="str">
        <f t="shared" si="4"/>
        <v/>
      </c>
      <c r="B151" s="18"/>
      <c r="C151" s="9"/>
      <c r="D151" s="10" t="str">
        <f>IF($C151="","",ROUND(SUMIFS(الإدخالات!$D$2:$D$501,الإدخالات!$C$2:$C$501,$C151)+SUMIFS($F$1:F150,$C$1:C150,$C151)-SUMIFS('الصرف المباشر'!$D$2:$D$501,'الصرف المباشر'!$C$2:$C$501,$C151)-SUMPRODUCT((الطبخات!$B$2:$B$900=$C151)*الطبخات!$C$2:$C$900*COUNTIF('سجل الإنتاج'!$C$2:$C$501,الطبخات!$A$2:$A$900)),3))</f>
        <v/>
      </c>
      <c r="E151" s="15"/>
      <c r="F151" s="19" t="str">
        <f t="shared" si="5"/>
        <v/>
      </c>
      <c r="G151" s="9"/>
      <c r="H151" s="9"/>
    </row>
    <row r="152" spans="1:8" ht="24" customHeight="1">
      <c r="A152" s="5" t="str">
        <f t="shared" si="4"/>
        <v/>
      </c>
      <c r="B152" s="18"/>
      <c r="C152" s="9"/>
      <c r="D152" s="10" t="str">
        <f>IF($C152="","",ROUND(SUMIFS(الإدخالات!$D$2:$D$501,الإدخالات!$C$2:$C$501,$C152)+SUMIFS($F$1:F151,$C$1:C151,$C152)-SUMIFS('الصرف المباشر'!$D$2:$D$501,'الصرف المباشر'!$C$2:$C$501,$C152)-SUMPRODUCT((الطبخات!$B$2:$B$900=$C152)*الطبخات!$C$2:$C$900*COUNTIF('سجل الإنتاج'!$C$2:$C$501,الطبخات!$A$2:$A$900)),3))</f>
        <v/>
      </c>
      <c r="E152" s="15"/>
      <c r="F152" s="19" t="str">
        <f t="shared" si="5"/>
        <v/>
      </c>
      <c r="G152" s="9"/>
      <c r="H152" s="9"/>
    </row>
    <row r="153" spans="1:8" ht="24" customHeight="1">
      <c r="A153" s="5" t="str">
        <f t="shared" si="4"/>
        <v/>
      </c>
      <c r="B153" s="18"/>
      <c r="C153" s="9"/>
      <c r="D153" s="10" t="str">
        <f>IF($C153="","",ROUND(SUMIFS(الإدخالات!$D$2:$D$501,الإدخالات!$C$2:$C$501,$C153)+SUMIFS($F$1:F152,$C$1:C152,$C153)-SUMIFS('الصرف المباشر'!$D$2:$D$501,'الصرف المباشر'!$C$2:$C$501,$C153)-SUMPRODUCT((الطبخات!$B$2:$B$900=$C153)*الطبخات!$C$2:$C$900*COUNTIF('سجل الإنتاج'!$C$2:$C$501,الطبخات!$A$2:$A$900)),3))</f>
        <v/>
      </c>
      <c r="E153" s="15"/>
      <c r="F153" s="19" t="str">
        <f t="shared" si="5"/>
        <v/>
      </c>
      <c r="G153" s="9"/>
      <c r="H153" s="9"/>
    </row>
    <row r="154" spans="1:8" ht="24" customHeight="1">
      <c r="A154" s="5" t="str">
        <f t="shared" si="4"/>
        <v/>
      </c>
      <c r="B154" s="18"/>
      <c r="C154" s="9"/>
      <c r="D154" s="10" t="str">
        <f>IF($C154="","",ROUND(SUMIFS(الإدخالات!$D$2:$D$501,الإدخالات!$C$2:$C$501,$C154)+SUMIFS($F$1:F153,$C$1:C153,$C154)-SUMIFS('الصرف المباشر'!$D$2:$D$501,'الصرف المباشر'!$C$2:$C$501,$C154)-SUMPRODUCT((الطبخات!$B$2:$B$900=$C154)*الطبخات!$C$2:$C$900*COUNTIF('سجل الإنتاج'!$C$2:$C$501,الطبخات!$A$2:$A$900)),3))</f>
        <v/>
      </c>
      <c r="E154" s="15"/>
      <c r="F154" s="19" t="str">
        <f t="shared" si="5"/>
        <v/>
      </c>
      <c r="G154" s="9"/>
      <c r="H154" s="9"/>
    </row>
    <row r="155" spans="1:8" ht="24" customHeight="1">
      <c r="A155" s="5" t="str">
        <f t="shared" si="4"/>
        <v/>
      </c>
      <c r="B155" s="18"/>
      <c r="C155" s="9"/>
      <c r="D155" s="10" t="str">
        <f>IF($C155="","",ROUND(SUMIFS(الإدخالات!$D$2:$D$501,الإدخالات!$C$2:$C$501,$C155)+SUMIFS($F$1:F154,$C$1:C154,$C155)-SUMIFS('الصرف المباشر'!$D$2:$D$501,'الصرف المباشر'!$C$2:$C$501,$C155)-SUMPRODUCT((الطبخات!$B$2:$B$900=$C155)*الطبخات!$C$2:$C$900*COUNTIF('سجل الإنتاج'!$C$2:$C$501,الطبخات!$A$2:$A$900)),3))</f>
        <v/>
      </c>
      <c r="E155" s="15"/>
      <c r="F155" s="19" t="str">
        <f t="shared" si="5"/>
        <v/>
      </c>
      <c r="G155" s="9"/>
      <c r="H155" s="9"/>
    </row>
    <row r="156" spans="1:8" ht="24" customHeight="1">
      <c r="A156" s="5" t="str">
        <f t="shared" si="4"/>
        <v/>
      </c>
      <c r="B156" s="18"/>
      <c r="C156" s="9"/>
      <c r="D156" s="10" t="str">
        <f>IF($C156="","",ROUND(SUMIFS(الإدخالات!$D$2:$D$501,الإدخالات!$C$2:$C$501,$C156)+SUMIFS($F$1:F155,$C$1:C155,$C156)-SUMIFS('الصرف المباشر'!$D$2:$D$501,'الصرف المباشر'!$C$2:$C$501,$C156)-SUMPRODUCT((الطبخات!$B$2:$B$900=$C156)*الطبخات!$C$2:$C$900*COUNTIF('سجل الإنتاج'!$C$2:$C$501,الطبخات!$A$2:$A$900)),3))</f>
        <v/>
      </c>
      <c r="E156" s="15"/>
      <c r="F156" s="19" t="str">
        <f t="shared" si="5"/>
        <v/>
      </c>
      <c r="G156" s="9"/>
      <c r="H156" s="9"/>
    </row>
    <row r="157" spans="1:8" ht="24" customHeight="1">
      <c r="A157" s="5" t="str">
        <f t="shared" si="4"/>
        <v/>
      </c>
      <c r="B157" s="18"/>
      <c r="C157" s="9"/>
      <c r="D157" s="10" t="str">
        <f>IF($C157="","",ROUND(SUMIFS(الإدخالات!$D$2:$D$501,الإدخالات!$C$2:$C$501,$C157)+SUMIFS($F$1:F156,$C$1:C156,$C157)-SUMIFS('الصرف المباشر'!$D$2:$D$501,'الصرف المباشر'!$C$2:$C$501,$C157)-SUMPRODUCT((الطبخات!$B$2:$B$900=$C157)*الطبخات!$C$2:$C$900*COUNTIF('سجل الإنتاج'!$C$2:$C$501,الطبخات!$A$2:$A$900)),3))</f>
        <v/>
      </c>
      <c r="E157" s="15"/>
      <c r="F157" s="19" t="str">
        <f t="shared" si="5"/>
        <v/>
      </c>
      <c r="G157" s="9"/>
      <c r="H157" s="9"/>
    </row>
    <row r="158" spans="1:8" ht="24" customHeight="1">
      <c r="A158" s="5" t="str">
        <f t="shared" si="4"/>
        <v/>
      </c>
      <c r="B158" s="18"/>
      <c r="C158" s="9"/>
      <c r="D158" s="10" t="str">
        <f>IF($C158="","",ROUND(SUMIFS(الإدخالات!$D$2:$D$501,الإدخالات!$C$2:$C$501,$C158)+SUMIFS($F$1:F157,$C$1:C157,$C158)-SUMIFS('الصرف المباشر'!$D$2:$D$501,'الصرف المباشر'!$C$2:$C$501,$C158)-SUMPRODUCT((الطبخات!$B$2:$B$900=$C158)*الطبخات!$C$2:$C$900*COUNTIF('سجل الإنتاج'!$C$2:$C$501,الطبخات!$A$2:$A$900)),3))</f>
        <v/>
      </c>
      <c r="E158" s="15"/>
      <c r="F158" s="19" t="str">
        <f t="shared" si="5"/>
        <v/>
      </c>
      <c r="G158" s="9"/>
      <c r="H158" s="9"/>
    </row>
    <row r="159" spans="1:8" ht="24" customHeight="1">
      <c r="A159" s="5" t="str">
        <f t="shared" si="4"/>
        <v/>
      </c>
      <c r="B159" s="18"/>
      <c r="C159" s="9"/>
      <c r="D159" s="10" t="str">
        <f>IF($C159="","",ROUND(SUMIFS(الإدخالات!$D$2:$D$501,الإدخالات!$C$2:$C$501,$C159)+SUMIFS($F$1:F158,$C$1:C158,$C159)-SUMIFS('الصرف المباشر'!$D$2:$D$501,'الصرف المباشر'!$C$2:$C$501,$C159)-SUMPRODUCT((الطبخات!$B$2:$B$900=$C159)*الطبخات!$C$2:$C$900*COUNTIF('سجل الإنتاج'!$C$2:$C$501,الطبخات!$A$2:$A$900)),3))</f>
        <v/>
      </c>
      <c r="E159" s="15"/>
      <c r="F159" s="19" t="str">
        <f t="shared" si="5"/>
        <v/>
      </c>
      <c r="G159" s="9"/>
      <c r="H159" s="9"/>
    </row>
    <row r="160" spans="1:8" ht="24" customHeight="1">
      <c r="A160" s="5" t="str">
        <f t="shared" si="4"/>
        <v/>
      </c>
      <c r="B160" s="18"/>
      <c r="C160" s="9"/>
      <c r="D160" s="10" t="str">
        <f>IF($C160="","",ROUND(SUMIFS(الإدخالات!$D$2:$D$501,الإدخالات!$C$2:$C$501,$C160)+SUMIFS($F$1:F159,$C$1:C159,$C160)-SUMIFS('الصرف المباشر'!$D$2:$D$501,'الصرف المباشر'!$C$2:$C$501,$C160)-SUMPRODUCT((الطبخات!$B$2:$B$900=$C160)*الطبخات!$C$2:$C$900*COUNTIF('سجل الإنتاج'!$C$2:$C$501,الطبخات!$A$2:$A$900)),3))</f>
        <v/>
      </c>
      <c r="E160" s="15"/>
      <c r="F160" s="19" t="str">
        <f t="shared" si="5"/>
        <v/>
      </c>
      <c r="G160" s="9"/>
      <c r="H160" s="9"/>
    </row>
    <row r="161" spans="1:8" ht="24" customHeight="1">
      <c r="A161" s="5" t="str">
        <f t="shared" si="4"/>
        <v/>
      </c>
      <c r="B161" s="18"/>
      <c r="C161" s="9"/>
      <c r="D161" s="10" t="str">
        <f>IF($C161="","",ROUND(SUMIFS(الإدخالات!$D$2:$D$501,الإدخالات!$C$2:$C$501,$C161)+SUMIFS($F$1:F160,$C$1:C160,$C161)-SUMIFS('الصرف المباشر'!$D$2:$D$501,'الصرف المباشر'!$C$2:$C$501,$C161)-SUMPRODUCT((الطبخات!$B$2:$B$900=$C161)*الطبخات!$C$2:$C$900*COUNTIF('سجل الإنتاج'!$C$2:$C$501,الطبخات!$A$2:$A$900)),3))</f>
        <v/>
      </c>
      <c r="E161" s="15"/>
      <c r="F161" s="19" t="str">
        <f t="shared" si="5"/>
        <v/>
      </c>
      <c r="G161" s="9"/>
      <c r="H161" s="9"/>
    </row>
    <row r="162" spans="1:8" ht="24" customHeight="1">
      <c r="A162" s="5" t="str">
        <f t="shared" si="4"/>
        <v/>
      </c>
      <c r="B162" s="18"/>
      <c r="C162" s="9"/>
      <c r="D162" s="10" t="str">
        <f>IF($C162="","",ROUND(SUMIFS(الإدخالات!$D$2:$D$501,الإدخالات!$C$2:$C$501,$C162)+SUMIFS($F$1:F161,$C$1:C161,$C162)-SUMIFS('الصرف المباشر'!$D$2:$D$501,'الصرف المباشر'!$C$2:$C$501,$C162)-SUMPRODUCT((الطبخات!$B$2:$B$900=$C162)*الطبخات!$C$2:$C$900*COUNTIF('سجل الإنتاج'!$C$2:$C$501,الطبخات!$A$2:$A$900)),3))</f>
        <v/>
      </c>
      <c r="E162" s="15"/>
      <c r="F162" s="19" t="str">
        <f t="shared" si="5"/>
        <v/>
      </c>
      <c r="G162" s="9"/>
      <c r="H162" s="9"/>
    </row>
    <row r="163" spans="1:8" ht="24" customHeight="1">
      <c r="A163" s="5" t="str">
        <f t="shared" si="4"/>
        <v/>
      </c>
      <c r="B163" s="18"/>
      <c r="C163" s="9"/>
      <c r="D163" s="10" t="str">
        <f>IF($C163="","",ROUND(SUMIFS(الإدخالات!$D$2:$D$501,الإدخالات!$C$2:$C$501,$C163)+SUMIFS($F$1:F162,$C$1:C162,$C163)-SUMIFS('الصرف المباشر'!$D$2:$D$501,'الصرف المباشر'!$C$2:$C$501,$C163)-SUMPRODUCT((الطبخات!$B$2:$B$900=$C163)*الطبخات!$C$2:$C$900*COUNTIF('سجل الإنتاج'!$C$2:$C$501,الطبخات!$A$2:$A$900)),3))</f>
        <v/>
      </c>
      <c r="E163" s="15"/>
      <c r="F163" s="19" t="str">
        <f t="shared" si="5"/>
        <v/>
      </c>
      <c r="G163" s="9"/>
      <c r="H163" s="9"/>
    </row>
    <row r="164" spans="1:8" ht="24" customHeight="1">
      <c r="A164" s="5" t="str">
        <f t="shared" si="4"/>
        <v/>
      </c>
      <c r="B164" s="18"/>
      <c r="C164" s="9"/>
      <c r="D164" s="10" t="str">
        <f>IF($C164="","",ROUND(SUMIFS(الإدخالات!$D$2:$D$501,الإدخالات!$C$2:$C$501,$C164)+SUMIFS($F$1:F163,$C$1:C163,$C164)-SUMIFS('الصرف المباشر'!$D$2:$D$501,'الصرف المباشر'!$C$2:$C$501,$C164)-SUMPRODUCT((الطبخات!$B$2:$B$900=$C164)*الطبخات!$C$2:$C$900*COUNTIF('سجل الإنتاج'!$C$2:$C$501,الطبخات!$A$2:$A$900)),3))</f>
        <v/>
      </c>
      <c r="E164" s="15"/>
      <c r="F164" s="19" t="str">
        <f t="shared" si="5"/>
        <v/>
      </c>
      <c r="G164" s="9"/>
      <c r="H164" s="9"/>
    </row>
    <row r="165" spans="1:8" ht="24" customHeight="1">
      <c r="A165" s="5" t="str">
        <f t="shared" si="4"/>
        <v/>
      </c>
      <c r="B165" s="18"/>
      <c r="C165" s="9"/>
      <c r="D165" s="10" t="str">
        <f>IF($C165="","",ROUND(SUMIFS(الإدخالات!$D$2:$D$501,الإدخالات!$C$2:$C$501,$C165)+SUMIFS($F$1:F164,$C$1:C164,$C165)-SUMIFS('الصرف المباشر'!$D$2:$D$501,'الصرف المباشر'!$C$2:$C$501,$C165)-SUMPRODUCT((الطبخات!$B$2:$B$900=$C165)*الطبخات!$C$2:$C$900*COUNTIF('سجل الإنتاج'!$C$2:$C$501,الطبخات!$A$2:$A$900)),3))</f>
        <v/>
      </c>
      <c r="E165" s="15"/>
      <c r="F165" s="19" t="str">
        <f t="shared" si="5"/>
        <v/>
      </c>
      <c r="G165" s="9"/>
      <c r="H165" s="9"/>
    </row>
    <row r="166" spans="1:8" ht="24" customHeight="1">
      <c r="A166" s="5" t="str">
        <f t="shared" si="4"/>
        <v/>
      </c>
      <c r="B166" s="18"/>
      <c r="C166" s="9"/>
      <c r="D166" s="10" t="str">
        <f>IF($C166="","",ROUND(SUMIFS(الإدخالات!$D$2:$D$501,الإدخالات!$C$2:$C$501,$C166)+SUMIFS($F$1:F165,$C$1:C165,$C166)-SUMIFS('الصرف المباشر'!$D$2:$D$501,'الصرف المباشر'!$C$2:$C$501,$C166)-SUMPRODUCT((الطبخات!$B$2:$B$900=$C166)*الطبخات!$C$2:$C$900*COUNTIF('سجل الإنتاج'!$C$2:$C$501,الطبخات!$A$2:$A$900)),3))</f>
        <v/>
      </c>
      <c r="E166" s="15"/>
      <c r="F166" s="19" t="str">
        <f t="shared" si="5"/>
        <v/>
      </c>
      <c r="G166" s="9"/>
      <c r="H166" s="9"/>
    </row>
    <row r="167" spans="1:8" ht="24" customHeight="1">
      <c r="A167" s="5" t="str">
        <f t="shared" si="4"/>
        <v/>
      </c>
      <c r="B167" s="18"/>
      <c r="C167" s="9"/>
      <c r="D167" s="10" t="str">
        <f>IF($C167="","",ROUND(SUMIFS(الإدخالات!$D$2:$D$501,الإدخالات!$C$2:$C$501,$C167)+SUMIFS($F$1:F166,$C$1:C166,$C167)-SUMIFS('الصرف المباشر'!$D$2:$D$501,'الصرف المباشر'!$C$2:$C$501,$C167)-SUMPRODUCT((الطبخات!$B$2:$B$900=$C167)*الطبخات!$C$2:$C$900*COUNTIF('سجل الإنتاج'!$C$2:$C$501,الطبخات!$A$2:$A$900)),3))</f>
        <v/>
      </c>
      <c r="E167" s="15"/>
      <c r="F167" s="19" t="str">
        <f t="shared" si="5"/>
        <v/>
      </c>
      <c r="G167" s="9"/>
      <c r="H167" s="9"/>
    </row>
    <row r="168" spans="1:8" ht="24" customHeight="1">
      <c r="A168" s="5" t="str">
        <f t="shared" si="4"/>
        <v/>
      </c>
      <c r="B168" s="18"/>
      <c r="C168" s="9"/>
      <c r="D168" s="10" t="str">
        <f>IF($C168="","",ROUND(SUMIFS(الإدخالات!$D$2:$D$501,الإدخالات!$C$2:$C$501,$C168)+SUMIFS($F$1:F167,$C$1:C167,$C168)-SUMIFS('الصرف المباشر'!$D$2:$D$501,'الصرف المباشر'!$C$2:$C$501,$C168)-SUMPRODUCT((الطبخات!$B$2:$B$900=$C168)*الطبخات!$C$2:$C$900*COUNTIF('سجل الإنتاج'!$C$2:$C$501,الطبخات!$A$2:$A$900)),3))</f>
        <v/>
      </c>
      <c r="E168" s="15"/>
      <c r="F168" s="19" t="str">
        <f t="shared" si="5"/>
        <v/>
      </c>
      <c r="G168" s="9"/>
      <c r="H168" s="9"/>
    </row>
    <row r="169" spans="1:8" ht="24" customHeight="1">
      <c r="A169" s="5" t="str">
        <f t="shared" si="4"/>
        <v/>
      </c>
      <c r="B169" s="18"/>
      <c r="C169" s="9"/>
      <c r="D169" s="10" t="str">
        <f>IF($C169="","",ROUND(SUMIFS(الإدخالات!$D$2:$D$501,الإدخالات!$C$2:$C$501,$C169)+SUMIFS($F$1:F168,$C$1:C168,$C169)-SUMIFS('الصرف المباشر'!$D$2:$D$501,'الصرف المباشر'!$C$2:$C$501,$C169)-SUMPRODUCT((الطبخات!$B$2:$B$900=$C169)*الطبخات!$C$2:$C$900*COUNTIF('سجل الإنتاج'!$C$2:$C$501,الطبخات!$A$2:$A$900)),3))</f>
        <v/>
      </c>
      <c r="E169" s="15"/>
      <c r="F169" s="19" t="str">
        <f t="shared" si="5"/>
        <v/>
      </c>
      <c r="G169" s="9"/>
      <c r="H169" s="9"/>
    </row>
    <row r="170" spans="1:8" ht="24" customHeight="1">
      <c r="A170" s="5" t="str">
        <f t="shared" si="4"/>
        <v/>
      </c>
      <c r="B170" s="18"/>
      <c r="C170" s="9"/>
      <c r="D170" s="10" t="str">
        <f>IF($C170="","",ROUND(SUMIFS(الإدخالات!$D$2:$D$501,الإدخالات!$C$2:$C$501,$C170)+SUMIFS($F$1:F169,$C$1:C169,$C170)-SUMIFS('الصرف المباشر'!$D$2:$D$501,'الصرف المباشر'!$C$2:$C$501,$C170)-SUMPRODUCT((الطبخات!$B$2:$B$900=$C170)*الطبخات!$C$2:$C$900*COUNTIF('سجل الإنتاج'!$C$2:$C$501,الطبخات!$A$2:$A$900)),3))</f>
        <v/>
      </c>
      <c r="E170" s="15"/>
      <c r="F170" s="19" t="str">
        <f t="shared" si="5"/>
        <v/>
      </c>
      <c r="G170" s="9"/>
      <c r="H170" s="9"/>
    </row>
    <row r="171" spans="1:8" ht="24" customHeight="1">
      <c r="A171" s="5" t="str">
        <f t="shared" si="4"/>
        <v/>
      </c>
      <c r="B171" s="18"/>
      <c r="C171" s="9"/>
      <c r="D171" s="10" t="str">
        <f>IF($C171="","",ROUND(SUMIFS(الإدخالات!$D$2:$D$501,الإدخالات!$C$2:$C$501,$C171)+SUMIFS($F$1:F170,$C$1:C170,$C171)-SUMIFS('الصرف المباشر'!$D$2:$D$501,'الصرف المباشر'!$C$2:$C$501,$C171)-SUMPRODUCT((الطبخات!$B$2:$B$900=$C171)*الطبخات!$C$2:$C$900*COUNTIF('سجل الإنتاج'!$C$2:$C$501,الطبخات!$A$2:$A$900)),3))</f>
        <v/>
      </c>
      <c r="E171" s="15"/>
      <c r="F171" s="19" t="str">
        <f t="shared" si="5"/>
        <v/>
      </c>
      <c r="G171" s="9"/>
      <c r="H171" s="9"/>
    </row>
    <row r="172" spans="1:8" ht="24" customHeight="1">
      <c r="A172" s="5" t="str">
        <f t="shared" si="4"/>
        <v/>
      </c>
      <c r="B172" s="18"/>
      <c r="C172" s="9"/>
      <c r="D172" s="10" t="str">
        <f>IF($C172="","",ROUND(SUMIFS(الإدخالات!$D$2:$D$501,الإدخالات!$C$2:$C$501,$C172)+SUMIFS($F$1:F171,$C$1:C171,$C172)-SUMIFS('الصرف المباشر'!$D$2:$D$501,'الصرف المباشر'!$C$2:$C$501,$C172)-SUMPRODUCT((الطبخات!$B$2:$B$900=$C172)*الطبخات!$C$2:$C$900*COUNTIF('سجل الإنتاج'!$C$2:$C$501,الطبخات!$A$2:$A$900)),3))</f>
        <v/>
      </c>
      <c r="E172" s="15"/>
      <c r="F172" s="19" t="str">
        <f t="shared" si="5"/>
        <v/>
      </c>
      <c r="G172" s="9"/>
      <c r="H172" s="9"/>
    </row>
    <row r="173" spans="1:8" ht="24" customHeight="1">
      <c r="A173" s="5" t="str">
        <f t="shared" si="4"/>
        <v/>
      </c>
      <c r="B173" s="18"/>
      <c r="C173" s="9"/>
      <c r="D173" s="10" t="str">
        <f>IF($C173="","",ROUND(SUMIFS(الإدخالات!$D$2:$D$501,الإدخالات!$C$2:$C$501,$C173)+SUMIFS($F$1:F172,$C$1:C172,$C173)-SUMIFS('الصرف المباشر'!$D$2:$D$501,'الصرف المباشر'!$C$2:$C$501,$C173)-SUMPRODUCT((الطبخات!$B$2:$B$900=$C173)*الطبخات!$C$2:$C$900*COUNTIF('سجل الإنتاج'!$C$2:$C$501,الطبخات!$A$2:$A$900)),3))</f>
        <v/>
      </c>
      <c r="E173" s="15"/>
      <c r="F173" s="19" t="str">
        <f t="shared" si="5"/>
        <v/>
      </c>
      <c r="G173" s="9"/>
      <c r="H173" s="9"/>
    </row>
    <row r="174" spans="1:8" ht="24" customHeight="1">
      <c r="A174" s="5" t="str">
        <f t="shared" si="4"/>
        <v/>
      </c>
      <c r="B174" s="18"/>
      <c r="C174" s="9"/>
      <c r="D174" s="10" t="str">
        <f>IF($C174="","",ROUND(SUMIFS(الإدخالات!$D$2:$D$501,الإدخالات!$C$2:$C$501,$C174)+SUMIFS($F$1:F173,$C$1:C173,$C174)-SUMIFS('الصرف المباشر'!$D$2:$D$501,'الصرف المباشر'!$C$2:$C$501,$C174)-SUMPRODUCT((الطبخات!$B$2:$B$900=$C174)*الطبخات!$C$2:$C$900*COUNTIF('سجل الإنتاج'!$C$2:$C$501,الطبخات!$A$2:$A$900)),3))</f>
        <v/>
      </c>
      <c r="E174" s="15"/>
      <c r="F174" s="19" t="str">
        <f t="shared" si="5"/>
        <v/>
      </c>
      <c r="G174" s="9"/>
      <c r="H174" s="9"/>
    </row>
    <row r="175" spans="1:8" ht="24" customHeight="1">
      <c r="A175" s="5" t="str">
        <f t="shared" si="4"/>
        <v/>
      </c>
      <c r="B175" s="18"/>
      <c r="C175" s="9"/>
      <c r="D175" s="10" t="str">
        <f>IF($C175="","",ROUND(SUMIFS(الإدخالات!$D$2:$D$501,الإدخالات!$C$2:$C$501,$C175)+SUMIFS($F$1:F174,$C$1:C174,$C175)-SUMIFS('الصرف المباشر'!$D$2:$D$501,'الصرف المباشر'!$C$2:$C$501,$C175)-SUMPRODUCT((الطبخات!$B$2:$B$900=$C175)*الطبخات!$C$2:$C$900*COUNTIF('سجل الإنتاج'!$C$2:$C$501,الطبخات!$A$2:$A$900)),3))</f>
        <v/>
      </c>
      <c r="E175" s="15"/>
      <c r="F175" s="19" t="str">
        <f t="shared" si="5"/>
        <v/>
      </c>
      <c r="G175" s="9"/>
      <c r="H175" s="9"/>
    </row>
    <row r="176" spans="1:8" ht="24" customHeight="1">
      <c r="A176" s="5" t="str">
        <f t="shared" si="4"/>
        <v/>
      </c>
      <c r="B176" s="18"/>
      <c r="C176" s="9"/>
      <c r="D176" s="10" t="str">
        <f>IF($C176="","",ROUND(SUMIFS(الإدخالات!$D$2:$D$501,الإدخالات!$C$2:$C$501,$C176)+SUMIFS($F$1:F175,$C$1:C175,$C176)-SUMIFS('الصرف المباشر'!$D$2:$D$501,'الصرف المباشر'!$C$2:$C$501,$C176)-SUMPRODUCT((الطبخات!$B$2:$B$900=$C176)*الطبخات!$C$2:$C$900*COUNTIF('سجل الإنتاج'!$C$2:$C$501,الطبخات!$A$2:$A$900)),3))</f>
        <v/>
      </c>
      <c r="E176" s="15"/>
      <c r="F176" s="19" t="str">
        <f t="shared" si="5"/>
        <v/>
      </c>
      <c r="G176" s="9"/>
      <c r="H176" s="9"/>
    </row>
    <row r="177" spans="1:8" ht="24" customHeight="1">
      <c r="A177" s="5" t="str">
        <f t="shared" si="4"/>
        <v/>
      </c>
      <c r="B177" s="18"/>
      <c r="C177" s="9"/>
      <c r="D177" s="10" t="str">
        <f>IF($C177="","",ROUND(SUMIFS(الإدخالات!$D$2:$D$501,الإدخالات!$C$2:$C$501,$C177)+SUMIFS($F$1:F176,$C$1:C176,$C177)-SUMIFS('الصرف المباشر'!$D$2:$D$501,'الصرف المباشر'!$C$2:$C$501,$C177)-SUMPRODUCT((الطبخات!$B$2:$B$900=$C177)*الطبخات!$C$2:$C$900*COUNTIF('سجل الإنتاج'!$C$2:$C$501,الطبخات!$A$2:$A$900)),3))</f>
        <v/>
      </c>
      <c r="E177" s="15"/>
      <c r="F177" s="19" t="str">
        <f t="shared" si="5"/>
        <v/>
      </c>
      <c r="G177" s="9"/>
      <c r="H177" s="9"/>
    </row>
    <row r="178" spans="1:8" ht="24" customHeight="1">
      <c r="A178" s="5" t="str">
        <f t="shared" si="4"/>
        <v/>
      </c>
      <c r="B178" s="18"/>
      <c r="C178" s="9"/>
      <c r="D178" s="10" t="str">
        <f>IF($C178="","",ROUND(SUMIFS(الإدخالات!$D$2:$D$501,الإدخالات!$C$2:$C$501,$C178)+SUMIFS($F$1:F177,$C$1:C177,$C178)-SUMIFS('الصرف المباشر'!$D$2:$D$501,'الصرف المباشر'!$C$2:$C$501,$C178)-SUMPRODUCT((الطبخات!$B$2:$B$900=$C178)*الطبخات!$C$2:$C$900*COUNTIF('سجل الإنتاج'!$C$2:$C$501,الطبخات!$A$2:$A$900)),3))</f>
        <v/>
      </c>
      <c r="E178" s="15"/>
      <c r="F178" s="19" t="str">
        <f t="shared" si="5"/>
        <v/>
      </c>
      <c r="G178" s="9"/>
      <c r="H178" s="9"/>
    </row>
    <row r="179" spans="1:8" ht="24" customHeight="1">
      <c r="A179" s="5" t="str">
        <f t="shared" si="4"/>
        <v/>
      </c>
      <c r="B179" s="18"/>
      <c r="C179" s="9"/>
      <c r="D179" s="10" t="str">
        <f>IF($C179="","",ROUND(SUMIFS(الإدخالات!$D$2:$D$501,الإدخالات!$C$2:$C$501,$C179)+SUMIFS($F$1:F178,$C$1:C178,$C179)-SUMIFS('الصرف المباشر'!$D$2:$D$501,'الصرف المباشر'!$C$2:$C$501,$C179)-SUMPRODUCT((الطبخات!$B$2:$B$900=$C179)*الطبخات!$C$2:$C$900*COUNTIF('سجل الإنتاج'!$C$2:$C$501,الطبخات!$A$2:$A$900)),3))</f>
        <v/>
      </c>
      <c r="E179" s="15"/>
      <c r="F179" s="19" t="str">
        <f t="shared" si="5"/>
        <v/>
      </c>
      <c r="G179" s="9"/>
      <c r="H179" s="9"/>
    </row>
    <row r="180" spans="1:8" ht="24" customHeight="1">
      <c r="A180" s="5" t="str">
        <f t="shared" si="4"/>
        <v/>
      </c>
      <c r="B180" s="18"/>
      <c r="C180" s="9"/>
      <c r="D180" s="10" t="str">
        <f>IF($C180="","",ROUND(SUMIFS(الإدخالات!$D$2:$D$501,الإدخالات!$C$2:$C$501,$C180)+SUMIFS($F$1:F179,$C$1:C179,$C180)-SUMIFS('الصرف المباشر'!$D$2:$D$501,'الصرف المباشر'!$C$2:$C$501,$C180)-SUMPRODUCT((الطبخات!$B$2:$B$900=$C180)*الطبخات!$C$2:$C$900*COUNTIF('سجل الإنتاج'!$C$2:$C$501,الطبخات!$A$2:$A$900)),3))</f>
        <v/>
      </c>
      <c r="E180" s="15"/>
      <c r="F180" s="19" t="str">
        <f t="shared" si="5"/>
        <v/>
      </c>
      <c r="G180" s="9"/>
      <c r="H180" s="9"/>
    </row>
    <row r="181" spans="1:8" ht="24" customHeight="1">
      <c r="A181" s="5" t="str">
        <f t="shared" si="4"/>
        <v/>
      </c>
      <c r="B181" s="18"/>
      <c r="C181" s="9"/>
      <c r="D181" s="10" t="str">
        <f>IF($C181="","",ROUND(SUMIFS(الإدخالات!$D$2:$D$501,الإدخالات!$C$2:$C$501,$C181)+SUMIFS($F$1:F180,$C$1:C180,$C181)-SUMIFS('الصرف المباشر'!$D$2:$D$501,'الصرف المباشر'!$C$2:$C$501,$C181)-SUMPRODUCT((الطبخات!$B$2:$B$900=$C181)*الطبخات!$C$2:$C$900*COUNTIF('سجل الإنتاج'!$C$2:$C$501,الطبخات!$A$2:$A$900)),3))</f>
        <v/>
      </c>
      <c r="E181" s="15"/>
      <c r="F181" s="19" t="str">
        <f t="shared" si="5"/>
        <v/>
      </c>
      <c r="G181" s="9"/>
      <c r="H181" s="9"/>
    </row>
    <row r="182" spans="1:8" ht="24" customHeight="1">
      <c r="A182" s="5" t="str">
        <f t="shared" si="4"/>
        <v/>
      </c>
      <c r="B182" s="18"/>
      <c r="C182" s="9"/>
      <c r="D182" s="10" t="str">
        <f>IF($C182="","",ROUND(SUMIFS(الإدخالات!$D$2:$D$501,الإدخالات!$C$2:$C$501,$C182)+SUMIFS($F$1:F181,$C$1:C181,$C182)-SUMIFS('الصرف المباشر'!$D$2:$D$501,'الصرف المباشر'!$C$2:$C$501,$C182)-SUMPRODUCT((الطبخات!$B$2:$B$900=$C182)*الطبخات!$C$2:$C$900*COUNTIF('سجل الإنتاج'!$C$2:$C$501,الطبخات!$A$2:$A$900)),3))</f>
        <v/>
      </c>
      <c r="E182" s="15"/>
      <c r="F182" s="19" t="str">
        <f t="shared" si="5"/>
        <v/>
      </c>
      <c r="G182" s="9"/>
      <c r="H182" s="9"/>
    </row>
    <row r="183" spans="1:8" ht="24" customHeight="1">
      <c r="A183" s="5" t="str">
        <f t="shared" si="4"/>
        <v/>
      </c>
      <c r="B183" s="18"/>
      <c r="C183" s="9"/>
      <c r="D183" s="10" t="str">
        <f>IF($C183="","",ROUND(SUMIFS(الإدخالات!$D$2:$D$501,الإدخالات!$C$2:$C$501,$C183)+SUMIFS($F$1:F182,$C$1:C182,$C183)-SUMIFS('الصرف المباشر'!$D$2:$D$501,'الصرف المباشر'!$C$2:$C$501,$C183)-SUMPRODUCT((الطبخات!$B$2:$B$900=$C183)*الطبخات!$C$2:$C$900*COUNTIF('سجل الإنتاج'!$C$2:$C$501,الطبخات!$A$2:$A$900)),3))</f>
        <v/>
      </c>
      <c r="E183" s="15"/>
      <c r="F183" s="19" t="str">
        <f t="shared" si="5"/>
        <v/>
      </c>
      <c r="G183" s="9"/>
      <c r="H183" s="9"/>
    </row>
    <row r="184" spans="1:8" ht="24" customHeight="1">
      <c r="A184" s="5" t="str">
        <f t="shared" si="4"/>
        <v/>
      </c>
      <c r="B184" s="18"/>
      <c r="C184" s="9"/>
      <c r="D184" s="10" t="str">
        <f>IF($C184="","",ROUND(SUMIFS(الإدخالات!$D$2:$D$501,الإدخالات!$C$2:$C$501,$C184)+SUMIFS($F$1:F183,$C$1:C183,$C184)-SUMIFS('الصرف المباشر'!$D$2:$D$501,'الصرف المباشر'!$C$2:$C$501,$C184)-SUMPRODUCT((الطبخات!$B$2:$B$900=$C184)*الطبخات!$C$2:$C$900*COUNTIF('سجل الإنتاج'!$C$2:$C$501,الطبخات!$A$2:$A$900)),3))</f>
        <v/>
      </c>
      <c r="E184" s="15"/>
      <c r="F184" s="19" t="str">
        <f t="shared" si="5"/>
        <v/>
      </c>
      <c r="G184" s="9"/>
      <c r="H184" s="9"/>
    </row>
    <row r="185" spans="1:8" ht="24" customHeight="1">
      <c r="A185" s="5" t="str">
        <f t="shared" si="4"/>
        <v/>
      </c>
      <c r="B185" s="18"/>
      <c r="C185" s="9"/>
      <c r="D185" s="10" t="str">
        <f>IF($C185="","",ROUND(SUMIFS(الإدخالات!$D$2:$D$501,الإدخالات!$C$2:$C$501,$C185)+SUMIFS($F$1:F184,$C$1:C184,$C185)-SUMIFS('الصرف المباشر'!$D$2:$D$501,'الصرف المباشر'!$C$2:$C$501,$C185)-SUMPRODUCT((الطبخات!$B$2:$B$900=$C185)*الطبخات!$C$2:$C$900*COUNTIF('سجل الإنتاج'!$C$2:$C$501,الطبخات!$A$2:$A$900)),3))</f>
        <v/>
      </c>
      <c r="E185" s="15"/>
      <c r="F185" s="19" t="str">
        <f t="shared" si="5"/>
        <v/>
      </c>
      <c r="G185" s="9"/>
      <c r="H185" s="9"/>
    </row>
    <row r="186" spans="1:8" ht="24" customHeight="1">
      <c r="A186" s="5" t="str">
        <f t="shared" si="4"/>
        <v/>
      </c>
      <c r="B186" s="18"/>
      <c r="C186" s="9"/>
      <c r="D186" s="10" t="str">
        <f>IF($C186="","",ROUND(SUMIFS(الإدخالات!$D$2:$D$501,الإدخالات!$C$2:$C$501,$C186)+SUMIFS($F$1:F185,$C$1:C185,$C186)-SUMIFS('الصرف المباشر'!$D$2:$D$501,'الصرف المباشر'!$C$2:$C$501,$C186)-SUMPRODUCT((الطبخات!$B$2:$B$900=$C186)*الطبخات!$C$2:$C$900*COUNTIF('سجل الإنتاج'!$C$2:$C$501,الطبخات!$A$2:$A$900)),3))</f>
        <v/>
      </c>
      <c r="E186" s="15"/>
      <c r="F186" s="19" t="str">
        <f t="shared" si="5"/>
        <v/>
      </c>
      <c r="G186" s="9"/>
      <c r="H186" s="9"/>
    </row>
    <row r="187" spans="1:8" ht="24" customHeight="1">
      <c r="A187" s="5" t="str">
        <f t="shared" si="4"/>
        <v/>
      </c>
      <c r="B187" s="18"/>
      <c r="C187" s="9"/>
      <c r="D187" s="10" t="str">
        <f>IF($C187="","",ROUND(SUMIFS(الإدخالات!$D$2:$D$501,الإدخالات!$C$2:$C$501,$C187)+SUMIFS($F$1:F186,$C$1:C186,$C187)-SUMIFS('الصرف المباشر'!$D$2:$D$501,'الصرف المباشر'!$C$2:$C$501,$C187)-SUMPRODUCT((الطبخات!$B$2:$B$900=$C187)*الطبخات!$C$2:$C$900*COUNTIF('سجل الإنتاج'!$C$2:$C$501,الطبخات!$A$2:$A$900)),3))</f>
        <v/>
      </c>
      <c r="E187" s="15"/>
      <c r="F187" s="19" t="str">
        <f t="shared" si="5"/>
        <v/>
      </c>
      <c r="G187" s="9"/>
      <c r="H187" s="9"/>
    </row>
    <row r="188" spans="1:8" ht="24" customHeight="1">
      <c r="A188" s="5" t="str">
        <f t="shared" si="4"/>
        <v/>
      </c>
      <c r="B188" s="18"/>
      <c r="C188" s="9"/>
      <c r="D188" s="10" t="str">
        <f>IF($C188="","",ROUND(SUMIFS(الإدخالات!$D$2:$D$501,الإدخالات!$C$2:$C$501,$C188)+SUMIFS($F$1:F187,$C$1:C187,$C188)-SUMIFS('الصرف المباشر'!$D$2:$D$501,'الصرف المباشر'!$C$2:$C$501,$C188)-SUMPRODUCT((الطبخات!$B$2:$B$900=$C188)*الطبخات!$C$2:$C$900*COUNTIF('سجل الإنتاج'!$C$2:$C$501,الطبخات!$A$2:$A$900)),3))</f>
        <v/>
      </c>
      <c r="E188" s="15"/>
      <c r="F188" s="19" t="str">
        <f t="shared" si="5"/>
        <v/>
      </c>
      <c r="G188" s="9"/>
      <c r="H188" s="9"/>
    </row>
    <row r="189" spans="1:8" ht="24" customHeight="1">
      <c r="A189" s="5" t="str">
        <f t="shared" si="4"/>
        <v/>
      </c>
      <c r="B189" s="18"/>
      <c r="C189" s="9"/>
      <c r="D189" s="10" t="str">
        <f>IF($C189="","",ROUND(SUMIFS(الإدخالات!$D$2:$D$501,الإدخالات!$C$2:$C$501,$C189)+SUMIFS($F$1:F188,$C$1:C188,$C189)-SUMIFS('الصرف المباشر'!$D$2:$D$501,'الصرف المباشر'!$C$2:$C$501,$C189)-SUMPRODUCT((الطبخات!$B$2:$B$900=$C189)*الطبخات!$C$2:$C$900*COUNTIF('سجل الإنتاج'!$C$2:$C$501,الطبخات!$A$2:$A$900)),3))</f>
        <v/>
      </c>
      <c r="E189" s="15"/>
      <c r="F189" s="19" t="str">
        <f t="shared" si="5"/>
        <v/>
      </c>
      <c r="G189" s="9"/>
      <c r="H189" s="9"/>
    </row>
    <row r="190" spans="1:8" ht="24" customHeight="1">
      <c r="A190" s="5" t="str">
        <f t="shared" si="4"/>
        <v/>
      </c>
      <c r="B190" s="18"/>
      <c r="C190" s="9"/>
      <c r="D190" s="10" t="str">
        <f>IF($C190="","",ROUND(SUMIFS(الإدخالات!$D$2:$D$501,الإدخالات!$C$2:$C$501,$C190)+SUMIFS($F$1:F189,$C$1:C189,$C190)-SUMIFS('الصرف المباشر'!$D$2:$D$501,'الصرف المباشر'!$C$2:$C$501,$C190)-SUMPRODUCT((الطبخات!$B$2:$B$900=$C190)*الطبخات!$C$2:$C$900*COUNTIF('سجل الإنتاج'!$C$2:$C$501,الطبخات!$A$2:$A$900)),3))</f>
        <v/>
      </c>
      <c r="E190" s="15"/>
      <c r="F190" s="19" t="str">
        <f t="shared" si="5"/>
        <v/>
      </c>
      <c r="G190" s="9"/>
      <c r="H190" s="9"/>
    </row>
    <row r="191" spans="1:8" ht="24" customHeight="1">
      <c r="A191" s="5" t="str">
        <f t="shared" si="4"/>
        <v/>
      </c>
      <c r="B191" s="18"/>
      <c r="C191" s="9"/>
      <c r="D191" s="10" t="str">
        <f>IF($C191="","",ROUND(SUMIFS(الإدخالات!$D$2:$D$501,الإدخالات!$C$2:$C$501,$C191)+SUMIFS($F$1:F190,$C$1:C190,$C191)-SUMIFS('الصرف المباشر'!$D$2:$D$501,'الصرف المباشر'!$C$2:$C$501,$C191)-SUMPRODUCT((الطبخات!$B$2:$B$900=$C191)*الطبخات!$C$2:$C$900*COUNTIF('سجل الإنتاج'!$C$2:$C$501,الطبخات!$A$2:$A$900)),3))</f>
        <v/>
      </c>
      <c r="E191" s="15"/>
      <c r="F191" s="19" t="str">
        <f t="shared" si="5"/>
        <v/>
      </c>
      <c r="G191" s="9"/>
      <c r="H191" s="9"/>
    </row>
    <row r="192" spans="1:8" ht="24" customHeight="1">
      <c r="A192" s="5" t="str">
        <f t="shared" si="4"/>
        <v/>
      </c>
      <c r="B192" s="18"/>
      <c r="C192" s="9"/>
      <c r="D192" s="10" t="str">
        <f>IF($C192="","",ROUND(SUMIFS(الإدخالات!$D$2:$D$501,الإدخالات!$C$2:$C$501,$C192)+SUMIFS($F$1:F191,$C$1:C191,$C192)-SUMIFS('الصرف المباشر'!$D$2:$D$501,'الصرف المباشر'!$C$2:$C$501,$C192)-SUMPRODUCT((الطبخات!$B$2:$B$900=$C192)*الطبخات!$C$2:$C$900*COUNTIF('سجل الإنتاج'!$C$2:$C$501,الطبخات!$A$2:$A$900)),3))</f>
        <v/>
      </c>
      <c r="E192" s="15"/>
      <c r="F192" s="19" t="str">
        <f t="shared" si="5"/>
        <v/>
      </c>
      <c r="G192" s="9"/>
      <c r="H192" s="9"/>
    </row>
    <row r="193" spans="1:8" ht="24" customHeight="1">
      <c r="A193" s="5" t="str">
        <f t="shared" si="4"/>
        <v/>
      </c>
      <c r="B193" s="18"/>
      <c r="C193" s="9"/>
      <c r="D193" s="10" t="str">
        <f>IF($C193="","",ROUND(SUMIFS(الإدخالات!$D$2:$D$501,الإدخالات!$C$2:$C$501,$C193)+SUMIFS($F$1:F192,$C$1:C192,$C193)-SUMIFS('الصرف المباشر'!$D$2:$D$501,'الصرف المباشر'!$C$2:$C$501,$C193)-SUMPRODUCT((الطبخات!$B$2:$B$900=$C193)*الطبخات!$C$2:$C$900*COUNTIF('سجل الإنتاج'!$C$2:$C$501,الطبخات!$A$2:$A$900)),3))</f>
        <v/>
      </c>
      <c r="E193" s="15"/>
      <c r="F193" s="19" t="str">
        <f t="shared" si="5"/>
        <v/>
      </c>
      <c r="G193" s="9"/>
      <c r="H193" s="9"/>
    </row>
    <row r="194" spans="1:8" ht="24" customHeight="1">
      <c r="A194" s="5" t="str">
        <f t="shared" ref="A194:A257" si="6">IF(C194="","",ROW()-1)</f>
        <v/>
      </c>
      <c r="B194" s="18"/>
      <c r="C194" s="9"/>
      <c r="D194" s="10" t="str">
        <f>IF($C194="","",ROUND(SUMIFS(الإدخالات!$D$2:$D$501,الإدخالات!$C$2:$C$501,$C194)+SUMIFS($F$1:F193,$C$1:C193,$C194)-SUMIFS('الصرف المباشر'!$D$2:$D$501,'الصرف المباشر'!$C$2:$C$501,$C194)-SUMPRODUCT((الطبخات!$B$2:$B$900=$C194)*الطبخات!$C$2:$C$900*COUNTIF('سجل الإنتاج'!$C$2:$C$501,الطبخات!$A$2:$A$900)),3))</f>
        <v/>
      </c>
      <c r="E194" s="15"/>
      <c r="F194" s="19" t="str">
        <f t="shared" ref="F194:F257" si="7">IF(OR($C194="",$E194=""),"",ROUND($E194-$D194,3))</f>
        <v/>
      </c>
      <c r="G194" s="9"/>
      <c r="H194" s="9"/>
    </row>
    <row r="195" spans="1:8" ht="24" customHeight="1">
      <c r="A195" s="5" t="str">
        <f t="shared" si="6"/>
        <v/>
      </c>
      <c r="B195" s="18"/>
      <c r="C195" s="9"/>
      <c r="D195" s="10" t="str">
        <f>IF($C195="","",ROUND(SUMIFS(الإدخالات!$D$2:$D$501,الإدخالات!$C$2:$C$501,$C195)+SUMIFS($F$1:F194,$C$1:C194,$C195)-SUMIFS('الصرف المباشر'!$D$2:$D$501,'الصرف المباشر'!$C$2:$C$501,$C195)-SUMPRODUCT((الطبخات!$B$2:$B$900=$C195)*الطبخات!$C$2:$C$900*COUNTIF('سجل الإنتاج'!$C$2:$C$501,الطبخات!$A$2:$A$900)),3))</f>
        <v/>
      </c>
      <c r="E195" s="15"/>
      <c r="F195" s="19" t="str">
        <f t="shared" si="7"/>
        <v/>
      </c>
      <c r="G195" s="9"/>
      <c r="H195" s="9"/>
    </row>
    <row r="196" spans="1:8" ht="24" customHeight="1">
      <c r="A196" s="5" t="str">
        <f t="shared" si="6"/>
        <v/>
      </c>
      <c r="B196" s="18"/>
      <c r="C196" s="9"/>
      <c r="D196" s="10" t="str">
        <f>IF($C196="","",ROUND(SUMIFS(الإدخالات!$D$2:$D$501,الإدخالات!$C$2:$C$501,$C196)+SUMIFS($F$1:F195,$C$1:C195,$C196)-SUMIFS('الصرف المباشر'!$D$2:$D$501,'الصرف المباشر'!$C$2:$C$501,$C196)-SUMPRODUCT((الطبخات!$B$2:$B$900=$C196)*الطبخات!$C$2:$C$900*COUNTIF('سجل الإنتاج'!$C$2:$C$501,الطبخات!$A$2:$A$900)),3))</f>
        <v/>
      </c>
      <c r="E196" s="15"/>
      <c r="F196" s="19" t="str">
        <f t="shared" si="7"/>
        <v/>
      </c>
      <c r="G196" s="9"/>
      <c r="H196" s="9"/>
    </row>
    <row r="197" spans="1:8" ht="24" customHeight="1">
      <c r="A197" s="5" t="str">
        <f t="shared" si="6"/>
        <v/>
      </c>
      <c r="B197" s="18"/>
      <c r="C197" s="9"/>
      <c r="D197" s="10" t="str">
        <f>IF($C197="","",ROUND(SUMIFS(الإدخالات!$D$2:$D$501,الإدخالات!$C$2:$C$501,$C197)+SUMIFS($F$1:F196,$C$1:C196,$C197)-SUMIFS('الصرف المباشر'!$D$2:$D$501,'الصرف المباشر'!$C$2:$C$501,$C197)-SUMPRODUCT((الطبخات!$B$2:$B$900=$C197)*الطبخات!$C$2:$C$900*COUNTIF('سجل الإنتاج'!$C$2:$C$501,الطبخات!$A$2:$A$900)),3))</f>
        <v/>
      </c>
      <c r="E197" s="15"/>
      <c r="F197" s="19" t="str">
        <f t="shared" si="7"/>
        <v/>
      </c>
      <c r="G197" s="9"/>
      <c r="H197" s="9"/>
    </row>
    <row r="198" spans="1:8" ht="24" customHeight="1">
      <c r="A198" s="5" t="str">
        <f t="shared" si="6"/>
        <v/>
      </c>
      <c r="B198" s="18"/>
      <c r="C198" s="9"/>
      <c r="D198" s="10" t="str">
        <f>IF($C198="","",ROUND(SUMIFS(الإدخالات!$D$2:$D$501,الإدخالات!$C$2:$C$501,$C198)+SUMIFS($F$1:F197,$C$1:C197,$C198)-SUMIFS('الصرف المباشر'!$D$2:$D$501,'الصرف المباشر'!$C$2:$C$501,$C198)-SUMPRODUCT((الطبخات!$B$2:$B$900=$C198)*الطبخات!$C$2:$C$900*COUNTIF('سجل الإنتاج'!$C$2:$C$501,الطبخات!$A$2:$A$900)),3))</f>
        <v/>
      </c>
      <c r="E198" s="15"/>
      <c r="F198" s="19" t="str">
        <f t="shared" si="7"/>
        <v/>
      </c>
      <c r="G198" s="9"/>
      <c r="H198" s="9"/>
    </row>
    <row r="199" spans="1:8" ht="24" customHeight="1">
      <c r="A199" s="5" t="str">
        <f t="shared" si="6"/>
        <v/>
      </c>
      <c r="B199" s="18"/>
      <c r="C199" s="9"/>
      <c r="D199" s="10" t="str">
        <f>IF($C199="","",ROUND(SUMIFS(الإدخالات!$D$2:$D$501,الإدخالات!$C$2:$C$501,$C199)+SUMIFS($F$1:F198,$C$1:C198,$C199)-SUMIFS('الصرف المباشر'!$D$2:$D$501,'الصرف المباشر'!$C$2:$C$501,$C199)-SUMPRODUCT((الطبخات!$B$2:$B$900=$C199)*الطبخات!$C$2:$C$900*COUNTIF('سجل الإنتاج'!$C$2:$C$501,الطبخات!$A$2:$A$900)),3))</f>
        <v/>
      </c>
      <c r="E199" s="15"/>
      <c r="F199" s="19" t="str">
        <f t="shared" si="7"/>
        <v/>
      </c>
      <c r="G199" s="9"/>
      <c r="H199" s="9"/>
    </row>
    <row r="200" spans="1:8" ht="24" customHeight="1">
      <c r="A200" s="5" t="str">
        <f t="shared" si="6"/>
        <v/>
      </c>
      <c r="B200" s="18"/>
      <c r="C200" s="9"/>
      <c r="D200" s="10" t="str">
        <f>IF($C200="","",ROUND(SUMIFS(الإدخالات!$D$2:$D$501,الإدخالات!$C$2:$C$501,$C200)+SUMIFS($F$1:F199,$C$1:C199,$C200)-SUMIFS('الصرف المباشر'!$D$2:$D$501,'الصرف المباشر'!$C$2:$C$501,$C200)-SUMPRODUCT((الطبخات!$B$2:$B$900=$C200)*الطبخات!$C$2:$C$900*COUNTIF('سجل الإنتاج'!$C$2:$C$501,الطبخات!$A$2:$A$900)),3))</f>
        <v/>
      </c>
      <c r="E200" s="15"/>
      <c r="F200" s="19" t="str">
        <f t="shared" si="7"/>
        <v/>
      </c>
      <c r="G200" s="9"/>
      <c r="H200" s="9"/>
    </row>
    <row r="201" spans="1:8" ht="24" customHeight="1">
      <c r="A201" s="5" t="str">
        <f t="shared" si="6"/>
        <v/>
      </c>
      <c r="B201" s="18"/>
      <c r="C201" s="9"/>
      <c r="D201" s="10" t="str">
        <f>IF($C201="","",ROUND(SUMIFS(الإدخالات!$D$2:$D$501,الإدخالات!$C$2:$C$501,$C201)+SUMIFS($F$1:F200,$C$1:C200,$C201)-SUMIFS('الصرف المباشر'!$D$2:$D$501,'الصرف المباشر'!$C$2:$C$501,$C201)-SUMPRODUCT((الطبخات!$B$2:$B$900=$C201)*الطبخات!$C$2:$C$900*COUNTIF('سجل الإنتاج'!$C$2:$C$501,الطبخات!$A$2:$A$900)),3))</f>
        <v/>
      </c>
      <c r="E201" s="15"/>
      <c r="F201" s="19" t="str">
        <f t="shared" si="7"/>
        <v/>
      </c>
      <c r="G201" s="9"/>
      <c r="H201" s="9"/>
    </row>
    <row r="202" spans="1:8" ht="24" customHeight="1">
      <c r="A202" s="5" t="str">
        <f t="shared" si="6"/>
        <v/>
      </c>
      <c r="B202" s="18"/>
      <c r="C202" s="9"/>
      <c r="D202" s="10" t="str">
        <f>IF($C202="","",ROUND(SUMIFS(الإدخالات!$D$2:$D$501,الإدخالات!$C$2:$C$501,$C202)+SUMIFS($F$1:F201,$C$1:C201,$C202)-SUMIFS('الصرف المباشر'!$D$2:$D$501,'الصرف المباشر'!$C$2:$C$501,$C202)-SUMPRODUCT((الطبخات!$B$2:$B$900=$C202)*الطبخات!$C$2:$C$900*COUNTIF('سجل الإنتاج'!$C$2:$C$501,الطبخات!$A$2:$A$900)),3))</f>
        <v/>
      </c>
      <c r="E202" s="15"/>
      <c r="F202" s="19" t="str">
        <f t="shared" si="7"/>
        <v/>
      </c>
      <c r="G202" s="9"/>
      <c r="H202" s="9"/>
    </row>
    <row r="203" spans="1:8" ht="24" customHeight="1">
      <c r="A203" s="5" t="str">
        <f t="shared" si="6"/>
        <v/>
      </c>
      <c r="B203" s="18"/>
      <c r="C203" s="9"/>
      <c r="D203" s="10" t="str">
        <f>IF($C203="","",ROUND(SUMIFS(الإدخالات!$D$2:$D$501,الإدخالات!$C$2:$C$501,$C203)+SUMIFS($F$1:F202,$C$1:C202,$C203)-SUMIFS('الصرف المباشر'!$D$2:$D$501,'الصرف المباشر'!$C$2:$C$501,$C203)-SUMPRODUCT((الطبخات!$B$2:$B$900=$C203)*الطبخات!$C$2:$C$900*COUNTIF('سجل الإنتاج'!$C$2:$C$501,الطبخات!$A$2:$A$900)),3))</f>
        <v/>
      </c>
      <c r="E203" s="15"/>
      <c r="F203" s="19" t="str">
        <f t="shared" si="7"/>
        <v/>
      </c>
      <c r="G203" s="9"/>
      <c r="H203" s="9"/>
    </row>
    <row r="204" spans="1:8" ht="24" customHeight="1">
      <c r="A204" s="5" t="str">
        <f t="shared" si="6"/>
        <v/>
      </c>
      <c r="B204" s="18"/>
      <c r="C204" s="9"/>
      <c r="D204" s="10" t="str">
        <f>IF($C204="","",ROUND(SUMIFS(الإدخالات!$D$2:$D$501,الإدخالات!$C$2:$C$501,$C204)+SUMIFS($F$1:F203,$C$1:C203,$C204)-SUMIFS('الصرف المباشر'!$D$2:$D$501,'الصرف المباشر'!$C$2:$C$501,$C204)-SUMPRODUCT((الطبخات!$B$2:$B$900=$C204)*الطبخات!$C$2:$C$900*COUNTIF('سجل الإنتاج'!$C$2:$C$501,الطبخات!$A$2:$A$900)),3))</f>
        <v/>
      </c>
      <c r="E204" s="15"/>
      <c r="F204" s="19" t="str">
        <f t="shared" si="7"/>
        <v/>
      </c>
      <c r="G204" s="9"/>
      <c r="H204" s="9"/>
    </row>
    <row r="205" spans="1:8" ht="24" customHeight="1">
      <c r="A205" s="5" t="str">
        <f t="shared" si="6"/>
        <v/>
      </c>
      <c r="B205" s="18"/>
      <c r="C205" s="9"/>
      <c r="D205" s="10" t="str">
        <f>IF($C205="","",ROUND(SUMIFS(الإدخالات!$D$2:$D$501,الإدخالات!$C$2:$C$501,$C205)+SUMIFS($F$1:F204,$C$1:C204,$C205)-SUMIFS('الصرف المباشر'!$D$2:$D$501,'الصرف المباشر'!$C$2:$C$501,$C205)-SUMPRODUCT((الطبخات!$B$2:$B$900=$C205)*الطبخات!$C$2:$C$900*COUNTIF('سجل الإنتاج'!$C$2:$C$501,الطبخات!$A$2:$A$900)),3))</f>
        <v/>
      </c>
      <c r="E205" s="15"/>
      <c r="F205" s="19" t="str">
        <f t="shared" si="7"/>
        <v/>
      </c>
      <c r="G205" s="9"/>
      <c r="H205" s="9"/>
    </row>
    <row r="206" spans="1:8" ht="24" customHeight="1">
      <c r="A206" s="5" t="str">
        <f t="shared" si="6"/>
        <v/>
      </c>
      <c r="B206" s="18"/>
      <c r="C206" s="9"/>
      <c r="D206" s="10" t="str">
        <f>IF($C206="","",ROUND(SUMIFS(الإدخالات!$D$2:$D$501,الإدخالات!$C$2:$C$501,$C206)+SUMIFS($F$1:F205,$C$1:C205,$C206)-SUMIFS('الصرف المباشر'!$D$2:$D$501,'الصرف المباشر'!$C$2:$C$501,$C206)-SUMPRODUCT((الطبخات!$B$2:$B$900=$C206)*الطبخات!$C$2:$C$900*COUNTIF('سجل الإنتاج'!$C$2:$C$501,الطبخات!$A$2:$A$900)),3))</f>
        <v/>
      </c>
      <c r="E206" s="15"/>
      <c r="F206" s="19" t="str">
        <f t="shared" si="7"/>
        <v/>
      </c>
      <c r="G206" s="9"/>
      <c r="H206" s="9"/>
    </row>
    <row r="207" spans="1:8" ht="24" customHeight="1">
      <c r="A207" s="5" t="str">
        <f t="shared" si="6"/>
        <v/>
      </c>
      <c r="B207" s="18"/>
      <c r="C207" s="9"/>
      <c r="D207" s="10" t="str">
        <f>IF($C207="","",ROUND(SUMIFS(الإدخالات!$D$2:$D$501,الإدخالات!$C$2:$C$501,$C207)+SUMIFS($F$1:F206,$C$1:C206,$C207)-SUMIFS('الصرف المباشر'!$D$2:$D$501,'الصرف المباشر'!$C$2:$C$501,$C207)-SUMPRODUCT((الطبخات!$B$2:$B$900=$C207)*الطبخات!$C$2:$C$900*COUNTIF('سجل الإنتاج'!$C$2:$C$501,الطبخات!$A$2:$A$900)),3))</f>
        <v/>
      </c>
      <c r="E207" s="15"/>
      <c r="F207" s="19" t="str">
        <f t="shared" si="7"/>
        <v/>
      </c>
      <c r="G207" s="9"/>
      <c r="H207" s="9"/>
    </row>
    <row r="208" spans="1:8" ht="24" customHeight="1">
      <c r="A208" s="5" t="str">
        <f t="shared" si="6"/>
        <v/>
      </c>
      <c r="B208" s="18"/>
      <c r="C208" s="9"/>
      <c r="D208" s="10" t="str">
        <f>IF($C208="","",ROUND(SUMIFS(الإدخالات!$D$2:$D$501,الإدخالات!$C$2:$C$501,$C208)+SUMIFS($F$1:F207,$C$1:C207,$C208)-SUMIFS('الصرف المباشر'!$D$2:$D$501,'الصرف المباشر'!$C$2:$C$501,$C208)-SUMPRODUCT((الطبخات!$B$2:$B$900=$C208)*الطبخات!$C$2:$C$900*COUNTIF('سجل الإنتاج'!$C$2:$C$501,الطبخات!$A$2:$A$900)),3))</f>
        <v/>
      </c>
      <c r="E208" s="15"/>
      <c r="F208" s="19" t="str">
        <f t="shared" si="7"/>
        <v/>
      </c>
      <c r="G208" s="9"/>
      <c r="H208" s="9"/>
    </row>
    <row r="209" spans="1:8" ht="24" customHeight="1">
      <c r="A209" s="5" t="str">
        <f t="shared" si="6"/>
        <v/>
      </c>
      <c r="B209" s="18"/>
      <c r="C209" s="9"/>
      <c r="D209" s="10" t="str">
        <f>IF($C209="","",ROUND(SUMIFS(الإدخالات!$D$2:$D$501,الإدخالات!$C$2:$C$501,$C209)+SUMIFS($F$1:F208,$C$1:C208,$C209)-SUMIFS('الصرف المباشر'!$D$2:$D$501,'الصرف المباشر'!$C$2:$C$501,$C209)-SUMPRODUCT((الطبخات!$B$2:$B$900=$C209)*الطبخات!$C$2:$C$900*COUNTIF('سجل الإنتاج'!$C$2:$C$501,الطبخات!$A$2:$A$900)),3))</f>
        <v/>
      </c>
      <c r="E209" s="15"/>
      <c r="F209" s="19" t="str">
        <f t="shared" si="7"/>
        <v/>
      </c>
      <c r="G209" s="9"/>
      <c r="H209" s="9"/>
    </row>
    <row r="210" spans="1:8" ht="24" customHeight="1">
      <c r="A210" s="5" t="str">
        <f t="shared" si="6"/>
        <v/>
      </c>
      <c r="B210" s="18"/>
      <c r="C210" s="9"/>
      <c r="D210" s="10" t="str">
        <f>IF($C210="","",ROUND(SUMIFS(الإدخالات!$D$2:$D$501,الإدخالات!$C$2:$C$501,$C210)+SUMIFS($F$1:F209,$C$1:C209,$C210)-SUMIFS('الصرف المباشر'!$D$2:$D$501,'الصرف المباشر'!$C$2:$C$501,$C210)-SUMPRODUCT((الطبخات!$B$2:$B$900=$C210)*الطبخات!$C$2:$C$900*COUNTIF('سجل الإنتاج'!$C$2:$C$501,الطبخات!$A$2:$A$900)),3))</f>
        <v/>
      </c>
      <c r="E210" s="15"/>
      <c r="F210" s="19" t="str">
        <f t="shared" si="7"/>
        <v/>
      </c>
      <c r="G210" s="9"/>
      <c r="H210" s="9"/>
    </row>
    <row r="211" spans="1:8" ht="24" customHeight="1">
      <c r="A211" s="5" t="str">
        <f t="shared" si="6"/>
        <v/>
      </c>
      <c r="B211" s="18"/>
      <c r="C211" s="9"/>
      <c r="D211" s="10" t="str">
        <f>IF($C211="","",ROUND(SUMIFS(الإدخالات!$D$2:$D$501,الإدخالات!$C$2:$C$501,$C211)+SUMIFS($F$1:F210,$C$1:C210,$C211)-SUMIFS('الصرف المباشر'!$D$2:$D$501,'الصرف المباشر'!$C$2:$C$501,$C211)-SUMPRODUCT((الطبخات!$B$2:$B$900=$C211)*الطبخات!$C$2:$C$900*COUNTIF('سجل الإنتاج'!$C$2:$C$501,الطبخات!$A$2:$A$900)),3))</f>
        <v/>
      </c>
      <c r="E211" s="15"/>
      <c r="F211" s="19" t="str">
        <f t="shared" si="7"/>
        <v/>
      </c>
      <c r="G211" s="9"/>
      <c r="H211" s="9"/>
    </row>
    <row r="212" spans="1:8" ht="24" customHeight="1">
      <c r="A212" s="5" t="str">
        <f t="shared" si="6"/>
        <v/>
      </c>
      <c r="B212" s="18"/>
      <c r="C212" s="9"/>
      <c r="D212" s="10" t="str">
        <f>IF($C212="","",ROUND(SUMIFS(الإدخالات!$D$2:$D$501,الإدخالات!$C$2:$C$501,$C212)+SUMIFS($F$1:F211,$C$1:C211,$C212)-SUMIFS('الصرف المباشر'!$D$2:$D$501,'الصرف المباشر'!$C$2:$C$501,$C212)-SUMPRODUCT((الطبخات!$B$2:$B$900=$C212)*الطبخات!$C$2:$C$900*COUNTIF('سجل الإنتاج'!$C$2:$C$501,الطبخات!$A$2:$A$900)),3))</f>
        <v/>
      </c>
      <c r="E212" s="15"/>
      <c r="F212" s="19" t="str">
        <f t="shared" si="7"/>
        <v/>
      </c>
      <c r="G212" s="9"/>
      <c r="H212" s="9"/>
    </row>
    <row r="213" spans="1:8" ht="24" customHeight="1">
      <c r="A213" s="5" t="str">
        <f t="shared" si="6"/>
        <v/>
      </c>
      <c r="B213" s="18"/>
      <c r="C213" s="9"/>
      <c r="D213" s="10" t="str">
        <f>IF($C213="","",ROUND(SUMIFS(الإدخالات!$D$2:$D$501,الإدخالات!$C$2:$C$501,$C213)+SUMIFS($F$1:F212,$C$1:C212,$C213)-SUMIFS('الصرف المباشر'!$D$2:$D$501,'الصرف المباشر'!$C$2:$C$501,$C213)-SUMPRODUCT((الطبخات!$B$2:$B$900=$C213)*الطبخات!$C$2:$C$900*COUNTIF('سجل الإنتاج'!$C$2:$C$501,الطبخات!$A$2:$A$900)),3))</f>
        <v/>
      </c>
      <c r="E213" s="15"/>
      <c r="F213" s="19" t="str">
        <f t="shared" si="7"/>
        <v/>
      </c>
      <c r="G213" s="9"/>
      <c r="H213" s="9"/>
    </row>
    <row r="214" spans="1:8" ht="24" customHeight="1">
      <c r="A214" s="5" t="str">
        <f t="shared" si="6"/>
        <v/>
      </c>
      <c r="B214" s="18"/>
      <c r="C214" s="9"/>
      <c r="D214" s="10" t="str">
        <f>IF($C214="","",ROUND(SUMIFS(الإدخالات!$D$2:$D$501,الإدخالات!$C$2:$C$501,$C214)+SUMIFS($F$1:F213,$C$1:C213,$C214)-SUMIFS('الصرف المباشر'!$D$2:$D$501,'الصرف المباشر'!$C$2:$C$501,$C214)-SUMPRODUCT((الطبخات!$B$2:$B$900=$C214)*الطبخات!$C$2:$C$900*COUNTIF('سجل الإنتاج'!$C$2:$C$501,الطبخات!$A$2:$A$900)),3))</f>
        <v/>
      </c>
      <c r="E214" s="15"/>
      <c r="F214" s="19" t="str">
        <f t="shared" si="7"/>
        <v/>
      </c>
      <c r="G214" s="9"/>
      <c r="H214" s="9"/>
    </row>
    <row r="215" spans="1:8" ht="24" customHeight="1">
      <c r="A215" s="5" t="str">
        <f t="shared" si="6"/>
        <v/>
      </c>
      <c r="B215" s="18"/>
      <c r="C215" s="9"/>
      <c r="D215" s="10" t="str">
        <f>IF($C215="","",ROUND(SUMIFS(الإدخالات!$D$2:$D$501,الإدخالات!$C$2:$C$501,$C215)+SUMIFS($F$1:F214,$C$1:C214,$C215)-SUMIFS('الصرف المباشر'!$D$2:$D$501,'الصرف المباشر'!$C$2:$C$501,$C215)-SUMPRODUCT((الطبخات!$B$2:$B$900=$C215)*الطبخات!$C$2:$C$900*COUNTIF('سجل الإنتاج'!$C$2:$C$501,الطبخات!$A$2:$A$900)),3))</f>
        <v/>
      </c>
      <c r="E215" s="15"/>
      <c r="F215" s="19" t="str">
        <f t="shared" si="7"/>
        <v/>
      </c>
      <c r="G215" s="9"/>
      <c r="H215" s="9"/>
    </row>
    <row r="216" spans="1:8" ht="24" customHeight="1">
      <c r="A216" s="5" t="str">
        <f t="shared" si="6"/>
        <v/>
      </c>
      <c r="B216" s="18"/>
      <c r="C216" s="9"/>
      <c r="D216" s="10" t="str">
        <f>IF($C216="","",ROUND(SUMIFS(الإدخالات!$D$2:$D$501,الإدخالات!$C$2:$C$501,$C216)+SUMIFS($F$1:F215,$C$1:C215,$C216)-SUMIFS('الصرف المباشر'!$D$2:$D$501,'الصرف المباشر'!$C$2:$C$501,$C216)-SUMPRODUCT((الطبخات!$B$2:$B$900=$C216)*الطبخات!$C$2:$C$900*COUNTIF('سجل الإنتاج'!$C$2:$C$501,الطبخات!$A$2:$A$900)),3))</f>
        <v/>
      </c>
      <c r="E216" s="15"/>
      <c r="F216" s="19" t="str">
        <f t="shared" si="7"/>
        <v/>
      </c>
      <c r="G216" s="9"/>
      <c r="H216" s="9"/>
    </row>
    <row r="217" spans="1:8" ht="24" customHeight="1">
      <c r="A217" s="5" t="str">
        <f t="shared" si="6"/>
        <v/>
      </c>
      <c r="B217" s="18"/>
      <c r="C217" s="9"/>
      <c r="D217" s="10" t="str">
        <f>IF($C217="","",ROUND(SUMIFS(الإدخالات!$D$2:$D$501,الإدخالات!$C$2:$C$501,$C217)+SUMIFS($F$1:F216,$C$1:C216,$C217)-SUMIFS('الصرف المباشر'!$D$2:$D$501,'الصرف المباشر'!$C$2:$C$501,$C217)-SUMPRODUCT((الطبخات!$B$2:$B$900=$C217)*الطبخات!$C$2:$C$900*COUNTIF('سجل الإنتاج'!$C$2:$C$501,الطبخات!$A$2:$A$900)),3))</f>
        <v/>
      </c>
      <c r="E217" s="15"/>
      <c r="F217" s="19" t="str">
        <f t="shared" si="7"/>
        <v/>
      </c>
      <c r="G217" s="9"/>
      <c r="H217" s="9"/>
    </row>
    <row r="218" spans="1:8" ht="24" customHeight="1">
      <c r="A218" s="5" t="str">
        <f t="shared" si="6"/>
        <v/>
      </c>
      <c r="B218" s="18"/>
      <c r="C218" s="9"/>
      <c r="D218" s="10" t="str">
        <f>IF($C218="","",ROUND(SUMIFS(الإدخالات!$D$2:$D$501,الإدخالات!$C$2:$C$501,$C218)+SUMIFS($F$1:F217,$C$1:C217,$C218)-SUMIFS('الصرف المباشر'!$D$2:$D$501,'الصرف المباشر'!$C$2:$C$501,$C218)-SUMPRODUCT((الطبخات!$B$2:$B$900=$C218)*الطبخات!$C$2:$C$900*COUNTIF('سجل الإنتاج'!$C$2:$C$501,الطبخات!$A$2:$A$900)),3))</f>
        <v/>
      </c>
      <c r="E218" s="15"/>
      <c r="F218" s="19" t="str">
        <f t="shared" si="7"/>
        <v/>
      </c>
      <c r="G218" s="9"/>
      <c r="H218" s="9"/>
    </row>
    <row r="219" spans="1:8" ht="24" customHeight="1">
      <c r="A219" s="5" t="str">
        <f t="shared" si="6"/>
        <v/>
      </c>
      <c r="B219" s="18"/>
      <c r="C219" s="9"/>
      <c r="D219" s="10" t="str">
        <f>IF($C219="","",ROUND(SUMIFS(الإدخالات!$D$2:$D$501,الإدخالات!$C$2:$C$501,$C219)+SUMIFS($F$1:F218,$C$1:C218,$C219)-SUMIFS('الصرف المباشر'!$D$2:$D$501,'الصرف المباشر'!$C$2:$C$501,$C219)-SUMPRODUCT((الطبخات!$B$2:$B$900=$C219)*الطبخات!$C$2:$C$900*COUNTIF('سجل الإنتاج'!$C$2:$C$501,الطبخات!$A$2:$A$900)),3))</f>
        <v/>
      </c>
      <c r="E219" s="15"/>
      <c r="F219" s="19" t="str">
        <f t="shared" si="7"/>
        <v/>
      </c>
      <c r="G219" s="9"/>
      <c r="H219" s="9"/>
    </row>
    <row r="220" spans="1:8" ht="24" customHeight="1">
      <c r="A220" s="5" t="str">
        <f t="shared" si="6"/>
        <v/>
      </c>
      <c r="B220" s="18"/>
      <c r="C220" s="9"/>
      <c r="D220" s="10" t="str">
        <f>IF($C220="","",ROUND(SUMIFS(الإدخالات!$D$2:$D$501,الإدخالات!$C$2:$C$501,$C220)+SUMIFS($F$1:F219,$C$1:C219,$C220)-SUMIFS('الصرف المباشر'!$D$2:$D$501,'الصرف المباشر'!$C$2:$C$501,$C220)-SUMPRODUCT((الطبخات!$B$2:$B$900=$C220)*الطبخات!$C$2:$C$900*COUNTIF('سجل الإنتاج'!$C$2:$C$501,الطبخات!$A$2:$A$900)),3))</f>
        <v/>
      </c>
      <c r="E220" s="15"/>
      <c r="F220" s="19" t="str">
        <f t="shared" si="7"/>
        <v/>
      </c>
      <c r="G220" s="9"/>
      <c r="H220" s="9"/>
    </row>
    <row r="221" spans="1:8" ht="24" customHeight="1">
      <c r="A221" s="5" t="str">
        <f t="shared" si="6"/>
        <v/>
      </c>
      <c r="B221" s="18"/>
      <c r="C221" s="9"/>
      <c r="D221" s="10" t="str">
        <f>IF($C221="","",ROUND(SUMIFS(الإدخالات!$D$2:$D$501,الإدخالات!$C$2:$C$501,$C221)+SUMIFS($F$1:F220,$C$1:C220,$C221)-SUMIFS('الصرف المباشر'!$D$2:$D$501,'الصرف المباشر'!$C$2:$C$501,$C221)-SUMPRODUCT((الطبخات!$B$2:$B$900=$C221)*الطبخات!$C$2:$C$900*COUNTIF('سجل الإنتاج'!$C$2:$C$501,الطبخات!$A$2:$A$900)),3))</f>
        <v/>
      </c>
      <c r="E221" s="15"/>
      <c r="F221" s="19" t="str">
        <f t="shared" si="7"/>
        <v/>
      </c>
      <c r="G221" s="9"/>
      <c r="H221" s="9"/>
    </row>
    <row r="222" spans="1:8" ht="24" customHeight="1">
      <c r="A222" s="5" t="str">
        <f t="shared" si="6"/>
        <v/>
      </c>
      <c r="B222" s="18"/>
      <c r="C222" s="9"/>
      <c r="D222" s="10" t="str">
        <f>IF($C222="","",ROUND(SUMIFS(الإدخالات!$D$2:$D$501,الإدخالات!$C$2:$C$501,$C222)+SUMIFS($F$1:F221,$C$1:C221,$C222)-SUMIFS('الصرف المباشر'!$D$2:$D$501,'الصرف المباشر'!$C$2:$C$501,$C222)-SUMPRODUCT((الطبخات!$B$2:$B$900=$C222)*الطبخات!$C$2:$C$900*COUNTIF('سجل الإنتاج'!$C$2:$C$501,الطبخات!$A$2:$A$900)),3))</f>
        <v/>
      </c>
      <c r="E222" s="15"/>
      <c r="F222" s="19" t="str">
        <f t="shared" si="7"/>
        <v/>
      </c>
      <c r="G222" s="9"/>
      <c r="H222" s="9"/>
    </row>
    <row r="223" spans="1:8" ht="24" customHeight="1">
      <c r="A223" s="5" t="str">
        <f t="shared" si="6"/>
        <v/>
      </c>
      <c r="B223" s="18"/>
      <c r="C223" s="9"/>
      <c r="D223" s="10" t="str">
        <f>IF($C223="","",ROUND(SUMIFS(الإدخالات!$D$2:$D$501,الإدخالات!$C$2:$C$501,$C223)+SUMIFS($F$1:F222,$C$1:C222,$C223)-SUMIFS('الصرف المباشر'!$D$2:$D$501,'الصرف المباشر'!$C$2:$C$501,$C223)-SUMPRODUCT((الطبخات!$B$2:$B$900=$C223)*الطبخات!$C$2:$C$900*COUNTIF('سجل الإنتاج'!$C$2:$C$501,الطبخات!$A$2:$A$900)),3))</f>
        <v/>
      </c>
      <c r="E223" s="15"/>
      <c r="F223" s="19" t="str">
        <f t="shared" si="7"/>
        <v/>
      </c>
      <c r="G223" s="9"/>
      <c r="H223" s="9"/>
    </row>
    <row r="224" spans="1:8" ht="24" customHeight="1">
      <c r="A224" s="5" t="str">
        <f t="shared" si="6"/>
        <v/>
      </c>
      <c r="B224" s="18"/>
      <c r="C224" s="9"/>
      <c r="D224" s="10" t="str">
        <f>IF($C224="","",ROUND(SUMIFS(الإدخالات!$D$2:$D$501,الإدخالات!$C$2:$C$501,$C224)+SUMIFS($F$1:F223,$C$1:C223,$C224)-SUMIFS('الصرف المباشر'!$D$2:$D$501,'الصرف المباشر'!$C$2:$C$501,$C224)-SUMPRODUCT((الطبخات!$B$2:$B$900=$C224)*الطبخات!$C$2:$C$900*COUNTIF('سجل الإنتاج'!$C$2:$C$501,الطبخات!$A$2:$A$900)),3))</f>
        <v/>
      </c>
      <c r="E224" s="15"/>
      <c r="F224" s="19" t="str">
        <f t="shared" si="7"/>
        <v/>
      </c>
      <c r="G224" s="9"/>
      <c r="H224" s="9"/>
    </row>
    <row r="225" spans="1:8" ht="24" customHeight="1">
      <c r="A225" s="5" t="str">
        <f t="shared" si="6"/>
        <v/>
      </c>
      <c r="B225" s="18"/>
      <c r="C225" s="9"/>
      <c r="D225" s="10" t="str">
        <f>IF($C225="","",ROUND(SUMIFS(الإدخالات!$D$2:$D$501,الإدخالات!$C$2:$C$501,$C225)+SUMIFS($F$1:F224,$C$1:C224,$C225)-SUMIFS('الصرف المباشر'!$D$2:$D$501,'الصرف المباشر'!$C$2:$C$501,$C225)-SUMPRODUCT((الطبخات!$B$2:$B$900=$C225)*الطبخات!$C$2:$C$900*COUNTIF('سجل الإنتاج'!$C$2:$C$501,الطبخات!$A$2:$A$900)),3))</f>
        <v/>
      </c>
      <c r="E225" s="15"/>
      <c r="F225" s="19" t="str">
        <f t="shared" si="7"/>
        <v/>
      </c>
      <c r="G225" s="9"/>
      <c r="H225" s="9"/>
    </row>
    <row r="226" spans="1:8" ht="24" customHeight="1">
      <c r="A226" s="5" t="str">
        <f t="shared" si="6"/>
        <v/>
      </c>
      <c r="B226" s="18"/>
      <c r="C226" s="9"/>
      <c r="D226" s="10" t="str">
        <f>IF($C226="","",ROUND(SUMIFS(الإدخالات!$D$2:$D$501,الإدخالات!$C$2:$C$501,$C226)+SUMIFS($F$1:F225,$C$1:C225,$C226)-SUMIFS('الصرف المباشر'!$D$2:$D$501,'الصرف المباشر'!$C$2:$C$501,$C226)-SUMPRODUCT((الطبخات!$B$2:$B$900=$C226)*الطبخات!$C$2:$C$900*COUNTIF('سجل الإنتاج'!$C$2:$C$501,الطبخات!$A$2:$A$900)),3))</f>
        <v/>
      </c>
      <c r="E226" s="15"/>
      <c r="F226" s="19" t="str">
        <f t="shared" si="7"/>
        <v/>
      </c>
      <c r="G226" s="9"/>
      <c r="H226" s="9"/>
    </row>
    <row r="227" spans="1:8" ht="24" customHeight="1">
      <c r="A227" s="5" t="str">
        <f t="shared" si="6"/>
        <v/>
      </c>
      <c r="B227" s="18"/>
      <c r="C227" s="9"/>
      <c r="D227" s="10" t="str">
        <f>IF($C227="","",ROUND(SUMIFS(الإدخالات!$D$2:$D$501,الإدخالات!$C$2:$C$501,$C227)+SUMIFS($F$1:F226,$C$1:C226,$C227)-SUMIFS('الصرف المباشر'!$D$2:$D$501,'الصرف المباشر'!$C$2:$C$501,$C227)-SUMPRODUCT((الطبخات!$B$2:$B$900=$C227)*الطبخات!$C$2:$C$900*COUNTIF('سجل الإنتاج'!$C$2:$C$501,الطبخات!$A$2:$A$900)),3))</f>
        <v/>
      </c>
      <c r="E227" s="15"/>
      <c r="F227" s="19" t="str">
        <f t="shared" si="7"/>
        <v/>
      </c>
      <c r="G227" s="9"/>
      <c r="H227" s="9"/>
    </row>
    <row r="228" spans="1:8" ht="24" customHeight="1">
      <c r="A228" s="5" t="str">
        <f t="shared" si="6"/>
        <v/>
      </c>
      <c r="B228" s="18"/>
      <c r="C228" s="9"/>
      <c r="D228" s="10" t="str">
        <f>IF($C228="","",ROUND(SUMIFS(الإدخالات!$D$2:$D$501,الإدخالات!$C$2:$C$501,$C228)+SUMIFS($F$1:F227,$C$1:C227,$C228)-SUMIFS('الصرف المباشر'!$D$2:$D$501,'الصرف المباشر'!$C$2:$C$501,$C228)-SUMPRODUCT((الطبخات!$B$2:$B$900=$C228)*الطبخات!$C$2:$C$900*COUNTIF('سجل الإنتاج'!$C$2:$C$501,الطبخات!$A$2:$A$900)),3))</f>
        <v/>
      </c>
      <c r="E228" s="15"/>
      <c r="F228" s="19" t="str">
        <f t="shared" si="7"/>
        <v/>
      </c>
      <c r="G228" s="9"/>
      <c r="H228" s="9"/>
    </row>
    <row r="229" spans="1:8" ht="24" customHeight="1">
      <c r="A229" s="5" t="str">
        <f t="shared" si="6"/>
        <v/>
      </c>
      <c r="B229" s="18"/>
      <c r="C229" s="9"/>
      <c r="D229" s="10" t="str">
        <f>IF($C229="","",ROUND(SUMIFS(الإدخالات!$D$2:$D$501,الإدخالات!$C$2:$C$501,$C229)+SUMIFS($F$1:F228,$C$1:C228,$C229)-SUMIFS('الصرف المباشر'!$D$2:$D$501,'الصرف المباشر'!$C$2:$C$501,$C229)-SUMPRODUCT((الطبخات!$B$2:$B$900=$C229)*الطبخات!$C$2:$C$900*COUNTIF('سجل الإنتاج'!$C$2:$C$501,الطبخات!$A$2:$A$900)),3))</f>
        <v/>
      </c>
      <c r="E229" s="15"/>
      <c r="F229" s="19" t="str">
        <f t="shared" si="7"/>
        <v/>
      </c>
      <c r="G229" s="9"/>
      <c r="H229" s="9"/>
    </row>
    <row r="230" spans="1:8" ht="24" customHeight="1">
      <c r="A230" s="5" t="str">
        <f t="shared" si="6"/>
        <v/>
      </c>
      <c r="B230" s="18"/>
      <c r="C230" s="9"/>
      <c r="D230" s="10" t="str">
        <f>IF($C230="","",ROUND(SUMIFS(الإدخالات!$D$2:$D$501,الإدخالات!$C$2:$C$501,$C230)+SUMIFS($F$1:F229,$C$1:C229,$C230)-SUMIFS('الصرف المباشر'!$D$2:$D$501,'الصرف المباشر'!$C$2:$C$501,$C230)-SUMPRODUCT((الطبخات!$B$2:$B$900=$C230)*الطبخات!$C$2:$C$900*COUNTIF('سجل الإنتاج'!$C$2:$C$501,الطبخات!$A$2:$A$900)),3))</f>
        <v/>
      </c>
      <c r="E230" s="15"/>
      <c r="F230" s="19" t="str">
        <f t="shared" si="7"/>
        <v/>
      </c>
      <c r="G230" s="9"/>
      <c r="H230" s="9"/>
    </row>
    <row r="231" spans="1:8" ht="24" customHeight="1">
      <c r="A231" s="5" t="str">
        <f t="shared" si="6"/>
        <v/>
      </c>
      <c r="B231" s="18"/>
      <c r="C231" s="9"/>
      <c r="D231" s="10" t="str">
        <f>IF($C231="","",ROUND(SUMIFS(الإدخالات!$D$2:$D$501,الإدخالات!$C$2:$C$501,$C231)+SUMIFS($F$1:F230,$C$1:C230,$C231)-SUMIFS('الصرف المباشر'!$D$2:$D$501,'الصرف المباشر'!$C$2:$C$501,$C231)-SUMPRODUCT((الطبخات!$B$2:$B$900=$C231)*الطبخات!$C$2:$C$900*COUNTIF('سجل الإنتاج'!$C$2:$C$501,الطبخات!$A$2:$A$900)),3))</f>
        <v/>
      </c>
      <c r="E231" s="15"/>
      <c r="F231" s="19" t="str">
        <f t="shared" si="7"/>
        <v/>
      </c>
      <c r="G231" s="9"/>
      <c r="H231" s="9"/>
    </row>
    <row r="232" spans="1:8" ht="24" customHeight="1">
      <c r="A232" s="5" t="str">
        <f t="shared" si="6"/>
        <v/>
      </c>
      <c r="B232" s="18"/>
      <c r="C232" s="9"/>
      <c r="D232" s="10" t="str">
        <f>IF($C232="","",ROUND(SUMIFS(الإدخالات!$D$2:$D$501,الإدخالات!$C$2:$C$501,$C232)+SUMIFS($F$1:F231,$C$1:C231,$C232)-SUMIFS('الصرف المباشر'!$D$2:$D$501,'الصرف المباشر'!$C$2:$C$501,$C232)-SUMPRODUCT((الطبخات!$B$2:$B$900=$C232)*الطبخات!$C$2:$C$900*COUNTIF('سجل الإنتاج'!$C$2:$C$501,الطبخات!$A$2:$A$900)),3))</f>
        <v/>
      </c>
      <c r="E232" s="15"/>
      <c r="F232" s="19" t="str">
        <f t="shared" si="7"/>
        <v/>
      </c>
      <c r="G232" s="9"/>
      <c r="H232" s="9"/>
    </row>
    <row r="233" spans="1:8" ht="24" customHeight="1">
      <c r="A233" s="5" t="str">
        <f t="shared" si="6"/>
        <v/>
      </c>
      <c r="B233" s="18"/>
      <c r="C233" s="9"/>
      <c r="D233" s="10" t="str">
        <f>IF($C233="","",ROUND(SUMIFS(الإدخالات!$D$2:$D$501,الإدخالات!$C$2:$C$501,$C233)+SUMIFS($F$1:F232,$C$1:C232,$C233)-SUMIFS('الصرف المباشر'!$D$2:$D$501,'الصرف المباشر'!$C$2:$C$501,$C233)-SUMPRODUCT((الطبخات!$B$2:$B$900=$C233)*الطبخات!$C$2:$C$900*COUNTIF('سجل الإنتاج'!$C$2:$C$501,الطبخات!$A$2:$A$900)),3))</f>
        <v/>
      </c>
      <c r="E233" s="15"/>
      <c r="F233" s="19" t="str">
        <f t="shared" si="7"/>
        <v/>
      </c>
      <c r="G233" s="9"/>
      <c r="H233" s="9"/>
    </row>
    <row r="234" spans="1:8" ht="24" customHeight="1">
      <c r="A234" s="5" t="str">
        <f t="shared" si="6"/>
        <v/>
      </c>
      <c r="B234" s="18"/>
      <c r="C234" s="9"/>
      <c r="D234" s="10" t="str">
        <f>IF($C234="","",ROUND(SUMIFS(الإدخالات!$D$2:$D$501,الإدخالات!$C$2:$C$501,$C234)+SUMIFS($F$1:F233,$C$1:C233,$C234)-SUMIFS('الصرف المباشر'!$D$2:$D$501,'الصرف المباشر'!$C$2:$C$501,$C234)-SUMPRODUCT((الطبخات!$B$2:$B$900=$C234)*الطبخات!$C$2:$C$900*COUNTIF('سجل الإنتاج'!$C$2:$C$501,الطبخات!$A$2:$A$900)),3))</f>
        <v/>
      </c>
      <c r="E234" s="15"/>
      <c r="F234" s="19" t="str">
        <f t="shared" si="7"/>
        <v/>
      </c>
      <c r="G234" s="9"/>
      <c r="H234" s="9"/>
    </row>
    <row r="235" spans="1:8" ht="24" customHeight="1">
      <c r="A235" s="5" t="str">
        <f t="shared" si="6"/>
        <v/>
      </c>
      <c r="B235" s="18"/>
      <c r="C235" s="9"/>
      <c r="D235" s="10" t="str">
        <f>IF($C235="","",ROUND(SUMIFS(الإدخالات!$D$2:$D$501,الإدخالات!$C$2:$C$501,$C235)+SUMIFS($F$1:F234,$C$1:C234,$C235)-SUMIFS('الصرف المباشر'!$D$2:$D$501,'الصرف المباشر'!$C$2:$C$501,$C235)-SUMPRODUCT((الطبخات!$B$2:$B$900=$C235)*الطبخات!$C$2:$C$900*COUNTIF('سجل الإنتاج'!$C$2:$C$501,الطبخات!$A$2:$A$900)),3))</f>
        <v/>
      </c>
      <c r="E235" s="15"/>
      <c r="F235" s="19" t="str">
        <f t="shared" si="7"/>
        <v/>
      </c>
      <c r="G235" s="9"/>
      <c r="H235" s="9"/>
    </row>
    <row r="236" spans="1:8" ht="24" customHeight="1">
      <c r="A236" s="5" t="str">
        <f t="shared" si="6"/>
        <v/>
      </c>
      <c r="B236" s="18"/>
      <c r="C236" s="9"/>
      <c r="D236" s="10" t="str">
        <f>IF($C236="","",ROUND(SUMIFS(الإدخالات!$D$2:$D$501,الإدخالات!$C$2:$C$501,$C236)+SUMIFS($F$1:F235,$C$1:C235,$C236)-SUMIFS('الصرف المباشر'!$D$2:$D$501,'الصرف المباشر'!$C$2:$C$501,$C236)-SUMPRODUCT((الطبخات!$B$2:$B$900=$C236)*الطبخات!$C$2:$C$900*COUNTIF('سجل الإنتاج'!$C$2:$C$501,الطبخات!$A$2:$A$900)),3))</f>
        <v/>
      </c>
      <c r="E236" s="15"/>
      <c r="F236" s="19" t="str">
        <f t="shared" si="7"/>
        <v/>
      </c>
      <c r="G236" s="9"/>
      <c r="H236" s="9"/>
    </row>
    <row r="237" spans="1:8" ht="24" customHeight="1">
      <c r="A237" s="5" t="str">
        <f t="shared" si="6"/>
        <v/>
      </c>
      <c r="B237" s="18"/>
      <c r="C237" s="9"/>
      <c r="D237" s="10" t="str">
        <f>IF($C237="","",ROUND(SUMIFS(الإدخالات!$D$2:$D$501,الإدخالات!$C$2:$C$501,$C237)+SUMIFS($F$1:F236,$C$1:C236,$C237)-SUMIFS('الصرف المباشر'!$D$2:$D$501,'الصرف المباشر'!$C$2:$C$501,$C237)-SUMPRODUCT((الطبخات!$B$2:$B$900=$C237)*الطبخات!$C$2:$C$900*COUNTIF('سجل الإنتاج'!$C$2:$C$501,الطبخات!$A$2:$A$900)),3))</f>
        <v/>
      </c>
      <c r="E237" s="15"/>
      <c r="F237" s="19" t="str">
        <f t="shared" si="7"/>
        <v/>
      </c>
      <c r="G237" s="9"/>
      <c r="H237" s="9"/>
    </row>
    <row r="238" spans="1:8" ht="24" customHeight="1">
      <c r="A238" s="5" t="str">
        <f t="shared" si="6"/>
        <v/>
      </c>
      <c r="B238" s="18"/>
      <c r="C238" s="9"/>
      <c r="D238" s="10" t="str">
        <f>IF($C238="","",ROUND(SUMIFS(الإدخالات!$D$2:$D$501,الإدخالات!$C$2:$C$501,$C238)+SUMIFS($F$1:F237,$C$1:C237,$C238)-SUMIFS('الصرف المباشر'!$D$2:$D$501,'الصرف المباشر'!$C$2:$C$501,$C238)-SUMPRODUCT((الطبخات!$B$2:$B$900=$C238)*الطبخات!$C$2:$C$900*COUNTIF('سجل الإنتاج'!$C$2:$C$501,الطبخات!$A$2:$A$900)),3))</f>
        <v/>
      </c>
      <c r="E238" s="15"/>
      <c r="F238" s="19" t="str">
        <f t="shared" si="7"/>
        <v/>
      </c>
      <c r="G238" s="9"/>
      <c r="H238" s="9"/>
    </row>
    <row r="239" spans="1:8" ht="24" customHeight="1">
      <c r="A239" s="5" t="str">
        <f t="shared" si="6"/>
        <v/>
      </c>
      <c r="B239" s="18"/>
      <c r="C239" s="9"/>
      <c r="D239" s="10" t="str">
        <f>IF($C239="","",ROUND(SUMIFS(الإدخالات!$D$2:$D$501,الإدخالات!$C$2:$C$501,$C239)+SUMIFS($F$1:F238,$C$1:C238,$C239)-SUMIFS('الصرف المباشر'!$D$2:$D$501,'الصرف المباشر'!$C$2:$C$501,$C239)-SUMPRODUCT((الطبخات!$B$2:$B$900=$C239)*الطبخات!$C$2:$C$900*COUNTIF('سجل الإنتاج'!$C$2:$C$501,الطبخات!$A$2:$A$900)),3))</f>
        <v/>
      </c>
      <c r="E239" s="15"/>
      <c r="F239" s="19" t="str">
        <f t="shared" si="7"/>
        <v/>
      </c>
      <c r="G239" s="9"/>
      <c r="H239" s="9"/>
    </row>
    <row r="240" spans="1:8" ht="24" customHeight="1">
      <c r="A240" s="5" t="str">
        <f t="shared" si="6"/>
        <v/>
      </c>
      <c r="B240" s="18"/>
      <c r="C240" s="9"/>
      <c r="D240" s="10" t="str">
        <f>IF($C240="","",ROUND(SUMIFS(الإدخالات!$D$2:$D$501,الإدخالات!$C$2:$C$501,$C240)+SUMIFS($F$1:F239,$C$1:C239,$C240)-SUMIFS('الصرف المباشر'!$D$2:$D$501,'الصرف المباشر'!$C$2:$C$501,$C240)-SUMPRODUCT((الطبخات!$B$2:$B$900=$C240)*الطبخات!$C$2:$C$900*COUNTIF('سجل الإنتاج'!$C$2:$C$501,الطبخات!$A$2:$A$900)),3))</f>
        <v/>
      </c>
      <c r="E240" s="15"/>
      <c r="F240" s="19" t="str">
        <f t="shared" si="7"/>
        <v/>
      </c>
      <c r="G240" s="9"/>
      <c r="H240" s="9"/>
    </row>
    <row r="241" spans="1:8" ht="24" customHeight="1">
      <c r="A241" s="5" t="str">
        <f t="shared" si="6"/>
        <v/>
      </c>
      <c r="B241" s="18"/>
      <c r="C241" s="9"/>
      <c r="D241" s="10" t="str">
        <f>IF($C241="","",ROUND(SUMIFS(الإدخالات!$D$2:$D$501,الإدخالات!$C$2:$C$501,$C241)+SUMIFS($F$1:F240,$C$1:C240,$C241)-SUMIFS('الصرف المباشر'!$D$2:$D$501,'الصرف المباشر'!$C$2:$C$501,$C241)-SUMPRODUCT((الطبخات!$B$2:$B$900=$C241)*الطبخات!$C$2:$C$900*COUNTIF('سجل الإنتاج'!$C$2:$C$501,الطبخات!$A$2:$A$900)),3))</f>
        <v/>
      </c>
      <c r="E241" s="15"/>
      <c r="F241" s="19" t="str">
        <f t="shared" si="7"/>
        <v/>
      </c>
      <c r="G241" s="9"/>
      <c r="H241" s="9"/>
    </row>
    <row r="242" spans="1:8" ht="24" customHeight="1">
      <c r="A242" s="5" t="str">
        <f t="shared" si="6"/>
        <v/>
      </c>
      <c r="B242" s="18"/>
      <c r="C242" s="9"/>
      <c r="D242" s="10" t="str">
        <f>IF($C242="","",ROUND(SUMIFS(الإدخالات!$D$2:$D$501,الإدخالات!$C$2:$C$501,$C242)+SUMIFS($F$1:F241,$C$1:C241,$C242)-SUMIFS('الصرف المباشر'!$D$2:$D$501,'الصرف المباشر'!$C$2:$C$501,$C242)-SUMPRODUCT((الطبخات!$B$2:$B$900=$C242)*الطبخات!$C$2:$C$900*COUNTIF('سجل الإنتاج'!$C$2:$C$501,الطبخات!$A$2:$A$900)),3))</f>
        <v/>
      </c>
      <c r="E242" s="15"/>
      <c r="F242" s="19" t="str">
        <f t="shared" si="7"/>
        <v/>
      </c>
      <c r="G242" s="9"/>
      <c r="H242" s="9"/>
    </row>
    <row r="243" spans="1:8" ht="24" customHeight="1">
      <c r="A243" s="5" t="str">
        <f t="shared" si="6"/>
        <v/>
      </c>
      <c r="B243" s="18"/>
      <c r="C243" s="9"/>
      <c r="D243" s="10" t="str">
        <f>IF($C243="","",ROUND(SUMIFS(الإدخالات!$D$2:$D$501,الإدخالات!$C$2:$C$501,$C243)+SUMIFS($F$1:F242,$C$1:C242,$C243)-SUMIFS('الصرف المباشر'!$D$2:$D$501,'الصرف المباشر'!$C$2:$C$501,$C243)-SUMPRODUCT((الطبخات!$B$2:$B$900=$C243)*الطبخات!$C$2:$C$900*COUNTIF('سجل الإنتاج'!$C$2:$C$501,الطبخات!$A$2:$A$900)),3))</f>
        <v/>
      </c>
      <c r="E243" s="15"/>
      <c r="F243" s="19" t="str">
        <f t="shared" si="7"/>
        <v/>
      </c>
      <c r="G243" s="9"/>
      <c r="H243" s="9"/>
    </row>
    <row r="244" spans="1:8" ht="24" customHeight="1">
      <c r="A244" s="5" t="str">
        <f t="shared" si="6"/>
        <v/>
      </c>
      <c r="B244" s="18"/>
      <c r="C244" s="9"/>
      <c r="D244" s="10" t="str">
        <f>IF($C244="","",ROUND(SUMIFS(الإدخالات!$D$2:$D$501,الإدخالات!$C$2:$C$501,$C244)+SUMIFS($F$1:F243,$C$1:C243,$C244)-SUMIFS('الصرف المباشر'!$D$2:$D$501,'الصرف المباشر'!$C$2:$C$501,$C244)-SUMPRODUCT((الطبخات!$B$2:$B$900=$C244)*الطبخات!$C$2:$C$900*COUNTIF('سجل الإنتاج'!$C$2:$C$501,الطبخات!$A$2:$A$900)),3))</f>
        <v/>
      </c>
      <c r="E244" s="15"/>
      <c r="F244" s="19" t="str">
        <f t="shared" si="7"/>
        <v/>
      </c>
      <c r="G244" s="9"/>
      <c r="H244" s="9"/>
    </row>
    <row r="245" spans="1:8" ht="24" customHeight="1">
      <c r="A245" s="5" t="str">
        <f t="shared" si="6"/>
        <v/>
      </c>
      <c r="B245" s="18"/>
      <c r="C245" s="9"/>
      <c r="D245" s="10" t="str">
        <f>IF($C245="","",ROUND(SUMIFS(الإدخالات!$D$2:$D$501,الإدخالات!$C$2:$C$501,$C245)+SUMIFS($F$1:F244,$C$1:C244,$C245)-SUMIFS('الصرف المباشر'!$D$2:$D$501,'الصرف المباشر'!$C$2:$C$501,$C245)-SUMPRODUCT((الطبخات!$B$2:$B$900=$C245)*الطبخات!$C$2:$C$900*COUNTIF('سجل الإنتاج'!$C$2:$C$501,الطبخات!$A$2:$A$900)),3))</f>
        <v/>
      </c>
      <c r="E245" s="15"/>
      <c r="F245" s="19" t="str">
        <f t="shared" si="7"/>
        <v/>
      </c>
      <c r="G245" s="9"/>
      <c r="H245" s="9"/>
    </row>
    <row r="246" spans="1:8" ht="24" customHeight="1">
      <c r="A246" s="5" t="str">
        <f t="shared" si="6"/>
        <v/>
      </c>
      <c r="B246" s="18"/>
      <c r="C246" s="9"/>
      <c r="D246" s="10" t="str">
        <f>IF($C246="","",ROUND(SUMIFS(الإدخالات!$D$2:$D$501,الإدخالات!$C$2:$C$501,$C246)+SUMIFS($F$1:F245,$C$1:C245,$C246)-SUMIFS('الصرف المباشر'!$D$2:$D$501,'الصرف المباشر'!$C$2:$C$501,$C246)-SUMPRODUCT((الطبخات!$B$2:$B$900=$C246)*الطبخات!$C$2:$C$900*COUNTIF('سجل الإنتاج'!$C$2:$C$501,الطبخات!$A$2:$A$900)),3))</f>
        <v/>
      </c>
      <c r="E246" s="15"/>
      <c r="F246" s="19" t="str">
        <f t="shared" si="7"/>
        <v/>
      </c>
      <c r="G246" s="9"/>
      <c r="H246" s="9"/>
    </row>
    <row r="247" spans="1:8" ht="24" customHeight="1">
      <c r="A247" s="5" t="str">
        <f t="shared" si="6"/>
        <v/>
      </c>
      <c r="B247" s="18"/>
      <c r="C247" s="9"/>
      <c r="D247" s="10" t="str">
        <f>IF($C247="","",ROUND(SUMIFS(الإدخالات!$D$2:$D$501,الإدخالات!$C$2:$C$501,$C247)+SUMIFS($F$1:F246,$C$1:C246,$C247)-SUMIFS('الصرف المباشر'!$D$2:$D$501,'الصرف المباشر'!$C$2:$C$501,$C247)-SUMPRODUCT((الطبخات!$B$2:$B$900=$C247)*الطبخات!$C$2:$C$900*COUNTIF('سجل الإنتاج'!$C$2:$C$501,الطبخات!$A$2:$A$900)),3))</f>
        <v/>
      </c>
      <c r="E247" s="15"/>
      <c r="F247" s="19" t="str">
        <f t="shared" si="7"/>
        <v/>
      </c>
      <c r="G247" s="9"/>
      <c r="H247" s="9"/>
    </row>
    <row r="248" spans="1:8" ht="24" customHeight="1">
      <c r="A248" s="5" t="str">
        <f t="shared" si="6"/>
        <v/>
      </c>
      <c r="B248" s="18"/>
      <c r="C248" s="9"/>
      <c r="D248" s="10" t="str">
        <f>IF($C248="","",ROUND(SUMIFS(الإدخالات!$D$2:$D$501,الإدخالات!$C$2:$C$501,$C248)+SUMIFS($F$1:F247,$C$1:C247,$C248)-SUMIFS('الصرف المباشر'!$D$2:$D$501,'الصرف المباشر'!$C$2:$C$501,$C248)-SUMPRODUCT((الطبخات!$B$2:$B$900=$C248)*الطبخات!$C$2:$C$900*COUNTIF('سجل الإنتاج'!$C$2:$C$501,الطبخات!$A$2:$A$900)),3))</f>
        <v/>
      </c>
      <c r="E248" s="15"/>
      <c r="F248" s="19" t="str">
        <f t="shared" si="7"/>
        <v/>
      </c>
      <c r="G248" s="9"/>
      <c r="H248" s="9"/>
    </row>
    <row r="249" spans="1:8" ht="24" customHeight="1">
      <c r="A249" s="5" t="str">
        <f t="shared" si="6"/>
        <v/>
      </c>
      <c r="B249" s="18"/>
      <c r="C249" s="9"/>
      <c r="D249" s="10" t="str">
        <f>IF($C249="","",ROUND(SUMIFS(الإدخالات!$D$2:$D$501,الإدخالات!$C$2:$C$501,$C249)+SUMIFS($F$1:F248,$C$1:C248,$C249)-SUMIFS('الصرف المباشر'!$D$2:$D$501,'الصرف المباشر'!$C$2:$C$501,$C249)-SUMPRODUCT((الطبخات!$B$2:$B$900=$C249)*الطبخات!$C$2:$C$900*COUNTIF('سجل الإنتاج'!$C$2:$C$501,الطبخات!$A$2:$A$900)),3))</f>
        <v/>
      </c>
      <c r="E249" s="15"/>
      <c r="F249" s="19" t="str">
        <f t="shared" si="7"/>
        <v/>
      </c>
      <c r="G249" s="9"/>
      <c r="H249" s="9"/>
    </row>
    <row r="250" spans="1:8" ht="24" customHeight="1">
      <c r="A250" s="5" t="str">
        <f t="shared" si="6"/>
        <v/>
      </c>
      <c r="B250" s="18"/>
      <c r="C250" s="9"/>
      <c r="D250" s="10" t="str">
        <f>IF($C250="","",ROUND(SUMIFS(الإدخالات!$D$2:$D$501,الإدخالات!$C$2:$C$501,$C250)+SUMIFS($F$1:F249,$C$1:C249,$C250)-SUMIFS('الصرف المباشر'!$D$2:$D$501,'الصرف المباشر'!$C$2:$C$501,$C250)-SUMPRODUCT((الطبخات!$B$2:$B$900=$C250)*الطبخات!$C$2:$C$900*COUNTIF('سجل الإنتاج'!$C$2:$C$501,الطبخات!$A$2:$A$900)),3))</f>
        <v/>
      </c>
      <c r="E250" s="15"/>
      <c r="F250" s="19" t="str">
        <f t="shared" si="7"/>
        <v/>
      </c>
      <c r="G250" s="9"/>
      <c r="H250" s="9"/>
    </row>
    <row r="251" spans="1:8" ht="24" customHeight="1">
      <c r="A251" s="5" t="str">
        <f t="shared" si="6"/>
        <v/>
      </c>
      <c r="B251" s="18"/>
      <c r="C251" s="9"/>
      <c r="D251" s="10" t="str">
        <f>IF($C251="","",ROUND(SUMIFS(الإدخالات!$D$2:$D$501,الإدخالات!$C$2:$C$501,$C251)+SUMIFS($F$1:F250,$C$1:C250,$C251)-SUMIFS('الصرف المباشر'!$D$2:$D$501,'الصرف المباشر'!$C$2:$C$501,$C251)-SUMPRODUCT((الطبخات!$B$2:$B$900=$C251)*الطبخات!$C$2:$C$900*COUNTIF('سجل الإنتاج'!$C$2:$C$501,الطبخات!$A$2:$A$900)),3))</f>
        <v/>
      </c>
      <c r="E251" s="15"/>
      <c r="F251" s="19" t="str">
        <f t="shared" si="7"/>
        <v/>
      </c>
      <c r="G251" s="9"/>
      <c r="H251" s="9"/>
    </row>
    <row r="252" spans="1:8" ht="24" customHeight="1">
      <c r="A252" s="5" t="str">
        <f t="shared" si="6"/>
        <v/>
      </c>
      <c r="B252" s="18"/>
      <c r="C252" s="9"/>
      <c r="D252" s="10" t="str">
        <f>IF($C252="","",ROUND(SUMIFS(الإدخالات!$D$2:$D$501,الإدخالات!$C$2:$C$501,$C252)+SUMIFS($F$1:F251,$C$1:C251,$C252)-SUMIFS('الصرف المباشر'!$D$2:$D$501,'الصرف المباشر'!$C$2:$C$501,$C252)-SUMPRODUCT((الطبخات!$B$2:$B$900=$C252)*الطبخات!$C$2:$C$900*COUNTIF('سجل الإنتاج'!$C$2:$C$501,الطبخات!$A$2:$A$900)),3))</f>
        <v/>
      </c>
      <c r="E252" s="15"/>
      <c r="F252" s="19" t="str">
        <f t="shared" si="7"/>
        <v/>
      </c>
      <c r="G252" s="9"/>
      <c r="H252" s="9"/>
    </row>
    <row r="253" spans="1:8" ht="24" customHeight="1">
      <c r="A253" s="5" t="str">
        <f t="shared" si="6"/>
        <v/>
      </c>
      <c r="B253" s="18"/>
      <c r="C253" s="9"/>
      <c r="D253" s="10" t="str">
        <f>IF($C253="","",ROUND(SUMIFS(الإدخالات!$D$2:$D$501,الإدخالات!$C$2:$C$501,$C253)+SUMIFS($F$1:F252,$C$1:C252,$C253)-SUMIFS('الصرف المباشر'!$D$2:$D$501,'الصرف المباشر'!$C$2:$C$501,$C253)-SUMPRODUCT((الطبخات!$B$2:$B$900=$C253)*الطبخات!$C$2:$C$900*COUNTIF('سجل الإنتاج'!$C$2:$C$501,الطبخات!$A$2:$A$900)),3))</f>
        <v/>
      </c>
      <c r="E253" s="15"/>
      <c r="F253" s="19" t="str">
        <f t="shared" si="7"/>
        <v/>
      </c>
      <c r="G253" s="9"/>
      <c r="H253" s="9"/>
    </row>
    <row r="254" spans="1:8" ht="24" customHeight="1">
      <c r="A254" s="5" t="str">
        <f t="shared" si="6"/>
        <v/>
      </c>
      <c r="B254" s="18"/>
      <c r="C254" s="9"/>
      <c r="D254" s="10" t="str">
        <f>IF($C254="","",ROUND(SUMIFS(الإدخالات!$D$2:$D$501,الإدخالات!$C$2:$C$501,$C254)+SUMIFS($F$1:F253,$C$1:C253,$C254)-SUMIFS('الصرف المباشر'!$D$2:$D$501,'الصرف المباشر'!$C$2:$C$501,$C254)-SUMPRODUCT((الطبخات!$B$2:$B$900=$C254)*الطبخات!$C$2:$C$900*COUNTIF('سجل الإنتاج'!$C$2:$C$501,الطبخات!$A$2:$A$900)),3))</f>
        <v/>
      </c>
      <c r="E254" s="15"/>
      <c r="F254" s="19" t="str">
        <f t="shared" si="7"/>
        <v/>
      </c>
      <c r="G254" s="9"/>
      <c r="H254" s="9"/>
    </row>
    <row r="255" spans="1:8" ht="24" customHeight="1">
      <c r="A255" s="5" t="str">
        <f t="shared" si="6"/>
        <v/>
      </c>
      <c r="B255" s="18"/>
      <c r="C255" s="9"/>
      <c r="D255" s="10" t="str">
        <f>IF($C255="","",ROUND(SUMIFS(الإدخالات!$D$2:$D$501,الإدخالات!$C$2:$C$501,$C255)+SUMIFS($F$1:F254,$C$1:C254,$C255)-SUMIFS('الصرف المباشر'!$D$2:$D$501,'الصرف المباشر'!$C$2:$C$501,$C255)-SUMPRODUCT((الطبخات!$B$2:$B$900=$C255)*الطبخات!$C$2:$C$900*COUNTIF('سجل الإنتاج'!$C$2:$C$501,الطبخات!$A$2:$A$900)),3))</f>
        <v/>
      </c>
      <c r="E255" s="15"/>
      <c r="F255" s="19" t="str">
        <f t="shared" si="7"/>
        <v/>
      </c>
      <c r="G255" s="9"/>
      <c r="H255" s="9"/>
    </row>
    <row r="256" spans="1:8" ht="24" customHeight="1">
      <c r="A256" s="5" t="str">
        <f t="shared" si="6"/>
        <v/>
      </c>
      <c r="B256" s="18"/>
      <c r="C256" s="9"/>
      <c r="D256" s="10" t="str">
        <f>IF($C256="","",ROUND(SUMIFS(الإدخالات!$D$2:$D$501,الإدخالات!$C$2:$C$501,$C256)+SUMIFS($F$1:F255,$C$1:C255,$C256)-SUMIFS('الصرف المباشر'!$D$2:$D$501,'الصرف المباشر'!$C$2:$C$501,$C256)-SUMPRODUCT((الطبخات!$B$2:$B$900=$C256)*الطبخات!$C$2:$C$900*COUNTIF('سجل الإنتاج'!$C$2:$C$501,الطبخات!$A$2:$A$900)),3))</f>
        <v/>
      </c>
      <c r="E256" s="15"/>
      <c r="F256" s="19" t="str">
        <f t="shared" si="7"/>
        <v/>
      </c>
      <c r="G256" s="9"/>
      <c r="H256" s="9"/>
    </row>
    <row r="257" spans="1:8" ht="24" customHeight="1">
      <c r="A257" s="5" t="str">
        <f t="shared" si="6"/>
        <v/>
      </c>
      <c r="B257" s="18"/>
      <c r="C257" s="9"/>
      <c r="D257" s="10" t="str">
        <f>IF($C257="","",ROUND(SUMIFS(الإدخالات!$D$2:$D$501,الإدخالات!$C$2:$C$501,$C257)+SUMIFS($F$1:F256,$C$1:C256,$C257)-SUMIFS('الصرف المباشر'!$D$2:$D$501,'الصرف المباشر'!$C$2:$C$501,$C257)-SUMPRODUCT((الطبخات!$B$2:$B$900=$C257)*الطبخات!$C$2:$C$900*COUNTIF('سجل الإنتاج'!$C$2:$C$501,الطبخات!$A$2:$A$900)),3))</f>
        <v/>
      </c>
      <c r="E257" s="15"/>
      <c r="F257" s="19" t="str">
        <f t="shared" si="7"/>
        <v/>
      </c>
      <c r="G257" s="9"/>
      <c r="H257" s="9"/>
    </row>
    <row r="258" spans="1:8" ht="24" customHeight="1">
      <c r="A258" s="5" t="str">
        <f t="shared" ref="A258:A321" si="8">IF(C258="","",ROW()-1)</f>
        <v/>
      </c>
      <c r="B258" s="18"/>
      <c r="C258" s="9"/>
      <c r="D258" s="10" t="str">
        <f>IF($C258="","",ROUND(SUMIFS(الإدخالات!$D$2:$D$501,الإدخالات!$C$2:$C$501,$C258)+SUMIFS($F$1:F257,$C$1:C257,$C258)-SUMIFS('الصرف المباشر'!$D$2:$D$501,'الصرف المباشر'!$C$2:$C$501,$C258)-SUMPRODUCT((الطبخات!$B$2:$B$900=$C258)*الطبخات!$C$2:$C$900*COUNTIF('سجل الإنتاج'!$C$2:$C$501,الطبخات!$A$2:$A$900)),3))</f>
        <v/>
      </c>
      <c r="E258" s="15"/>
      <c r="F258" s="19" t="str">
        <f t="shared" ref="F258:F321" si="9">IF(OR($C258="",$E258=""),"",ROUND($E258-$D258,3))</f>
        <v/>
      </c>
      <c r="G258" s="9"/>
      <c r="H258" s="9"/>
    </row>
    <row r="259" spans="1:8" ht="24" customHeight="1">
      <c r="A259" s="5" t="str">
        <f t="shared" si="8"/>
        <v/>
      </c>
      <c r="B259" s="18"/>
      <c r="C259" s="9"/>
      <c r="D259" s="10" t="str">
        <f>IF($C259="","",ROUND(SUMIFS(الإدخالات!$D$2:$D$501,الإدخالات!$C$2:$C$501,$C259)+SUMIFS($F$1:F258,$C$1:C258,$C259)-SUMIFS('الصرف المباشر'!$D$2:$D$501,'الصرف المباشر'!$C$2:$C$501,$C259)-SUMPRODUCT((الطبخات!$B$2:$B$900=$C259)*الطبخات!$C$2:$C$900*COUNTIF('سجل الإنتاج'!$C$2:$C$501,الطبخات!$A$2:$A$900)),3))</f>
        <v/>
      </c>
      <c r="E259" s="15"/>
      <c r="F259" s="19" t="str">
        <f t="shared" si="9"/>
        <v/>
      </c>
      <c r="G259" s="9"/>
      <c r="H259" s="9"/>
    </row>
    <row r="260" spans="1:8" ht="24" customHeight="1">
      <c r="A260" s="5" t="str">
        <f t="shared" si="8"/>
        <v/>
      </c>
      <c r="B260" s="18"/>
      <c r="C260" s="9"/>
      <c r="D260" s="10" t="str">
        <f>IF($C260="","",ROUND(SUMIFS(الإدخالات!$D$2:$D$501,الإدخالات!$C$2:$C$501,$C260)+SUMIFS($F$1:F259,$C$1:C259,$C260)-SUMIFS('الصرف المباشر'!$D$2:$D$501,'الصرف المباشر'!$C$2:$C$501,$C260)-SUMPRODUCT((الطبخات!$B$2:$B$900=$C260)*الطبخات!$C$2:$C$900*COUNTIF('سجل الإنتاج'!$C$2:$C$501,الطبخات!$A$2:$A$900)),3))</f>
        <v/>
      </c>
      <c r="E260" s="15"/>
      <c r="F260" s="19" t="str">
        <f t="shared" si="9"/>
        <v/>
      </c>
      <c r="G260" s="9"/>
      <c r="H260" s="9"/>
    </row>
    <row r="261" spans="1:8" ht="24" customHeight="1">
      <c r="A261" s="5" t="str">
        <f t="shared" si="8"/>
        <v/>
      </c>
      <c r="B261" s="18"/>
      <c r="C261" s="9"/>
      <c r="D261" s="10" t="str">
        <f>IF($C261="","",ROUND(SUMIFS(الإدخالات!$D$2:$D$501,الإدخالات!$C$2:$C$501,$C261)+SUMIFS($F$1:F260,$C$1:C260,$C261)-SUMIFS('الصرف المباشر'!$D$2:$D$501,'الصرف المباشر'!$C$2:$C$501,$C261)-SUMPRODUCT((الطبخات!$B$2:$B$900=$C261)*الطبخات!$C$2:$C$900*COUNTIF('سجل الإنتاج'!$C$2:$C$501,الطبخات!$A$2:$A$900)),3))</f>
        <v/>
      </c>
      <c r="E261" s="15"/>
      <c r="F261" s="19" t="str">
        <f t="shared" si="9"/>
        <v/>
      </c>
      <c r="G261" s="9"/>
      <c r="H261" s="9"/>
    </row>
    <row r="262" spans="1:8" ht="24" customHeight="1">
      <c r="A262" s="5" t="str">
        <f t="shared" si="8"/>
        <v/>
      </c>
      <c r="B262" s="18"/>
      <c r="C262" s="9"/>
      <c r="D262" s="10" t="str">
        <f>IF($C262="","",ROUND(SUMIFS(الإدخالات!$D$2:$D$501,الإدخالات!$C$2:$C$501,$C262)+SUMIFS($F$1:F261,$C$1:C261,$C262)-SUMIFS('الصرف المباشر'!$D$2:$D$501,'الصرف المباشر'!$C$2:$C$501,$C262)-SUMPRODUCT((الطبخات!$B$2:$B$900=$C262)*الطبخات!$C$2:$C$900*COUNTIF('سجل الإنتاج'!$C$2:$C$501,الطبخات!$A$2:$A$900)),3))</f>
        <v/>
      </c>
      <c r="E262" s="15"/>
      <c r="F262" s="19" t="str">
        <f t="shared" si="9"/>
        <v/>
      </c>
      <c r="G262" s="9"/>
      <c r="H262" s="9"/>
    </row>
    <row r="263" spans="1:8" ht="24" customHeight="1">
      <c r="A263" s="5" t="str">
        <f t="shared" si="8"/>
        <v/>
      </c>
      <c r="B263" s="18"/>
      <c r="C263" s="9"/>
      <c r="D263" s="10" t="str">
        <f>IF($C263="","",ROUND(SUMIFS(الإدخالات!$D$2:$D$501,الإدخالات!$C$2:$C$501,$C263)+SUMIFS($F$1:F262,$C$1:C262,$C263)-SUMIFS('الصرف المباشر'!$D$2:$D$501,'الصرف المباشر'!$C$2:$C$501,$C263)-SUMPRODUCT((الطبخات!$B$2:$B$900=$C263)*الطبخات!$C$2:$C$900*COUNTIF('سجل الإنتاج'!$C$2:$C$501,الطبخات!$A$2:$A$900)),3))</f>
        <v/>
      </c>
      <c r="E263" s="15"/>
      <c r="F263" s="19" t="str">
        <f t="shared" si="9"/>
        <v/>
      </c>
      <c r="G263" s="9"/>
      <c r="H263" s="9"/>
    </row>
    <row r="264" spans="1:8" ht="24" customHeight="1">
      <c r="A264" s="5" t="str">
        <f t="shared" si="8"/>
        <v/>
      </c>
      <c r="B264" s="18"/>
      <c r="C264" s="9"/>
      <c r="D264" s="10" t="str">
        <f>IF($C264="","",ROUND(SUMIFS(الإدخالات!$D$2:$D$501,الإدخالات!$C$2:$C$501,$C264)+SUMIFS($F$1:F263,$C$1:C263,$C264)-SUMIFS('الصرف المباشر'!$D$2:$D$501,'الصرف المباشر'!$C$2:$C$501,$C264)-SUMPRODUCT((الطبخات!$B$2:$B$900=$C264)*الطبخات!$C$2:$C$900*COUNTIF('سجل الإنتاج'!$C$2:$C$501,الطبخات!$A$2:$A$900)),3))</f>
        <v/>
      </c>
      <c r="E264" s="15"/>
      <c r="F264" s="19" t="str">
        <f t="shared" si="9"/>
        <v/>
      </c>
      <c r="G264" s="9"/>
      <c r="H264" s="9"/>
    </row>
    <row r="265" spans="1:8" ht="24" customHeight="1">
      <c r="A265" s="5" t="str">
        <f t="shared" si="8"/>
        <v/>
      </c>
      <c r="B265" s="18"/>
      <c r="C265" s="9"/>
      <c r="D265" s="10" t="str">
        <f>IF($C265="","",ROUND(SUMIFS(الإدخالات!$D$2:$D$501,الإدخالات!$C$2:$C$501,$C265)+SUMIFS($F$1:F264,$C$1:C264,$C265)-SUMIFS('الصرف المباشر'!$D$2:$D$501,'الصرف المباشر'!$C$2:$C$501,$C265)-SUMPRODUCT((الطبخات!$B$2:$B$900=$C265)*الطبخات!$C$2:$C$900*COUNTIF('سجل الإنتاج'!$C$2:$C$501,الطبخات!$A$2:$A$900)),3))</f>
        <v/>
      </c>
      <c r="E265" s="15"/>
      <c r="F265" s="19" t="str">
        <f t="shared" si="9"/>
        <v/>
      </c>
      <c r="G265" s="9"/>
      <c r="H265" s="9"/>
    </row>
    <row r="266" spans="1:8" ht="24" customHeight="1">
      <c r="A266" s="5" t="str">
        <f t="shared" si="8"/>
        <v/>
      </c>
      <c r="B266" s="18"/>
      <c r="C266" s="9"/>
      <c r="D266" s="10" t="str">
        <f>IF($C266="","",ROUND(SUMIFS(الإدخالات!$D$2:$D$501,الإدخالات!$C$2:$C$501,$C266)+SUMIFS($F$1:F265,$C$1:C265,$C266)-SUMIFS('الصرف المباشر'!$D$2:$D$501,'الصرف المباشر'!$C$2:$C$501,$C266)-SUMPRODUCT((الطبخات!$B$2:$B$900=$C266)*الطبخات!$C$2:$C$900*COUNTIF('سجل الإنتاج'!$C$2:$C$501,الطبخات!$A$2:$A$900)),3))</f>
        <v/>
      </c>
      <c r="E266" s="15"/>
      <c r="F266" s="19" t="str">
        <f t="shared" si="9"/>
        <v/>
      </c>
      <c r="G266" s="9"/>
      <c r="H266" s="9"/>
    </row>
    <row r="267" spans="1:8" ht="24" customHeight="1">
      <c r="A267" s="5" t="str">
        <f t="shared" si="8"/>
        <v/>
      </c>
      <c r="B267" s="18"/>
      <c r="C267" s="9"/>
      <c r="D267" s="10" t="str">
        <f>IF($C267="","",ROUND(SUMIFS(الإدخالات!$D$2:$D$501,الإدخالات!$C$2:$C$501,$C267)+SUMIFS($F$1:F266,$C$1:C266,$C267)-SUMIFS('الصرف المباشر'!$D$2:$D$501,'الصرف المباشر'!$C$2:$C$501,$C267)-SUMPRODUCT((الطبخات!$B$2:$B$900=$C267)*الطبخات!$C$2:$C$900*COUNTIF('سجل الإنتاج'!$C$2:$C$501,الطبخات!$A$2:$A$900)),3))</f>
        <v/>
      </c>
      <c r="E267" s="15"/>
      <c r="F267" s="19" t="str">
        <f t="shared" si="9"/>
        <v/>
      </c>
      <c r="G267" s="9"/>
      <c r="H267" s="9"/>
    </row>
    <row r="268" spans="1:8" ht="24" customHeight="1">
      <c r="A268" s="5" t="str">
        <f t="shared" si="8"/>
        <v/>
      </c>
      <c r="B268" s="18"/>
      <c r="C268" s="9"/>
      <c r="D268" s="10" t="str">
        <f>IF($C268="","",ROUND(SUMIFS(الإدخالات!$D$2:$D$501,الإدخالات!$C$2:$C$501,$C268)+SUMIFS($F$1:F267,$C$1:C267,$C268)-SUMIFS('الصرف المباشر'!$D$2:$D$501,'الصرف المباشر'!$C$2:$C$501,$C268)-SUMPRODUCT((الطبخات!$B$2:$B$900=$C268)*الطبخات!$C$2:$C$900*COUNTIF('سجل الإنتاج'!$C$2:$C$501,الطبخات!$A$2:$A$900)),3))</f>
        <v/>
      </c>
      <c r="E268" s="15"/>
      <c r="F268" s="19" t="str">
        <f t="shared" si="9"/>
        <v/>
      </c>
      <c r="G268" s="9"/>
      <c r="H268" s="9"/>
    </row>
    <row r="269" spans="1:8" ht="24" customHeight="1">
      <c r="A269" s="5" t="str">
        <f t="shared" si="8"/>
        <v/>
      </c>
      <c r="B269" s="18"/>
      <c r="C269" s="9"/>
      <c r="D269" s="10" t="str">
        <f>IF($C269="","",ROUND(SUMIFS(الإدخالات!$D$2:$D$501,الإدخالات!$C$2:$C$501,$C269)+SUMIFS($F$1:F268,$C$1:C268,$C269)-SUMIFS('الصرف المباشر'!$D$2:$D$501,'الصرف المباشر'!$C$2:$C$501,$C269)-SUMPRODUCT((الطبخات!$B$2:$B$900=$C269)*الطبخات!$C$2:$C$900*COUNTIF('سجل الإنتاج'!$C$2:$C$501,الطبخات!$A$2:$A$900)),3))</f>
        <v/>
      </c>
      <c r="E269" s="15"/>
      <c r="F269" s="19" t="str">
        <f t="shared" si="9"/>
        <v/>
      </c>
      <c r="G269" s="9"/>
      <c r="H269" s="9"/>
    </row>
    <row r="270" spans="1:8" ht="24" customHeight="1">
      <c r="A270" s="5" t="str">
        <f t="shared" si="8"/>
        <v/>
      </c>
      <c r="B270" s="18"/>
      <c r="C270" s="9"/>
      <c r="D270" s="10" t="str">
        <f>IF($C270="","",ROUND(SUMIFS(الإدخالات!$D$2:$D$501,الإدخالات!$C$2:$C$501,$C270)+SUMIFS($F$1:F269,$C$1:C269,$C270)-SUMIFS('الصرف المباشر'!$D$2:$D$501,'الصرف المباشر'!$C$2:$C$501,$C270)-SUMPRODUCT((الطبخات!$B$2:$B$900=$C270)*الطبخات!$C$2:$C$900*COUNTIF('سجل الإنتاج'!$C$2:$C$501,الطبخات!$A$2:$A$900)),3))</f>
        <v/>
      </c>
      <c r="E270" s="15"/>
      <c r="F270" s="19" t="str">
        <f t="shared" si="9"/>
        <v/>
      </c>
      <c r="G270" s="9"/>
      <c r="H270" s="9"/>
    </row>
    <row r="271" spans="1:8" ht="24" customHeight="1">
      <c r="A271" s="5" t="str">
        <f t="shared" si="8"/>
        <v/>
      </c>
      <c r="B271" s="18"/>
      <c r="C271" s="9"/>
      <c r="D271" s="10" t="str">
        <f>IF($C271="","",ROUND(SUMIFS(الإدخالات!$D$2:$D$501,الإدخالات!$C$2:$C$501,$C271)+SUMIFS($F$1:F270,$C$1:C270,$C271)-SUMIFS('الصرف المباشر'!$D$2:$D$501,'الصرف المباشر'!$C$2:$C$501,$C271)-SUMPRODUCT((الطبخات!$B$2:$B$900=$C271)*الطبخات!$C$2:$C$900*COUNTIF('سجل الإنتاج'!$C$2:$C$501,الطبخات!$A$2:$A$900)),3))</f>
        <v/>
      </c>
      <c r="E271" s="15"/>
      <c r="F271" s="19" t="str">
        <f t="shared" si="9"/>
        <v/>
      </c>
      <c r="G271" s="9"/>
      <c r="H271" s="9"/>
    </row>
    <row r="272" spans="1:8" ht="24" customHeight="1">
      <c r="A272" s="5" t="str">
        <f t="shared" si="8"/>
        <v/>
      </c>
      <c r="B272" s="18"/>
      <c r="C272" s="9"/>
      <c r="D272" s="10" t="str">
        <f>IF($C272="","",ROUND(SUMIFS(الإدخالات!$D$2:$D$501,الإدخالات!$C$2:$C$501,$C272)+SUMIFS($F$1:F271,$C$1:C271,$C272)-SUMIFS('الصرف المباشر'!$D$2:$D$501,'الصرف المباشر'!$C$2:$C$501,$C272)-SUMPRODUCT((الطبخات!$B$2:$B$900=$C272)*الطبخات!$C$2:$C$900*COUNTIF('سجل الإنتاج'!$C$2:$C$501,الطبخات!$A$2:$A$900)),3))</f>
        <v/>
      </c>
      <c r="E272" s="15"/>
      <c r="F272" s="19" t="str">
        <f t="shared" si="9"/>
        <v/>
      </c>
      <c r="G272" s="9"/>
      <c r="H272" s="9"/>
    </row>
    <row r="273" spans="1:8" ht="24" customHeight="1">
      <c r="A273" s="5" t="str">
        <f t="shared" si="8"/>
        <v/>
      </c>
      <c r="B273" s="18"/>
      <c r="C273" s="9"/>
      <c r="D273" s="10" t="str">
        <f>IF($C273="","",ROUND(SUMIFS(الإدخالات!$D$2:$D$501,الإدخالات!$C$2:$C$501,$C273)+SUMIFS($F$1:F272,$C$1:C272,$C273)-SUMIFS('الصرف المباشر'!$D$2:$D$501,'الصرف المباشر'!$C$2:$C$501,$C273)-SUMPRODUCT((الطبخات!$B$2:$B$900=$C273)*الطبخات!$C$2:$C$900*COUNTIF('سجل الإنتاج'!$C$2:$C$501,الطبخات!$A$2:$A$900)),3))</f>
        <v/>
      </c>
      <c r="E273" s="15"/>
      <c r="F273" s="19" t="str">
        <f t="shared" si="9"/>
        <v/>
      </c>
      <c r="G273" s="9"/>
      <c r="H273" s="9"/>
    </row>
    <row r="274" spans="1:8" ht="24" customHeight="1">
      <c r="A274" s="5" t="str">
        <f t="shared" si="8"/>
        <v/>
      </c>
      <c r="B274" s="18"/>
      <c r="C274" s="9"/>
      <c r="D274" s="10" t="str">
        <f>IF($C274="","",ROUND(SUMIFS(الإدخالات!$D$2:$D$501,الإدخالات!$C$2:$C$501,$C274)+SUMIFS($F$1:F273,$C$1:C273,$C274)-SUMIFS('الصرف المباشر'!$D$2:$D$501,'الصرف المباشر'!$C$2:$C$501,$C274)-SUMPRODUCT((الطبخات!$B$2:$B$900=$C274)*الطبخات!$C$2:$C$900*COUNTIF('سجل الإنتاج'!$C$2:$C$501,الطبخات!$A$2:$A$900)),3))</f>
        <v/>
      </c>
      <c r="E274" s="15"/>
      <c r="F274" s="19" t="str">
        <f t="shared" si="9"/>
        <v/>
      </c>
      <c r="G274" s="9"/>
      <c r="H274" s="9"/>
    </row>
    <row r="275" spans="1:8" ht="24" customHeight="1">
      <c r="A275" s="5" t="str">
        <f t="shared" si="8"/>
        <v/>
      </c>
      <c r="B275" s="18"/>
      <c r="C275" s="9"/>
      <c r="D275" s="10" t="str">
        <f>IF($C275="","",ROUND(SUMIFS(الإدخالات!$D$2:$D$501,الإدخالات!$C$2:$C$501,$C275)+SUMIFS($F$1:F274,$C$1:C274,$C275)-SUMIFS('الصرف المباشر'!$D$2:$D$501,'الصرف المباشر'!$C$2:$C$501,$C275)-SUMPRODUCT((الطبخات!$B$2:$B$900=$C275)*الطبخات!$C$2:$C$900*COUNTIF('سجل الإنتاج'!$C$2:$C$501,الطبخات!$A$2:$A$900)),3))</f>
        <v/>
      </c>
      <c r="E275" s="15"/>
      <c r="F275" s="19" t="str">
        <f t="shared" si="9"/>
        <v/>
      </c>
      <c r="G275" s="9"/>
      <c r="H275" s="9"/>
    </row>
    <row r="276" spans="1:8" ht="24" customHeight="1">
      <c r="A276" s="5" t="str">
        <f t="shared" si="8"/>
        <v/>
      </c>
      <c r="B276" s="18"/>
      <c r="C276" s="9"/>
      <c r="D276" s="10" t="str">
        <f>IF($C276="","",ROUND(SUMIFS(الإدخالات!$D$2:$D$501,الإدخالات!$C$2:$C$501,$C276)+SUMIFS($F$1:F275,$C$1:C275,$C276)-SUMIFS('الصرف المباشر'!$D$2:$D$501,'الصرف المباشر'!$C$2:$C$501,$C276)-SUMPRODUCT((الطبخات!$B$2:$B$900=$C276)*الطبخات!$C$2:$C$900*COUNTIF('سجل الإنتاج'!$C$2:$C$501,الطبخات!$A$2:$A$900)),3))</f>
        <v/>
      </c>
      <c r="E276" s="15"/>
      <c r="F276" s="19" t="str">
        <f t="shared" si="9"/>
        <v/>
      </c>
      <c r="G276" s="9"/>
      <c r="H276" s="9"/>
    </row>
    <row r="277" spans="1:8" ht="24" customHeight="1">
      <c r="A277" s="5" t="str">
        <f t="shared" si="8"/>
        <v/>
      </c>
      <c r="B277" s="18"/>
      <c r="C277" s="9"/>
      <c r="D277" s="10" t="str">
        <f>IF($C277="","",ROUND(SUMIFS(الإدخالات!$D$2:$D$501,الإدخالات!$C$2:$C$501,$C277)+SUMIFS($F$1:F276,$C$1:C276,$C277)-SUMIFS('الصرف المباشر'!$D$2:$D$501,'الصرف المباشر'!$C$2:$C$501,$C277)-SUMPRODUCT((الطبخات!$B$2:$B$900=$C277)*الطبخات!$C$2:$C$900*COUNTIF('سجل الإنتاج'!$C$2:$C$501,الطبخات!$A$2:$A$900)),3))</f>
        <v/>
      </c>
      <c r="E277" s="15"/>
      <c r="F277" s="19" t="str">
        <f t="shared" si="9"/>
        <v/>
      </c>
      <c r="G277" s="9"/>
      <c r="H277" s="9"/>
    </row>
    <row r="278" spans="1:8" ht="24" customHeight="1">
      <c r="A278" s="5" t="str">
        <f t="shared" si="8"/>
        <v/>
      </c>
      <c r="B278" s="18"/>
      <c r="C278" s="9"/>
      <c r="D278" s="10" t="str">
        <f>IF($C278="","",ROUND(SUMIFS(الإدخالات!$D$2:$D$501,الإدخالات!$C$2:$C$501,$C278)+SUMIFS($F$1:F277,$C$1:C277,$C278)-SUMIFS('الصرف المباشر'!$D$2:$D$501,'الصرف المباشر'!$C$2:$C$501,$C278)-SUMPRODUCT((الطبخات!$B$2:$B$900=$C278)*الطبخات!$C$2:$C$900*COUNTIF('سجل الإنتاج'!$C$2:$C$501,الطبخات!$A$2:$A$900)),3))</f>
        <v/>
      </c>
      <c r="E278" s="15"/>
      <c r="F278" s="19" t="str">
        <f t="shared" si="9"/>
        <v/>
      </c>
      <c r="G278" s="9"/>
      <c r="H278" s="9"/>
    </row>
    <row r="279" spans="1:8" ht="24" customHeight="1">
      <c r="A279" s="5" t="str">
        <f t="shared" si="8"/>
        <v/>
      </c>
      <c r="B279" s="18"/>
      <c r="C279" s="9"/>
      <c r="D279" s="10" t="str">
        <f>IF($C279="","",ROUND(SUMIFS(الإدخالات!$D$2:$D$501,الإدخالات!$C$2:$C$501,$C279)+SUMIFS($F$1:F278,$C$1:C278,$C279)-SUMIFS('الصرف المباشر'!$D$2:$D$501,'الصرف المباشر'!$C$2:$C$501,$C279)-SUMPRODUCT((الطبخات!$B$2:$B$900=$C279)*الطبخات!$C$2:$C$900*COUNTIF('سجل الإنتاج'!$C$2:$C$501,الطبخات!$A$2:$A$900)),3))</f>
        <v/>
      </c>
      <c r="E279" s="15"/>
      <c r="F279" s="19" t="str">
        <f t="shared" si="9"/>
        <v/>
      </c>
      <c r="G279" s="9"/>
      <c r="H279" s="9"/>
    </row>
    <row r="280" spans="1:8" ht="24" customHeight="1">
      <c r="A280" s="5" t="str">
        <f t="shared" si="8"/>
        <v/>
      </c>
      <c r="B280" s="18"/>
      <c r="C280" s="9"/>
      <c r="D280" s="10" t="str">
        <f>IF($C280="","",ROUND(SUMIFS(الإدخالات!$D$2:$D$501,الإدخالات!$C$2:$C$501,$C280)+SUMIFS($F$1:F279,$C$1:C279,$C280)-SUMIFS('الصرف المباشر'!$D$2:$D$501,'الصرف المباشر'!$C$2:$C$501,$C280)-SUMPRODUCT((الطبخات!$B$2:$B$900=$C280)*الطبخات!$C$2:$C$900*COUNTIF('سجل الإنتاج'!$C$2:$C$501,الطبخات!$A$2:$A$900)),3))</f>
        <v/>
      </c>
      <c r="E280" s="15"/>
      <c r="F280" s="19" t="str">
        <f t="shared" si="9"/>
        <v/>
      </c>
      <c r="G280" s="9"/>
      <c r="H280" s="9"/>
    </row>
    <row r="281" spans="1:8" ht="24" customHeight="1">
      <c r="A281" s="5" t="str">
        <f t="shared" si="8"/>
        <v/>
      </c>
      <c r="B281" s="18"/>
      <c r="C281" s="9"/>
      <c r="D281" s="10" t="str">
        <f>IF($C281="","",ROUND(SUMIFS(الإدخالات!$D$2:$D$501,الإدخالات!$C$2:$C$501,$C281)+SUMIFS($F$1:F280,$C$1:C280,$C281)-SUMIFS('الصرف المباشر'!$D$2:$D$501,'الصرف المباشر'!$C$2:$C$501,$C281)-SUMPRODUCT((الطبخات!$B$2:$B$900=$C281)*الطبخات!$C$2:$C$900*COUNTIF('سجل الإنتاج'!$C$2:$C$501,الطبخات!$A$2:$A$900)),3))</f>
        <v/>
      </c>
      <c r="E281" s="15"/>
      <c r="F281" s="19" t="str">
        <f t="shared" si="9"/>
        <v/>
      </c>
      <c r="G281" s="9"/>
      <c r="H281" s="9"/>
    </row>
    <row r="282" spans="1:8" ht="24" customHeight="1">
      <c r="A282" s="5" t="str">
        <f t="shared" si="8"/>
        <v/>
      </c>
      <c r="B282" s="18"/>
      <c r="C282" s="9"/>
      <c r="D282" s="10" t="str">
        <f>IF($C282="","",ROUND(SUMIFS(الإدخالات!$D$2:$D$501,الإدخالات!$C$2:$C$501,$C282)+SUMIFS($F$1:F281,$C$1:C281,$C282)-SUMIFS('الصرف المباشر'!$D$2:$D$501,'الصرف المباشر'!$C$2:$C$501,$C282)-SUMPRODUCT((الطبخات!$B$2:$B$900=$C282)*الطبخات!$C$2:$C$900*COUNTIF('سجل الإنتاج'!$C$2:$C$501,الطبخات!$A$2:$A$900)),3))</f>
        <v/>
      </c>
      <c r="E282" s="15"/>
      <c r="F282" s="19" t="str">
        <f t="shared" si="9"/>
        <v/>
      </c>
      <c r="G282" s="9"/>
      <c r="H282" s="9"/>
    </row>
    <row r="283" spans="1:8" ht="24" customHeight="1">
      <c r="A283" s="5" t="str">
        <f t="shared" si="8"/>
        <v/>
      </c>
      <c r="B283" s="18"/>
      <c r="C283" s="9"/>
      <c r="D283" s="10" t="str">
        <f>IF($C283="","",ROUND(SUMIFS(الإدخالات!$D$2:$D$501,الإدخالات!$C$2:$C$501,$C283)+SUMIFS($F$1:F282,$C$1:C282,$C283)-SUMIFS('الصرف المباشر'!$D$2:$D$501,'الصرف المباشر'!$C$2:$C$501,$C283)-SUMPRODUCT((الطبخات!$B$2:$B$900=$C283)*الطبخات!$C$2:$C$900*COUNTIF('سجل الإنتاج'!$C$2:$C$501,الطبخات!$A$2:$A$900)),3))</f>
        <v/>
      </c>
      <c r="E283" s="15"/>
      <c r="F283" s="19" t="str">
        <f t="shared" si="9"/>
        <v/>
      </c>
      <c r="G283" s="9"/>
      <c r="H283" s="9"/>
    </row>
    <row r="284" spans="1:8" ht="24" customHeight="1">
      <c r="A284" s="5" t="str">
        <f t="shared" si="8"/>
        <v/>
      </c>
      <c r="B284" s="18"/>
      <c r="C284" s="9"/>
      <c r="D284" s="10" t="str">
        <f>IF($C284="","",ROUND(SUMIFS(الإدخالات!$D$2:$D$501,الإدخالات!$C$2:$C$501,$C284)+SUMIFS($F$1:F283,$C$1:C283,$C284)-SUMIFS('الصرف المباشر'!$D$2:$D$501,'الصرف المباشر'!$C$2:$C$501,$C284)-SUMPRODUCT((الطبخات!$B$2:$B$900=$C284)*الطبخات!$C$2:$C$900*COUNTIF('سجل الإنتاج'!$C$2:$C$501,الطبخات!$A$2:$A$900)),3))</f>
        <v/>
      </c>
      <c r="E284" s="15"/>
      <c r="F284" s="19" t="str">
        <f t="shared" si="9"/>
        <v/>
      </c>
      <c r="G284" s="9"/>
      <c r="H284" s="9"/>
    </row>
    <row r="285" spans="1:8" ht="24" customHeight="1">
      <c r="A285" s="5" t="str">
        <f t="shared" si="8"/>
        <v/>
      </c>
      <c r="B285" s="18"/>
      <c r="C285" s="9"/>
      <c r="D285" s="10" t="str">
        <f>IF($C285="","",ROUND(SUMIFS(الإدخالات!$D$2:$D$501,الإدخالات!$C$2:$C$501,$C285)+SUMIFS($F$1:F284,$C$1:C284,$C285)-SUMIFS('الصرف المباشر'!$D$2:$D$501,'الصرف المباشر'!$C$2:$C$501,$C285)-SUMPRODUCT((الطبخات!$B$2:$B$900=$C285)*الطبخات!$C$2:$C$900*COUNTIF('سجل الإنتاج'!$C$2:$C$501,الطبخات!$A$2:$A$900)),3))</f>
        <v/>
      </c>
      <c r="E285" s="15"/>
      <c r="F285" s="19" t="str">
        <f t="shared" si="9"/>
        <v/>
      </c>
      <c r="G285" s="9"/>
      <c r="H285" s="9"/>
    </row>
    <row r="286" spans="1:8" ht="24" customHeight="1">
      <c r="A286" s="5" t="str">
        <f t="shared" si="8"/>
        <v/>
      </c>
      <c r="B286" s="18"/>
      <c r="C286" s="9"/>
      <c r="D286" s="10" t="str">
        <f>IF($C286="","",ROUND(SUMIFS(الإدخالات!$D$2:$D$501,الإدخالات!$C$2:$C$501,$C286)+SUMIFS($F$1:F285,$C$1:C285,$C286)-SUMIFS('الصرف المباشر'!$D$2:$D$501,'الصرف المباشر'!$C$2:$C$501,$C286)-SUMPRODUCT((الطبخات!$B$2:$B$900=$C286)*الطبخات!$C$2:$C$900*COUNTIF('سجل الإنتاج'!$C$2:$C$501,الطبخات!$A$2:$A$900)),3))</f>
        <v/>
      </c>
      <c r="E286" s="15"/>
      <c r="F286" s="19" t="str">
        <f t="shared" si="9"/>
        <v/>
      </c>
      <c r="G286" s="9"/>
      <c r="H286" s="9"/>
    </row>
    <row r="287" spans="1:8" ht="24" customHeight="1">
      <c r="A287" s="5" t="str">
        <f t="shared" si="8"/>
        <v/>
      </c>
      <c r="B287" s="18"/>
      <c r="C287" s="9"/>
      <c r="D287" s="10" t="str">
        <f>IF($C287="","",ROUND(SUMIFS(الإدخالات!$D$2:$D$501,الإدخالات!$C$2:$C$501,$C287)+SUMIFS($F$1:F286,$C$1:C286,$C287)-SUMIFS('الصرف المباشر'!$D$2:$D$501,'الصرف المباشر'!$C$2:$C$501,$C287)-SUMPRODUCT((الطبخات!$B$2:$B$900=$C287)*الطبخات!$C$2:$C$900*COUNTIF('سجل الإنتاج'!$C$2:$C$501,الطبخات!$A$2:$A$900)),3))</f>
        <v/>
      </c>
      <c r="E287" s="15"/>
      <c r="F287" s="19" t="str">
        <f t="shared" si="9"/>
        <v/>
      </c>
      <c r="G287" s="9"/>
      <c r="H287" s="9"/>
    </row>
    <row r="288" spans="1:8" ht="24" customHeight="1">
      <c r="A288" s="5" t="str">
        <f t="shared" si="8"/>
        <v/>
      </c>
      <c r="B288" s="18"/>
      <c r="C288" s="9"/>
      <c r="D288" s="10" t="str">
        <f>IF($C288="","",ROUND(SUMIFS(الإدخالات!$D$2:$D$501,الإدخالات!$C$2:$C$501,$C288)+SUMIFS($F$1:F287,$C$1:C287,$C288)-SUMIFS('الصرف المباشر'!$D$2:$D$501,'الصرف المباشر'!$C$2:$C$501,$C288)-SUMPRODUCT((الطبخات!$B$2:$B$900=$C288)*الطبخات!$C$2:$C$900*COUNTIF('سجل الإنتاج'!$C$2:$C$501,الطبخات!$A$2:$A$900)),3))</f>
        <v/>
      </c>
      <c r="E288" s="15"/>
      <c r="F288" s="19" t="str">
        <f t="shared" si="9"/>
        <v/>
      </c>
      <c r="G288" s="9"/>
      <c r="H288" s="9"/>
    </row>
    <row r="289" spans="1:8" ht="24" customHeight="1">
      <c r="A289" s="5" t="str">
        <f t="shared" si="8"/>
        <v/>
      </c>
      <c r="B289" s="18"/>
      <c r="C289" s="9"/>
      <c r="D289" s="10" t="str">
        <f>IF($C289="","",ROUND(SUMIFS(الإدخالات!$D$2:$D$501,الإدخالات!$C$2:$C$501,$C289)+SUMIFS($F$1:F288,$C$1:C288,$C289)-SUMIFS('الصرف المباشر'!$D$2:$D$501,'الصرف المباشر'!$C$2:$C$501,$C289)-SUMPRODUCT((الطبخات!$B$2:$B$900=$C289)*الطبخات!$C$2:$C$900*COUNTIF('سجل الإنتاج'!$C$2:$C$501,الطبخات!$A$2:$A$900)),3))</f>
        <v/>
      </c>
      <c r="E289" s="15"/>
      <c r="F289" s="19" t="str">
        <f t="shared" si="9"/>
        <v/>
      </c>
      <c r="G289" s="9"/>
      <c r="H289" s="9"/>
    </row>
    <row r="290" spans="1:8" ht="24" customHeight="1">
      <c r="A290" s="5" t="str">
        <f t="shared" si="8"/>
        <v/>
      </c>
      <c r="B290" s="18"/>
      <c r="C290" s="9"/>
      <c r="D290" s="10" t="str">
        <f>IF($C290="","",ROUND(SUMIFS(الإدخالات!$D$2:$D$501,الإدخالات!$C$2:$C$501,$C290)+SUMIFS($F$1:F289,$C$1:C289,$C290)-SUMIFS('الصرف المباشر'!$D$2:$D$501,'الصرف المباشر'!$C$2:$C$501,$C290)-SUMPRODUCT((الطبخات!$B$2:$B$900=$C290)*الطبخات!$C$2:$C$900*COUNTIF('سجل الإنتاج'!$C$2:$C$501,الطبخات!$A$2:$A$900)),3))</f>
        <v/>
      </c>
      <c r="E290" s="15"/>
      <c r="F290" s="19" t="str">
        <f t="shared" si="9"/>
        <v/>
      </c>
      <c r="G290" s="9"/>
      <c r="H290" s="9"/>
    </row>
    <row r="291" spans="1:8" ht="24" customHeight="1">
      <c r="A291" s="5" t="str">
        <f t="shared" si="8"/>
        <v/>
      </c>
      <c r="B291" s="18"/>
      <c r="C291" s="9"/>
      <c r="D291" s="10" t="str">
        <f>IF($C291="","",ROUND(SUMIFS(الإدخالات!$D$2:$D$501,الإدخالات!$C$2:$C$501,$C291)+SUMIFS($F$1:F290,$C$1:C290,$C291)-SUMIFS('الصرف المباشر'!$D$2:$D$501,'الصرف المباشر'!$C$2:$C$501,$C291)-SUMPRODUCT((الطبخات!$B$2:$B$900=$C291)*الطبخات!$C$2:$C$900*COUNTIF('سجل الإنتاج'!$C$2:$C$501,الطبخات!$A$2:$A$900)),3))</f>
        <v/>
      </c>
      <c r="E291" s="15"/>
      <c r="F291" s="19" t="str">
        <f t="shared" si="9"/>
        <v/>
      </c>
      <c r="G291" s="9"/>
      <c r="H291" s="9"/>
    </row>
    <row r="292" spans="1:8" ht="24" customHeight="1">
      <c r="A292" s="5" t="str">
        <f t="shared" si="8"/>
        <v/>
      </c>
      <c r="B292" s="18"/>
      <c r="C292" s="9"/>
      <c r="D292" s="10" t="str">
        <f>IF($C292="","",ROUND(SUMIFS(الإدخالات!$D$2:$D$501,الإدخالات!$C$2:$C$501,$C292)+SUMIFS($F$1:F291,$C$1:C291,$C292)-SUMIFS('الصرف المباشر'!$D$2:$D$501,'الصرف المباشر'!$C$2:$C$501,$C292)-SUMPRODUCT((الطبخات!$B$2:$B$900=$C292)*الطبخات!$C$2:$C$900*COUNTIF('سجل الإنتاج'!$C$2:$C$501,الطبخات!$A$2:$A$900)),3))</f>
        <v/>
      </c>
      <c r="E292" s="15"/>
      <c r="F292" s="19" t="str">
        <f t="shared" si="9"/>
        <v/>
      </c>
      <c r="G292" s="9"/>
      <c r="H292" s="9"/>
    </row>
    <row r="293" spans="1:8" ht="24" customHeight="1">
      <c r="A293" s="5" t="str">
        <f t="shared" si="8"/>
        <v/>
      </c>
      <c r="B293" s="18"/>
      <c r="C293" s="9"/>
      <c r="D293" s="10" t="str">
        <f>IF($C293="","",ROUND(SUMIFS(الإدخالات!$D$2:$D$501,الإدخالات!$C$2:$C$501,$C293)+SUMIFS($F$1:F292,$C$1:C292,$C293)-SUMIFS('الصرف المباشر'!$D$2:$D$501,'الصرف المباشر'!$C$2:$C$501,$C293)-SUMPRODUCT((الطبخات!$B$2:$B$900=$C293)*الطبخات!$C$2:$C$900*COUNTIF('سجل الإنتاج'!$C$2:$C$501,الطبخات!$A$2:$A$900)),3))</f>
        <v/>
      </c>
      <c r="E293" s="15"/>
      <c r="F293" s="19" t="str">
        <f t="shared" si="9"/>
        <v/>
      </c>
      <c r="G293" s="9"/>
      <c r="H293" s="9"/>
    </row>
    <row r="294" spans="1:8" ht="24" customHeight="1">
      <c r="A294" s="5" t="str">
        <f t="shared" si="8"/>
        <v/>
      </c>
      <c r="B294" s="18"/>
      <c r="C294" s="9"/>
      <c r="D294" s="10" t="str">
        <f>IF($C294="","",ROUND(SUMIFS(الإدخالات!$D$2:$D$501,الإدخالات!$C$2:$C$501,$C294)+SUMIFS($F$1:F293,$C$1:C293,$C294)-SUMIFS('الصرف المباشر'!$D$2:$D$501,'الصرف المباشر'!$C$2:$C$501,$C294)-SUMPRODUCT((الطبخات!$B$2:$B$900=$C294)*الطبخات!$C$2:$C$900*COUNTIF('سجل الإنتاج'!$C$2:$C$501,الطبخات!$A$2:$A$900)),3))</f>
        <v/>
      </c>
      <c r="E294" s="15"/>
      <c r="F294" s="19" t="str">
        <f t="shared" si="9"/>
        <v/>
      </c>
      <c r="G294" s="9"/>
      <c r="H294" s="9"/>
    </row>
    <row r="295" spans="1:8" ht="24" customHeight="1">
      <c r="A295" s="5" t="str">
        <f t="shared" si="8"/>
        <v/>
      </c>
      <c r="B295" s="18"/>
      <c r="C295" s="9"/>
      <c r="D295" s="10" t="str">
        <f>IF($C295="","",ROUND(SUMIFS(الإدخالات!$D$2:$D$501,الإدخالات!$C$2:$C$501,$C295)+SUMIFS($F$1:F294,$C$1:C294,$C295)-SUMIFS('الصرف المباشر'!$D$2:$D$501,'الصرف المباشر'!$C$2:$C$501,$C295)-SUMPRODUCT((الطبخات!$B$2:$B$900=$C295)*الطبخات!$C$2:$C$900*COUNTIF('سجل الإنتاج'!$C$2:$C$501,الطبخات!$A$2:$A$900)),3))</f>
        <v/>
      </c>
      <c r="E295" s="15"/>
      <c r="F295" s="19" t="str">
        <f t="shared" si="9"/>
        <v/>
      </c>
      <c r="G295" s="9"/>
      <c r="H295" s="9"/>
    </row>
    <row r="296" spans="1:8" ht="24" customHeight="1">
      <c r="A296" s="5" t="str">
        <f t="shared" si="8"/>
        <v/>
      </c>
      <c r="B296" s="18"/>
      <c r="C296" s="9"/>
      <c r="D296" s="10" t="str">
        <f>IF($C296="","",ROUND(SUMIFS(الإدخالات!$D$2:$D$501,الإدخالات!$C$2:$C$501,$C296)+SUMIFS($F$1:F295,$C$1:C295,$C296)-SUMIFS('الصرف المباشر'!$D$2:$D$501,'الصرف المباشر'!$C$2:$C$501,$C296)-SUMPRODUCT((الطبخات!$B$2:$B$900=$C296)*الطبخات!$C$2:$C$900*COUNTIF('سجل الإنتاج'!$C$2:$C$501,الطبخات!$A$2:$A$900)),3))</f>
        <v/>
      </c>
      <c r="E296" s="15"/>
      <c r="F296" s="19" t="str">
        <f t="shared" si="9"/>
        <v/>
      </c>
      <c r="G296" s="9"/>
      <c r="H296" s="9"/>
    </row>
    <row r="297" spans="1:8" ht="24" customHeight="1">
      <c r="A297" s="5" t="str">
        <f t="shared" si="8"/>
        <v/>
      </c>
      <c r="B297" s="18"/>
      <c r="C297" s="9"/>
      <c r="D297" s="10" t="str">
        <f>IF($C297="","",ROUND(SUMIFS(الإدخالات!$D$2:$D$501,الإدخالات!$C$2:$C$501,$C297)+SUMIFS($F$1:F296,$C$1:C296,$C297)-SUMIFS('الصرف المباشر'!$D$2:$D$501,'الصرف المباشر'!$C$2:$C$501,$C297)-SUMPRODUCT((الطبخات!$B$2:$B$900=$C297)*الطبخات!$C$2:$C$900*COUNTIF('سجل الإنتاج'!$C$2:$C$501,الطبخات!$A$2:$A$900)),3))</f>
        <v/>
      </c>
      <c r="E297" s="15"/>
      <c r="F297" s="19" t="str">
        <f t="shared" si="9"/>
        <v/>
      </c>
      <c r="G297" s="9"/>
      <c r="H297" s="9"/>
    </row>
    <row r="298" spans="1:8" ht="24" customHeight="1">
      <c r="A298" s="5" t="str">
        <f t="shared" si="8"/>
        <v/>
      </c>
      <c r="B298" s="18"/>
      <c r="C298" s="9"/>
      <c r="D298" s="10" t="str">
        <f>IF($C298="","",ROUND(SUMIFS(الإدخالات!$D$2:$D$501,الإدخالات!$C$2:$C$501,$C298)+SUMIFS($F$1:F297,$C$1:C297,$C298)-SUMIFS('الصرف المباشر'!$D$2:$D$501,'الصرف المباشر'!$C$2:$C$501,$C298)-SUMPRODUCT((الطبخات!$B$2:$B$900=$C298)*الطبخات!$C$2:$C$900*COUNTIF('سجل الإنتاج'!$C$2:$C$501,الطبخات!$A$2:$A$900)),3))</f>
        <v/>
      </c>
      <c r="E298" s="15"/>
      <c r="F298" s="19" t="str">
        <f t="shared" si="9"/>
        <v/>
      </c>
      <c r="G298" s="9"/>
      <c r="H298" s="9"/>
    </row>
    <row r="299" spans="1:8" ht="24" customHeight="1">
      <c r="A299" s="5" t="str">
        <f t="shared" si="8"/>
        <v/>
      </c>
      <c r="B299" s="18"/>
      <c r="C299" s="9"/>
      <c r="D299" s="10" t="str">
        <f>IF($C299="","",ROUND(SUMIFS(الإدخالات!$D$2:$D$501,الإدخالات!$C$2:$C$501,$C299)+SUMIFS($F$1:F298,$C$1:C298,$C299)-SUMIFS('الصرف المباشر'!$D$2:$D$501,'الصرف المباشر'!$C$2:$C$501,$C299)-SUMPRODUCT((الطبخات!$B$2:$B$900=$C299)*الطبخات!$C$2:$C$900*COUNTIF('سجل الإنتاج'!$C$2:$C$501,الطبخات!$A$2:$A$900)),3))</f>
        <v/>
      </c>
      <c r="E299" s="15"/>
      <c r="F299" s="19" t="str">
        <f t="shared" si="9"/>
        <v/>
      </c>
      <c r="G299" s="9"/>
      <c r="H299" s="9"/>
    </row>
    <row r="300" spans="1:8" ht="24" customHeight="1">
      <c r="A300" s="5" t="str">
        <f t="shared" si="8"/>
        <v/>
      </c>
      <c r="B300" s="18"/>
      <c r="C300" s="9"/>
      <c r="D300" s="10" t="str">
        <f>IF($C300="","",ROUND(SUMIFS(الإدخالات!$D$2:$D$501,الإدخالات!$C$2:$C$501,$C300)+SUMIFS($F$1:F299,$C$1:C299,$C300)-SUMIFS('الصرف المباشر'!$D$2:$D$501,'الصرف المباشر'!$C$2:$C$501,$C300)-SUMPRODUCT((الطبخات!$B$2:$B$900=$C300)*الطبخات!$C$2:$C$900*COUNTIF('سجل الإنتاج'!$C$2:$C$501,الطبخات!$A$2:$A$900)),3))</f>
        <v/>
      </c>
      <c r="E300" s="15"/>
      <c r="F300" s="19" t="str">
        <f t="shared" si="9"/>
        <v/>
      </c>
      <c r="G300" s="9"/>
      <c r="H300" s="9"/>
    </row>
    <row r="301" spans="1:8" ht="24" customHeight="1">
      <c r="A301" s="5" t="str">
        <f t="shared" si="8"/>
        <v/>
      </c>
      <c r="B301" s="18"/>
      <c r="C301" s="9"/>
      <c r="D301" s="10" t="str">
        <f>IF($C301="","",ROUND(SUMIFS(الإدخالات!$D$2:$D$501,الإدخالات!$C$2:$C$501,$C301)+SUMIFS($F$1:F300,$C$1:C300,$C301)-SUMIFS('الصرف المباشر'!$D$2:$D$501,'الصرف المباشر'!$C$2:$C$501,$C301)-SUMPRODUCT((الطبخات!$B$2:$B$900=$C301)*الطبخات!$C$2:$C$900*COUNTIF('سجل الإنتاج'!$C$2:$C$501,الطبخات!$A$2:$A$900)),3))</f>
        <v/>
      </c>
      <c r="E301" s="15"/>
      <c r="F301" s="19" t="str">
        <f t="shared" si="9"/>
        <v/>
      </c>
      <c r="G301" s="9"/>
      <c r="H301" s="9"/>
    </row>
    <row r="302" spans="1:8" ht="24" customHeight="1">
      <c r="A302" s="5" t="str">
        <f t="shared" si="8"/>
        <v/>
      </c>
      <c r="B302" s="18"/>
      <c r="C302" s="9"/>
      <c r="D302" s="10" t="str">
        <f>IF($C302="","",ROUND(SUMIFS(الإدخالات!$D$2:$D$501,الإدخالات!$C$2:$C$501,$C302)+SUMIFS($F$1:F301,$C$1:C301,$C302)-SUMIFS('الصرف المباشر'!$D$2:$D$501,'الصرف المباشر'!$C$2:$C$501,$C302)-SUMPRODUCT((الطبخات!$B$2:$B$900=$C302)*الطبخات!$C$2:$C$900*COUNTIF('سجل الإنتاج'!$C$2:$C$501,الطبخات!$A$2:$A$900)),3))</f>
        <v/>
      </c>
      <c r="E302" s="15"/>
      <c r="F302" s="19" t="str">
        <f t="shared" si="9"/>
        <v/>
      </c>
      <c r="G302" s="9"/>
      <c r="H302" s="9"/>
    </row>
    <row r="303" spans="1:8" ht="24" customHeight="1">
      <c r="A303" s="5" t="str">
        <f t="shared" si="8"/>
        <v/>
      </c>
      <c r="B303" s="18"/>
      <c r="C303" s="9"/>
      <c r="D303" s="10" t="str">
        <f>IF($C303="","",ROUND(SUMIFS(الإدخالات!$D$2:$D$501,الإدخالات!$C$2:$C$501,$C303)+SUMIFS($F$1:F302,$C$1:C302,$C303)-SUMIFS('الصرف المباشر'!$D$2:$D$501,'الصرف المباشر'!$C$2:$C$501,$C303)-SUMPRODUCT((الطبخات!$B$2:$B$900=$C303)*الطبخات!$C$2:$C$900*COUNTIF('سجل الإنتاج'!$C$2:$C$501,الطبخات!$A$2:$A$900)),3))</f>
        <v/>
      </c>
      <c r="E303" s="15"/>
      <c r="F303" s="19" t="str">
        <f t="shared" si="9"/>
        <v/>
      </c>
      <c r="G303" s="9"/>
      <c r="H303" s="9"/>
    </row>
    <row r="304" spans="1:8" ht="24" customHeight="1">
      <c r="A304" s="5" t="str">
        <f t="shared" si="8"/>
        <v/>
      </c>
      <c r="B304" s="18"/>
      <c r="C304" s="9"/>
      <c r="D304" s="10" t="str">
        <f>IF($C304="","",ROUND(SUMIFS(الإدخالات!$D$2:$D$501,الإدخالات!$C$2:$C$501,$C304)+SUMIFS($F$1:F303,$C$1:C303,$C304)-SUMIFS('الصرف المباشر'!$D$2:$D$501,'الصرف المباشر'!$C$2:$C$501,$C304)-SUMPRODUCT((الطبخات!$B$2:$B$900=$C304)*الطبخات!$C$2:$C$900*COUNTIF('سجل الإنتاج'!$C$2:$C$501,الطبخات!$A$2:$A$900)),3))</f>
        <v/>
      </c>
      <c r="E304" s="15"/>
      <c r="F304" s="19" t="str">
        <f t="shared" si="9"/>
        <v/>
      </c>
      <c r="G304" s="9"/>
      <c r="H304" s="9"/>
    </row>
    <row r="305" spans="1:8" ht="24" customHeight="1">
      <c r="A305" s="5" t="str">
        <f t="shared" si="8"/>
        <v/>
      </c>
      <c r="B305" s="18"/>
      <c r="C305" s="9"/>
      <c r="D305" s="10" t="str">
        <f>IF($C305="","",ROUND(SUMIFS(الإدخالات!$D$2:$D$501,الإدخالات!$C$2:$C$501,$C305)+SUMIFS($F$1:F304,$C$1:C304,$C305)-SUMIFS('الصرف المباشر'!$D$2:$D$501,'الصرف المباشر'!$C$2:$C$501,$C305)-SUMPRODUCT((الطبخات!$B$2:$B$900=$C305)*الطبخات!$C$2:$C$900*COUNTIF('سجل الإنتاج'!$C$2:$C$501,الطبخات!$A$2:$A$900)),3))</f>
        <v/>
      </c>
      <c r="E305" s="15"/>
      <c r="F305" s="19" t="str">
        <f t="shared" si="9"/>
        <v/>
      </c>
      <c r="G305" s="9"/>
      <c r="H305" s="9"/>
    </row>
    <row r="306" spans="1:8" ht="24" customHeight="1">
      <c r="A306" s="5" t="str">
        <f t="shared" si="8"/>
        <v/>
      </c>
      <c r="B306" s="18"/>
      <c r="C306" s="9"/>
      <c r="D306" s="10" t="str">
        <f>IF($C306="","",ROUND(SUMIFS(الإدخالات!$D$2:$D$501,الإدخالات!$C$2:$C$501,$C306)+SUMIFS($F$1:F305,$C$1:C305,$C306)-SUMIFS('الصرف المباشر'!$D$2:$D$501,'الصرف المباشر'!$C$2:$C$501,$C306)-SUMPRODUCT((الطبخات!$B$2:$B$900=$C306)*الطبخات!$C$2:$C$900*COUNTIF('سجل الإنتاج'!$C$2:$C$501,الطبخات!$A$2:$A$900)),3))</f>
        <v/>
      </c>
      <c r="E306" s="15"/>
      <c r="F306" s="19" t="str">
        <f t="shared" si="9"/>
        <v/>
      </c>
      <c r="G306" s="9"/>
      <c r="H306" s="9"/>
    </row>
    <row r="307" spans="1:8" ht="24" customHeight="1">
      <c r="A307" s="5" t="str">
        <f t="shared" si="8"/>
        <v/>
      </c>
      <c r="B307" s="18"/>
      <c r="C307" s="9"/>
      <c r="D307" s="10" t="str">
        <f>IF($C307="","",ROUND(SUMIFS(الإدخالات!$D$2:$D$501,الإدخالات!$C$2:$C$501,$C307)+SUMIFS($F$1:F306,$C$1:C306,$C307)-SUMIFS('الصرف المباشر'!$D$2:$D$501,'الصرف المباشر'!$C$2:$C$501,$C307)-SUMPRODUCT((الطبخات!$B$2:$B$900=$C307)*الطبخات!$C$2:$C$900*COUNTIF('سجل الإنتاج'!$C$2:$C$501,الطبخات!$A$2:$A$900)),3))</f>
        <v/>
      </c>
      <c r="E307" s="15"/>
      <c r="F307" s="19" t="str">
        <f t="shared" si="9"/>
        <v/>
      </c>
      <c r="G307" s="9"/>
      <c r="H307" s="9"/>
    </row>
    <row r="308" spans="1:8" ht="24" customHeight="1">
      <c r="A308" s="5" t="str">
        <f t="shared" si="8"/>
        <v/>
      </c>
      <c r="B308" s="18"/>
      <c r="C308" s="9"/>
      <c r="D308" s="10" t="str">
        <f>IF($C308="","",ROUND(SUMIFS(الإدخالات!$D$2:$D$501,الإدخالات!$C$2:$C$501,$C308)+SUMIFS($F$1:F307,$C$1:C307,$C308)-SUMIFS('الصرف المباشر'!$D$2:$D$501,'الصرف المباشر'!$C$2:$C$501,$C308)-SUMPRODUCT((الطبخات!$B$2:$B$900=$C308)*الطبخات!$C$2:$C$900*COUNTIF('سجل الإنتاج'!$C$2:$C$501,الطبخات!$A$2:$A$900)),3))</f>
        <v/>
      </c>
      <c r="E308" s="15"/>
      <c r="F308" s="19" t="str">
        <f t="shared" si="9"/>
        <v/>
      </c>
      <c r="G308" s="9"/>
      <c r="H308" s="9"/>
    </row>
    <row r="309" spans="1:8" ht="24" customHeight="1">
      <c r="A309" s="5" t="str">
        <f t="shared" si="8"/>
        <v/>
      </c>
      <c r="B309" s="18"/>
      <c r="C309" s="9"/>
      <c r="D309" s="10" t="str">
        <f>IF($C309="","",ROUND(SUMIFS(الإدخالات!$D$2:$D$501,الإدخالات!$C$2:$C$501,$C309)+SUMIFS($F$1:F308,$C$1:C308,$C309)-SUMIFS('الصرف المباشر'!$D$2:$D$501,'الصرف المباشر'!$C$2:$C$501,$C309)-SUMPRODUCT((الطبخات!$B$2:$B$900=$C309)*الطبخات!$C$2:$C$900*COUNTIF('سجل الإنتاج'!$C$2:$C$501,الطبخات!$A$2:$A$900)),3))</f>
        <v/>
      </c>
      <c r="E309" s="15"/>
      <c r="F309" s="19" t="str">
        <f t="shared" si="9"/>
        <v/>
      </c>
      <c r="G309" s="9"/>
      <c r="H309" s="9"/>
    </row>
    <row r="310" spans="1:8" ht="24" customHeight="1">
      <c r="A310" s="5" t="str">
        <f t="shared" si="8"/>
        <v/>
      </c>
      <c r="B310" s="18"/>
      <c r="C310" s="9"/>
      <c r="D310" s="10" t="str">
        <f>IF($C310="","",ROUND(SUMIFS(الإدخالات!$D$2:$D$501,الإدخالات!$C$2:$C$501,$C310)+SUMIFS($F$1:F309,$C$1:C309,$C310)-SUMIFS('الصرف المباشر'!$D$2:$D$501,'الصرف المباشر'!$C$2:$C$501,$C310)-SUMPRODUCT((الطبخات!$B$2:$B$900=$C310)*الطبخات!$C$2:$C$900*COUNTIF('سجل الإنتاج'!$C$2:$C$501,الطبخات!$A$2:$A$900)),3))</f>
        <v/>
      </c>
      <c r="E310" s="15"/>
      <c r="F310" s="19" t="str">
        <f t="shared" si="9"/>
        <v/>
      </c>
      <c r="G310" s="9"/>
      <c r="H310" s="9"/>
    </row>
    <row r="311" spans="1:8" ht="24" customHeight="1">
      <c r="A311" s="5" t="str">
        <f t="shared" si="8"/>
        <v/>
      </c>
      <c r="B311" s="18"/>
      <c r="C311" s="9"/>
      <c r="D311" s="10" t="str">
        <f>IF($C311="","",ROUND(SUMIFS(الإدخالات!$D$2:$D$501,الإدخالات!$C$2:$C$501,$C311)+SUMIFS($F$1:F310,$C$1:C310,$C311)-SUMIFS('الصرف المباشر'!$D$2:$D$501,'الصرف المباشر'!$C$2:$C$501,$C311)-SUMPRODUCT((الطبخات!$B$2:$B$900=$C311)*الطبخات!$C$2:$C$900*COUNTIF('سجل الإنتاج'!$C$2:$C$501,الطبخات!$A$2:$A$900)),3))</f>
        <v/>
      </c>
      <c r="E311" s="15"/>
      <c r="F311" s="19" t="str">
        <f t="shared" si="9"/>
        <v/>
      </c>
      <c r="G311" s="9"/>
      <c r="H311" s="9"/>
    </row>
    <row r="312" spans="1:8" ht="24" customHeight="1">
      <c r="A312" s="5" t="str">
        <f t="shared" si="8"/>
        <v/>
      </c>
      <c r="B312" s="18"/>
      <c r="C312" s="9"/>
      <c r="D312" s="10" t="str">
        <f>IF($C312="","",ROUND(SUMIFS(الإدخالات!$D$2:$D$501,الإدخالات!$C$2:$C$501,$C312)+SUMIFS($F$1:F311,$C$1:C311,$C312)-SUMIFS('الصرف المباشر'!$D$2:$D$501,'الصرف المباشر'!$C$2:$C$501,$C312)-SUMPRODUCT((الطبخات!$B$2:$B$900=$C312)*الطبخات!$C$2:$C$900*COUNTIF('سجل الإنتاج'!$C$2:$C$501,الطبخات!$A$2:$A$900)),3))</f>
        <v/>
      </c>
      <c r="E312" s="15"/>
      <c r="F312" s="19" t="str">
        <f t="shared" si="9"/>
        <v/>
      </c>
      <c r="G312" s="9"/>
      <c r="H312" s="9"/>
    </row>
    <row r="313" spans="1:8" ht="24" customHeight="1">
      <c r="A313" s="5" t="str">
        <f t="shared" si="8"/>
        <v/>
      </c>
      <c r="B313" s="18"/>
      <c r="C313" s="9"/>
      <c r="D313" s="10" t="str">
        <f>IF($C313="","",ROUND(SUMIFS(الإدخالات!$D$2:$D$501,الإدخالات!$C$2:$C$501,$C313)+SUMIFS($F$1:F312,$C$1:C312,$C313)-SUMIFS('الصرف المباشر'!$D$2:$D$501,'الصرف المباشر'!$C$2:$C$501,$C313)-SUMPRODUCT((الطبخات!$B$2:$B$900=$C313)*الطبخات!$C$2:$C$900*COUNTIF('سجل الإنتاج'!$C$2:$C$501,الطبخات!$A$2:$A$900)),3))</f>
        <v/>
      </c>
      <c r="E313" s="15"/>
      <c r="F313" s="19" t="str">
        <f t="shared" si="9"/>
        <v/>
      </c>
      <c r="G313" s="9"/>
      <c r="H313" s="9"/>
    </row>
    <row r="314" spans="1:8" ht="24" customHeight="1">
      <c r="A314" s="5" t="str">
        <f t="shared" si="8"/>
        <v/>
      </c>
      <c r="B314" s="18"/>
      <c r="C314" s="9"/>
      <c r="D314" s="10" t="str">
        <f>IF($C314="","",ROUND(SUMIFS(الإدخالات!$D$2:$D$501,الإدخالات!$C$2:$C$501,$C314)+SUMIFS($F$1:F313,$C$1:C313,$C314)-SUMIFS('الصرف المباشر'!$D$2:$D$501,'الصرف المباشر'!$C$2:$C$501,$C314)-SUMPRODUCT((الطبخات!$B$2:$B$900=$C314)*الطبخات!$C$2:$C$900*COUNTIF('سجل الإنتاج'!$C$2:$C$501,الطبخات!$A$2:$A$900)),3))</f>
        <v/>
      </c>
      <c r="E314" s="15"/>
      <c r="F314" s="19" t="str">
        <f t="shared" si="9"/>
        <v/>
      </c>
      <c r="G314" s="9"/>
      <c r="H314" s="9"/>
    </row>
    <row r="315" spans="1:8" ht="24" customHeight="1">
      <c r="A315" s="5" t="str">
        <f t="shared" si="8"/>
        <v/>
      </c>
      <c r="B315" s="18"/>
      <c r="C315" s="9"/>
      <c r="D315" s="10" t="str">
        <f>IF($C315="","",ROUND(SUMIFS(الإدخالات!$D$2:$D$501,الإدخالات!$C$2:$C$501,$C315)+SUMIFS($F$1:F314,$C$1:C314,$C315)-SUMIFS('الصرف المباشر'!$D$2:$D$501,'الصرف المباشر'!$C$2:$C$501,$C315)-SUMPRODUCT((الطبخات!$B$2:$B$900=$C315)*الطبخات!$C$2:$C$900*COUNTIF('سجل الإنتاج'!$C$2:$C$501,الطبخات!$A$2:$A$900)),3))</f>
        <v/>
      </c>
      <c r="E315" s="15"/>
      <c r="F315" s="19" t="str">
        <f t="shared" si="9"/>
        <v/>
      </c>
      <c r="G315" s="9"/>
      <c r="H315" s="9"/>
    </row>
    <row r="316" spans="1:8" ht="24" customHeight="1">
      <c r="A316" s="5" t="str">
        <f t="shared" si="8"/>
        <v/>
      </c>
      <c r="B316" s="18"/>
      <c r="C316" s="9"/>
      <c r="D316" s="10" t="str">
        <f>IF($C316="","",ROUND(SUMIFS(الإدخالات!$D$2:$D$501,الإدخالات!$C$2:$C$501,$C316)+SUMIFS($F$1:F315,$C$1:C315,$C316)-SUMIFS('الصرف المباشر'!$D$2:$D$501,'الصرف المباشر'!$C$2:$C$501,$C316)-SUMPRODUCT((الطبخات!$B$2:$B$900=$C316)*الطبخات!$C$2:$C$900*COUNTIF('سجل الإنتاج'!$C$2:$C$501,الطبخات!$A$2:$A$900)),3))</f>
        <v/>
      </c>
      <c r="E316" s="15"/>
      <c r="F316" s="19" t="str">
        <f t="shared" si="9"/>
        <v/>
      </c>
      <c r="G316" s="9"/>
      <c r="H316" s="9"/>
    </row>
    <row r="317" spans="1:8" ht="24" customHeight="1">
      <c r="A317" s="5" t="str">
        <f t="shared" si="8"/>
        <v/>
      </c>
      <c r="B317" s="18"/>
      <c r="C317" s="9"/>
      <c r="D317" s="10" t="str">
        <f>IF($C317="","",ROUND(SUMIFS(الإدخالات!$D$2:$D$501,الإدخالات!$C$2:$C$501,$C317)+SUMIFS($F$1:F316,$C$1:C316,$C317)-SUMIFS('الصرف المباشر'!$D$2:$D$501,'الصرف المباشر'!$C$2:$C$501,$C317)-SUMPRODUCT((الطبخات!$B$2:$B$900=$C317)*الطبخات!$C$2:$C$900*COUNTIF('سجل الإنتاج'!$C$2:$C$501,الطبخات!$A$2:$A$900)),3))</f>
        <v/>
      </c>
      <c r="E317" s="15"/>
      <c r="F317" s="19" t="str">
        <f t="shared" si="9"/>
        <v/>
      </c>
      <c r="G317" s="9"/>
      <c r="H317" s="9"/>
    </row>
    <row r="318" spans="1:8" ht="24" customHeight="1">
      <c r="A318" s="5" t="str">
        <f t="shared" si="8"/>
        <v/>
      </c>
      <c r="B318" s="18"/>
      <c r="C318" s="9"/>
      <c r="D318" s="10" t="str">
        <f>IF($C318="","",ROUND(SUMIFS(الإدخالات!$D$2:$D$501,الإدخالات!$C$2:$C$501,$C318)+SUMIFS($F$1:F317,$C$1:C317,$C318)-SUMIFS('الصرف المباشر'!$D$2:$D$501,'الصرف المباشر'!$C$2:$C$501,$C318)-SUMPRODUCT((الطبخات!$B$2:$B$900=$C318)*الطبخات!$C$2:$C$900*COUNTIF('سجل الإنتاج'!$C$2:$C$501,الطبخات!$A$2:$A$900)),3))</f>
        <v/>
      </c>
      <c r="E318" s="15"/>
      <c r="F318" s="19" t="str">
        <f t="shared" si="9"/>
        <v/>
      </c>
      <c r="G318" s="9"/>
      <c r="H318" s="9"/>
    </row>
    <row r="319" spans="1:8" ht="24" customHeight="1">
      <c r="A319" s="5" t="str">
        <f t="shared" si="8"/>
        <v/>
      </c>
      <c r="B319" s="18"/>
      <c r="C319" s="9"/>
      <c r="D319" s="10" t="str">
        <f>IF($C319="","",ROUND(SUMIFS(الإدخالات!$D$2:$D$501,الإدخالات!$C$2:$C$501,$C319)+SUMIFS($F$1:F318,$C$1:C318,$C319)-SUMIFS('الصرف المباشر'!$D$2:$D$501,'الصرف المباشر'!$C$2:$C$501,$C319)-SUMPRODUCT((الطبخات!$B$2:$B$900=$C319)*الطبخات!$C$2:$C$900*COUNTIF('سجل الإنتاج'!$C$2:$C$501,الطبخات!$A$2:$A$900)),3))</f>
        <v/>
      </c>
      <c r="E319" s="15"/>
      <c r="F319" s="19" t="str">
        <f t="shared" si="9"/>
        <v/>
      </c>
      <c r="G319" s="9"/>
      <c r="H319" s="9"/>
    </row>
    <row r="320" spans="1:8" ht="24" customHeight="1">
      <c r="A320" s="5" t="str">
        <f t="shared" si="8"/>
        <v/>
      </c>
      <c r="B320" s="18"/>
      <c r="C320" s="9"/>
      <c r="D320" s="10" t="str">
        <f>IF($C320="","",ROUND(SUMIFS(الإدخالات!$D$2:$D$501,الإدخالات!$C$2:$C$501,$C320)+SUMIFS($F$1:F319,$C$1:C319,$C320)-SUMIFS('الصرف المباشر'!$D$2:$D$501,'الصرف المباشر'!$C$2:$C$501,$C320)-SUMPRODUCT((الطبخات!$B$2:$B$900=$C320)*الطبخات!$C$2:$C$900*COUNTIF('سجل الإنتاج'!$C$2:$C$501,الطبخات!$A$2:$A$900)),3))</f>
        <v/>
      </c>
      <c r="E320" s="15"/>
      <c r="F320" s="19" t="str">
        <f t="shared" si="9"/>
        <v/>
      </c>
      <c r="G320" s="9"/>
      <c r="H320" s="9"/>
    </row>
    <row r="321" spans="1:8" ht="24" customHeight="1">
      <c r="A321" s="5" t="str">
        <f t="shared" si="8"/>
        <v/>
      </c>
      <c r="B321" s="18"/>
      <c r="C321" s="9"/>
      <c r="D321" s="10" t="str">
        <f>IF($C321="","",ROUND(SUMIFS(الإدخالات!$D$2:$D$501,الإدخالات!$C$2:$C$501,$C321)+SUMIFS($F$1:F320,$C$1:C320,$C321)-SUMIFS('الصرف المباشر'!$D$2:$D$501,'الصرف المباشر'!$C$2:$C$501,$C321)-SUMPRODUCT((الطبخات!$B$2:$B$900=$C321)*الطبخات!$C$2:$C$900*COUNTIF('سجل الإنتاج'!$C$2:$C$501,الطبخات!$A$2:$A$900)),3))</f>
        <v/>
      </c>
      <c r="E321" s="15"/>
      <c r="F321" s="19" t="str">
        <f t="shared" si="9"/>
        <v/>
      </c>
      <c r="G321" s="9"/>
      <c r="H321" s="9"/>
    </row>
    <row r="322" spans="1:8" ht="24" customHeight="1">
      <c r="A322" s="5" t="str">
        <f t="shared" ref="A322:A385" si="10">IF(C322="","",ROW()-1)</f>
        <v/>
      </c>
      <c r="B322" s="18"/>
      <c r="C322" s="9"/>
      <c r="D322" s="10" t="str">
        <f>IF($C322="","",ROUND(SUMIFS(الإدخالات!$D$2:$D$501,الإدخالات!$C$2:$C$501,$C322)+SUMIFS($F$1:F321,$C$1:C321,$C322)-SUMIFS('الصرف المباشر'!$D$2:$D$501,'الصرف المباشر'!$C$2:$C$501,$C322)-SUMPRODUCT((الطبخات!$B$2:$B$900=$C322)*الطبخات!$C$2:$C$900*COUNTIF('سجل الإنتاج'!$C$2:$C$501,الطبخات!$A$2:$A$900)),3))</f>
        <v/>
      </c>
      <c r="E322" s="15"/>
      <c r="F322" s="19" t="str">
        <f t="shared" ref="F322:F385" si="11">IF(OR($C322="",$E322=""),"",ROUND($E322-$D322,3))</f>
        <v/>
      </c>
      <c r="G322" s="9"/>
      <c r="H322" s="9"/>
    </row>
    <row r="323" spans="1:8" ht="24" customHeight="1">
      <c r="A323" s="5" t="str">
        <f t="shared" si="10"/>
        <v/>
      </c>
      <c r="B323" s="18"/>
      <c r="C323" s="9"/>
      <c r="D323" s="10" t="str">
        <f>IF($C323="","",ROUND(SUMIFS(الإدخالات!$D$2:$D$501,الإدخالات!$C$2:$C$501,$C323)+SUMIFS($F$1:F322,$C$1:C322,$C323)-SUMIFS('الصرف المباشر'!$D$2:$D$501,'الصرف المباشر'!$C$2:$C$501,$C323)-SUMPRODUCT((الطبخات!$B$2:$B$900=$C323)*الطبخات!$C$2:$C$900*COUNTIF('سجل الإنتاج'!$C$2:$C$501,الطبخات!$A$2:$A$900)),3))</f>
        <v/>
      </c>
      <c r="E323" s="15"/>
      <c r="F323" s="19" t="str">
        <f t="shared" si="11"/>
        <v/>
      </c>
      <c r="G323" s="9"/>
      <c r="H323" s="9"/>
    </row>
    <row r="324" spans="1:8" ht="24" customHeight="1">
      <c r="A324" s="5" t="str">
        <f t="shared" si="10"/>
        <v/>
      </c>
      <c r="B324" s="18"/>
      <c r="C324" s="9"/>
      <c r="D324" s="10" t="str">
        <f>IF($C324="","",ROUND(SUMIFS(الإدخالات!$D$2:$D$501,الإدخالات!$C$2:$C$501,$C324)+SUMIFS($F$1:F323,$C$1:C323,$C324)-SUMIFS('الصرف المباشر'!$D$2:$D$501,'الصرف المباشر'!$C$2:$C$501,$C324)-SUMPRODUCT((الطبخات!$B$2:$B$900=$C324)*الطبخات!$C$2:$C$900*COUNTIF('سجل الإنتاج'!$C$2:$C$501,الطبخات!$A$2:$A$900)),3))</f>
        <v/>
      </c>
      <c r="E324" s="15"/>
      <c r="F324" s="19" t="str">
        <f t="shared" si="11"/>
        <v/>
      </c>
      <c r="G324" s="9"/>
      <c r="H324" s="9"/>
    </row>
    <row r="325" spans="1:8" ht="24" customHeight="1">
      <c r="A325" s="5" t="str">
        <f t="shared" si="10"/>
        <v/>
      </c>
      <c r="B325" s="18"/>
      <c r="C325" s="9"/>
      <c r="D325" s="10" t="str">
        <f>IF($C325="","",ROUND(SUMIFS(الإدخالات!$D$2:$D$501,الإدخالات!$C$2:$C$501,$C325)+SUMIFS($F$1:F324,$C$1:C324,$C325)-SUMIFS('الصرف المباشر'!$D$2:$D$501,'الصرف المباشر'!$C$2:$C$501,$C325)-SUMPRODUCT((الطبخات!$B$2:$B$900=$C325)*الطبخات!$C$2:$C$900*COUNTIF('سجل الإنتاج'!$C$2:$C$501,الطبخات!$A$2:$A$900)),3))</f>
        <v/>
      </c>
      <c r="E325" s="15"/>
      <c r="F325" s="19" t="str">
        <f t="shared" si="11"/>
        <v/>
      </c>
      <c r="G325" s="9"/>
      <c r="H325" s="9"/>
    </row>
    <row r="326" spans="1:8" ht="24" customHeight="1">
      <c r="A326" s="5" t="str">
        <f t="shared" si="10"/>
        <v/>
      </c>
      <c r="B326" s="18"/>
      <c r="C326" s="9"/>
      <c r="D326" s="10" t="str">
        <f>IF($C326="","",ROUND(SUMIFS(الإدخالات!$D$2:$D$501,الإدخالات!$C$2:$C$501,$C326)+SUMIFS($F$1:F325,$C$1:C325,$C326)-SUMIFS('الصرف المباشر'!$D$2:$D$501,'الصرف المباشر'!$C$2:$C$501,$C326)-SUMPRODUCT((الطبخات!$B$2:$B$900=$C326)*الطبخات!$C$2:$C$900*COUNTIF('سجل الإنتاج'!$C$2:$C$501,الطبخات!$A$2:$A$900)),3))</f>
        <v/>
      </c>
      <c r="E326" s="15"/>
      <c r="F326" s="19" t="str">
        <f t="shared" si="11"/>
        <v/>
      </c>
      <c r="G326" s="9"/>
      <c r="H326" s="9"/>
    </row>
    <row r="327" spans="1:8" ht="24" customHeight="1">
      <c r="A327" s="5" t="str">
        <f t="shared" si="10"/>
        <v/>
      </c>
      <c r="B327" s="18"/>
      <c r="C327" s="9"/>
      <c r="D327" s="10" t="str">
        <f>IF($C327="","",ROUND(SUMIFS(الإدخالات!$D$2:$D$501,الإدخالات!$C$2:$C$501,$C327)+SUMIFS($F$1:F326,$C$1:C326,$C327)-SUMIFS('الصرف المباشر'!$D$2:$D$501,'الصرف المباشر'!$C$2:$C$501,$C327)-SUMPRODUCT((الطبخات!$B$2:$B$900=$C327)*الطبخات!$C$2:$C$900*COUNTIF('سجل الإنتاج'!$C$2:$C$501,الطبخات!$A$2:$A$900)),3))</f>
        <v/>
      </c>
      <c r="E327" s="15"/>
      <c r="F327" s="19" t="str">
        <f t="shared" si="11"/>
        <v/>
      </c>
      <c r="G327" s="9"/>
      <c r="H327" s="9"/>
    </row>
    <row r="328" spans="1:8" ht="24" customHeight="1">
      <c r="A328" s="5" t="str">
        <f t="shared" si="10"/>
        <v/>
      </c>
      <c r="B328" s="18"/>
      <c r="C328" s="9"/>
      <c r="D328" s="10" t="str">
        <f>IF($C328="","",ROUND(SUMIFS(الإدخالات!$D$2:$D$501,الإدخالات!$C$2:$C$501,$C328)+SUMIFS($F$1:F327,$C$1:C327,$C328)-SUMIFS('الصرف المباشر'!$D$2:$D$501,'الصرف المباشر'!$C$2:$C$501,$C328)-SUMPRODUCT((الطبخات!$B$2:$B$900=$C328)*الطبخات!$C$2:$C$900*COUNTIF('سجل الإنتاج'!$C$2:$C$501,الطبخات!$A$2:$A$900)),3))</f>
        <v/>
      </c>
      <c r="E328" s="15"/>
      <c r="F328" s="19" t="str">
        <f t="shared" si="11"/>
        <v/>
      </c>
      <c r="G328" s="9"/>
      <c r="H328" s="9"/>
    </row>
    <row r="329" spans="1:8" ht="24" customHeight="1">
      <c r="A329" s="5" t="str">
        <f t="shared" si="10"/>
        <v/>
      </c>
      <c r="B329" s="18"/>
      <c r="C329" s="9"/>
      <c r="D329" s="10" t="str">
        <f>IF($C329="","",ROUND(SUMIFS(الإدخالات!$D$2:$D$501,الإدخالات!$C$2:$C$501,$C329)+SUMIFS($F$1:F328,$C$1:C328,$C329)-SUMIFS('الصرف المباشر'!$D$2:$D$501,'الصرف المباشر'!$C$2:$C$501,$C329)-SUMPRODUCT((الطبخات!$B$2:$B$900=$C329)*الطبخات!$C$2:$C$900*COUNTIF('سجل الإنتاج'!$C$2:$C$501,الطبخات!$A$2:$A$900)),3))</f>
        <v/>
      </c>
      <c r="E329" s="15"/>
      <c r="F329" s="19" t="str">
        <f t="shared" si="11"/>
        <v/>
      </c>
      <c r="G329" s="9"/>
      <c r="H329" s="9"/>
    </row>
    <row r="330" spans="1:8" ht="24" customHeight="1">
      <c r="A330" s="5" t="str">
        <f t="shared" si="10"/>
        <v/>
      </c>
      <c r="B330" s="18"/>
      <c r="C330" s="9"/>
      <c r="D330" s="10" t="str">
        <f>IF($C330="","",ROUND(SUMIFS(الإدخالات!$D$2:$D$501,الإدخالات!$C$2:$C$501,$C330)+SUMIFS($F$1:F329,$C$1:C329,$C330)-SUMIFS('الصرف المباشر'!$D$2:$D$501,'الصرف المباشر'!$C$2:$C$501,$C330)-SUMPRODUCT((الطبخات!$B$2:$B$900=$C330)*الطبخات!$C$2:$C$900*COUNTIF('سجل الإنتاج'!$C$2:$C$501,الطبخات!$A$2:$A$900)),3))</f>
        <v/>
      </c>
      <c r="E330" s="15"/>
      <c r="F330" s="19" t="str">
        <f t="shared" si="11"/>
        <v/>
      </c>
      <c r="G330" s="9"/>
      <c r="H330" s="9"/>
    </row>
    <row r="331" spans="1:8" ht="24" customHeight="1">
      <c r="A331" s="5" t="str">
        <f t="shared" si="10"/>
        <v/>
      </c>
      <c r="B331" s="18"/>
      <c r="C331" s="9"/>
      <c r="D331" s="10" t="str">
        <f>IF($C331="","",ROUND(SUMIFS(الإدخالات!$D$2:$D$501,الإدخالات!$C$2:$C$501,$C331)+SUMIFS($F$1:F330,$C$1:C330,$C331)-SUMIFS('الصرف المباشر'!$D$2:$D$501,'الصرف المباشر'!$C$2:$C$501,$C331)-SUMPRODUCT((الطبخات!$B$2:$B$900=$C331)*الطبخات!$C$2:$C$900*COUNTIF('سجل الإنتاج'!$C$2:$C$501,الطبخات!$A$2:$A$900)),3))</f>
        <v/>
      </c>
      <c r="E331" s="15"/>
      <c r="F331" s="19" t="str">
        <f t="shared" si="11"/>
        <v/>
      </c>
      <c r="G331" s="9"/>
      <c r="H331" s="9"/>
    </row>
    <row r="332" spans="1:8" ht="24" customHeight="1">
      <c r="A332" s="5" t="str">
        <f t="shared" si="10"/>
        <v/>
      </c>
      <c r="B332" s="18"/>
      <c r="C332" s="9"/>
      <c r="D332" s="10" t="str">
        <f>IF($C332="","",ROUND(SUMIFS(الإدخالات!$D$2:$D$501,الإدخالات!$C$2:$C$501,$C332)+SUMIFS($F$1:F331,$C$1:C331,$C332)-SUMIFS('الصرف المباشر'!$D$2:$D$501,'الصرف المباشر'!$C$2:$C$501,$C332)-SUMPRODUCT((الطبخات!$B$2:$B$900=$C332)*الطبخات!$C$2:$C$900*COUNTIF('سجل الإنتاج'!$C$2:$C$501,الطبخات!$A$2:$A$900)),3))</f>
        <v/>
      </c>
      <c r="E332" s="15"/>
      <c r="F332" s="19" t="str">
        <f t="shared" si="11"/>
        <v/>
      </c>
      <c r="G332" s="9"/>
      <c r="H332" s="9"/>
    </row>
    <row r="333" spans="1:8" ht="24" customHeight="1">
      <c r="A333" s="5" t="str">
        <f t="shared" si="10"/>
        <v/>
      </c>
      <c r="B333" s="18"/>
      <c r="C333" s="9"/>
      <c r="D333" s="10" t="str">
        <f>IF($C333="","",ROUND(SUMIFS(الإدخالات!$D$2:$D$501,الإدخالات!$C$2:$C$501,$C333)+SUMIFS($F$1:F332,$C$1:C332,$C333)-SUMIFS('الصرف المباشر'!$D$2:$D$501,'الصرف المباشر'!$C$2:$C$501,$C333)-SUMPRODUCT((الطبخات!$B$2:$B$900=$C333)*الطبخات!$C$2:$C$900*COUNTIF('سجل الإنتاج'!$C$2:$C$501,الطبخات!$A$2:$A$900)),3))</f>
        <v/>
      </c>
      <c r="E333" s="15"/>
      <c r="F333" s="19" t="str">
        <f t="shared" si="11"/>
        <v/>
      </c>
      <c r="G333" s="9"/>
      <c r="H333" s="9"/>
    </row>
    <row r="334" spans="1:8" ht="24" customHeight="1">
      <c r="A334" s="5" t="str">
        <f t="shared" si="10"/>
        <v/>
      </c>
      <c r="B334" s="18"/>
      <c r="C334" s="9"/>
      <c r="D334" s="10" t="str">
        <f>IF($C334="","",ROUND(SUMIFS(الإدخالات!$D$2:$D$501,الإدخالات!$C$2:$C$501,$C334)+SUMIFS($F$1:F333,$C$1:C333,$C334)-SUMIFS('الصرف المباشر'!$D$2:$D$501,'الصرف المباشر'!$C$2:$C$501,$C334)-SUMPRODUCT((الطبخات!$B$2:$B$900=$C334)*الطبخات!$C$2:$C$900*COUNTIF('سجل الإنتاج'!$C$2:$C$501,الطبخات!$A$2:$A$900)),3))</f>
        <v/>
      </c>
      <c r="E334" s="15"/>
      <c r="F334" s="19" t="str">
        <f t="shared" si="11"/>
        <v/>
      </c>
      <c r="G334" s="9"/>
      <c r="H334" s="9"/>
    </row>
    <row r="335" spans="1:8" ht="24" customHeight="1">
      <c r="A335" s="5" t="str">
        <f t="shared" si="10"/>
        <v/>
      </c>
      <c r="B335" s="18"/>
      <c r="C335" s="9"/>
      <c r="D335" s="10" t="str">
        <f>IF($C335="","",ROUND(SUMIFS(الإدخالات!$D$2:$D$501,الإدخالات!$C$2:$C$501,$C335)+SUMIFS($F$1:F334,$C$1:C334,$C335)-SUMIFS('الصرف المباشر'!$D$2:$D$501,'الصرف المباشر'!$C$2:$C$501,$C335)-SUMPRODUCT((الطبخات!$B$2:$B$900=$C335)*الطبخات!$C$2:$C$900*COUNTIF('سجل الإنتاج'!$C$2:$C$501,الطبخات!$A$2:$A$900)),3))</f>
        <v/>
      </c>
      <c r="E335" s="15"/>
      <c r="F335" s="19" t="str">
        <f t="shared" si="11"/>
        <v/>
      </c>
      <c r="G335" s="9"/>
      <c r="H335" s="9"/>
    </row>
    <row r="336" spans="1:8" ht="24" customHeight="1">
      <c r="A336" s="5" t="str">
        <f t="shared" si="10"/>
        <v/>
      </c>
      <c r="B336" s="18"/>
      <c r="C336" s="9"/>
      <c r="D336" s="10" t="str">
        <f>IF($C336="","",ROUND(SUMIFS(الإدخالات!$D$2:$D$501,الإدخالات!$C$2:$C$501,$C336)+SUMIFS($F$1:F335,$C$1:C335,$C336)-SUMIFS('الصرف المباشر'!$D$2:$D$501,'الصرف المباشر'!$C$2:$C$501,$C336)-SUMPRODUCT((الطبخات!$B$2:$B$900=$C336)*الطبخات!$C$2:$C$900*COUNTIF('سجل الإنتاج'!$C$2:$C$501,الطبخات!$A$2:$A$900)),3))</f>
        <v/>
      </c>
      <c r="E336" s="15"/>
      <c r="F336" s="19" t="str">
        <f t="shared" si="11"/>
        <v/>
      </c>
      <c r="G336" s="9"/>
      <c r="H336" s="9"/>
    </row>
    <row r="337" spans="1:8" ht="24" customHeight="1">
      <c r="A337" s="5" t="str">
        <f t="shared" si="10"/>
        <v/>
      </c>
      <c r="B337" s="18"/>
      <c r="C337" s="9"/>
      <c r="D337" s="10" t="str">
        <f>IF($C337="","",ROUND(SUMIFS(الإدخالات!$D$2:$D$501,الإدخالات!$C$2:$C$501,$C337)+SUMIFS($F$1:F336,$C$1:C336,$C337)-SUMIFS('الصرف المباشر'!$D$2:$D$501,'الصرف المباشر'!$C$2:$C$501,$C337)-SUMPRODUCT((الطبخات!$B$2:$B$900=$C337)*الطبخات!$C$2:$C$900*COUNTIF('سجل الإنتاج'!$C$2:$C$501,الطبخات!$A$2:$A$900)),3))</f>
        <v/>
      </c>
      <c r="E337" s="15"/>
      <c r="F337" s="19" t="str">
        <f t="shared" si="11"/>
        <v/>
      </c>
      <c r="G337" s="9"/>
      <c r="H337" s="9"/>
    </row>
    <row r="338" spans="1:8" ht="24" customHeight="1">
      <c r="A338" s="5" t="str">
        <f t="shared" si="10"/>
        <v/>
      </c>
      <c r="B338" s="18"/>
      <c r="C338" s="9"/>
      <c r="D338" s="10" t="str">
        <f>IF($C338="","",ROUND(SUMIFS(الإدخالات!$D$2:$D$501,الإدخالات!$C$2:$C$501,$C338)+SUMIFS($F$1:F337,$C$1:C337,$C338)-SUMIFS('الصرف المباشر'!$D$2:$D$501,'الصرف المباشر'!$C$2:$C$501,$C338)-SUMPRODUCT((الطبخات!$B$2:$B$900=$C338)*الطبخات!$C$2:$C$900*COUNTIF('سجل الإنتاج'!$C$2:$C$501,الطبخات!$A$2:$A$900)),3))</f>
        <v/>
      </c>
      <c r="E338" s="15"/>
      <c r="F338" s="19" t="str">
        <f t="shared" si="11"/>
        <v/>
      </c>
      <c r="G338" s="9"/>
      <c r="H338" s="9"/>
    </row>
    <row r="339" spans="1:8" ht="24" customHeight="1">
      <c r="A339" s="5" t="str">
        <f t="shared" si="10"/>
        <v/>
      </c>
      <c r="B339" s="18"/>
      <c r="C339" s="9"/>
      <c r="D339" s="10" t="str">
        <f>IF($C339="","",ROUND(SUMIFS(الإدخالات!$D$2:$D$501,الإدخالات!$C$2:$C$501,$C339)+SUMIFS($F$1:F338,$C$1:C338,$C339)-SUMIFS('الصرف المباشر'!$D$2:$D$501,'الصرف المباشر'!$C$2:$C$501,$C339)-SUMPRODUCT((الطبخات!$B$2:$B$900=$C339)*الطبخات!$C$2:$C$900*COUNTIF('سجل الإنتاج'!$C$2:$C$501,الطبخات!$A$2:$A$900)),3))</f>
        <v/>
      </c>
      <c r="E339" s="15"/>
      <c r="F339" s="19" t="str">
        <f t="shared" si="11"/>
        <v/>
      </c>
      <c r="G339" s="9"/>
      <c r="H339" s="9"/>
    </row>
    <row r="340" spans="1:8" ht="24" customHeight="1">
      <c r="A340" s="5" t="str">
        <f t="shared" si="10"/>
        <v/>
      </c>
      <c r="B340" s="18"/>
      <c r="C340" s="9"/>
      <c r="D340" s="10" t="str">
        <f>IF($C340="","",ROUND(SUMIFS(الإدخالات!$D$2:$D$501,الإدخالات!$C$2:$C$501,$C340)+SUMIFS($F$1:F339,$C$1:C339,$C340)-SUMIFS('الصرف المباشر'!$D$2:$D$501,'الصرف المباشر'!$C$2:$C$501,$C340)-SUMPRODUCT((الطبخات!$B$2:$B$900=$C340)*الطبخات!$C$2:$C$900*COUNTIF('سجل الإنتاج'!$C$2:$C$501,الطبخات!$A$2:$A$900)),3))</f>
        <v/>
      </c>
      <c r="E340" s="15"/>
      <c r="F340" s="19" t="str">
        <f t="shared" si="11"/>
        <v/>
      </c>
      <c r="G340" s="9"/>
      <c r="H340" s="9"/>
    </row>
    <row r="341" spans="1:8" ht="24" customHeight="1">
      <c r="A341" s="5" t="str">
        <f t="shared" si="10"/>
        <v/>
      </c>
      <c r="B341" s="18"/>
      <c r="C341" s="9"/>
      <c r="D341" s="10" t="str">
        <f>IF($C341="","",ROUND(SUMIFS(الإدخالات!$D$2:$D$501,الإدخالات!$C$2:$C$501,$C341)+SUMIFS($F$1:F340,$C$1:C340,$C341)-SUMIFS('الصرف المباشر'!$D$2:$D$501,'الصرف المباشر'!$C$2:$C$501,$C341)-SUMPRODUCT((الطبخات!$B$2:$B$900=$C341)*الطبخات!$C$2:$C$900*COUNTIF('سجل الإنتاج'!$C$2:$C$501,الطبخات!$A$2:$A$900)),3))</f>
        <v/>
      </c>
      <c r="E341" s="15"/>
      <c r="F341" s="19" t="str">
        <f t="shared" si="11"/>
        <v/>
      </c>
      <c r="G341" s="9"/>
      <c r="H341" s="9"/>
    </row>
    <row r="342" spans="1:8" ht="24" customHeight="1">
      <c r="A342" s="5" t="str">
        <f t="shared" si="10"/>
        <v/>
      </c>
      <c r="B342" s="18"/>
      <c r="C342" s="9"/>
      <c r="D342" s="10" t="str">
        <f>IF($C342="","",ROUND(SUMIFS(الإدخالات!$D$2:$D$501,الإدخالات!$C$2:$C$501,$C342)+SUMIFS($F$1:F341,$C$1:C341,$C342)-SUMIFS('الصرف المباشر'!$D$2:$D$501,'الصرف المباشر'!$C$2:$C$501,$C342)-SUMPRODUCT((الطبخات!$B$2:$B$900=$C342)*الطبخات!$C$2:$C$900*COUNTIF('سجل الإنتاج'!$C$2:$C$501,الطبخات!$A$2:$A$900)),3))</f>
        <v/>
      </c>
      <c r="E342" s="15"/>
      <c r="F342" s="19" t="str">
        <f t="shared" si="11"/>
        <v/>
      </c>
      <c r="G342" s="9"/>
      <c r="H342" s="9"/>
    </row>
    <row r="343" spans="1:8" ht="24" customHeight="1">
      <c r="A343" s="5" t="str">
        <f t="shared" si="10"/>
        <v/>
      </c>
      <c r="B343" s="18"/>
      <c r="C343" s="9"/>
      <c r="D343" s="10" t="str">
        <f>IF($C343="","",ROUND(SUMIFS(الإدخالات!$D$2:$D$501,الإدخالات!$C$2:$C$501,$C343)+SUMIFS($F$1:F342,$C$1:C342,$C343)-SUMIFS('الصرف المباشر'!$D$2:$D$501,'الصرف المباشر'!$C$2:$C$501,$C343)-SUMPRODUCT((الطبخات!$B$2:$B$900=$C343)*الطبخات!$C$2:$C$900*COUNTIF('سجل الإنتاج'!$C$2:$C$501,الطبخات!$A$2:$A$900)),3))</f>
        <v/>
      </c>
      <c r="E343" s="15"/>
      <c r="F343" s="19" t="str">
        <f t="shared" si="11"/>
        <v/>
      </c>
      <c r="G343" s="9"/>
      <c r="H343" s="9"/>
    </row>
    <row r="344" spans="1:8" ht="24" customHeight="1">
      <c r="A344" s="5" t="str">
        <f t="shared" si="10"/>
        <v/>
      </c>
      <c r="B344" s="18"/>
      <c r="C344" s="9"/>
      <c r="D344" s="10" t="str">
        <f>IF($C344="","",ROUND(SUMIFS(الإدخالات!$D$2:$D$501,الإدخالات!$C$2:$C$501,$C344)+SUMIFS($F$1:F343,$C$1:C343,$C344)-SUMIFS('الصرف المباشر'!$D$2:$D$501,'الصرف المباشر'!$C$2:$C$501,$C344)-SUMPRODUCT((الطبخات!$B$2:$B$900=$C344)*الطبخات!$C$2:$C$900*COUNTIF('سجل الإنتاج'!$C$2:$C$501,الطبخات!$A$2:$A$900)),3))</f>
        <v/>
      </c>
      <c r="E344" s="15"/>
      <c r="F344" s="19" t="str">
        <f t="shared" si="11"/>
        <v/>
      </c>
      <c r="G344" s="9"/>
      <c r="H344" s="9"/>
    </row>
    <row r="345" spans="1:8" ht="24" customHeight="1">
      <c r="A345" s="5" t="str">
        <f t="shared" si="10"/>
        <v/>
      </c>
      <c r="B345" s="18"/>
      <c r="C345" s="9"/>
      <c r="D345" s="10" t="str">
        <f>IF($C345="","",ROUND(SUMIFS(الإدخالات!$D$2:$D$501,الإدخالات!$C$2:$C$501,$C345)+SUMIFS($F$1:F344,$C$1:C344,$C345)-SUMIFS('الصرف المباشر'!$D$2:$D$501,'الصرف المباشر'!$C$2:$C$501,$C345)-SUMPRODUCT((الطبخات!$B$2:$B$900=$C345)*الطبخات!$C$2:$C$900*COUNTIF('سجل الإنتاج'!$C$2:$C$501,الطبخات!$A$2:$A$900)),3))</f>
        <v/>
      </c>
      <c r="E345" s="15"/>
      <c r="F345" s="19" t="str">
        <f t="shared" si="11"/>
        <v/>
      </c>
      <c r="G345" s="9"/>
      <c r="H345" s="9"/>
    </row>
    <row r="346" spans="1:8" ht="24" customHeight="1">
      <c r="A346" s="5" t="str">
        <f t="shared" si="10"/>
        <v/>
      </c>
      <c r="B346" s="18"/>
      <c r="C346" s="9"/>
      <c r="D346" s="10" t="str">
        <f>IF($C346="","",ROUND(SUMIFS(الإدخالات!$D$2:$D$501,الإدخالات!$C$2:$C$501,$C346)+SUMIFS($F$1:F345,$C$1:C345,$C346)-SUMIFS('الصرف المباشر'!$D$2:$D$501,'الصرف المباشر'!$C$2:$C$501,$C346)-SUMPRODUCT((الطبخات!$B$2:$B$900=$C346)*الطبخات!$C$2:$C$900*COUNTIF('سجل الإنتاج'!$C$2:$C$501,الطبخات!$A$2:$A$900)),3))</f>
        <v/>
      </c>
      <c r="E346" s="15"/>
      <c r="F346" s="19" t="str">
        <f t="shared" si="11"/>
        <v/>
      </c>
      <c r="G346" s="9"/>
      <c r="H346" s="9"/>
    </row>
    <row r="347" spans="1:8" ht="24" customHeight="1">
      <c r="A347" s="5" t="str">
        <f t="shared" si="10"/>
        <v/>
      </c>
      <c r="B347" s="18"/>
      <c r="C347" s="9"/>
      <c r="D347" s="10" t="str">
        <f>IF($C347="","",ROUND(SUMIFS(الإدخالات!$D$2:$D$501,الإدخالات!$C$2:$C$501,$C347)+SUMIFS($F$1:F346,$C$1:C346,$C347)-SUMIFS('الصرف المباشر'!$D$2:$D$501,'الصرف المباشر'!$C$2:$C$501,$C347)-SUMPRODUCT((الطبخات!$B$2:$B$900=$C347)*الطبخات!$C$2:$C$900*COUNTIF('سجل الإنتاج'!$C$2:$C$501,الطبخات!$A$2:$A$900)),3))</f>
        <v/>
      </c>
      <c r="E347" s="15"/>
      <c r="F347" s="19" t="str">
        <f t="shared" si="11"/>
        <v/>
      </c>
      <c r="G347" s="9"/>
      <c r="H347" s="9"/>
    </row>
    <row r="348" spans="1:8" ht="24" customHeight="1">
      <c r="A348" s="5" t="str">
        <f t="shared" si="10"/>
        <v/>
      </c>
      <c r="B348" s="18"/>
      <c r="C348" s="9"/>
      <c r="D348" s="10" t="str">
        <f>IF($C348="","",ROUND(SUMIFS(الإدخالات!$D$2:$D$501,الإدخالات!$C$2:$C$501,$C348)+SUMIFS($F$1:F347,$C$1:C347,$C348)-SUMIFS('الصرف المباشر'!$D$2:$D$501,'الصرف المباشر'!$C$2:$C$501,$C348)-SUMPRODUCT((الطبخات!$B$2:$B$900=$C348)*الطبخات!$C$2:$C$900*COUNTIF('سجل الإنتاج'!$C$2:$C$501,الطبخات!$A$2:$A$900)),3))</f>
        <v/>
      </c>
      <c r="E348" s="15"/>
      <c r="F348" s="19" t="str">
        <f t="shared" si="11"/>
        <v/>
      </c>
      <c r="G348" s="9"/>
      <c r="H348" s="9"/>
    </row>
    <row r="349" spans="1:8" ht="24" customHeight="1">
      <c r="A349" s="5" t="str">
        <f t="shared" si="10"/>
        <v/>
      </c>
      <c r="B349" s="18"/>
      <c r="C349" s="9"/>
      <c r="D349" s="10" t="str">
        <f>IF($C349="","",ROUND(SUMIFS(الإدخالات!$D$2:$D$501,الإدخالات!$C$2:$C$501,$C349)+SUMIFS($F$1:F348,$C$1:C348,$C349)-SUMIFS('الصرف المباشر'!$D$2:$D$501,'الصرف المباشر'!$C$2:$C$501,$C349)-SUMPRODUCT((الطبخات!$B$2:$B$900=$C349)*الطبخات!$C$2:$C$900*COUNTIF('سجل الإنتاج'!$C$2:$C$501,الطبخات!$A$2:$A$900)),3))</f>
        <v/>
      </c>
      <c r="E349" s="15"/>
      <c r="F349" s="19" t="str">
        <f t="shared" si="11"/>
        <v/>
      </c>
      <c r="G349" s="9"/>
      <c r="H349" s="9"/>
    </row>
    <row r="350" spans="1:8" ht="24" customHeight="1">
      <c r="A350" s="5" t="str">
        <f t="shared" si="10"/>
        <v/>
      </c>
      <c r="B350" s="18"/>
      <c r="C350" s="9"/>
      <c r="D350" s="10" t="str">
        <f>IF($C350="","",ROUND(SUMIFS(الإدخالات!$D$2:$D$501,الإدخالات!$C$2:$C$501,$C350)+SUMIFS($F$1:F349,$C$1:C349,$C350)-SUMIFS('الصرف المباشر'!$D$2:$D$501,'الصرف المباشر'!$C$2:$C$501,$C350)-SUMPRODUCT((الطبخات!$B$2:$B$900=$C350)*الطبخات!$C$2:$C$900*COUNTIF('سجل الإنتاج'!$C$2:$C$501,الطبخات!$A$2:$A$900)),3))</f>
        <v/>
      </c>
      <c r="E350" s="15"/>
      <c r="F350" s="19" t="str">
        <f t="shared" si="11"/>
        <v/>
      </c>
      <c r="G350" s="9"/>
      <c r="H350" s="9"/>
    </row>
    <row r="351" spans="1:8" ht="24" customHeight="1">
      <c r="A351" s="5" t="str">
        <f t="shared" si="10"/>
        <v/>
      </c>
      <c r="B351" s="18"/>
      <c r="C351" s="9"/>
      <c r="D351" s="10" t="str">
        <f>IF($C351="","",ROUND(SUMIFS(الإدخالات!$D$2:$D$501,الإدخالات!$C$2:$C$501,$C351)+SUMIFS($F$1:F350,$C$1:C350,$C351)-SUMIFS('الصرف المباشر'!$D$2:$D$501,'الصرف المباشر'!$C$2:$C$501,$C351)-SUMPRODUCT((الطبخات!$B$2:$B$900=$C351)*الطبخات!$C$2:$C$900*COUNTIF('سجل الإنتاج'!$C$2:$C$501,الطبخات!$A$2:$A$900)),3))</f>
        <v/>
      </c>
      <c r="E351" s="15"/>
      <c r="F351" s="19" t="str">
        <f t="shared" si="11"/>
        <v/>
      </c>
      <c r="G351" s="9"/>
      <c r="H351" s="9"/>
    </row>
    <row r="352" spans="1:8" ht="24" customHeight="1">
      <c r="A352" s="5" t="str">
        <f t="shared" si="10"/>
        <v/>
      </c>
      <c r="B352" s="18"/>
      <c r="C352" s="9"/>
      <c r="D352" s="10" t="str">
        <f>IF($C352="","",ROUND(SUMIFS(الإدخالات!$D$2:$D$501,الإدخالات!$C$2:$C$501,$C352)+SUMIFS($F$1:F351,$C$1:C351,$C352)-SUMIFS('الصرف المباشر'!$D$2:$D$501,'الصرف المباشر'!$C$2:$C$501,$C352)-SUMPRODUCT((الطبخات!$B$2:$B$900=$C352)*الطبخات!$C$2:$C$900*COUNTIF('سجل الإنتاج'!$C$2:$C$501,الطبخات!$A$2:$A$900)),3))</f>
        <v/>
      </c>
      <c r="E352" s="15"/>
      <c r="F352" s="19" t="str">
        <f t="shared" si="11"/>
        <v/>
      </c>
      <c r="G352" s="9"/>
      <c r="H352" s="9"/>
    </row>
    <row r="353" spans="1:8" ht="24" customHeight="1">
      <c r="A353" s="5" t="str">
        <f t="shared" si="10"/>
        <v/>
      </c>
      <c r="B353" s="18"/>
      <c r="C353" s="9"/>
      <c r="D353" s="10" t="str">
        <f>IF($C353="","",ROUND(SUMIFS(الإدخالات!$D$2:$D$501,الإدخالات!$C$2:$C$501,$C353)+SUMIFS($F$1:F352,$C$1:C352,$C353)-SUMIFS('الصرف المباشر'!$D$2:$D$501,'الصرف المباشر'!$C$2:$C$501,$C353)-SUMPRODUCT((الطبخات!$B$2:$B$900=$C353)*الطبخات!$C$2:$C$900*COUNTIF('سجل الإنتاج'!$C$2:$C$501,الطبخات!$A$2:$A$900)),3))</f>
        <v/>
      </c>
      <c r="E353" s="15"/>
      <c r="F353" s="19" t="str">
        <f t="shared" si="11"/>
        <v/>
      </c>
      <c r="G353" s="9"/>
      <c r="H353" s="9"/>
    </row>
    <row r="354" spans="1:8" ht="24" customHeight="1">
      <c r="A354" s="5" t="str">
        <f t="shared" si="10"/>
        <v/>
      </c>
      <c r="B354" s="18"/>
      <c r="C354" s="9"/>
      <c r="D354" s="10" t="str">
        <f>IF($C354="","",ROUND(SUMIFS(الإدخالات!$D$2:$D$501,الإدخالات!$C$2:$C$501,$C354)+SUMIFS($F$1:F353,$C$1:C353,$C354)-SUMIFS('الصرف المباشر'!$D$2:$D$501,'الصرف المباشر'!$C$2:$C$501,$C354)-SUMPRODUCT((الطبخات!$B$2:$B$900=$C354)*الطبخات!$C$2:$C$900*COUNTIF('سجل الإنتاج'!$C$2:$C$501,الطبخات!$A$2:$A$900)),3))</f>
        <v/>
      </c>
      <c r="E354" s="15"/>
      <c r="F354" s="19" t="str">
        <f t="shared" si="11"/>
        <v/>
      </c>
      <c r="G354" s="9"/>
      <c r="H354" s="9"/>
    </row>
    <row r="355" spans="1:8" ht="24" customHeight="1">
      <c r="A355" s="5" t="str">
        <f t="shared" si="10"/>
        <v/>
      </c>
      <c r="B355" s="18"/>
      <c r="C355" s="9"/>
      <c r="D355" s="10" t="str">
        <f>IF($C355="","",ROUND(SUMIFS(الإدخالات!$D$2:$D$501,الإدخالات!$C$2:$C$501,$C355)+SUMIFS($F$1:F354,$C$1:C354,$C355)-SUMIFS('الصرف المباشر'!$D$2:$D$501,'الصرف المباشر'!$C$2:$C$501,$C355)-SUMPRODUCT((الطبخات!$B$2:$B$900=$C355)*الطبخات!$C$2:$C$900*COUNTIF('سجل الإنتاج'!$C$2:$C$501,الطبخات!$A$2:$A$900)),3))</f>
        <v/>
      </c>
      <c r="E355" s="15"/>
      <c r="F355" s="19" t="str">
        <f t="shared" si="11"/>
        <v/>
      </c>
      <c r="G355" s="9"/>
      <c r="H355" s="9"/>
    </row>
    <row r="356" spans="1:8" ht="24" customHeight="1">
      <c r="A356" s="5" t="str">
        <f t="shared" si="10"/>
        <v/>
      </c>
      <c r="B356" s="18"/>
      <c r="C356" s="9"/>
      <c r="D356" s="10" t="str">
        <f>IF($C356="","",ROUND(SUMIFS(الإدخالات!$D$2:$D$501,الإدخالات!$C$2:$C$501,$C356)+SUMIFS($F$1:F355,$C$1:C355,$C356)-SUMIFS('الصرف المباشر'!$D$2:$D$501,'الصرف المباشر'!$C$2:$C$501,$C356)-SUMPRODUCT((الطبخات!$B$2:$B$900=$C356)*الطبخات!$C$2:$C$900*COUNTIF('سجل الإنتاج'!$C$2:$C$501,الطبخات!$A$2:$A$900)),3))</f>
        <v/>
      </c>
      <c r="E356" s="15"/>
      <c r="F356" s="19" t="str">
        <f t="shared" si="11"/>
        <v/>
      </c>
      <c r="G356" s="9"/>
      <c r="H356" s="9"/>
    </row>
    <row r="357" spans="1:8" ht="24" customHeight="1">
      <c r="A357" s="5" t="str">
        <f t="shared" si="10"/>
        <v/>
      </c>
      <c r="B357" s="18"/>
      <c r="C357" s="9"/>
      <c r="D357" s="10" t="str">
        <f>IF($C357="","",ROUND(SUMIFS(الإدخالات!$D$2:$D$501,الإدخالات!$C$2:$C$501,$C357)+SUMIFS($F$1:F356,$C$1:C356,$C357)-SUMIFS('الصرف المباشر'!$D$2:$D$501,'الصرف المباشر'!$C$2:$C$501,$C357)-SUMPRODUCT((الطبخات!$B$2:$B$900=$C357)*الطبخات!$C$2:$C$900*COUNTIF('سجل الإنتاج'!$C$2:$C$501,الطبخات!$A$2:$A$900)),3))</f>
        <v/>
      </c>
      <c r="E357" s="15"/>
      <c r="F357" s="19" t="str">
        <f t="shared" si="11"/>
        <v/>
      </c>
      <c r="G357" s="9"/>
      <c r="H357" s="9"/>
    </row>
    <row r="358" spans="1:8" ht="24" customHeight="1">
      <c r="A358" s="5" t="str">
        <f t="shared" si="10"/>
        <v/>
      </c>
      <c r="B358" s="18"/>
      <c r="C358" s="9"/>
      <c r="D358" s="10" t="str">
        <f>IF($C358="","",ROUND(SUMIFS(الإدخالات!$D$2:$D$501,الإدخالات!$C$2:$C$501,$C358)+SUMIFS($F$1:F357,$C$1:C357,$C358)-SUMIFS('الصرف المباشر'!$D$2:$D$501,'الصرف المباشر'!$C$2:$C$501,$C358)-SUMPRODUCT((الطبخات!$B$2:$B$900=$C358)*الطبخات!$C$2:$C$900*COUNTIF('سجل الإنتاج'!$C$2:$C$501,الطبخات!$A$2:$A$900)),3))</f>
        <v/>
      </c>
      <c r="E358" s="15"/>
      <c r="F358" s="19" t="str">
        <f t="shared" si="11"/>
        <v/>
      </c>
      <c r="G358" s="9"/>
      <c r="H358" s="9"/>
    </row>
    <row r="359" spans="1:8" ht="24" customHeight="1">
      <c r="A359" s="5" t="str">
        <f t="shared" si="10"/>
        <v/>
      </c>
      <c r="B359" s="18"/>
      <c r="C359" s="9"/>
      <c r="D359" s="10" t="str">
        <f>IF($C359="","",ROUND(SUMIFS(الإدخالات!$D$2:$D$501,الإدخالات!$C$2:$C$501,$C359)+SUMIFS($F$1:F358,$C$1:C358,$C359)-SUMIFS('الصرف المباشر'!$D$2:$D$501,'الصرف المباشر'!$C$2:$C$501,$C359)-SUMPRODUCT((الطبخات!$B$2:$B$900=$C359)*الطبخات!$C$2:$C$900*COUNTIF('سجل الإنتاج'!$C$2:$C$501,الطبخات!$A$2:$A$900)),3))</f>
        <v/>
      </c>
      <c r="E359" s="15"/>
      <c r="F359" s="19" t="str">
        <f t="shared" si="11"/>
        <v/>
      </c>
      <c r="G359" s="9"/>
      <c r="H359" s="9"/>
    </row>
    <row r="360" spans="1:8" ht="24" customHeight="1">
      <c r="A360" s="5" t="str">
        <f t="shared" si="10"/>
        <v/>
      </c>
      <c r="B360" s="18"/>
      <c r="C360" s="9"/>
      <c r="D360" s="10" t="str">
        <f>IF($C360="","",ROUND(SUMIFS(الإدخالات!$D$2:$D$501,الإدخالات!$C$2:$C$501,$C360)+SUMIFS($F$1:F359,$C$1:C359,$C360)-SUMIFS('الصرف المباشر'!$D$2:$D$501,'الصرف المباشر'!$C$2:$C$501,$C360)-SUMPRODUCT((الطبخات!$B$2:$B$900=$C360)*الطبخات!$C$2:$C$900*COUNTIF('سجل الإنتاج'!$C$2:$C$501,الطبخات!$A$2:$A$900)),3))</f>
        <v/>
      </c>
      <c r="E360" s="15"/>
      <c r="F360" s="19" t="str">
        <f t="shared" si="11"/>
        <v/>
      </c>
      <c r="G360" s="9"/>
      <c r="H360" s="9"/>
    </row>
    <row r="361" spans="1:8" ht="24" customHeight="1">
      <c r="A361" s="5" t="str">
        <f t="shared" si="10"/>
        <v/>
      </c>
      <c r="B361" s="18"/>
      <c r="C361" s="9"/>
      <c r="D361" s="10" t="str">
        <f>IF($C361="","",ROUND(SUMIFS(الإدخالات!$D$2:$D$501,الإدخالات!$C$2:$C$501,$C361)+SUMIFS($F$1:F360,$C$1:C360,$C361)-SUMIFS('الصرف المباشر'!$D$2:$D$501,'الصرف المباشر'!$C$2:$C$501,$C361)-SUMPRODUCT((الطبخات!$B$2:$B$900=$C361)*الطبخات!$C$2:$C$900*COUNTIF('سجل الإنتاج'!$C$2:$C$501,الطبخات!$A$2:$A$900)),3))</f>
        <v/>
      </c>
      <c r="E361" s="15"/>
      <c r="F361" s="19" t="str">
        <f t="shared" si="11"/>
        <v/>
      </c>
      <c r="G361" s="9"/>
      <c r="H361" s="9"/>
    </row>
    <row r="362" spans="1:8" ht="24" customHeight="1">
      <c r="A362" s="5" t="str">
        <f t="shared" si="10"/>
        <v/>
      </c>
      <c r="B362" s="18"/>
      <c r="C362" s="9"/>
      <c r="D362" s="10" t="str">
        <f>IF($C362="","",ROUND(SUMIFS(الإدخالات!$D$2:$D$501,الإدخالات!$C$2:$C$501,$C362)+SUMIFS($F$1:F361,$C$1:C361,$C362)-SUMIFS('الصرف المباشر'!$D$2:$D$501,'الصرف المباشر'!$C$2:$C$501,$C362)-SUMPRODUCT((الطبخات!$B$2:$B$900=$C362)*الطبخات!$C$2:$C$900*COUNTIF('سجل الإنتاج'!$C$2:$C$501,الطبخات!$A$2:$A$900)),3))</f>
        <v/>
      </c>
      <c r="E362" s="15"/>
      <c r="F362" s="19" t="str">
        <f t="shared" si="11"/>
        <v/>
      </c>
      <c r="G362" s="9"/>
      <c r="H362" s="9"/>
    </row>
    <row r="363" spans="1:8" ht="24" customHeight="1">
      <c r="A363" s="5" t="str">
        <f t="shared" si="10"/>
        <v/>
      </c>
      <c r="B363" s="18"/>
      <c r="C363" s="9"/>
      <c r="D363" s="10" t="str">
        <f>IF($C363="","",ROUND(SUMIFS(الإدخالات!$D$2:$D$501,الإدخالات!$C$2:$C$501,$C363)+SUMIFS($F$1:F362,$C$1:C362,$C363)-SUMIFS('الصرف المباشر'!$D$2:$D$501,'الصرف المباشر'!$C$2:$C$501,$C363)-SUMPRODUCT((الطبخات!$B$2:$B$900=$C363)*الطبخات!$C$2:$C$900*COUNTIF('سجل الإنتاج'!$C$2:$C$501,الطبخات!$A$2:$A$900)),3))</f>
        <v/>
      </c>
      <c r="E363" s="15"/>
      <c r="F363" s="19" t="str">
        <f t="shared" si="11"/>
        <v/>
      </c>
      <c r="G363" s="9"/>
      <c r="H363" s="9"/>
    </row>
    <row r="364" spans="1:8" ht="24" customHeight="1">
      <c r="A364" s="5" t="str">
        <f t="shared" si="10"/>
        <v/>
      </c>
      <c r="B364" s="18"/>
      <c r="C364" s="9"/>
      <c r="D364" s="10" t="str">
        <f>IF($C364="","",ROUND(SUMIFS(الإدخالات!$D$2:$D$501,الإدخالات!$C$2:$C$501,$C364)+SUMIFS($F$1:F363,$C$1:C363,$C364)-SUMIFS('الصرف المباشر'!$D$2:$D$501,'الصرف المباشر'!$C$2:$C$501,$C364)-SUMPRODUCT((الطبخات!$B$2:$B$900=$C364)*الطبخات!$C$2:$C$900*COUNTIF('سجل الإنتاج'!$C$2:$C$501,الطبخات!$A$2:$A$900)),3))</f>
        <v/>
      </c>
      <c r="E364" s="15"/>
      <c r="F364" s="19" t="str">
        <f t="shared" si="11"/>
        <v/>
      </c>
      <c r="G364" s="9"/>
      <c r="H364" s="9"/>
    </row>
    <row r="365" spans="1:8" ht="24" customHeight="1">
      <c r="A365" s="5" t="str">
        <f t="shared" si="10"/>
        <v/>
      </c>
      <c r="B365" s="18"/>
      <c r="C365" s="9"/>
      <c r="D365" s="10" t="str">
        <f>IF($C365="","",ROUND(SUMIFS(الإدخالات!$D$2:$D$501,الإدخالات!$C$2:$C$501,$C365)+SUMIFS($F$1:F364,$C$1:C364,$C365)-SUMIFS('الصرف المباشر'!$D$2:$D$501,'الصرف المباشر'!$C$2:$C$501,$C365)-SUMPRODUCT((الطبخات!$B$2:$B$900=$C365)*الطبخات!$C$2:$C$900*COUNTIF('سجل الإنتاج'!$C$2:$C$501,الطبخات!$A$2:$A$900)),3))</f>
        <v/>
      </c>
      <c r="E365" s="15"/>
      <c r="F365" s="19" t="str">
        <f t="shared" si="11"/>
        <v/>
      </c>
      <c r="G365" s="9"/>
      <c r="H365" s="9"/>
    </row>
    <row r="366" spans="1:8" ht="24" customHeight="1">
      <c r="A366" s="5" t="str">
        <f t="shared" si="10"/>
        <v/>
      </c>
      <c r="B366" s="18"/>
      <c r="C366" s="9"/>
      <c r="D366" s="10" t="str">
        <f>IF($C366="","",ROUND(SUMIFS(الإدخالات!$D$2:$D$501,الإدخالات!$C$2:$C$501,$C366)+SUMIFS($F$1:F365,$C$1:C365,$C366)-SUMIFS('الصرف المباشر'!$D$2:$D$501,'الصرف المباشر'!$C$2:$C$501,$C366)-SUMPRODUCT((الطبخات!$B$2:$B$900=$C366)*الطبخات!$C$2:$C$900*COUNTIF('سجل الإنتاج'!$C$2:$C$501,الطبخات!$A$2:$A$900)),3))</f>
        <v/>
      </c>
      <c r="E366" s="15"/>
      <c r="F366" s="19" t="str">
        <f t="shared" si="11"/>
        <v/>
      </c>
      <c r="G366" s="9"/>
      <c r="H366" s="9"/>
    </row>
    <row r="367" spans="1:8" ht="24" customHeight="1">
      <c r="A367" s="5" t="str">
        <f t="shared" si="10"/>
        <v/>
      </c>
      <c r="B367" s="18"/>
      <c r="C367" s="9"/>
      <c r="D367" s="10" t="str">
        <f>IF($C367="","",ROUND(SUMIFS(الإدخالات!$D$2:$D$501,الإدخالات!$C$2:$C$501,$C367)+SUMIFS($F$1:F366,$C$1:C366,$C367)-SUMIFS('الصرف المباشر'!$D$2:$D$501,'الصرف المباشر'!$C$2:$C$501,$C367)-SUMPRODUCT((الطبخات!$B$2:$B$900=$C367)*الطبخات!$C$2:$C$900*COUNTIF('سجل الإنتاج'!$C$2:$C$501,الطبخات!$A$2:$A$900)),3))</f>
        <v/>
      </c>
      <c r="E367" s="15"/>
      <c r="F367" s="19" t="str">
        <f t="shared" si="11"/>
        <v/>
      </c>
      <c r="G367" s="9"/>
      <c r="H367" s="9"/>
    </row>
    <row r="368" spans="1:8" ht="24" customHeight="1">
      <c r="A368" s="5" t="str">
        <f t="shared" si="10"/>
        <v/>
      </c>
      <c r="B368" s="18"/>
      <c r="C368" s="9"/>
      <c r="D368" s="10" t="str">
        <f>IF($C368="","",ROUND(SUMIFS(الإدخالات!$D$2:$D$501,الإدخالات!$C$2:$C$501,$C368)+SUMIFS($F$1:F367,$C$1:C367,$C368)-SUMIFS('الصرف المباشر'!$D$2:$D$501,'الصرف المباشر'!$C$2:$C$501,$C368)-SUMPRODUCT((الطبخات!$B$2:$B$900=$C368)*الطبخات!$C$2:$C$900*COUNTIF('سجل الإنتاج'!$C$2:$C$501,الطبخات!$A$2:$A$900)),3))</f>
        <v/>
      </c>
      <c r="E368" s="15"/>
      <c r="F368" s="19" t="str">
        <f t="shared" si="11"/>
        <v/>
      </c>
      <c r="G368" s="9"/>
      <c r="H368" s="9"/>
    </row>
    <row r="369" spans="1:8" ht="24" customHeight="1">
      <c r="A369" s="5" t="str">
        <f t="shared" si="10"/>
        <v/>
      </c>
      <c r="B369" s="18"/>
      <c r="C369" s="9"/>
      <c r="D369" s="10" t="str">
        <f>IF($C369="","",ROUND(SUMIFS(الإدخالات!$D$2:$D$501,الإدخالات!$C$2:$C$501,$C369)+SUMIFS($F$1:F368,$C$1:C368,$C369)-SUMIFS('الصرف المباشر'!$D$2:$D$501,'الصرف المباشر'!$C$2:$C$501,$C369)-SUMPRODUCT((الطبخات!$B$2:$B$900=$C369)*الطبخات!$C$2:$C$900*COUNTIF('سجل الإنتاج'!$C$2:$C$501,الطبخات!$A$2:$A$900)),3))</f>
        <v/>
      </c>
      <c r="E369" s="15"/>
      <c r="F369" s="19" t="str">
        <f t="shared" si="11"/>
        <v/>
      </c>
      <c r="G369" s="9"/>
      <c r="H369" s="9"/>
    </row>
    <row r="370" spans="1:8" ht="24" customHeight="1">
      <c r="A370" s="5" t="str">
        <f t="shared" si="10"/>
        <v/>
      </c>
      <c r="B370" s="18"/>
      <c r="C370" s="9"/>
      <c r="D370" s="10" t="str">
        <f>IF($C370="","",ROUND(SUMIFS(الإدخالات!$D$2:$D$501,الإدخالات!$C$2:$C$501,$C370)+SUMIFS($F$1:F369,$C$1:C369,$C370)-SUMIFS('الصرف المباشر'!$D$2:$D$501,'الصرف المباشر'!$C$2:$C$501,$C370)-SUMPRODUCT((الطبخات!$B$2:$B$900=$C370)*الطبخات!$C$2:$C$900*COUNTIF('سجل الإنتاج'!$C$2:$C$501,الطبخات!$A$2:$A$900)),3))</f>
        <v/>
      </c>
      <c r="E370" s="15"/>
      <c r="F370" s="19" t="str">
        <f t="shared" si="11"/>
        <v/>
      </c>
      <c r="G370" s="9"/>
      <c r="H370" s="9"/>
    </row>
    <row r="371" spans="1:8" ht="24" customHeight="1">
      <c r="A371" s="5" t="str">
        <f t="shared" si="10"/>
        <v/>
      </c>
      <c r="B371" s="18"/>
      <c r="C371" s="9"/>
      <c r="D371" s="10" t="str">
        <f>IF($C371="","",ROUND(SUMIFS(الإدخالات!$D$2:$D$501,الإدخالات!$C$2:$C$501,$C371)+SUMIFS($F$1:F370,$C$1:C370,$C371)-SUMIFS('الصرف المباشر'!$D$2:$D$501,'الصرف المباشر'!$C$2:$C$501,$C371)-SUMPRODUCT((الطبخات!$B$2:$B$900=$C371)*الطبخات!$C$2:$C$900*COUNTIF('سجل الإنتاج'!$C$2:$C$501,الطبخات!$A$2:$A$900)),3))</f>
        <v/>
      </c>
      <c r="E371" s="15"/>
      <c r="F371" s="19" t="str">
        <f t="shared" si="11"/>
        <v/>
      </c>
      <c r="G371" s="9"/>
      <c r="H371" s="9"/>
    </row>
    <row r="372" spans="1:8" ht="24" customHeight="1">
      <c r="A372" s="5" t="str">
        <f t="shared" si="10"/>
        <v/>
      </c>
      <c r="B372" s="18"/>
      <c r="C372" s="9"/>
      <c r="D372" s="10" t="str">
        <f>IF($C372="","",ROUND(SUMIFS(الإدخالات!$D$2:$D$501,الإدخالات!$C$2:$C$501,$C372)+SUMIFS($F$1:F371,$C$1:C371,$C372)-SUMIFS('الصرف المباشر'!$D$2:$D$501,'الصرف المباشر'!$C$2:$C$501,$C372)-SUMPRODUCT((الطبخات!$B$2:$B$900=$C372)*الطبخات!$C$2:$C$900*COUNTIF('سجل الإنتاج'!$C$2:$C$501,الطبخات!$A$2:$A$900)),3))</f>
        <v/>
      </c>
      <c r="E372" s="15"/>
      <c r="F372" s="19" t="str">
        <f t="shared" si="11"/>
        <v/>
      </c>
      <c r="G372" s="9"/>
      <c r="H372" s="9"/>
    </row>
    <row r="373" spans="1:8" ht="24" customHeight="1">
      <c r="A373" s="5" t="str">
        <f t="shared" si="10"/>
        <v/>
      </c>
      <c r="B373" s="18"/>
      <c r="C373" s="9"/>
      <c r="D373" s="10" t="str">
        <f>IF($C373="","",ROUND(SUMIFS(الإدخالات!$D$2:$D$501,الإدخالات!$C$2:$C$501,$C373)+SUMIFS($F$1:F372,$C$1:C372,$C373)-SUMIFS('الصرف المباشر'!$D$2:$D$501,'الصرف المباشر'!$C$2:$C$501,$C373)-SUMPRODUCT((الطبخات!$B$2:$B$900=$C373)*الطبخات!$C$2:$C$900*COUNTIF('سجل الإنتاج'!$C$2:$C$501,الطبخات!$A$2:$A$900)),3))</f>
        <v/>
      </c>
      <c r="E373" s="15"/>
      <c r="F373" s="19" t="str">
        <f t="shared" si="11"/>
        <v/>
      </c>
      <c r="G373" s="9"/>
      <c r="H373" s="9"/>
    </row>
    <row r="374" spans="1:8" ht="24" customHeight="1">
      <c r="A374" s="5" t="str">
        <f t="shared" si="10"/>
        <v/>
      </c>
      <c r="B374" s="18"/>
      <c r="C374" s="9"/>
      <c r="D374" s="10" t="str">
        <f>IF($C374="","",ROUND(SUMIFS(الإدخالات!$D$2:$D$501,الإدخالات!$C$2:$C$501,$C374)+SUMIFS($F$1:F373,$C$1:C373,$C374)-SUMIFS('الصرف المباشر'!$D$2:$D$501,'الصرف المباشر'!$C$2:$C$501,$C374)-SUMPRODUCT((الطبخات!$B$2:$B$900=$C374)*الطبخات!$C$2:$C$900*COUNTIF('سجل الإنتاج'!$C$2:$C$501,الطبخات!$A$2:$A$900)),3))</f>
        <v/>
      </c>
      <c r="E374" s="15"/>
      <c r="F374" s="19" t="str">
        <f t="shared" si="11"/>
        <v/>
      </c>
      <c r="G374" s="9"/>
      <c r="H374" s="9"/>
    </row>
    <row r="375" spans="1:8" ht="24" customHeight="1">
      <c r="A375" s="5" t="str">
        <f t="shared" si="10"/>
        <v/>
      </c>
      <c r="B375" s="18"/>
      <c r="C375" s="9"/>
      <c r="D375" s="10" t="str">
        <f>IF($C375="","",ROUND(SUMIFS(الإدخالات!$D$2:$D$501,الإدخالات!$C$2:$C$501,$C375)+SUMIFS($F$1:F374,$C$1:C374,$C375)-SUMIFS('الصرف المباشر'!$D$2:$D$501,'الصرف المباشر'!$C$2:$C$501,$C375)-SUMPRODUCT((الطبخات!$B$2:$B$900=$C375)*الطبخات!$C$2:$C$900*COUNTIF('سجل الإنتاج'!$C$2:$C$501,الطبخات!$A$2:$A$900)),3))</f>
        <v/>
      </c>
      <c r="E375" s="15"/>
      <c r="F375" s="19" t="str">
        <f t="shared" si="11"/>
        <v/>
      </c>
      <c r="G375" s="9"/>
      <c r="H375" s="9"/>
    </row>
    <row r="376" spans="1:8" ht="24" customHeight="1">
      <c r="A376" s="5" t="str">
        <f t="shared" si="10"/>
        <v/>
      </c>
      <c r="B376" s="18"/>
      <c r="C376" s="9"/>
      <c r="D376" s="10" t="str">
        <f>IF($C376="","",ROUND(SUMIFS(الإدخالات!$D$2:$D$501,الإدخالات!$C$2:$C$501,$C376)+SUMIFS($F$1:F375,$C$1:C375,$C376)-SUMIFS('الصرف المباشر'!$D$2:$D$501,'الصرف المباشر'!$C$2:$C$501,$C376)-SUMPRODUCT((الطبخات!$B$2:$B$900=$C376)*الطبخات!$C$2:$C$900*COUNTIF('سجل الإنتاج'!$C$2:$C$501,الطبخات!$A$2:$A$900)),3))</f>
        <v/>
      </c>
      <c r="E376" s="15"/>
      <c r="F376" s="19" t="str">
        <f t="shared" si="11"/>
        <v/>
      </c>
      <c r="G376" s="9"/>
      <c r="H376" s="9"/>
    </row>
    <row r="377" spans="1:8" ht="24" customHeight="1">
      <c r="A377" s="5" t="str">
        <f t="shared" si="10"/>
        <v/>
      </c>
      <c r="B377" s="18"/>
      <c r="C377" s="9"/>
      <c r="D377" s="10" t="str">
        <f>IF($C377="","",ROUND(SUMIFS(الإدخالات!$D$2:$D$501,الإدخالات!$C$2:$C$501,$C377)+SUMIFS($F$1:F376,$C$1:C376,$C377)-SUMIFS('الصرف المباشر'!$D$2:$D$501,'الصرف المباشر'!$C$2:$C$501,$C377)-SUMPRODUCT((الطبخات!$B$2:$B$900=$C377)*الطبخات!$C$2:$C$900*COUNTIF('سجل الإنتاج'!$C$2:$C$501,الطبخات!$A$2:$A$900)),3))</f>
        <v/>
      </c>
      <c r="E377" s="15"/>
      <c r="F377" s="19" t="str">
        <f t="shared" si="11"/>
        <v/>
      </c>
      <c r="G377" s="9"/>
      <c r="H377" s="9"/>
    </row>
    <row r="378" spans="1:8" ht="24" customHeight="1">
      <c r="A378" s="5" t="str">
        <f t="shared" si="10"/>
        <v/>
      </c>
      <c r="B378" s="18"/>
      <c r="C378" s="9"/>
      <c r="D378" s="10" t="str">
        <f>IF($C378="","",ROUND(SUMIFS(الإدخالات!$D$2:$D$501,الإدخالات!$C$2:$C$501,$C378)+SUMIFS($F$1:F377,$C$1:C377,$C378)-SUMIFS('الصرف المباشر'!$D$2:$D$501,'الصرف المباشر'!$C$2:$C$501,$C378)-SUMPRODUCT((الطبخات!$B$2:$B$900=$C378)*الطبخات!$C$2:$C$900*COUNTIF('سجل الإنتاج'!$C$2:$C$501,الطبخات!$A$2:$A$900)),3))</f>
        <v/>
      </c>
      <c r="E378" s="15"/>
      <c r="F378" s="19" t="str">
        <f t="shared" si="11"/>
        <v/>
      </c>
      <c r="G378" s="9"/>
      <c r="H378" s="9"/>
    </row>
    <row r="379" spans="1:8" ht="24" customHeight="1">
      <c r="A379" s="5" t="str">
        <f t="shared" si="10"/>
        <v/>
      </c>
      <c r="B379" s="18"/>
      <c r="C379" s="9"/>
      <c r="D379" s="10" t="str">
        <f>IF($C379="","",ROUND(SUMIFS(الإدخالات!$D$2:$D$501,الإدخالات!$C$2:$C$501,$C379)+SUMIFS($F$1:F378,$C$1:C378,$C379)-SUMIFS('الصرف المباشر'!$D$2:$D$501,'الصرف المباشر'!$C$2:$C$501,$C379)-SUMPRODUCT((الطبخات!$B$2:$B$900=$C379)*الطبخات!$C$2:$C$900*COUNTIF('سجل الإنتاج'!$C$2:$C$501,الطبخات!$A$2:$A$900)),3))</f>
        <v/>
      </c>
      <c r="E379" s="15"/>
      <c r="F379" s="19" t="str">
        <f t="shared" si="11"/>
        <v/>
      </c>
      <c r="G379" s="9"/>
      <c r="H379" s="9"/>
    </row>
    <row r="380" spans="1:8" ht="24" customHeight="1">
      <c r="A380" s="5" t="str">
        <f t="shared" si="10"/>
        <v/>
      </c>
      <c r="B380" s="18"/>
      <c r="C380" s="9"/>
      <c r="D380" s="10" t="str">
        <f>IF($C380="","",ROUND(SUMIFS(الإدخالات!$D$2:$D$501,الإدخالات!$C$2:$C$501,$C380)+SUMIFS($F$1:F379,$C$1:C379,$C380)-SUMIFS('الصرف المباشر'!$D$2:$D$501,'الصرف المباشر'!$C$2:$C$501,$C380)-SUMPRODUCT((الطبخات!$B$2:$B$900=$C380)*الطبخات!$C$2:$C$900*COUNTIF('سجل الإنتاج'!$C$2:$C$501,الطبخات!$A$2:$A$900)),3))</f>
        <v/>
      </c>
      <c r="E380" s="15"/>
      <c r="F380" s="19" t="str">
        <f t="shared" si="11"/>
        <v/>
      </c>
      <c r="G380" s="9"/>
      <c r="H380" s="9"/>
    </row>
    <row r="381" spans="1:8" ht="24" customHeight="1">
      <c r="A381" s="5" t="str">
        <f t="shared" si="10"/>
        <v/>
      </c>
      <c r="B381" s="18"/>
      <c r="C381" s="9"/>
      <c r="D381" s="10" t="str">
        <f>IF($C381="","",ROUND(SUMIFS(الإدخالات!$D$2:$D$501,الإدخالات!$C$2:$C$501,$C381)+SUMIFS($F$1:F380,$C$1:C380,$C381)-SUMIFS('الصرف المباشر'!$D$2:$D$501,'الصرف المباشر'!$C$2:$C$501,$C381)-SUMPRODUCT((الطبخات!$B$2:$B$900=$C381)*الطبخات!$C$2:$C$900*COUNTIF('سجل الإنتاج'!$C$2:$C$501,الطبخات!$A$2:$A$900)),3))</f>
        <v/>
      </c>
      <c r="E381" s="15"/>
      <c r="F381" s="19" t="str">
        <f t="shared" si="11"/>
        <v/>
      </c>
      <c r="G381" s="9"/>
      <c r="H381" s="9"/>
    </row>
    <row r="382" spans="1:8" ht="24" customHeight="1">
      <c r="A382" s="5" t="str">
        <f t="shared" si="10"/>
        <v/>
      </c>
      <c r="B382" s="18"/>
      <c r="C382" s="9"/>
      <c r="D382" s="10" t="str">
        <f>IF($C382="","",ROUND(SUMIFS(الإدخالات!$D$2:$D$501,الإدخالات!$C$2:$C$501,$C382)+SUMIFS($F$1:F381,$C$1:C381,$C382)-SUMIFS('الصرف المباشر'!$D$2:$D$501,'الصرف المباشر'!$C$2:$C$501,$C382)-SUMPRODUCT((الطبخات!$B$2:$B$900=$C382)*الطبخات!$C$2:$C$900*COUNTIF('سجل الإنتاج'!$C$2:$C$501,الطبخات!$A$2:$A$900)),3))</f>
        <v/>
      </c>
      <c r="E382" s="15"/>
      <c r="F382" s="19" t="str">
        <f t="shared" si="11"/>
        <v/>
      </c>
      <c r="G382" s="9"/>
      <c r="H382" s="9"/>
    </row>
    <row r="383" spans="1:8" ht="24" customHeight="1">
      <c r="A383" s="5" t="str">
        <f t="shared" si="10"/>
        <v/>
      </c>
      <c r="B383" s="18"/>
      <c r="C383" s="9"/>
      <c r="D383" s="10" t="str">
        <f>IF($C383="","",ROUND(SUMIFS(الإدخالات!$D$2:$D$501,الإدخالات!$C$2:$C$501,$C383)+SUMIFS($F$1:F382,$C$1:C382,$C383)-SUMIFS('الصرف المباشر'!$D$2:$D$501,'الصرف المباشر'!$C$2:$C$501,$C383)-SUMPRODUCT((الطبخات!$B$2:$B$900=$C383)*الطبخات!$C$2:$C$900*COUNTIF('سجل الإنتاج'!$C$2:$C$501,الطبخات!$A$2:$A$900)),3))</f>
        <v/>
      </c>
      <c r="E383" s="15"/>
      <c r="F383" s="19" t="str">
        <f t="shared" si="11"/>
        <v/>
      </c>
      <c r="G383" s="9"/>
      <c r="H383" s="9"/>
    </row>
    <row r="384" spans="1:8" ht="24" customHeight="1">
      <c r="A384" s="5" t="str">
        <f t="shared" si="10"/>
        <v/>
      </c>
      <c r="B384" s="18"/>
      <c r="C384" s="9"/>
      <c r="D384" s="10" t="str">
        <f>IF($C384="","",ROUND(SUMIFS(الإدخالات!$D$2:$D$501,الإدخالات!$C$2:$C$501,$C384)+SUMIFS($F$1:F383,$C$1:C383,$C384)-SUMIFS('الصرف المباشر'!$D$2:$D$501,'الصرف المباشر'!$C$2:$C$501,$C384)-SUMPRODUCT((الطبخات!$B$2:$B$900=$C384)*الطبخات!$C$2:$C$900*COUNTIF('سجل الإنتاج'!$C$2:$C$501,الطبخات!$A$2:$A$900)),3))</f>
        <v/>
      </c>
      <c r="E384" s="15"/>
      <c r="F384" s="19" t="str">
        <f t="shared" si="11"/>
        <v/>
      </c>
      <c r="G384" s="9"/>
      <c r="H384" s="9"/>
    </row>
    <row r="385" spans="1:8" ht="24" customHeight="1">
      <c r="A385" s="5" t="str">
        <f t="shared" si="10"/>
        <v/>
      </c>
      <c r="B385" s="18"/>
      <c r="C385" s="9"/>
      <c r="D385" s="10" t="str">
        <f>IF($C385="","",ROUND(SUMIFS(الإدخالات!$D$2:$D$501,الإدخالات!$C$2:$C$501,$C385)+SUMIFS($F$1:F384,$C$1:C384,$C385)-SUMIFS('الصرف المباشر'!$D$2:$D$501,'الصرف المباشر'!$C$2:$C$501,$C385)-SUMPRODUCT((الطبخات!$B$2:$B$900=$C385)*الطبخات!$C$2:$C$900*COUNTIF('سجل الإنتاج'!$C$2:$C$501,الطبخات!$A$2:$A$900)),3))</f>
        <v/>
      </c>
      <c r="E385" s="15"/>
      <c r="F385" s="19" t="str">
        <f t="shared" si="11"/>
        <v/>
      </c>
      <c r="G385" s="9"/>
      <c r="H385" s="9"/>
    </row>
    <row r="386" spans="1:8" ht="24" customHeight="1">
      <c r="A386" s="5" t="str">
        <f t="shared" ref="A386:A449" si="12">IF(C386="","",ROW()-1)</f>
        <v/>
      </c>
      <c r="B386" s="18"/>
      <c r="C386" s="9"/>
      <c r="D386" s="10" t="str">
        <f>IF($C386="","",ROUND(SUMIFS(الإدخالات!$D$2:$D$501,الإدخالات!$C$2:$C$501,$C386)+SUMIFS($F$1:F385,$C$1:C385,$C386)-SUMIFS('الصرف المباشر'!$D$2:$D$501,'الصرف المباشر'!$C$2:$C$501,$C386)-SUMPRODUCT((الطبخات!$B$2:$B$900=$C386)*الطبخات!$C$2:$C$900*COUNTIF('سجل الإنتاج'!$C$2:$C$501,الطبخات!$A$2:$A$900)),3))</f>
        <v/>
      </c>
      <c r="E386" s="15"/>
      <c r="F386" s="19" t="str">
        <f t="shared" ref="F386:F449" si="13">IF(OR($C386="",$E386=""),"",ROUND($E386-$D386,3))</f>
        <v/>
      </c>
      <c r="G386" s="9"/>
      <c r="H386" s="9"/>
    </row>
    <row r="387" spans="1:8" ht="24" customHeight="1">
      <c r="A387" s="5" t="str">
        <f t="shared" si="12"/>
        <v/>
      </c>
      <c r="B387" s="18"/>
      <c r="C387" s="9"/>
      <c r="D387" s="10" t="str">
        <f>IF($C387="","",ROUND(SUMIFS(الإدخالات!$D$2:$D$501,الإدخالات!$C$2:$C$501,$C387)+SUMIFS($F$1:F386,$C$1:C386,$C387)-SUMIFS('الصرف المباشر'!$D$2:$D$501,'الصرف المباشر'!$C$2:$C$501,$C387)-SUMPRODUCT((الطبخات!$B$2:$B$900=$C387)*الطبخات!$C$2:$C$900*COUNTIF('سجل الإنتاج'!$C$2:$C$501,الطبخات!$A$2:$A$900)),3))</f>
        <v/>
      </c>
      <c r="E387" s="15"/>
      <c r="F387" s="19" t="str">
        <f t="shared" si="13"/>
        <v/>
      </c>
      <c r="G387" s="9"/>
      <c r="H387" s="9"/>
    </row>
    <row r="388" spans="1:8" ht="24" customHeight="1">
      <c r="A388" s="5" t="str">
        <f t="shared" si="12"/>
        <v/>
      </c>
      <c r="B388" s="18"/>
      <c r="C388" s="9"/>
      <c r="D388" s="10" t="str">
        <f>IF($C388="","",ROUND(SUMIFS(الإدخالات!$D$2:$D$501,الإدخالات!$C$2:$C$501,$C388)+SUMIFS($F$1:F387,$C$1:C387,$C388)-SUMIFS('الصرف المباشر'!$D$2:$D$501,'الصرف المباشر'!$C$2:$C$501,$C388)-SUMPRODUCT((الطبخات!$B$2:$B$900=$C388)*الطبخات!$C$2:$C$900*COUNTIF('سجل الإنتاج'!$C$2:$C$501,الطبخات!$A$2:$A$900)),3))</f>
        <v/>
      </c>
      <c r="E388" s="15"/>
      <c r="F388" s="19" t="str">
        <f t="shared" si="13"/>
        <v/>
      </c>
      <c r="G388" s="9"/>
      <c r="H388" s="9"/>
    </row>
    <row r="389" spans="1:8" ht="24" customHeight="1">
      <c r="A389" s="5" t="str">
        <f t="shared" si="12"/>
        <v/>
      </c>
      <c r="B389" s="18"/>
      <c r="C389" s="9"/>
      <c r="D389" s="10" t="str">
        <f>IF($C389="","",ROUND(SUMIFS(الإدخالات!$D$2:$D$501,الإدخالات!$C$2:$C$501,$C389)+SUMIFS($F$1:F388,$C$1:C388,$C389)-SUMIFS('الصرف المباشر'!$D$2:$D$501,'الصرف المباشر'!$C$2:$C$501,$C389)-SUMPRODUCT((الطبخات!$B$2:$B$900=$C389)*الطبخات!$C$2:$C$900*COUNTIF('سجل الإنتاج'!$C$2:$C$501,الطبخات!$A$2:$A$900)),3))</f>
        <v/>
      </c>
      <c r="E389" s="15"/>
      <c r="F389" s="19" t="str">
        <f t="shared" si="13"/>
        <v/>
      </c>
      <c r="G389" s="9"/>
      <c r="H389" s="9"/>
    </row>
    <row r="390" spans="1:8" ht="24" customHeight="1">
      <c r="A390" s="5" t="str">
        <f t="shared" si="12"/>
        <v/>
      </c>
      <c r="B390" s="18"/>
      <c r="C390" s="9"/>
      <c r="D390" s="10" t="str">
        <f>IF($C390="","",ROUND(SUMIFS(الإدخالات!$D$2:$D$501,الإدخالات!$C$2:$C$501,$C390)+SUMIFS($F$1:F389,$C$1:C389,$C390)-SUMIFS('الصرف المباشر'!$D$2:$D$501,'الصرف المباشر'!$C$2:$C$501,$C390)-SUMPRODUCT((الطبخات!$B$2:$B$900=$C390)*الطبخات!$C$2:$C$900*COUNTIF('سجل الإنتاج'!$C$2:$C$501,الطبخات!$A$2:$A$900)),3))</f>
        <v/>
      </c>
      <c r="E390" s="15"/>
      <c r="F390" s="19" t="str">
        <f t="shared" si="13"/>
        <v/>
      </c>
      <c r="G390" s="9"/>
      <c r="H390" s="9"/>
    </row>
    <row r="391" spans="1:8" ht="24" customHeight="1">
      <c r="A391" s="5" t="str">
        <f t="shared" si="12"/>
        <v/>
      </c>
      <c r="B391" s="18"/>
      <c r="C391" s="9"/>
      <c r="D391" s="10" t="str">
        <f>IF($C391="","",ROUND(SUMIFS(الإدخالات!$D$2:$D$501,الإدخالات!$C$2:$C$501,$C391)+SUMIFS($F$1:F390,$C$1:C390,$C391)-SUMIFS('الصرف المباشر'!$D$2:$D$501,'الصرف المباشر'!$C$2:$C$501,$C391)-SUMPRODUCT((الطبخات!$B$2:$B$900=$C391)*الطبخات!$C$2:$C$900*COUNTIF('سجل الإنتاج'!$C$2:$C$501,الطبخات!$A$2:$A$900)),3))</f>
        <v/>
      </c>
      <c r="E391" s="15"/>
      <c r="F391" s="19" t="str">
        <f t="shared" si="13"/>
        <v/>
      </c>
      <c r="G391" s="9"/>
      <c r="H391" s="9"/>
    </row>
    <row r="392" spans="1:8" ht="24" customHeight="1">
      <c r="A392" s="5" t="str">
        <f t="shared" si="12"/>
        <v/>
      </c>
      <c r="B392" s="18"/>
      <c r="C392" s="9"/>
      <c r="D392" s="10" t="str">
        <f>IF($C392="","",ROUND(SUMIFS(الإدخالات!$D$2:$D$501,الإدخالات!$C$2:$C$501,$C392)+SUMIFS($F$1:F391,$C$1:C391,$C392)-SUMIFS('الصرف المباشر'!$D$2:$D$501,'الصرف المباشر'!$C$2:$C$501,$C392)-SUMPRODUCT((الطبخات!$B$2:$B$900=$C392)*الطبخات!$C$2:$C$900*COUNTIF('سجل الإنتاج'!$C$2:$C$501,الطبخات!$A$2:$A$900)),3))</f>
        <v/>
      </c>
      <c r="E392" s="15"/>
      <c r="F392" s="19" t="str">
        <f t="shared" si="13"/>
        <v/>
      </c>
      <c r="G392" s="9"/>
      <c r="H392" s="9"/>
    </row>
    <row r="393" spans="1:8" ht="24" customHeight="1">
      <c r="A393" s="5" t="str">
        <f t="shared" si="12"/>
        <v/>
      </c>
      <c r="B393" s="18"/>
      <c r="C393" s="9"/>
      <c r="D393" s="10" t="str">
        <f>IF($C393="","",ROUND(SUMIFS(الإدخالات!$D$2:$D$501,الإدخالات!$C$2:$C$501,$C393)+SUMIFS($F$1:F392,$C$1:C392,$C393)-SUMIFS('الصرف المباشر'!$D$2:$D$501,'الصرف المباشر'!$C$2:$C$501,$C393)-SUMPRODUCT((الطبخات!$B$2:$B$900=$C393)*الطبخات!$C$2:$C$900*COUNTIF('سجل الإنتاج'!$C$2:$C$501,الطبخات!$A$2:$A$900)),3))</f>
        <v/>
      </c>
      <c r="E393" s="15"/>
      <c r="F393" s="19" t="str">
        <f t="shared" si="13"/>
        <v/>
      </c>
      <c r="G393" s="9"/>
      <c r="H393" s="9"/>
    </row>
    <row r="394" spans="1:8" ht="24" customHeight="1">
      <c r="A394" s="5" t="str">
        <f t="shared" si="12"/>
        <v/>
      </c>
      <c r="B394" s="18"/>
      <c r="C394" s="9"/>
      <c r="D394" s="10" t="str">
        <f>IF($C394="","",ROUND(SUMIFS(الإدخالات!$D$2:$D$501,الإدخالات!$C$2:$C$501,$C394)+SUMIFS($F$1:F393,$C$1:C393,$C394)-SUMIFS('الصرف المباشر'!$D$2:$D$501,'الصرف المباشر'!$C$2:$C$501,$C394)-SUMPRODUCT((الطبخات!$B$2:$B$900=$C394)*الطبخات!$C$2:$C$900*COUNTIF('سجل الإنتاج'!$C$2:$C$501,الطبخات!$A$2:$A$900)),3))</f>
        <v/>
      </c>
      <c r="E394" s="15"/>
      <c r="F394" s="19" t="str">
        <f t="shared" si="13"/>
        <v/>
      </c>
      <c r="G394" s="9"/>
      <c r="H394" s="9"/>
    </row>
    <row r="395" spans="1:8" ht="24" customHeight="1">
      <c r="A395" s="5" t="str">
        <f t="shared" si="12"/>
        <v/>
      </c>
      <c r="B395" s="18"/>
      <c r="C395" s="9"/>
      <c r="D395" s="10" t="str">
        <f>IF($C395="","",ROUND(SUMIFS(الإدخالات!$D$2:$D$501,الإدخالات!$C$2:$C$501,$C395)+SUMIFS($F$1:F394,$C$1:C394,$C395)-SUMIFS('الصرف المباشر'!$D$2:$D$501,'الصرف المباشر'!$C$2:$C$501,$C395)-SUMPRODUCT((الطبخات!$B$2:$B$900=$C395)*الطبخات!$C$2:$C$900*COUNTIF('سجل الإنتاج'!$C$2:$C$501,الطبخات!$A$2:$A$900)),3))</f>
        <v/>
      </c>
      <c r="E395" s="15"/>
      <c r="F395" s="19" t="str">
        <f t="shared" si="13"/>
        <v/>
      </c>
      <c r="G395" s="9"/>
      <c r="H395" s="9"/>
    </row>
    <row r="396" spans="1:8" ht="24" customHeight="1">
      <c r="A396" s="5" t="str">
        <f t="shared" si="12"/>
        <v/>
      </c>
      <c r="B396" s="18"/>
      <c r="C396" s="9"/>
      <c r="D396" s="10" t="str">
        <f>IF($C396="","",ROUND(SUMIFS(الإدخالات!$D$2:$D$501,الإدخالات!$C$2:$C$501,$C396)+SUMIFS($F$1:F395,$C$1:C395,$C396)-SUMIFS('الصرف المباشر'!$D$2:$D$501,'الصرف المباشر'!$C$2:$C$501,$C396)-SUMPRODUCT((الطبخات!$B$2:$B$900=$C396)*الطبخات!$C$2:$C$900*COUNTIF('سجل الإنتاج'!$C$2:$C$501,الطبخات!$A$2:$A$900)),3))</f>
        <v/>
      </c>
      <c r="E396" s="15"/>
      <c r="F396" s="19" t="str">
        <f t="shared" si="13"/>
        <v/>
      </c>
      <c r="G396" s="9"/>
      <c r="H396" s="9"/>
    </row>
    <row r="397" spans="1:8" ht="24" customHeight="1">
      <c r="A397" s="5" t="str">
        <f t="shared" si="12"/>
        <v/>
      </c>
      <c r="B397" s="18"/>
      <c r="C397" s="9"/>
      <c r="D397" s="10" t="str">
        <f>IF($C397="","",ROUND(SUMIFS(الإدخالات!$D$2:$D$501,الإدخالات!$C$2:$C$501,$C397)+SUMIFS($F$1:F396,$C$1:C396,$C397)-SUMIFS('الصرف المباشر'!$D$2:$D$501,'الصرف المباشر'!$C$2:$C$501,$C397)-SUMPRODUCT((الطبخات!$B$2:$B$900=$C397)*الطبخات!$C$2:$C$900*COUNTIF('سجل الإنتاج'!$C$2:$C$501,الطبخات!$A$2:$A$900)),3))</f>
        <v/>
      </c>
      <c r="E397" s="15"/>
      <c r="F397" s="19" t="str">
        <f t="shared" si="13"/>
        <v/>
      </c>
      <c r="G397" s="9"/>
      <c r="H397" s="9"/>
    </row>
    <row r="398" spans="1:8" ht="24" customHeight="1">
      <c r="A398" s="5" t="str">
        <f t="shared" si="12"/>
        <v/>
      </c>
      <c r="B398" s="18"/>
      <c r="C398" s="9"/>
      <c r="D398" s="10" t="str">
        <f>IF($C398="","",ROUND(SUMIFS(الإدخالات!$D$2:$D$501,الإدخالات!$C$2:$C$501,$C398)+SUMIFS($F$1:F397,$C$1:C397,$C398)-SUMIFS('الصرف المباشر'!$D$2:$D$501,'الصرف المباشر'!$C$2:$C$501,$C398)-SUMPRODUCT((الطبخات!$B$2:$B$900=$C398)*الطبخات!$C$2:$C$900*COUNTIF('سجل الإنتاج'!$C$2:$C$501,الطبخات!$A$2:$A$900)),3))</f>
        <v/>
      </c>
      <c r="E398" s="15"/>
      <c r="F398" s="19" t="str">
        <f t="shared" si="13"/>
        <v/>
      </c>
      <c r="G398" s="9"/>
      <c r="H398" s="9"/>
    </row>
    <row r="399" spans="1:8" ht="24" customHeight="1">
      <c r="A399" s="5" t="str">
        <f t="shared" si="12"/>
        <v/>
      </c>
      <c r="B399" s="18"/>
      <c r="C399" s="9"/>
      <c r="D399" s="10" t="str">
        <f>IF($C399="","",ROUND(SUMIFS(الإدخالات!$D$2:$D$501,الإدخالات!$C$2:$C$501,$C399)+SUMIFS($F$1:F398,$C$1:C398,$C399)-SUMIFS('الصرف المباشر'!$D$2:$D$501,'الصرف المباشر'!$C$2:$C$501,$C399)-SUMPRODUCT((الطبخات!$B$2:$B$900=$C399)*الطبخات!$C$2:$C$900*COUNTIF('سجل الإنتاج'!$C$2:$C$501,الطبخات!$A$2:$A$900)),3))</f>
        <v/>
      </c>
      <c r="E399" s="15"/>
      <c r="F399" s="19" t="str">
        <f t="shared" si="13"/>
        <v/>
      </c>
      <c r="G399" s="9"/>
      <c r="H399" s="9"/>
    </row>
    <row r="400" spans="1:8" ht="24" customHeight="1">
      <c r="A400" s="5" t="str">
        <f t="shared" si="12"/>
        <v/>
      </c>
      <c r="B400" s="18"/>
      <c r="C400" s="9"/>
      <c r="D400" s="10" t="str">
        <f>IF($C400="","",ROUND(SUMIFS(الإدخالات!$D$2:$D$501,الإدخالات!$C$2:$C$501,$C400)+SUMIFS($F$1:F399,$C$1:C399,$C400)-SUMIFS('الصرف المباشر'!$D$2:$D$501,'الصرف المباشر'!$C$2:$C$501,$C400)-SUMPRODUCT((الطبخات!$B$2:$B$900=$C400)*الطبخات!$C$2:$C$900*COUNTIF('سجل الإنتاج'!$C$2:$C$501,الطبخات!$A$2:$A$900)),3))</f>
        <v/>
      </c>
      <c r="E400" s="15"/>
      <c r="F400" s="19" t="str">
        <f t="shared" si="13"/>
        <v/>
      </c>
      <c r="G400" s="9"/>
      <c r="H400" s="9"/>
    </row>
    <row r="401" spans="1:8" ht="24" customHeight="1">
      <c r="A401" s="5" t="str">
        <f t="shared" si="12"/>
        <v/>
      </c>
      <c r="B401" s="18"/>
      <c r="C401" s="9"/>
      <c r="D401" s="10" t="str">
        <f>IF($C401="","",ROUND(SUMIFS(الإدخالات!$D$2:$D$501,الإدخالات!$C$2:$C$501,$C401)+SUMIFS($F$1:F400,$C$1:C400,$C401)-SUMIFS('الصرف المباشر'!$D$2:$D$501,'الصرف المباشر'!$C$2:$C$501,$C401)-SUMPRODUCT((الطبخات!$B$2:$B$900=$C401)*الطبخات!$C$2:$C$900*COUNTIF('سجل الإنتاج'!$C$2:$C$501,الطبخات!$A$2:$A$900)),3))</f>
        <v/>
      </c>
      <c r="E401" s="15"/>
      <c r="F401" s="19" t="str">
        <f t="shared" si="13"/>
        <v/>
      </c>
      <c r="G401" s="9"/>
      <c r="H401" s="9"/>
    </row>
    <row r="402" spans="1:8" ht="24" customHeight="1">
      <c r="A402" s="5" t="str">
        <f t="shared" si="12"/>
        <v/>
      </c>
      <c r="B402" s="18"/>
      <c r="C402" s="9"/>
      <c r="D402" s="10" t="str">
        <f>IF($C402="","",ROUND(SUMIFS(الإدخالات!$D$2:$D$501,الإدخالات!$C$2:$C$501,$C402)+SUMIFS($F$1:F401,$C$1:C401,$C402)-SUMIFS('الصرف المباشر'!$D$2:$D$501,'الصرف المباشر'!$C$2:$C$501,$C402)-SUMPRODUCT((الطبخات!$B$2:$B$900=$C402)*الطبخات!$C$2:$C$900*COUNTIF('سجل الإنتاج'!$C$2:$C$501,الطبخات!$A$2:$A$900)),3))</f>
        <v/>
      </c>
      <c r="E402" s="15"/>
      <c r="F402" s="19" t="str">
        <f t="shared" si="13"/>
        <v/>
      </c>
      <c r="G402" s="9"/>
      <c r="H402" s="9"/>
    </row>
    <row r="403" spans="1:8" ht="24" customHeight="1">
      <c r="A403" s="5" t="str">
        <f t="shared" si="12"/>
        <v/>
      </c>
      <c r="B403" s="18"/>
      <c r="C403" s="9"/>
      <c r="D403" s="10" t="str">
        <f>IF($C403="","",ROUND(SUMIFS(الإدخالات!$D$2:$D$501,الإدخالات!$C$2:$C$501,$C403)+SUMIFS($F$1:F402,$C$1:C402,$C403)-SUMIFS('الصرف المباشر'!$D$2:$D$501,'الصرف المباشر'!$C$2:$C$501,$C403)-SUMPRODUCT((الطبخات!$B$2:$B$900=$C403)*الطبخات!$C$2:$C$900*COUNTIF('سجل الإنتاج'!$C$2:$C$501,الطبخات!$A$2:$A$900)),3))</f>
        <v/>
      </c>
      <c r="E403" s="15"/>
      <c r="F403" s="19" t="str">
        <f t="shared" si="13"/>
        <v/>
      </c>
      <c r="G403" s="9"/>
      <c r="H403" s="9"/>
    </row>
    <row r="404" spans="1:8" ht="24" customHeight="1">
      <c r="A404" s="5" t="str">
        <f t="shared" si="12"/>
        <v/>
      </c>
      <c r="B404" s="18"/>
      <c r="C404" s="9"/>
      <c r="D404" s="10" t="str">
        <f>IF($C404="","",ROUND(SUMIFS(الإدخالات!$D$2:$D$501,الإدخالات!$C$2:$C$501,$C404)+SUMIFS($F$1:F403,$C$1:C403,$C404)-SUMIFS('الصرف المباشر'!$D$2:$D$501,'الصرف المباشر'!$C$2:$C$501,$C404)-SUMPRODUCT((الطبخات!$B$2:$B$900=$C404)*الطبخات!$C$2:$C$900*COUNTIF('سجل الإنتاج'!$C$2:$C$501,الطبخات!$A$2:$A$900)),3))</f>
        <v/>
      </c>
      <c r="E404" s="15"/>
      <c r="F404" s="19" t="str">
        <f t="shared" si="13"/>
        <v/>
      </c>
      <c r="G404" s="9"/>
      <c r="H404" s="9"/>
    </row>
    <row r="405" spans="1:8" ht="24" customHeight="1">
      <c r="A405" s="5" t="str">
        <f t="shared" si="12"/>
        <v/>
      </c>
      <c r="B405" s="18"/>
      <c r="C405" s="9"/>
      <c r="D405" s="10" t="str">
        <f>IF($C405="","",ROUND(SUMIFS(الإدخالات!$D$2:$D$501,الإدخالات!$C$2:$C$501,$C405)+SUMIFS($F$1:F404,$C$1:C404,$C405)-SUMIFS('الصرف المباشر'!$D$2:$D$501,'الصرف المباشر'!$C$2:$C$501,$C405)-SUMPRODUCT((الطبخات!$B$2:$B$900=$C405)*الطبخات!$C$2:$C$900*COUNTIF('سجل الإنتاج'!$C$2:$C$501,الطبخات!$A$2:$A$900)),3))</f>
        <v/>
      </c>
      <c r="E405" s="15"/>
      <c r="F405" s="19" t="str">
        <f t="shared" si="13"/>
        <v/>
      </c>
      <c r="G405" s="9"/>
      <c r="H405" s="9"/>
    </row>
    <row r="406" spans="1:8" ht="24" customHeight="1">
      <c r="A406" s="5" t="str">
        <f t="shared" si="12"/>
        <v/>
      </c>
      <c r="B406" s="18"/>
      <c r="C406" s="9"/>
      <c r="D406" s="10" t="str">
        <f>IF($C406="","",ROUND(SUMIFS(الإدخالات!$D$2:$D$501,الإدخالات!$C$2:$C$501,$C406)+SUMIFS($F$1:F405,$C$1:C405,$C406)-SUMIFS('الصرف المباشر'!$D$2:$D$501,'الصرف المباشر'!$C$2:$C$501,$C406)-SUMPRODUCT((الطبخات!$B$2:$B$900=$C406)*الطبخات!$C$2:$C$900*COUNTIF('سجل الإنتاج'!$C$2:$C$501,الطبخات!$A$2:$A$900)),3))</f>
        <v/>
      </c>
      <c r="E406" s="15"/>
      <c r="F406" s="19" t="str">
        <f t="shared" si="13"/>
        <v/>
      </c>
      <c r="G406" s="9"/>
      <c r="H406" s="9"/>
    </row>
    <row r="407" spans="1:8" ht="24" customHeight="1">
      <c r="A407" s="5" t="str">
        <f t="shared" si="12"/>
        <v/>
      </c>
      <c r="B407" s="18"/>
      <c r="C407" s="9"/>
      <c r="D407" s="10" t="str">
        <f>IF($C407="","",ROUND(SUMIFS(الإدخالات!$D$2:$D$501,الإدخالات!$C$2:$C$501,$C407)+SUMIFS($F$1:F406,$C$1:C406,$C407)-SUMIFS('الصرف المباشر'!$D$2:$D$501,'الصرف المباشر'!$C$2:$C$501,$C407)-SUMPRODUCT((الطبخات!$B$2:$B$900=$C407)*الطبخات!$C$2:$C$900*COUNTIF('سجل الإنتاج'!$C$2:$C$501,الطبخات!$A$2:$A$900)),3))</f>
        <v/>
      </c>
      <c r="E407" s="15"/>
      <c r="F407" s="19" t="str">
        <f t="shared" si="13"/>
        <v/>
      </c>
      <c r="G407" s="9"/>
      <c r="H407" s="9"/>
    </row>
    <row r="408" spans="1:8" ht="24" customHeight="1">
      <c r="A408" s="5" t="str">
        <f t="shared" si="12"/>
        <v/>
      </c>
      <c r="B408" s="18"/>
      <c r="C408" s="9"/>
      <c r="D408" s="10" t="str">
        <f>IF($C408="","",ROUND(SUMIFS(الإدخالات!$D$2:$D$501,الإدخالات!$C$2:$C$501,$C408)+SUMIFS($F$1:F407,$C$1:C407,$C408)-SUMIFS('الصرف المباشر'!$D$2:$D$501,'الصرف المباشر'!$C$2:$C$501,$C408)-SUMPRODUCT((الطبخات!$B$2:$B$900=$C408)*الطبخات!$C$2:$C$900*COUNTIF('سجل الإنتاج'!$C$2:$C$501,الطبخات!$A$2:$A$900)),3))</f>
        <v/>
      </c>
      <c r="E408" s="15"/>
      <c r="F408" s="19" t="str">
        <f t="shared" si="13"/>
        <v/>
      </c>
      <c r="G408" s="9"/>
      <c r="H408" s="9"/>
    </row>
    <row r="409" spans="1:8" ht="24" customHeight="1">
      <c r="A409" s="5" t="str">
        <f t="shared" si="12"/>
        <v/>
      </c>
      <c r="B409" s="18"/>
      <c r="C409" s="9"/>
      <c r="D409" s="10" t="str">
        <f>IF($C409="","",ROUND(SUMIFS(الإدخالات!$D$2:$D$501,الإدخالات!$C$2:$C$501,$C409)+SUMIFS($F$1:F408,$C$1:C408,$C409)-SUMIFS('الصرف المباشر'!$D$2:$D$501,'الصرف المباشر'!$C$2:$C$501,$C409)-SUMPRODUCT((الطبخات!$B$2:$B$900=$C409)*الطبخات!$C$2:$C$900*COUNTIF('سجل الإنتاج'!$C$2:$C$501,الطبخات!$A$2:$A$900)),3))</f>
        <v/>
      </c>
      <c r="E409" s="15"/>
      <c r="F409" s="19" t="str">
        <f t="shared" si="13"/>
        <v/>
      </c>
      <c r="G409" s="9"/>
      <c r="H409" s="9"/>
    </row>
    <row r="410" spans="1:8" ht="24" customHeight="1">
      <c r="A410" s="5" t="str">
        <f t="shared" si="12"/>
        <v/>
      </c>
      <c r="B410" s="18"/>
      <c r="C410" s="9"/>
      <c r="D410" s="10" t="str">
        <f>IF($C410="","",ROUND(SUMIFS(الإدخالات!$D$2:$D$501,الإدخالات!$C$2:$C$501,$C410)+SUMIFS($F$1:F409,$C$1:C409,$C410)-SUMIFS('الصرف المباشر'!$D$2:$D$501,'الصرف المباشر'!$C$2:$C$501,$C410)-SUMPRODUCT((الطبخات!$B$2:$B$900=$C410)*الطبخات!$C$2:$C$900*COUNTIF('سجل الإنتاج'!$C$2:$C$501,الطبخات!$A$2:$A$900)),3))</f>
        <v/>
      </c>
      <c r="E410" s="15"/>
      <c r="F410" s="19" t="str">
        <f t="shared" si="13"/>
        <v/>
      </c>
      <c r="G410" s="9"/>
      <c r="H410" s="9"/>
    </row>
    <row r="411" spans="1:8" ht="24" customHeight="1">
      <c r="A411" s="5" t="str">
        <f t="shared" si="12"/>
        <v/>
      </c>
      <c r="B411" s="18"/>
      <c r="C411" s="9"/>
      <c r="D411" s="10" t="str">
        <f>IF($C411="","",ROUND(SUMIFS(الإدخالات!$D$2:$D$501,الإدخالات!$C$2:$C$501,$C411)+SUMIFS($F$1:F410,$C$1:C410,$C411)-SUMIFS('الصرف المباشر'!$D$2:$D$501,'الصرف المباشر'!$C$2:$C$501,$C411)-SUMPRODUCT((الطبخات!$B$2:$B$900=$C411)*الطبخات!$C$2:$C$900*COUNTIF('سجل الإنتاج'!$C$2:$C$501,الطبخات!$A$2:$A$900)),3))</f>
        <v/>
      </c>
      <c r="E411" s="15"/>
      <c r="F411" s="19" t="str">
        <f t="shared" si="13"/>
        <v/>
      </c>
      <c r="G411" s="9"/>
      <c r="H411" s="9"/>
    </row>
    <row r="412" spans="1:8" ht="24" customHeight="1">
      <c r="A412" s="5" t="str">
        <f t="shared" si="12"/>
        <v/>
      </c>
      <c r="B412" s="18"/>
      <c r="C412" s="9"/>
      <c r="D412" s="10" t="str">
        <f>IF($C412="","",ROUND(SUMIFS(الإدخالات!$D$2:$D$501,الإدخالات!$C$2:$C$501,$C412)+SUMIFS($F$1:F411,$C$1:C411,$C412)-SUMIFS('الصرف المباشر'!$D$2:$D$501,'الصرف المباشر'!$C$2:$C$501,$C412)-SUMPRODUCT((الطبخات!$B$2:$B$900=$C412)*الطبخات!$C$2:$C$900*COUNTIF('سجل الإنتاج'!$C$2:$C$501,الطبخات!$A$2:$A$900)),3))</f>
        <v/>
      </c>
      <c r="E412" s="15"/>
      <c r="F412" s="19" t="str">
        <f t="shared" si="13"/>
        <v/>
      </c>
      <c r="G412" s="9"/>
      <c r="H412" s="9"/>
    </row>
    <row r="413" spans="1:8" ht="24" customHeight="1">
      <c r="A413" s="5" t="str">
        <f t="shared" si="12"/>
        <v/>
      </c>
      <c r="B413" s="18"/>
      <c r="C413" s="9"/>
      <c r="D413" s="10" t="str">
        <f>IF($C413="","",ROUND(SUMIFS(الإدخالات!$D$2:$D$501,الإدخالات!$C$2:$C$501,$C413)+SUMIFS($F$1:F412,$C$1:C412,$C413)-SUMIFS('الصرف المباشر'!$D$2:$D$501,'الصرف المباشر'!$C$2:$C$501,$C413)-SUMPRODUCT((الطبخات!$B$2:$B$900=$C413)*الطبخات!$C$2:$C$900*COUNTIF('سجل الإنتاج'!$C$2:$C$501,الطبخات!$A$2:$A$900)),3))</f>
        <v/>
      </c>
      <c r="E413" s="15"/>
      <c r="F413" s="19" t="str">
        <f t="shared" si="13"/>
        <v/>
      </c>
      <c r="G413" s="9"/>
      <c r="H413" s="9"/>
    </row>
    <row r="414" spans="1:8" ht="24" customHeight="1">
      <c r="A414" s="5" t="str">
        <f t="shared" si="12"/>
        <v/>
      </c>
      <c r="B414" s="18"/>
      <c r="C414" s="9"/>
      <c r="D414" s="10" t="str">
        <f>IF($C414="","",ROUND(SUMIFS(الإدخالات!$D$2:$D$501,الإدخالات!$C$2:$C$501,$C414)+SUMIFS($F$1:F413,$C$1:C413,$C414)-SUMIFS('الصرف المباشر'!$D$2:$D$501,'الصرف المباشر'!$C$2:$C$501,$C414)-SUMPRODUCT((الطبخات!$B$2:$B$900=$C414)*الطبخات!$C$2:$C$900*COUNTIF('سجل الإنتاج'!$C$2:$C$501,الطبخات!$A$2:$A$900)),3))</f>
        <v/>
      </c>
      <c r="E414" s="15"/>
      <c r="F414" s="19" t="str">
        <f t="shared" si="13"/>
        <v/>
      </c>
      <c r="G414" s="9"/>
      <c r="H414" s="9"/>
    </row>
    <row r="415" spans="1:8" ht="24" customHeight="1">
      <c r="A415" s="5" t="str">
        <f t="shared" si="12"/>
        <v/>
      </c>
      <c r="B415" s="18"/>
      <c r="C415" s="9"/>
      <c r="D415" s="10" t="str">
        <f>IF($C415="","",ROUND(SUMIFS(الإدخالات!$D$2:$D$501,الإدخالات!$C$2:$C$501,$C415)+SUMIFS($F$1:F414,$C$1:C414,$C415)-SUMIFS('الصرف المباشر'!$D$2:$D$501,'الصرف المباشر'!$C$2:$C$501,$C415)-SUMPRODUCT((الطبخات!$B$2:$B$900=$C415)*الطبخات!$C$2:$C$900*COUNTIF('سجل الإنتاج'!$C$2:$C$501,الطبخات!$A$2:$A$900)),3))</f>
        <v/>
      </c>
      <c r="E415" s="15"/>
      <c r="F415" s="19" t="str">
        <f t="shared" si="13"/>
        <v/>
      </c>
      <c r="G415" s="9"/>
      <c r="H415" s="9"/>
    </row>
    <row r="416" spans="1:8" ht="24" customHeight="1">
      <c r="A416" s="5" t="str">
        <f t="shared" si="12"/>
        <v/>
      </c>
      <c r="B416" s="18"/>
      <c r="C416" s="9"/>
      <c r="D416" s="10" t="str">
        <f>IF($C416="","",ROUND(SUMIFS(الإدخالات!$D$2:$D$501,الإدخالات!$C$2:$C$501,$C416)+SUMIFS($F$1:F415,$C$1:C415,$C416)-SUMIFS('الصرف المباشر'!$D$2:$D$501,'الصرف المباشر'!$C$2:$C$501,$C416)-SUMPRODUCT((الطبخات!$B$2:$B$900=$C416)*الطبخات!$C$2:$C$900*COUNTIF('سجل الإنتاج'!$C$2:$C$501,الطبخات!$A$2:$A$900)),3))</f>
        <v/>
      </c>
      <c r="E416" s="15"/>
      <c r="F416" s="19" t="str">
        <f t="shared" si="13"/>
        <v/>
      </c>
      <c r="G416" s="9"/>
      <c r="H416" s="9"/>
    </row>
    <row r="417" spans="1:8" ht="24" customHeight="1">
      <c r="A417" s="5" t="str">
        <f t="shared" si="12"/>
        <v/>
      </c>
      <c r="B417" s="18"/>
      <c r="C417" s="9"/>
      <c r="D417" s="10" t="str">
        <f>IF($C417="","",ROUND(SUMIFS(الإدخالات!$D$2:$D$501,الإدخالات!$C$2:$C$501,$C417)+SUMIFS($F$1:F416,$C$1:C416,$C417)-SUMIFS('الصرف المباشر'!$D$2:$D$501,'الصرف المباشر'!$C$2:$C$501,$C417)-SUMPRODUCT((الطبخات!$B$2:$B$900=$C417)*الطبخات!$C$2:$C$900*COUNTIF('سجل الإنتاج'!$C$2:$C$501,الطبخات!$A$2:$A$900)),3))</f>
        <v/>
      </c>
      <c r="E417" s="15"/>
      <c r="F417" s="19" t="str">
        <f t="shared" si="13"/>
        <v/>
      </c>
      <c r="G417" s="9"/>
      <c r="H417" s="9"/>
    </row>
    <row r="418" spans="1:8" ht="24" customHeight="1">
      <c r="A418" s="5" t="str">
        <f t="shared" si="12"/>
        <v/>
      </c>
      <c r="B418" s="18"/>
      <c r="C418" s="9"/>
      <c r="D418" s="10" t="str">
        <f>IF($C418="","",ROUND(SUMIFS(الإدخالات!$D$2:$D$501,الإدخالات!$C$2:$C$501,$C418)+SUMIFS($F$1:F417,$C$1:C417,$C418)-SUMIFS('الصرف المباشر'!$D$2:$D$501,'الصرف المباشر'!$C$2:$C$501,$C418)-SUMPRODUCT((الطبخات!$B$2:$B$900=$C418)*الطبخات!$C$2:$C$900*COUNTIF('سجل الإنتاج'!$C$2:$C$501,الطبخات!$A$2:$A$900)),3))</f>
        <v/>
      </c>
      <c r="E418" s="15"/>
      <c r="F418" s="19" t="str">
        <f t="shared" si="13"/>
        <v/>
      </c>
      <c r="G418" s="9"/>
      <c r="H418" s="9"/>
    </row>
    <row r="419" spans="1:8" ht="24" customHeight="1">
      <c r="A419" s="5" t="str">
        <f t="shared" si="12"/>
        <v/>
      </c>
      <c r="B419" s="18"/>
      <c r="C419" s="9"/>
      <c r="D419" s="10" t="str">
        <f>IF($C419="","",ROUND(SUMIFS(الإدخالات!$D$2:$D$501,الإدخالات!$C$2:$C$501,$C419)+SUMIFS($F$1:F418,$C$1:C418,$C419)-SUMIFS('الصرف المباشر'!$D$2:$D$501,'الصرف المباشر'!$C$2:$C$501,$C419)-SUMPRODUCT((الطبخات!$B$2:$B$900=$C419)*الطبخات!$C$2:$C$900*COUNTIF('سجل الإنتاج'!$C$2:$C$501,الطبخات!$A$2:$A$900)),3))</f>
        <v/>
      </c>
      <c r="E419" s="15"/>
      <c r="F419" s="19" t="str">
        <f t="shared" si="13"/>
        <v/>
      </c>
      <c r="G419" s="9"/>
      <c r="H419" s="9"/>
    </row>
    <row r="420" spans="1:8" ht="24" customHeight="1">
      <c r="A420" s="5" t="str">
        <f t="shared" si="12"/>
        <v/>
      </c>
      <c r="B420" s="18"/>
      <c r="C420" s="9"/>
      <c r="D420" s="10" t="str">
        <f>IF($C420="","",ROUND(SUMIFS(الإدخالات!$D$2:$D$501,الإدخالات!$C$2:$C$501,$C420)+SUMIFS($F$1:F419,$C$1:C419,$C420)-SUMIFS('الصرف المباشر'!$D$2:$D$501,'الصرف المباشر'!$C$2:$C$501,$C420)-SUMPRODUCT((الطبخات!$B$2:$B$900=$C420)*الطبخات!$C$2:$C$900*COUNTIF('سجل الإنتاج'!$C$2:$C$501,الطبخات!$A$2:$A$900)),3))</f>
        <v/>
      </c>
      <c r="E420" s="15"/>
      <c r="F420" s="19" t="str">
        <f t="shared" si="13"/>
        <v/>
      </c>
      <c r="G420" s="9"/>
      <c r="H420" s="9"/>
    </row>
    <row r="421" spans="1:8" ht="24" customHeight="1">
      <c r="A421" s="5" t="str">
        <f t="shared" si="12"/>
        <v/>
      </c>
      <c r="B421" s="18"/>
      <c r="C421" s="9"/>
      <c r="D421" s="10" t="str">
        <f>IF($C421="","",ROUND(SUMIFS(الإدخالات!$D$2:$D$501,الإدخالات!$C$2:$C$501,$C421)+SUMIFS($F$1:F420,$C$1:C420,$C421)-SUMIFS('الصرف المباشر'!$D$2:$D$501,'الصرف المباشر'!$C$2:$C$501,$C421)-SUMPRODUCT((الطبخات!$B$2:$B$900=$C421)*الطبخات!$C$2:$C$900*COUNTIF('سجل الإنتاج'!$C$2:$C$501,الطبخات!$A$2:$A$900)),3))</f>
        <v/>
      </c>
      <c r="E421" s="15"/>
      <c r="F421" s="19" t="str">
        <f t="shared" si="13"/>
        <v/>
      </c>
      <c r="G421" s="9"/>
      <c r="H421" s="9"/>
    </row>
    <row r="422" spans="1:8" ht="24" customHeight="1">
      <c r="A422" s="5" t="str">
        <f t="shared" si="12"/>
        <v/>
      </c>
      <c r="B422" s="18"/>
      <c r="C422" s="9"/>
      <c r="D422" s="10" t="str">
        <f>IF($C422="","",ROUND(SUMIFS(الإدخالات!$D$2:$D$501,الإدخالات!$C$2:$C$501,$C422)+SUMIFS($F$1:F421,$C$1:C421,$C422)-SUMIFS('الصرف المباشر'!$D$2:$D$501,'الصرف المباشر'!$C$2:$C$501,$C422)-SUMPRODUCT((الطبخات!$B$2:$B$900=$C422)*الطبخات!$C$2:$C$900*COUNTIF('سجل الإنتاج'!$C$2:$C$501,الطبخات!$A$2:$A$900)),3))</f>
        <v/>
      </c>
      <c r="E422" s="15"/>
      <c r="F422" s="19" t="str">
        <f t="shared" si="13"/>
        <v/>
      </c>
      <c r="G422" s="9"/>
      <c r="H422" s="9"/>
    </row>
    <row r="423" spans="1:8" ht="24" customHeight="1">
      <c r="A423" s="5" t="str">
        <f t="shared" si="12"/>
        <v/>
      </c>
      <c r="B423" s="18"/>
      <c r="C423" s="9"/>
      <c r="D423" s="10" t="str">
        <f>IF($C423="","",ROUND(SUMIFS(الإدخالات!$D$2:$D$501,الإدخالات!$C$2:$C$501,$C423)+SUMIFS($F$1:F422,$C$1:C422,$C423)-SUMIFS('الصرف المباشر'!$D$2:$D$501,'الصرف المباشر'!$C$2:$C$501,$C423)-SUMPRODUCT((الطبخات!$B$2:$B$900=$C423)*الطبخات!$C$2:$C$900*COUNTIF('سجل الإنتاج'!$C$2:$C$501,الطبخات!$A$2:$A$900)),3))</f>
        <v/>
      </c>
      <c r="E423" s="15"/>
      <c r="F423" s="19" t="str">
        <f t="shared" si="13"/>
        <v/>
      </c>
      <c r="G423" s="9"/>
      <c r="H423" s="9"/>
    </row>
    <row r="424" spans="1:8" ht="24" customHeight="1">
      <c r="A424" s="5" t="str">
        <f t="shared" si="12"/>
        <v/>
      </c>
      <c r="B424" s="18"/>
      <c r="C424" s="9"/>
      <c r="D424" s="10" t="str">
        <f>IF($C424="","",ROUND(SUMIFS(الإدخالات!$D$2:$D$501,الإدخالات!$C$2:$C$501,$C424)+SUMIFS($F$1:F423,$C$1:C423,$C424)-SUMIFS('الصرف المباشر'!$D$2:$D$501,'الصرف المباشر'!$C$2:$C$501,$C424)-SUMPRODUCT((الطبخات!$B$2:$B$900=$C424)*الطبخات!$C$2:$C$900*COUNTIF('سجل الإنتاج'!$C$2:$C$501,الطبخات!$A$2:$A$900)),3))</f>
        <v/>
      </c>
      <c r="E424" s="15"/>
      <c r="F424" s="19" t="str">
        <f t="shared" si="13"/>
        <v/>
      </c>
      <c r="G424" s="9"/>
      <c r="H424" s="9"/>
    </row>
    <row r="425" spans="1:8" ht="24" customHeight="1">
      <c r="A425" s="5" t="str">
        <f t="shared" si="12"/>
        <v/>
      </c>
      <c r="B425" s="18"/>
      <c r="C425" s="9"/>
      <c r="D425" s="10" t="str">
        <f>IF($C425="","",ROUND(SUMIFS(الإدخالات!$D$2:$D$501,الإدخالات!$C$2:$C$501,$C425)+SUMIFS($F$1:F424,$C$1:C424,$C425)-SUMIFS('الصرف المباشر'!$D$2:$D$501,'الصرف المباشر'!$C$2:$C$501,$C425)-SUMPRODUCT((الطبخات!$B$2:$B$900=$C425)*الطبخات!$C$2:$C$900*COUNTIF('سجل الإنتاج'!$C$2:$C$501,الطبخات!$A$2:$A$900)),3))</f>
        <v/>
      </c>
      <c r="E425" s="15"/>
      <c r="F425" s="19" t="str">
        <f t="shared" si="13"/>
        <v/>
      </c>
      <c r="G425" s="9"/>
      <c r="H425" s="9"/>
    </row>
    <row r="426" spans="1:8" ht="24" customHeight="1">
      <c r="A426" s="5" t="str">
        <f t="shared" si="12"/>
        <v/>
      </c>
      <c r="B426" s="18"/>
      <c r="C426" s="9"/>
      <c r="D426" s="10" t="str">
        <f>IF($C426="","",ROUND(SUMIFS(الإدخالات!$D$2:$D$501,الإدخالات!$C$2:$C$501,$C426)+SUMIFS($F$1:F425,$C$1:C425,$C426)-SUMIFS('الصرف المباشر'!$D$2:$D$501,'الصرف المباشر'!$C$2:$C$501,$C426)-SUMPRODUCT((الطبخات!$B$2:$B$900=$C426)*الطبخات!$C$2:$C$900*COUNTIF('سجل الإنتاج'!$C$2:$C$501,الطبخات!$A$2:$A$900)),3))</f>
        <v/>
      </c>
      <c r="E426" s="15"/>
      <c r="F426" s="19" t="str">
        <f t="shared" si="13"/>
        <v/>
      </c>
      <c r="G426" s="9"/>
      <c r="H426" s="9"/>
    </row>
    <row r="427" spans="1:8" ht="24" customHeight="1">
      <c r="A427" s="5" t="str">
        <f t="shared" si="12"/>
        <v/>
      </c>
      <c r="B427" s="18"/>
      <c r="C427" s="9"/>
      <c r="D427" s="10" t="str">
        <f>IF($C427="","",ROUND(SUMIFS(الإدخالات!$D$2:$D$501,الإدخالات!$C$2:$C$501,$C427)+SUMIFS($F$1:F426,$C$1:C426,$C427)-SUMIFS('الصرف المباشر'!$D$2:$D$501,'الصرف المباشر'!$C$2:$C$501,$C427)-SUMPRODUCT((الطبخات!$B$2:$B$900=$C427)*الطبخات!$C$2:$C$900*COUNTIF('سجل الإنتاج'!$C$2:$C$501,الطبخات!$A$2:$A$900)),3))</f>
        <v/>
      </c>
      <c r="E427" s="15"/>
      <c r="F427" s="19" t="str">
        <f t="shared" si="13"/>
        <v/>
      </c>
      <c r="G427" s="9"/>
      <c r="H427" s="9"/>
    </row>
    <row r="428" spans="1:8" ht="24" customHeight="1">
      <c r="A428" s="5" t="str">
        <f t="shared" si="12"/>
        <v/>
      </c>
      <c r="B428" s="18"/>
      <c r="C428" s="9"/>
      <c r="D428" s="10" t="str">
        <f>IF($C428="","",ROUND(SUMIFS(الإدخالات!$D$2:$D$501,الإدخالات!$C$2:$C$501,$C428)+SUMIFS($F$1:F427,$C$1:C427,$C428)-SUMIFS('الصرف المباشر'!$D$2:$D$501,'الصرف المباشر'!$C$2:$C$501,$C428)-SUMPRODUCT((الطبخات!$B$2:$B$900=$C428)*الطبخات!$C$2:$C$900*COUNTIF('سجل الإنتاج'!$C$2:$C$501,الطبخات!$A$2:$A$900)),3))</f>
        <v/>
      </c>
      <c r="E428" s="15"/>
      <c r="F428" s="19" t="str">
        <f t="shared" si="13"/>
        <v/>
      </c>
      <c r="G428" s="9"/>
      <c r="H428" s="9"/>
    </row>
    <row r="429" spans="1:8" ht="24" customHeight="1">
      <c r="A429" s="5" t="str">
        <f t="shared" si="12"/>
        <v/>
      </c>
      <c r="B429" s="18"/>
      <c r="C429" s="9"/>
      <c r="D429" s="10" t="str">
        <f>IF($C429="","",ROUND(SUMIFS(الإدخالات!$D$2:$D$501,الإدخالات!$C$2:$C$501,$C429)+SUMIFS($F$1:F428,$C$1:C428,$C429)-SUMIFS('الصرف المباشر'!$D$2:$D$501,'الصرف المباشر'!$C$2:$C$501,$C429)-SUMPRODUCT((الطبخات!$B$2:$B$900=$C429)*الطبخات!$C$2:$C$900*COUNTIF('سجل الإنتاج'!$C$2:$C$501,الطبخات!$A$2:$A$900)),3))</f>
        <v/>
      </c>
      <c r="E429" s="15"/>
      <c r="F429" s="19" t="str">
        <f t="shared" si="13"/>
        <v/>
      </c>
      <c r="G429" s="9"/>
      <c r="H429" s="9"/>
    </row>
    <row r="430" spans="1:8" ht="24" customHeight="1">
      <c r="A430" s="5" t="str">
        <f t="shared" si="12"/>
        <v/>
      </c>
      <c r="B430" s="18"/>
      <c r="C430" s="9"/>
      <c r="D430" s="10" t="str">
        <f>IF($C430="","",ROUND(SUMIFS(الإدخالات!$D$2:$D$501,الإدخالات!$C$2:$C$501,$C430)+SUMIFS($F$1:F429,$C$1:C429,$C430)-SUMIFS('الصرف المباشر'!$D$2:$D$501,'الصرف المباشر'!$C$2:$C$501,$C430)-SUMPRODUCT((الطبخات!$B$2:$B$900=$C430)*الطبخات!$C$2:$C$900*COUNTIF('سجل الإنتاج'!$C$2:$C$501,الطبخات!$A$2:$A$900)),3))</f>
        <v/>
      </c>
      <c r="E430" s="15"/>
      <c r="F430" s="19" t="str">
        <f t="shared" si="13"/>
        <v/>
      </c>
      <c r="G430" s="9"/>
      <c r="H430" s="9"/>
    </row>
    <row r="431" spans="1:8" ht="24" customHeight="1">
      <c r="A431" s="5" t="str">
        <f t="shared" si="12"/>
        <v/>
      </c>
      <c r="B431" s="18"/>
      <c r="C431" s="9"/>
      <c r="D431" s="10" t="str">
        <f>IF($C431="","",ROUND(SUMIFS(الإدخالات!$D$2:$D$501,الإدخالات!$C$2:$C$501,$C431)+SUMIFS($F$1:F430,$C$1:C430,$C431)-SUMIFS('الصرف المباشر'!$D$2:$D$501,'الصرف المباشر'!$C$2:$C$501,$C431)-SUMPRODUCT((الطبخات!$B$2:$B$900=$C431)*الطبخات!$C$2:$C$900*COUNTIF('سجل الإنتاج'!$C$2:$C$501,الطبخات!$A$2:$A$900)),3))</f>
        <v/>
      </c>
      <c r="E431" s="15"/>
      <c r="F431" s="19" t="str">
        <f t="shared" si="13"/>
        <v/>
      </c>
      <c r="G431" s="9"/>
      <c r="H431" s="9"/>
    </row>
    <row r="432" spans="1:8" ht="24" customHeight="1">
      <c r="A432" s="5" t="str">
        <f t="shared" si="12"/>
        <v/>
      </c>
      <c r="B432" s="18"/>
      <c r="C432" s="9"/>
      <c r="D432" s="10" t="str">
        <f>IF($C432="","",ROUND(SUMIFS(الإدخالات!$D$2:$D$501,الإدخالات!$C$2:$C$501,$C432)+SUMIFS($F$1:F431,$C$1:C431,$C432)-SUMIFS('الصرف المباشر'!$D$2:$D$501,'الصرف المباشر'!$C$2:$C$501,$C432)-SUMPRODUCT((الطبخات!$B$2:$B$900=$C432)*الطبخات!$C$2:$C$900*COUNTIF('سجل الإنتاج'!$C$2:$C$501,الطبخات!$A$2:$A$900)),3))</f>
        <v/>
      </c>
      <c r="E432" s="15"/>
      <c r="F432" s="19" t="str">
        <f t="shared" si="13"/>
        <v/>
      </c>
      <c r="G432" s="9"/>
      <c r="H432" s="9"/>
    </row>
    <row r="433" spans="1:8" ht="24" customHeight="1">
      <c r="A433" s="5" t="str">
        <f t="shared" si="12"/>
        <v/>
      </c>
      <c r="B433" s="18"/>
      <c r="C433" s="9"/>
      <c r="D433" s="10" t="str">
        <f>IF($C433="","",ROUND(SUMIFS(الإدخالات!$D$2:$D$501,الإدخالات!$C$2:$C$501,$C433)+SUMIFS($F$1:F432,$C$1:C432,$C433)-SUMIFS('الصرف المباشر'!$D$2:$D$501,'الصرف المباشر'!$C$2:$C$501,$C433)-SUMPRODUCT((الطبخات!$B$2:$B$900=$C433)*الطبخات!$C$2:$C$900*COUNTIF('سجل الإنتاج'!$C$2:$C$501,الطبخات!$A$2:$A$900)),3))</f>
        <v/>
      </c>
      <c r="E433" s="15"/>
      <c r="F433" s="19" t="str">
        <f t="shared" si="13"/>
        <v/>
      </c>
      <c r="G433" s="9"/>
      <c r="H433" s="9"/>
    </row>
    <row r="434" spans="1:8" ht="24" customHeight="1">
      <c r="A434" s="5" t="str">
        <f t="shared" si="12"/>
        <v/>
      </c>
      <c r="B434" s="18"/>
      <c r="C434" s="9"/>
      <c r="D434" s="10" t="str">
        <f>IF($C434="","",ROUND(SUMIFS(الإدخالات!$D$2:$D$501,الإدخالات!$C$2:$C$501,$C434)+SUMIFS($F$1:F433,$C$1:C433,$C434)-SUMIFS('الصرف المباشر'!$D$2:$D$501,'الصرف المباشر'!$C$2:$C$501,$C434)-SUMPRODUCT((الطبخات!$B$2:$B$900=$C434)*الطبخات!$C$2:$C$900*COUNTIF('سجل الإنتاج'!$C$2:$C$501,الطبخات!$A$2:$A$900)),3))</f>
        <v/>
      </c>
      <c r="E434" s="15"/>
      <c r="F434" s="19" t="str">
        <f t="shared" si="13"/>
        <v/>
      </c>
      <c r="G434" s="9"/>
      <c r="H434" s="9"/>
    </row>
    <row r="435" spans="1:8" ht="24" customHeight="1">
      <c r="A435" s="5" t="str">
        <f t="shared" si="12"/>
        <v/>
      </c>
      <c r="B435" s="18"/>
      <c r="C435" s="9"/>
      <c r="D435" s="10" t="str">
        <f>IF($C435="","",ROUND(SUMIFS(الإدخالات!$D$2:$D$501,الإدخالات!$C$2:$C$501,$C435)+SUMIFS($F$1:F434,$C$1:C434,$C435)-SUMIFS('الصرف المباشر'!$D$2:$D$501,'الصرف المباشر'!$C$2:$C$501,$C435)-SUMPRODUCT((الطبخات!$B$2:$B$900=$C435)*الطبخات!$C$2:$C$900*COUNTIF('سجل الإنتاج'!$C$2:$C$501,الطبخات!$A$2:$A$900)),3))</f>
        <v/>
      </c>
      <c r="E435" s="15"/>
      <c r="F435" s="19" t="str">
        <f t="shared" si="13"/>
        <v/>
      </c>
      <c r="G435" s="9"/>
      <c r="H435" s="9"/>
    </row>
    <row r="436" spans="1:8" ht="24" customHeight="1">
      <c r="A436" s="5" t="str">
        <f t="shared" si="12"/>
        <v/>
      </c>
      <c r="B436" s="18"/>
      <c r="C436" s="9"/>
      <c r="D436" s="10" t="str">
        <f>IF($C436="","",ROUND(SUMIFS(الإدخالات!$D$2:$D$501,الإدخالات!$C$2:$C$501,$C436)+SUMIFS($F$1:F435,$C$1:C435,$C436)-SUMIFS('الصرف المباشر'!$D$2:$D$501,'الصرف المباشر'!$C$2:$C$501,$C436)-SUMPRODUCT((الطبخات!$B$2:$B$900=$C436)*الطبخات!$C$2:$C$900*COUNTIF('سجل الإنتاج'!$C$2:$C$501,الطبخات!$A$2:$A$900)),3))</f>
        <v/>
      </c>
      <c r="E436" s="15"/>
      <c r="F436" s="19" t="str">
        <f t="shared" si="13"/>
        <v/>
      </c>
      <c r="G436" s="9"/>
      <c r="H436" s="9"/>
    </row>
    <row r="437" spans="1:8" ht="24" customHeight="1">
      <c r="A437" s="5" t="str">
        <f t="shared" si="12"/>
        <v/>
      </c>
      <c r="B437" s="18"/>
      <c r="C437" s="9"/>
      <c r="D437" s="10" t="str">
        <f>IF($C437="","",ROUND(SUMIFS(الإدخالات!$D$2:$D$501,الإدخالات!$C$2:$C$501,$C437)+SUMIFS($F$1:F436,$C$1:C436,$C437)-SUMIFS('الصرف المباشر'!$D$2:$D$501,'الصرف المباشر'!$C$2:$C$501,$C437)-SUMPRODUCT((الطبخات!$B$2:$B$900=$C437)*الطبخات!$C$2:$C$900*COUNTIF('سجل الإنتاج'!$C$2:$C$501,الطبخات!$A$2:$A$900)),3))</f>
        <v/>
      </c>
      <c r="E437" s="15"/>
      <c r="F437" s="19" t="str">
        <f t="shared" si="13"/>
        <v/>
      </c>
      <c r="G437" s="9"/>
      <c r="H437" s="9"/>
    </row>
    <row r="438" spans="1:8" ht="24" customHeight="1">
      <c r="A438" s="5" t="str">
        <f t="shared" si="12"/>
        <v/>
      </c>
      <c r="B438" s="18"/>
      <c r="C438" s="9"/>
      <c r="D438" s="10" t="str">
        <f>IF($C438="","",ROUND(SUMIFS(الإدخالات!$D$2:$D$501,الإدخالات!$C$2:$C$501,$C438)+SUMIFS($F$1:F437,$C$1:C437,$C438)-SUMIFS('الصرف المباشر'!$D$2:$D$501,'الصرف المباشر'!$C$2:$C$501,$C438)-SUMPRODUCT((الطبخات!$B$2:$B$900=$C438)*الطبخات!$C$2:$C$900*COUNTIF('سجل الإنتاج'!$C$2:$C$501,الطبخات!$A$2:$A$900)),3))</f>
        <v/>
      </c>
      <c r="E438" s="15"/>
      <c r="F438" s="19" t="str">
        <f t="shared" si="13"/>
        <v/>
      </c>
      <c r="G438" s="9"/>
      <c r="H438" s="9"/>
    </row>
    <row r="439" spans="1:8" ht="24" customHeight="1">
      <c r="A439" s="5" t="str">
        <f t="shared" si="12"/>
        <v/>
      </c>
      <c r="B439" s="18"/>
      <c r="C439" s="9"/>
      <c r="D439" s="10" t="str">
        <f>IF($C439="","",ROUND(SUMIFS(الإدخالات!$D$2:$D$501,الإدخالات!$C$2:$C$501,$C439)+SUMIFS($F$1:F438,$C$1:C438,$C439)-SUMIFS('الصرف المباشر'!$D$2:$D$501,'الصرف المباشر'!$C$2:$C$501,$C439)-SUMPRODUCT((الطبخات!$B$2:$B$900=$C439)*الطبخات!$C$2:$C$900*COUNTIF('سجل الإنتاج'!$C$2:$C$501,الطبخات!$A$2:$A$900)),3))</f>
        <v/>
      </c>
      <c r="E439" s="15"/>
      <c r="F439" s="19" t="str">
        <f t="shared" si="13"/>
        <v/>
      </c>
      <c r="G439" s="9"/>
      <c r="H439" s="9"/>
    </row>
    <row r="440" spans="1:8" ht="24" customHeight="1">
      <c r="A440" s="5" t="str">
        <f t="shared" si="12"/>
        <v/>
      </c>
      <c r="B440" s="18"/>
      <c r="C440" s="9"/>
      <c r="D440" s="10" t="str">
        <f>IF($C440="","",ROUND(SUMIFS(الإدخالات!$D$2:$D$501,الإدخالات!$C$2:$C$501,$C440)+SUMIFS($F$1:F439,$C$1:C439,$C440)-SUMIFS('الصرف المباشر'!$D$2:$D$501,'الصرف المباشر'!$C$2:$C$501,$C440)-SUMPRODUCT((الطبخات!$B$2:$B$900=$C440)*الطبخات!$C$2:$C$900*COUNTIF('سجل الإنتاج'!$C$2:$C$501,الطبخات!$A$2:$A$900)),3))</f>
        <v/>
      </c>
      <c r="E440" s="15"/>
      <c r="F440" s="19" t="str">
        <f t="shared" si="13"/>
        <v/>
      </c>
      <c r="G440" s="9"/>
      <c r="H440" s="9"/>
    </row>
    <row r="441" spans="1:8" ht="24" customHeight="1">
      <c r="A441" s="5" t="str">
        <f t="shared" si="12"/>
        <v/>
      </c>
      <c r="B441" s="18"/>
      <c r="C441" s="9"/>
      <c r="D441" s="10" t="str">
        <f>IF($C441="","",ROUND(SUMIFS(الإدخالات!$D$2:$D$501,الإدخالات!$C$2:$C$501,$C441)+SUMIFS($F$1:F440,$C$1:C440,$C441)-SUMIFS('الصرف المباشر'!$D$2:$D$501,'الصرف المباشر'!$C$2:$C$501,$C441)-SUMPRODUCT((الطبخات!$B$2:$B$900=$C441)*الطبخات!$C$2:$C$900*COUNTIF('سجل الإنتاج'!$C$2:$C$501,الطبخات!$A$2:$A$900)),3))</f>
        <v/>
      </c>
      <c r="E441" s="15"/>
      <c r="F441" s="19" t="str">
        <f t="shared" si="13"/>
        <v/>
      </c>
      <c r="G441" s="9"/>
      <c r="H441" s="9"/>
    </row>
    <row r="442" spans="1:8" ht="24" customHeight="1">
      <c r="A442" s="5" t="str">
        <f t="shared" si="12"/>
        <v/>
      </c>
      <c r="B442" s="18"/>
      <c r="C442" s="9"/>
      <c r="D442" s="10" t="str">
        <f>IF($C442="","",ROUND(SUMIFS(الإدخالات!$D$2:$D$501,الإدخالات!$C$2:$C$501,$C442)+SUMIFS($F$1:F441,$C$1:C441,$C442)-SUMIFS('الصرف المباشر'!$D$2:$D$501,'الصرف المباشر'!$C$2:$C$501,$C442)-SUMPRODUCT((الطبخات!$B$2:$B$900=$C442)*الطبخات!$C$2:$C$900*COUNTIF('سجل الإنتاج'!$C$2:$C$501,الطبخات!$A$2:$A$900)),3))</f>
        <v/>
      </c>
      <c r="E442" s="15"/>
      <c r="F442" s="19" t="str">
        <f t="shared" si="13"/>
        <v/>
      </c>
      <c r="G442" s="9"/>
      <c r="H442" s="9"/>
    </row>
    <row r="443" spans="1:8" ht="24" customHeight="1">
      <c r="A443" s="5" t="str">
        <f t="shared" si="12"/>
        <v/>
      </c>
      <c r="B443" s="18"/>
      <c r="C443" s="9"/>
      <c r="D443" s="10" t="str">
        <f>IF($C443="","",ROUND(SUMIFS(الإدخالات!$D$2:$D$501,الإدخالات!$C$2:$C$501,$C443)+SUMIFS($F$1:F442,$C$1:C442,$C443)-SUMIFS('الصرف المباشر'!$D$2:$D$501,'الصرف المباشر'!$C$2:$C$501,$C443)-SUMPRODUCT((الطبخات!$B$2:$B$900=$C443)*الطبخات!$C$2:$C$900*COUNTIF('سجل الإنتاج'!$C$2:$C$501,الطبخات!$A$2:$A$900)),3))</f>
        <v/>
      </c>
      <c r="E443" s="15"/>
      <c r="F443" s="19" t="str">
        <f t="shared" si="13"/>
        <v/>
      </c>
      <c r="G443" s="9"/>
      <c r="H443" s="9"/>
    </row>
    <row r="444" spans="1:8" ht="24" customHeight="1">
      <c r="A444" s="5" t="str">
        <f t="shared" si="12"/>
        <v/>
      </c>
      <c r="B444" s="18"/>
      <c r="C444" s="9"/>
      <c r="D444" s="10" t="str">
        <f>IF($C444="","",ROUND(SUMIFS(الإدخالات!$D$2:$D$501,الإدخالات!$C$2:$C$501,$C444)+SUMIFS($F$1:F443,$C$1:C443,$C444)-SUMIFS('الصرف المباشر'!$D$2:$D$501,'الصرف المباشر'!$C$2:$C$501,$C444)-SUMPRODUCT((الطبخات!$B$2:$B$900=$C444)*الطبخات!$C$2:$C$900*COUNTIF('سجل الإنتاج'!$C$2:$C$501,الطبخات!$A$2:$A$900)),3))</f>
        <v/>
      </c>
      <c r="E444" s="15"/>
      <c r="F444" s="19" t="str">
        <f t="shared" si="13"/>
        <v/>
      </c>
      <c r="G444" s="9"/>
      <c r="H444" s="9"/>
    </row>
    <row r="445" spans="1:8" ht="24" customHeight="1">
      <c r="A445" s="5" t="str">
        <f t="shared" si="12"/>
        <v/>
      </c>
      <c r="B445" s="18"/>
      <c r="C445" s="9"/>
      <c r="D445" s="10" t="str">
        <f>IF($C445="","",ROUND(SUMIFS(الإدخالات!$D$2:$D$501,الإدخالات!$C$2:$C$501,$C445)+SUMIFS($F$1:F444,$C$1:C444,$C445)-SUMIFS('الصرف المباشر'!$D$2:$D$501,'الصرف المباشر'!$C$2:$C$501,$C445)-SUMPRODUCT((الطبخات!$B$2:$B$900=$C445)*الطبخات!$C$2:$C$900*COUNTIF('سجل الإنتاج'!$C$2:$C$501,الطبخات!$A$2:$A$900)),3))</f>
        <v/>
      </c>
      <c r="E445" s="15"/>
      <c r="F445" s="19" t="str">
        <f t="shared" si="13"/>
        <v/>
      </c>
      <c r="G445" s="9"/>
      <c r="H445" s="9"/>
    </row>
    <row r="446" spans="1:8" ht="24" customHeight="1">
      <c r="A446" s="5" t="str">
        <f t="shared" si="12"/>
        <v/>
      </c>
      <c r="B446" s="18"/>
      <c r="C446" s="9"/>
      <c r="D446" s="10" t="str">
        <f>IF($C446="","",ROUND(SUMIFS(الإدخالات!$D$2:$D$501,الإدخالات!$C$2:$C$501,$C446)+SUMIFS($F$1:F445,$C$1:C445,$C446)-SUMIFS('الصرف المباشر'!$D$2:$D$501,'الصرف المباشر'!$C$2:$C$501,$C446)-SUMPRODUCT((الطبخات!$B$2:$B$900=$C446)*الطبخات!$C$2:$C$900*COUNTIF('سجل الإنتاج'!$C$2:$C$501,الطبخات!$A$2:$A$900)),3))</f>
        <v/>
      </c>
      <c r="E446" s="15"/>
      <c r="F446" s="19" t="str">
        <f t="shared" si="13"/>
        <v/>
      </c>
      <c r="G446" s="9"/>
      <c r="H446" s="9"/>
    </row>
    <row r="447" spans="1:8" ht="24" customHeight="1">
      <c r="A447" s="5" t="str">
        <f t="shared" si="12"/>
        <v/>
      </c>
      <c r="B447" s="18"/>
      <c r="C447" s="9"/>
      <c r="D447" s="10" t="str">
        <f>IF($C447="","",ROUND(SUMIFS(الإدخالات!$D$2:$D$501,الإدخالات!$C$2:$C$501,$C447)+SUMIFS($F$1:F446,$C$1:C446,$C447)-SUMIFS('الصرف المباشر'!$D$2:$D$501,'الصرف المباشر'!$C$2:$C$501,$C447)-SUMPRODUCT((الطبخات!$B$2:$B$900=$C447)*الطبخات!$C$2:$C$900*COUNTIF('سجل الإنتاج'!$C$2:$C$501,الطبخات!$A$2:$A$900)),3))</f>
        <v/>
      </c>
      <c r="E447" s="15"/>
      <c r="F447" s="19" t="str">
        <f t="shared" si="13"/>
        <v/>
      </c>
      <c r="G447" s="9"/>
      <c r="H447" s="9"/>
    </row>
    <row r="448" spans="1:8" ht="24" customHeight="1">
      <c r="A448" s="5" t="str">
        <f t="shared" si="12"/>
        <v/>
      </c>
      <c r="B448" s="18"/>
      <c r="C448" s="9"/>
      <c r="D448" s="10" t="str">
        <f>IF($C448="","",ROUND(SUMIFS(الإدخالات!$D$2:$D$501,الإدخالات!$C$2:$C$501,$C448)+SUMIFS($F$1:F447,$C$1:C447,$C448)-SUMIFS('الصرف المباشر'!$D$2:$D$501,'الصرف المباشر'!$C$2:$C$501,$C448)-SUMPRODUCT((الطبخات!$B$2:$B$900=$C448)*الطبخات!$C$2:$C$900*COUNTIF('سجل الإنتاج'!$C$2:$C$501,الطبخات!$A$2:$A$900)),3))</f>
        <v/>
      </c>
      <c r="E448" s="15"/>
      <c r="F448" s="19" t="str">
        <f t="shared" si="13"/>
        <v/>
      </c>
      <c r="G448" s="9"/>
      <c r="H448" s="9"/>
    </row>
    <row r="449" spans="1:8" ht="24" customHeight="1">
      <c r="A449" s="5" t="str">
        <f t="shared" si="12"/>
        <v/>
      </c>
      <c r="B449" s="18"/>
      <c r="C449" s="9"/>
      <c r="D449" s="10" t="str">
        <f>IF($C449="","",ROUND(SUMIFS(الإدخالات!$D$2:$D$501,الإدخالات!$C$2:$C$501,$C449)+SUMIFS($F$1:F448,$C$1:C448,$C449)-SUMIFS('الصرف المباشر'!$D$2:$D$501,'الصرف المباشر'!$C$2:$C$501,$C449)-SUMPRODUCT((الطبخات!$B$2:$B$900=$C449)*الطبخات!$C$2:$C$900*COUNTIF('سجل الإنتاج'!$C$2:$C$501,الطبخات!$A$2:$A$900)),3))</f>
        <v/>
      </c>
      <c r="E449" s="15"/>
      <c r="F449" s="19" t="str">
        <f t="shared" si="13"/>
        <v/>
      </c>
      <c r="G449" s="9"/>
      <c r="H449" s="9"/>
    </row>
    <row r="450" spans="1:8" ht="24" customHeight="1">
      <c r="A450" s="5" t="str">
        <f t="shared" ref="A450:A501" si="14">IF(C450="","",ROW()-1)</f>
        <v/>
      </c>
      <c r="B450" s="18"/>
      <c r="C450" s="9"/>
      <c r="D450" s="10" t="str">
        <f>IF($C450="","",ROUND(SUMIFS(الإدخالات!$D$2:$D$501,الإدخالات!$C$2:$C$501,$C450)+SUMIFS($F$1:F449,$C$1:C449,$C450)-SUMIFS('الصرف المباشر'!$D$2:$D$501,'الصرف المباشر'!$C$2:$C$501,$C450)-SUMPRODUCT((الطبخات!$B$2:$B$900=$C450)*الطبخات!$C$2:$C$900*COUNTIF('سجل الإنتاج'!$C$2:$C$501,الطبخات!$A$2:$A$900)),3))</f>
        <v/>
      </c>
      <c r="E450" s="15"/>
      <c r="F450" s="19" t="str">
        <f t="shared" ref="F450:F501" si="15">IF(OR($C450="",$E450=""),"",ROUND($E450-$D450,3))</f>
        <v/>
      </c>
      <c r="G450" s="9"/>
      <c r="H450" s="9"/>
    </row>
    <row r="451" spans="1:8" ht="24" customHeight="1">
      <c r="A451" s="5" t="str">
        <f t="shared" si="14"/>
        <v/>
      </c>
      <c r="B451" s="18"/>
      <c r="C451" s="9"/>
      <c r="D451" s="10" t="str">
        <f>IF($C451="","",ROUND(SUMIFS(الإدخالات!$D$2:$D$501,الإدخالات!$C$2:$C$501,$C451)+SUMIFS($F$1:F450,$C$1:C450,$C451)-SUMIFS('الصرف المباشر'!$D$2:$D$501,'الصرف المباشر'!$C$2:$C$501,$C451)-SUMPRODUCT((الطبخات!$B$2:$B$900=$C451)*الطبخات!$C$2:$C$900*COUNTIF('سجل الإنتاج'!$C$2:$C$501,الطبخات!$A$2:$A$900)),3))</f>
        <v/>
      </c>
      <c r="E451" s="15"/>
      <c r="F451" s="19" t="str">
        <f t="shared" si="15"/>
        <v/>
      </c>
      <c r="G451" s="9"/>
      <c r="H451" s="9"/>
    </row>
    <row r="452" spans="1:8" ht="24" customHeight="1">
      <c r="A452" s="5" t="str">
        <f t="shared" si="14"/>
        <v/>
      </c>
      <c r="B452" s="18"/>
      <c r="C452" s="9"/>
      <c r="D452" s="10" t="str">
        <f>IF($C452="","",ROUND(SUMIFS(الإدخالات!$D$2:$D$501,الإدخالات!$C$2:$C$501,$C452)+SUMIFS($F$1:F451,$C$1:C451,$C452)-SUMIFS('الصرف المباشر'!$D$2:$D$501,'الصرف المباشر'!$C$2:$C$501,$C452)-SUMPRODUCT((الطبخات!$B$2:$B$900=$C452)*الطبخات!$C$2:$C$900*COUNTIF('سجل الإنتاج'!$C$2:$C$501,الطبخات!$A$2:$A$900)),3))</f>
        <v/>
      </c>
      <c r="E452" s="15"/>
      <c r="F452" s="19" t="str">
        <f t="shared" si="15"/>
        <v/>
      </c>
      <c r="G452" s="9"/>
      <c r="H452" s="9"/>
    </row>
    <row r="453" spans="1:8" ht="24" customHeight="1">
      <c r="A453" s="5" t="str">
        <f t="shared" si="14"/>
        <v/>
      </c>
      <c r="B453" s="18"/>
      <c r="C453" s="9"/>
      <c r="D453" s="10" t="str">
        <f>IF($C453="","",ROUND(SUMIFS(الإدخالات!$D$2:$D$501,الإدخالات!$C$2:$C$501,$C453)+SUMIFS($F$1:F452,$C$1:C452,$C453)-SUMIFS('الصرف المباشر'!$D$2:$D$501,'الصرف المباشر'!$C$2:$C$501,$C453)-SUMPRODUCT((الطبخات!$B$2:$B$900=$C453)*الطبخات!$C$2:$C$900*COUNTIF('سجل الإنتاج'!$C$2:$C$501,الطبخات!$A$2:$A$900)),3))</f>
        <v/>
      </c>
      <c r="E453" s="15"/>
      <c r="F453" s="19" t="str">
        <f t="shared" si="15"/>
        <v/>
      </c>
      <c r="G453" s="9"/>
      <c r="H453" s="9"/>
    </row>
    <row r="454" spans="1:8" ht="24" customHeight="1">
      <c r="A454" s="5" t="str">
        <f t="shared" si="14"/>
        <v/>
      </c>
      <c r="B454" s="18"/>
      <c r="C454" s="9"/>
      <c r="D454" s="10" t="str">
        <f>IF($C454="","",ROUND(SUMIFS(الإدخالات!$D$2:$D$501,الإدخالات!$C$2:$C$501,$C454)+SUMIFS($F$1:F453,$C$1:C453,$C454)-SUMIFS('الصرف المباشر'!$D$2:$D$501,'الصرف المباشر'!$C$2:$C$501,$C454)-SUMPRODUCT((الطبخات!$B$2:$B$900=$C454)*الطبخات!$C$2:$C$900*COUNTIF('سجل الإنتاج'!$C$2:$C$501,الطبخات!$A$2:$A$900)),3))</f>
        <v/>
      </c>
      <c r="E454" s="15"/>
      <c r="F454" s="19" t="str">
        <f t="shared" si="15"/>
        <v/>
      </c>
      <c r="G454" s="9"/>
      <c r="H454" s="9"/>
    </row>
    <row r="455" spans="1:8" ht="24" customHeight="1">
      <c r="A455" s="5" t="str">
        <f t="shared" si="14"/>
        <v/>
      </c>
      <c r="B455" s="18"/>
      <c r="C455" s="9"/>
      <c r="D455" s="10" t="str">
        <f>IF($C455="","",ROUND(SUMIFS(الإدخالات!$D$2:$D$501,الإدخالات!$C$2:$C$501,$C455)+SUMIFS($F$1:F454,$C$1:C454,$C455)-SUMIFS('الصرف المباشر'!$D$2:$D$501,'الصرف المباشر'!$C$2:$C$501,$C455)-SUMPRODUCT((الطبخات!$B$2:$B$900=$C455)*الطبخات!$C$2:$C$900*COUNTIF('سجل الإنتاج'!$C$2:$C$501,الطبخات!$A$2:$A$900)),3))</f>
        <v/>
      </c>
      <c r="E455" s="15"/>
      <c r="F455" s="19" t="str">
        <f t="shared" si="15"/>
        <v/>
      </c>
      <c r="G455" s="9"/>
      <c r="H455" s="9"/>
    </row>
    <row r="456" spans="1:8" ht="24" customHeight="1">
      <c r="A456" s="5" t="str">
        <f t="shared" si="14"/>
        <v/>
      </c>
      <c r="B456" s="18"/>
      <c r="C456" s="9"/>
      <c r="D456" s="10" t="str">
        <f>IF($C456="","",ROUND(SUMIFS(الإدخالات!$D$2:$D$501,الإدخالات!$C$2:$C$501,$C456)+SUMIFS($F$1:F455,$C$1:C455,$C456)-SUMIFS('الصرف المباشر'!$D$2:$D$501,'الصرف المباشر'!$C$2:$C$501,$C456)-SUMPRODUCT((الطبخات!$B$2:$B$900=$C456)*الطبخات!$C$2:$C$900*COUNTIF('سجل الإنتاج'!$C$2:$C$501,الطبخات!$A$2:$A$900)),3))</f>
        <v/>
      </c>
      <c r="E456" s="15"/>
      <c r="F456" s="19" t="str">
        <f t="shared" si="15"/>
        <v/>
      </c>
      <c r="G456" s="9"/>
      <c r="H456" s="9"/>
    </row>
    <row r="457" spans="1:8" ht="24" customHeight="1">
      <c r="A457" s="5" t="str">
        <f t="shared" si="14"/>
        <v/>
      </c>
      <c r="B457" s="18"/>
      <c r="C457" s="9"/>
      <c r="D457" s="10" t="str">
        <f>IF($C457="","",ROUND(SUMIFS(الإدخالات!$D$2:$D$501,الإدخالات!$C$2:$C$501,$C457)+SUMIFS($F$1:F456,$C$1:C456,$C457)-SUMIFS('الصرف المباشر'!$D$2:$D$501,'الصرف المباشر'!$C$2:$C$501,$C457)-SUMPRODUCT((الطبخات!$B$2:$B$900=$C457)*الطبخات!$C$2:$C$900*COUNTIF('سجل الإنتاج'!$C$2:$C$501,الطبخات!$A$2:$A$900)),3))</f>
        <v/>
      </c>
      <c r="E457" s="15"/>
      <c r="F457" s="19" t="str">
        <f t="shared" si="15"/>
        <v/>
      </c>
      <c r="G457" s="9"/>
      <c r="H457" s="9"/>
    </row>
    <row r="458" spans="1:8" ht="24" customHeight="1">
      <c r="A458" s="5" t="str">
        <f t="shared" si="14"/>
        <v/>
      </c>
      <c r="B458" s="18"/>
      <c r="C458" s="9"/>
      <c r="D458" s="10" t="str">
        <f>IF($C458="","",ROUND(SUMIFS(الإدخالات!$D$2:$D$501,الإدخالات!$C$2:$C$501,$C458)+SUMIFS($F$1:F457,$C$1:C457,$C458)-SUMIFS('الصرف المباشر'!$D$2:$D$501,'الصرف المباشر'!$C$2:$C$501,$C458)-SUMPRODUCT((الطبخات!$B$2:$B$900=$C458)*الطبخات!$C$2:$C$900*COUNTIF('سجل الإنتاج'!$C$2:$C$501,الطبخات!$A$2:$A$900)),3))</f>
        <v/>
      </c>
      <c r="E458" s="15"/>
      <c r="F458" s="19" t="str">
        <f t="shared" si="15"/>
        <v/>
      </c>
      <c r="G458" s="9"/>
      <c r="H458" s="9"/>
    </row>
    <row r="459" spans="1:8" ht="24" customHeight="1">
      <c r="A459" s="5" t="str">
        <f t="shared" si="14"/>
        <v/>
      </c>
      <c r="B459" s="18"/>
      <c r="C459" s="9"/>
      <c r="D459" s="10" t="str">
        <f>IF($C459="","",ROUND(SUMIFS(الإدخالات!$D$2:$D$501,الإدخالات!$C$2:$C$501,$C459)+SUMIFS($F$1:F458,$C$1:C458,$C459)-SUMIFS('الصرف المباشر'!$D$2:$D$501,'الصرف المباشر'!$C$2:$C$501,$C459)-SUMPRODUCT((الطبخات!$B$2:$B$900=$C459)*الطبخات!$C$2:$C$900*COUNTIF('سجل الإنتاج'!$C$2:$C$501,الطبخات!$A$2:$A$900)),3))</f>
        <v/>
      </c>
      <c r="E459" s="15"/>
      <c r="F459" s="19" t="str">
        <f t="shared" si="15"/>
        <v/>
      </c>
      <c r="G459" s="9"/>
      <c r="H459" s="9"/>
    </row>
    <row r="460" spans="1:8" ht="24" customHeight="1">
      <c r="A460" s="5" t="str">
        <f t="shared" si="14"/>
        <v/>
      </c>
      <c r="B460" s="18"/>
      <c r="C460" s="9"/>
      <c r="D460" s="10" t="str">
        <f>IF($C460="","",ROUND(SUMIFS(الإدخالات!$D$2:$D$501,الإدخالات!$C$2:$C$501,$C460)+SUMIFS($F$1:F459,$C$1:C459,$C460)-SUMIFS('الصرف المباشر'!$D$2:$D$501,'الصرف المباشر'!$C$2:$C$501,$C460)-SUMPRODUCT((الطبخات!$B$2:$B$900=$C460)*الطبخات!$C$2:$C$900*COUNTIF('سجل الإنتاج'!$C$2:$C$501,الطبخات!$A$2:$A$900)),3))</f>
        <v/>
      </c>
      <c r="E460" s="15"/>
      <c r="F460" s="19" t="str">
        <f t="shared" si="15"/>
        <v/>
      </c>
      <c r="G460" s="9"/>
      <c r="H460" s="9"/>
    </row>
    <row r="461" spans="1:8" ht="24" customHeight="1">
      <c r="A461" s="5" t="str">
        <f t="shared" si="14"/>
        <v/>
      </c>
      <c r="B461" s="18"/>
      <c r="C461" s="9"/>
      <c r="D461" s="10" t="str">
        <f>IF($C461="","",ROUND(SUMIFS(الإدخالات!$D$2:$D$501,الإدخالات!$C$2:$C$501,$C461)+SUMIFS($F$1:F460,$C$1:C460,$C461)-SUMIFS('الصرف المباشر'!$D$2:$D$501,'الصرف المباشر'!$C$2:$C$501,$C461)-SUMPRODUCT((الطبخات!$B$2:$B$900=$C461)*الطبخات!$C$2:$C$900*COUNTIF('سجل الإنتاج'!$C$2:$C$501,الطبخات!$A$2:$A$900)),3))</f>
        <v/>
      </c>
      <c r="E461" s="15"/>
      <c r="F461" s="19" t="str">
        <f t="shared" si="15"/>
        <v/>
      </c>
      <c r="G461" s="9"/>
      <c r="H461" s="9"/>
    </row>
    <row r="462" spans="1:8" ht="24" customHeight="1">
      <c r="A462" s="5" t="str">
        <f t="shared" si="14"/>
        <v/>
      </c>
      <c r="B462" s="18"/>
      <c r="C462" s="9"/>
      <c r="D462" s="10" t="str">
        <f>IF($C462="","",ROUND(SUMIFS(الإدخالات!$D$2:$D$501,الإدخالات!$C$2:$C$501,$C462)+SUMIFS($F$1:F461,$C$1:C461,$C462)-SUMIFS('الصرف المباشر'!$D$2:$D$501,'الصرف المباشر'!$C$2:$C$501,$C462)-SUMPRODUCT((الطبخات!$B$2:$B$900=$C462)*الطبخات!$C$2:$C$900*COUNTIF('سجل الإنتاج'!$C$2:$C$501,الطبخات!$A$2:$A$900)),3))</f>
        <v/>
      </c>
      <c r="E462" s="15"/>
      <c r="F462" s="19" t="str">
        <f t="shared" si="15"/>
        <v/>
      </c>
      <c r="G462" s="9"/>
      <c r="H462" s="9"/>
    </row>
    <row r="463" spans="1:8" ht="24" customHeight="1">
      <c r="A463" s="5" t="str">
        <f t="shared" si="14"/>
        <v/>
      </c>
      <c r="B463" s="18"/>
      <c r="C463" s="9"/>
      <c r="D463" s="10" t="str">
        <f>IF($C463="","",ROUND(SUMIFS(الإدخالات!$D$2:$D$501,الإدخالات!$C$2:$C$501,$C463)+SUMIFS($F$1:F462,$C$1:C462,$C463)-SUMIFS('الصرف المباشر'!$D$2:$D$501,'الصرف المباشر'!$C$2:$C$501,$C463)-SUMPRODUCT((الطبخات!$B$2:$B$900=$C463)*الطبخات!$C$2:$C$900*COUNTIF('سجل الإنتاج'!$C$2:$C$501,الطبخات!$A$2:$A$900)),3))</f>
        <v/>
      </c>
      <c r="E463" s="15"/>
      <c r="F463" s="19" t="str">
        <f t="shared" si="15"/>
        <v/>
      </c>
      <c r="G463" s="9"/>
      <c r="H463" s="9"/>
    </row>
    <row r="464" spans="1:8" ht="24" customHeight="1">
      <c r="A464" s="5" t="str">
        <f t="shared" si="14"/>
        <v/>
      </c>
      <c r="B464" s="18"/>
      <c r="C464" s="9"/>
      <c r="D464" s="10" t="str">
        <f>IF($C464="","",ROUND(SUMIFS(الإدخالات!$D$2:$D$501,الإدخالات!$C$2:$C$501,$C464)+SUMIFS($F$1:F463,$C$1:C463,$C464)-SUMIFS('الصرف المباشر'!$D$2:$D$501,'الصرف المباشر'!$C$2:$C$501,$C464)-SUMPRODUCT((الطبخات!$B$2:$B$900=$C464)*الطبخات!$C$2:$C$900*COUNTIF('سجل الإنتاج'!$C$2:$C$501,الطبخات!$A$2:$A$900)),3))</f>
        <v/>
      </c>
      <c r="E464" s="15"/>
      <c r="F464" s="19" t="str">
        <f t="shared" si="15"/>
        <v/>
      </c>
      <c r="G464" s="9"/>
      <c r="H464" s="9"/>
    </row>
    <row r="465" spans="1:8" ht="24" customHeight="1">
      <c r="A465" s="5" t="str">
        <f t="shared" si="14"/>
        <v/>
      </c>
      <c r="B465" s="18"/>
      <c r="C465" s="9"/>
      <c r="D465" s="10" t="str">
        <f>IF($C465="","",ROUND(SUMIFS(الإدخالات!$D$2:$D$501,الإدخالات!$C$2:$C$501,$C465)+SUMIFS($F$1:F464,$C$1:C464,$C465)-SUMIFS('الصرف المباشر'!$D$2:$D$501,'الصرف المباشر'!$C$2:$C$501,$C465)-SUMPRODUCT((الطبخات!$B$2:$B$900=$C465)*الطبخات!$C$2:$C$900*COUNTIF('سجل الإنتاج'!$C$2:$C$501,الطبخات!$A$2:$A$900)),3))</f>
        <v/>
      </c>
      <c r="E465" s="15"/>
      <c r="F465" s="19" t="str">
        <f t="shared" si="15"/>
        <v/>
      </c>
      <c r="G465" s="9"/>
      <c r="H465" s="9"/>
    </row>
    <row r="466" spans="1:8" ht="24" customHeight="1">
      <c r="A466" s="5" t="str">
        <f t="shared" si="14"/>
        <v/>
      </c>
      <c r="B466" s="18"/>
      <c r="C466" s="9"/>
      <c r="D466" s="10" t="str">
        <f>IF($C466="","",ROUND(SUMIFS(الإدخالات!$D$2:$D$501,الإدخالات!$C$2:$C$501,$C466)+SUMIFS($F$1:F465,$C$1:C465,$C466)-SUMIFS('الصرف المباشر'!$D$2:$D$501,'الصرف المباشر'!$C$2:$C$501,$C466)-SUMPRODUCT((الطبخات!$B$2:$B$900=$C466)*الطبخات!$C$2:$C$900*COUNTIF('سجل الإنتاج'!$C$2:$C$501,الطبخات!$A$2:$A$900)),3))</f>
        <v/>
      </c>
      <c r="E466" s="15"/>
      <c r="F466" s="19" t="str">
        <f t="shared" si="15"/>
        <v/>
      </c>
      <c r="G466" s="9"/>
      <c r="H466" s="9"/>
    </row>
    <row r="467" spans="1:8" ht="24" customHeight="1">
      <c r="A467" s="5" t="str">
        <f t="shared" si="14"/>
        <v/>
      </c>
      <c r="B467" s="18"/>
      <c r="C467" s="9"/>
      <c r="D467" s="10" t="str">
        <f>IF($C467="","",ROUND(SUMIFS(الإدخالات!$D$2:$D$501,الإدخالات!$C$2:$C$501,$C467)+SUMIFS($F$1:F466,$C$1:C466,$C467)-SUMIFS('الصرف المباشر'!$D$2:$D$501,'الصرف المباشر'!$C$2:$C$501,$C467)-SUMPRODUCT((الطبخات!$B$2:$B$900=$C467)*الطبخات!$C$2:$C$900*COUNTIF('سجل الإنتاج'!$C$2:$C$501,الطبخات!$A$2:$A$900)),3))</f>
        <v/>
      </c>
      <c r="E467" s="15"/>
      <c r="F467" s="19" t="str">
        <f t="shared" si="15"/>
        <v/>
      </c>
      <c r="G467" s="9"/>
      <c r="H467" s="9"/>
    </row>
    <row r="468" spans="1:8" ht="24" customHeight="1">
      <c r="A468" s="5" t="str">
        <f t="shared" si="14"/>
        <v/>
      </c>
      <c r="B468" s="18"/>
      <c r="C468" s="9"/>
      <c r="D468" s="10" t="str">
        <f>IF($C468="","",ROUND(SUMIFS(الإدخالات!$D$2:$D$501,الإدخالات!$C$2:$C$501,$C468)+SUMIFS($F$1:F467,$C$1:C467,$C468)-SUMIFS('الصرف المباشر'!$D$2:$D$501,'الصرف المباشر'!$C$2:$C$501,$C468)-SUMPRODUCT((الطبخات!$B$2:$B$900=$C468)*الطبخات!$C$2:$C$900*COUNTIF('سجل الإنتاج'!$C$2:$C$501,الطبخات!$A$2:$A$900)),3))</f>
        <v/>
      </c>
      <c r="E468" s="15"/>
      <c r="F468" s="19" t="str">
        <f t="shared" si="15"/>
        <v/>
      </c>
      <c r="G468" s="9"/>
      <c r="H468" s="9"/>
    </row>
    <row r="469" spans="1:8" ht="24" customHeight="1">
      <c r="A469" s="5" t="str">
        <f t="shared" si="14"/>
        <v/>
      </c>
      <c r="B469" s="18"/>
      <c r="C469" s="9"/>
      <c r="D469" s="10" t="str">
        <f>IF($C469="","",ROUND(SUMIFS(الإدخالات!$D$2:$D$501,الإدخالات!$C$2:$C$501,$C469)+SUMIFS($F$1:F468,$C$1:C468,$C469)-SUMIFS('الصرف المباشر'!$D$2:$D$501,'الصرف المباشر'!$C$2:$C$501,$C469)-SUMPRODUCT((الطبخات!$B$2:$B$900=$C469)*الطبخات!$C$2:$C$900*COUNTIF('سجل الإنتاج'!$C$2:$C$501,الطبخات!$A$2:$A$900)),3))</f>
        <v/>
      </c>
      <c r="E469" s="15"/>
      <c r="F469" s="19" t="str">
        <f t="shared" si="15"/>
        <v/>
      </c>
      <c r="G469" s="9"/>
      <c r="H469" s="9"/>
    </row>
    <row r="470" spans="1:8" ht="24" customHeight="1">
      <c r="A470" s="5" t="str">
        <f t="shared" si="14"/>
        <v/>
      </c>
      <c r="B470" s="18"/>
      <c r="C470" s="9"/>
      <c r="D470" s="10" t="str">
        <f>IF($C470="","",ROUND(SUMIFS(الإدخالات!$D$2:$D$501,الإدخالات!$C$2:$C$501,$C470)+SUMIFS($F$1:F469,$C$1:C469,$C470)-SUMIFS('الصرف المباشر'!$D$2:$D$501,'الصرف المباشر'!$C$2:$C$501,$C470)-SUMPRODUCT((الطبخات!$B$2:$B$900=$C470)*الطبخات!$C$2:$C$900*COUNTIF('سجل الإنتاج'!$C$2:$C$501,الطبخات!$A$2:$A$900)),3))</f>
        <v/>
      </c>
      <c r="E470" s="15"/>
      <c r="F470" s="19" t="str">
        <f t="shared" si="15"/>
        <v/>
      </c>
      <c r="G470" s="9"/>
      <c r="H470" s="9"/>
    </row>
    <row r="471" spans="1:8" ht="24" customHeight="1">
      <c r="A471" s="5" t="str">
        <f t="shared" si="14"/>
        <v/>
      </c>
      <c r="B471" s="18"/>
      <c r="C471" s="9"/>
      <c r="D471" s="10" t="str">
        <f>IF($C471="","",ROUND(SUMIFS(الإدخالات!$D$2:$D$501,الإدخالات!$C$2:$C$501,$C471)+SUMIFS($F$1:F470,$C$1:C470,$C471)-SUMIFS('الصرف المباشر'!$D$2:$D$501,'الصرف المباشر'!$C$2:$C$501,$C471)-SUMPRODUCT((الطبخات!$B$2:$B$900=$C471)*الطبخات!$C$2:$C$900*COUNTIF('سجل الإنتاج'!$C$2:$C$501,الطبخات!$A$2:$A$900)),3))</f>
        <v/>
      </c>
      <c r="E471" s="15"/>
      <c r="F471" s="19" t="str">
        <f t="shared" si="15"/>
        <v/>
      </c>
      <c r="G471" s="9"/>
      <c r="H471" s="9"/>
    </row>
    <row r="472" spans="1:8" ht="24" customHeight="1">
      <c r="A472" s="5" t="str">
        <f t="shared" si="14"/>
        <v/>
      </c>
      <c r="B472" s="18"/>
      <c r="C472" s="9"/>
      <c r="D472" s="10" t="str">
        <f>IF($C472="","",ROUND(SUMIFS(الإدخالات!$D$2:$D$501,الإدخالات!$C$2:$C$501,$C472)+SUMIFS($F$1:F471,$C$1:C471,$C472)-SUMIFS('الصرف المباشر'!$D$2:$D$501,'الصرف المباشر'!$C$2:$C$501,$C472)-SUMPRODUCT((الطبخات!$B$2:$B$900=$C472)*الطبخات!$C$2:$C$900*COUNTIF('سجل الإنتاج'!$C$2:$C$501,الطبخات!$A$2:$A$900)),3))</f>
        <v/>
      </c>
      <c r="E472" s="15"/>
      <c r="F472" s="19" t="str">
        <f t="shared" si="15"/>
        <v/>
      </c>
      <c r="G472" s="9"/>
      <c r="H472" s="9"/>
    </row>
    <row r="473" spans="1:8" ht="24" customHeight="1">
      <c r="A473" s="5" t="str">
        <f t="shared" si="14"/>
        <v/>
      </c>
      <c r="B473" s="18"/>
      <c r="C473" s="9"/>
      <c r="D473" s="10" t="str">
        <f>IF($C473="","",ROUND(SUMIFS(الإدخالات!$D$2:$D$501,الإدخالات!$C$2:$C$501,$C473)+SUMIFS($F$1:F472,$C$1:C472,$C473)-SUMIFS('الصرف المباشر'!$D$2:$D$501,'الصرف المباشر'!$C$2:$C$501,$C473)-SUMPRODUCT((الطبخات!$B$2:$B$900=$C473)*الطبخات!$C$2:$C$900*COUNTIF('سجل الإنتاج'!$C$2:$C$501,الطبخات!$A$2:$A$900)),3))</f>
        <v/>
      </c>
      <c r="E473" s="15"/>
      <c r="F473" s="19" t="str">
        <f t="shared" si="15"/>
        <v/>
      </c>
      <c r="G473" s="9"/>
      <c r="H473" s="9"/>
    </row>
    <row r="474" spans="1:8" ht="24" customHeight="1">
      <c r="A474" s="5" t="str">
        <f t="shared" si="14"/>
        <v/>
      </c>
      <c r="B474" s="18"/>
      <c r="C474" s="9"/>
      <c r="D474" s="10" t="str">
        <f>IF($C474="","",ROUND(SUMIFS(الإدخالات!$D$2:$D$501,الإدخالات!$C$2:$C$501,$C474)+SUMIFS($F$1:F473,$C$1:C473,$C474)-SUMIFS('الصرف المباشر'!$D$2:$D$501,'الصرف المباشر'!$C$2:$C$501,$C474)-SUMPRODUCT((الطبخات!$B$2:$B$900=$C474)*الطبخات!$C$2:$C$900*COUNTIF('سجل الإنتاج'!$C$2:$C$501,الطبخات!$A$2:$A$900)),3))</f>
        <v/>
      </c>
      <c r="E474" s="15"/>
      <c r="F474" s="19" t="str">
        <f t="shared" si="15"/>
        <v/>
      </c>
      <c r="G474" s="9"/>
      <c r="H474" s="9"/>
    </row>
    <row r="475" spans="1:8" ht="24" customHeight="1">
      <c r="A475" s="5" t="str">
        <f t="shared" si="14"/>
        <v/>
      </c>
      <c r="B475" s="18"/>
      <c r="C475" s="9"/>
      <c r="D475" s="10" t="str">
        <f>IF($C475="","",ROUND(SUMIFS(الإدخالات!$D$2:$D$501,الإدخالات!$C$2:$C$501,$C475)+SUMIFS($F$1:F474,$C$1:C474,$C475)-SUMIFS('الصرف المباشر'!$D$2:$D$501,'الصرف المباشر'!$C$2:$C$501,$C475)-SUMPRODUCT((الطبخات!$B$2:$B$900=$C475)*الطبخات!$C$2:$C$900*COUNTIF('سجل الإنتاج'!$C$2:$C$501,الطبخات!$A$2:$A$900)),3))</f>
        <v/>
      </c>
      <c r="E475" s="15"/>
      <c r="F475" s="19" t="str">
        <f t="shared" si="15"/>
        <v/>
      </c>
      <c r="G475" s="9"/>
      <c r="H475" s="9"/>
    </row>
    <row r="476" spans="1:8" ht="24" customHeight="1">
      <c r="A476" s="5" t="str">
        <f t="shared" si="14"/>
        <v/>
      </c>
      <c r="B476" s="18"/>
      <c r="C476" s="9"/>
      <c r="D476" s="10" t="str">
        <f>IF($C476="","",ROUND(SUMIFS(الإدخالات!$D$2:$D$501,الإدخالات!$C$2:$C$501,$C476)+SUMIFS($F$1:F475,$C$1:C475,$C476)-SUMIFS('الصرف المباشر'!$D$2:$D$501,'الصرف المباشر'!$C$2:$C$501,$C476)-SUMPRODUCT((الطبخات!$B$2:$B$900=$C476)*الطبخات!$C$2:$C$900*COUNTIF('سجل الإنتاج'!$C$2:$C$501,الطبخات!$A$2:$A$900)),3))</f>
        <v/>
      </c>
      <c r="E476" s="15"/>
      <c r="F476" s="19" t="str">
        <f t="shared" si="15"/>
        <v/>
      </c>
      <c r="G476" s="9"/>
      <c r="H476" s="9"/>
    </row>
    <row r="477" spans="1:8" ht="24" customHeight="1">
      <c r="A477" s="5" t="str">
        <f t="shared" si="14"/>
        <v/>
      </c>
      <c r="B477" s="18"/>
      <c r="C477" s="9"/>
      <c r="D477" s="10" t="str">
        <f>IF($C477="","",ROUND(SUMIFS(الإدخالات!$D$2:$D$501,الإدخالات!$C$2:$C$501,$C477)+SUMIFS($F$1:F476,$C$1:C476,$C477)-SUMIFS('الصرف المباشر'!$D$2:$D$501,'الصرف المباشر'!$C$2:$C$501,$C477)-SUMPRODUCT((الطبخات!$B$2:$B$900=$C477)*الطبخات!$C$2:$C$900*COUNTIF('سجل الإنتاج'!$C$2:$C$501,الطبخات!$A$2:$A$900)),3))</f>
        <v/>
      </c>
      <c r="E477" s="15"/>
      <c r="F477" s="19" t="str">
        <f t="shared" si="15"/>
        <v/>
      </c>
      <c r="G477" s="9"/>
      <c r="H477" s="9"/>
    </row>
    <row r="478" spans="1:8" ht="24" customHeight="1">
      <c r="A478" s="5" t="str">
        <f t="shared" si="14"/>
        <v/>
      </c>
      <c r="B478" s="18"/>
      <c r="C478" s="9"/>
      <c r="D478" s="10" t="str">
        <f>IF($C478="","",ROUND(SUMIFS(الإدخالات!$D$2:$D$501,الإدخالات!$C$2:$C$501,$C478)+SUMIFS($F$1:F477,$C$1:C477,$C478)-SUMIFS('الصرف المباشر'!$D$2:$D$501,'الصرف المباشر'!$C$2:$C$501,$C478)-SUMPRODUCT((الطبخات!$B$2:$B$900=$C478)*الطبخات!$C$2:$C$900*COUNTIF('سجل الإنتاج'!$C$2:$C$501,الطبخات!$A$2:$A$900)),3))</f>
        <v/>
      </c>
      <c r="E478" s="15"/>
      <c r="F478" s="19" t="str">
        <f t="shared" si="15"/>
        <v/>
      </c>
      <c r="G478" s="9"/>
      <c r="H478" s="9"/>
    </row>
    <row r="479" spans="1:8" ht="24" customHeight="1">
      <c r="A479" s="5" t="str">
        <f t="shared" si="14"/>
        <v/>
      </c>
      <c r="B479" s="18"/>
      <c r="C479" s="9"/>
      <c r="D479" s="10" t="str">
        <f>IF($C479="","",ROUND(SUMIFS(الإدخالات!$D$2:$D$501,الإدخالات!$C$2:$C$501,$C479)+SUMIFS($F$1:F478,$C$1:C478,$C479)-SUMIFS('الصرف المباشر'!$D$2:$D$501,'الصرف المباشر'!$C$2:$C$501,$C479)-SUMPRODUCT((الطبخات!$B$2:$B$900=$C479)*الطبخات!$C$2:$C$900*COUNTIF('سجل الإنتاج'!$C$2:$C$501,الطبخات!$A$2:$A$900)),3))</f>
        <v/>
      </c>
      <c r="E479" s="15"/>
      <c r="F479" s="19" t="str">
        <f t="shared" si="15"/>
        <v/>
      </c>
      <c r="G479" s="9"/>
      <c r="H479" s="9"/>
    </row>
    <row r="480" spans="1:8" ht="24" customHeight="1">
      <c r="A480" s="5" t="str">
        <f t="shared" si="14"/>
        <v/>
      </c>
      <c r="B480" s="18"/>
      <c r="C480" s="9"/>
      <c r="D480" s="10" t="str">
        <f>IF($C480="","",ROUND(SUMIFS(الإدخالات!$D$2:$D$501,الإدخالات!$C$2:$C$501,$C480)+SUMIFS($F$1:F479,$C$1:C479,$C480)-SUMIFS('الصرف المباشر'!$D$2:$D$501,'الصرف المباشر'!$C$2:$C$501,$C480)-SUMPRODUCT((الطبخات!$B$2:$B$900=$C480)*الطبخات!$C$2:$C$900*COUNTIF('سجل الإنتاج'!$C$2:$C$501,الطبخات!$A$2:$A$900)),3))</f>
        <v/>
      </c>
      <c r="E480" s="15"/>
      <c r="F480" s="19" t="str">
        <f t="shared" si="15"/>
        <v/>
      </c>
      <c r="G480" s="9"/>
      <c r="H480" s="9"/>
    </row>
    <row r="481" spans="1:8" ht="24" customHeight="1">
      <c r="A481" s="5" t="str">
        <f t="shared" si="14"/>
        <v/>
      </c>
      <c r="B481" s="18"/>
      <c r="C481" s="9"/>
      <c r="D481" s="10" t="str">
        <f>IF($C481="","",ROUND(SUMIFS(الإدخالات!$D$2:$D$501,الإدخالات!$C$2:$C$501,$C481)+SUMIFS($F$1:F480,$C$1:C480,$C481)-SUMIFS('الصرف المباشر'!$D$2:$D$501,'الصرف المباشر'!$C$2:$C$501,$C481)-SUMPRODUCT((الطبخات!$B$2:$B$900=$C481)*الطبخات!$C$2:$C$900*COUNTIF('سجل الإنتاج'!$C$2:$C$501,الطبخات!$A$2:$A$900)),3))</f>
        <v/>
      </c>
      <c r="E481" s="15"/>
      <c r="F481" s="19" t="str">
        <f t="shared" si="15"/>
        <v/>
      </c>
      <c r="G481" s="9"/>
      <c r="H481" s="9"/>
    </row>
    <row r="482" spans="1:8" ht="24" customHeight="1">
      <c r="A482" s="5" t="str">
        <f t="shared" si="14"/>
        <v/>
      </c>
      <c r="B482" s="18"/>
      <c r="C482" s="9"/>
      <c r="D482" s="10" t="str">
        <f>IF($C482="","",ROUND(SUMIFS(الإدخالات!$D$2:$D$501,الإدخالات!$C$2:$C$501,$C482)+SUMIFS($F$1:F481,$C$1:C481,$C482)-SUMIFS('الصرف المباشر'!$D$2:$D$501,'الصرف المباشر'!$C$2:$C$501,$C482)-SUMPRODUCT((الطبخات!$B$2:$B$900=$C482)*الطبخات!$C$2:$C$900*COUNTIF('سجل الإنتاج'!$C$2:$C$501,الطبخات!$A$2:$A$900)),3))</f>
        <v/>
      </c>
      <c r="E482" s="15"/>
      <c r="F482" s="19" t="str">
        <f t="shared" si="15"/>
        <v/>
      </c>
      <c r="G482" s="9"/>
      <c r="H482" s="9"/>
    </row>
    <row r="483" spans="1:8" ht="24" customHeight="1">
      <c r="A483" s="5" t="str">
        <f t="shared" si="14"/>
        <v/>
      </c>
      <c r="B483" s="18"/>
      <c r="C483" s="9"/>
      <c r="D483" s="10" t="str">
        <f>IF($C483="","",ROUND(SUMIFS(الإدخالات!$D$2:$D$501,الإدخالات!$C$2:$C$501,$C483)+SUMIFS($F$1:F482,$C$1:C482,$C483)-SUMIFS('الصرف المباشر'!$D$2:$D$501,'الصرف المباشر'!$C$2:$C$501,$C483)-SUMPRODUCT((الطبخات!$B$2:$B$900=$C483)*الطبخات!$C$2:$C$900*COUNTIF('سجل الإنتاج'!$C$2:$C$501,الطبخات!$A$2:$A$900)),3))</f>
        <v/>
      </c>
      <c r="E483" s="15"/>
      <c r="F483" s="19" t="str">
        <f t="shared" si="15"/>
        <v/>
      </c>
      <c r="G483" s="9"/>
      <c r="H483" s="9"/>
    </row>
    <row r="484" spans="1:8" ht="24" customHeight="1">
      <c r="A484" s="5" t="str">
        <f t="shared" si="14"/>
        <v/>
      </c>
      <c r="B484" s="18"/>
      <c r="C484" s="9"/>
      <c r="D484" s="10" t="str">
        <f>IF($C484="","",ROUND(SUMIFS(الإدخالات!$D$2:$D$501,الإدخالات!$C$2:$C$501,$C484)+SUMIFS($F$1:F483,$C$1:C483,$C484)-SUMIFS('الصرف المباشر'!$D$2:$D$501,'الصرف المباشر'!$C$2:$C$501,$C484)-SUMPRODUCT((الطبخات!$B$2:$B$900=$C484)*الطبخات!$C$2:$C$900*COUNTIF('سجل الإنتاج'!$C$2:$C$501,الطبخات!$A$2:$A$900)),3))</f>
        <v/>
      </c>
      <c r="E484" s="15"/>
      <c r="F484" s="19" t="str">
        <f t="shared" si="15"/>
        <v/>
      </c>
      <c r="G484" s="9"/>
      <c r="H484" s="9"/>
    </row>
    <row r="485" spans="1:8" ht="24" customHeight="1">
      <c r="A485" s="5" t="str">
        <f t="shared" si="14"/>
        <v/>
      </c>
      <c r="B485" s="18"/>
      <c r="C485" s="9"/>
      <c r="D485" s="10" t="str">
        <f>IF($C485="","",ROUND(SUMIFS(الإدخالات!$D$2:$D$501,الإدخالات!$C$2:$C$501,$C485)+SUMIFS($F$1:F484,$C$1:C484,$C485)-SUMIFS('الصرف المباشر'!$D$2:$D$501,'الصرف المباشر'!$C$2:$C$501,$C485)-SUMPRODUCT((الطبخات!$B$2:$B$900=$C485)*الطبخات!$C$2:$C$900*COUNTIF('سجل الإنتاج'!$C$2:$C$501,الطبخات!$A$2:$A$900)),3))</f>
        <v/>
      </c>
      <c r="E485" s="15"/>
      <c r="F485" s="19" t="str">
        <f t="shared" si="15"/>
        <v/>
      </c>
      <c r="G485" s="9"/>
      <c r="H485" s="9"/>
    </row>
    <row r="486" spans="1:8" ht="24" customHeight="1">
      <c r="A486" s="5" t="str">
        <f t="shared" si="14"/>
        <v/>
      </c>
      <c r="B486" s="18"/>
      <c r="C486" s="9"/>
      <c r="D486" s="10" t="str">
        <f>IF($C486="","",ROUND(SUMIFS(الإدخالات!$D$2:$D$501,الإدخالات!$C$2:$C$501,$C486)+SUMIFS($F$1:F485,$C$1:C485,$C486)-SUMIFS('الصرف المباشر'!$D$2:$D$501,'الصرف المباشر'!$C$2:$C$501,$C486)-SUMPRODUCT((الطبخات!$B$2:$B$900=$C486)*الطبخات!$C$2:$C$900*COUNTIF('سجل الإنتاج'!$C$2:$C$501,الطبخات!$A$2:$A$900)),3))</f>
        <v/>
      </c>
      <c r="E486" s="15"/>
      <c r="F486" s="19" t="str">
        <f t="shared" si="15"/>
        <v/>
      </c>
      <c r="G486" s="9"/>
      <c r="H486" s="9"/>
    </row>
    <row r="487" spans="1:8" ht="24" customHeight="1">
      <c r="A487" s="5" t="str">
        <f t="shared" si="14"/>
        <v/>
      </c>
      <c r="B487" s="18"/>
      <c r="C487" s="9"/>
      <c r="D487" s="10" t="str">
        <f>IF($C487="","",ROUND(SUMIFS(الإدخالات!$D$2:$D$501,الإدخالات!$C$2:$C$501,$C487)+SUMIFS($F$1:F486,$C$1:C486,$C487)-SUMIFS('الصرف المباشر'!$D$2:$D$501,'الصرف المباشر'!$C$2:$C$501,$C487)-SUMPRODUCT((الطبخات!$B$2:$B$900=$C487)*الطبخات!$C$2:$C$900*COUNTIF('سجل الإنتاج'!$C$2:$C$501,الطبخات!$A$2:$A$900)),3))</f>
        <v/>
      </c>
      <c r="E487" s="15"/>
      <c r="F487" s="19" t="str">
        <f t="shared" si="15"/>
        <v/>
      </c>
      <c r="G487" s="9"/>
      <c r="H487" s="9"/>
    </row>
    <row r="488" spans="1:8" ht="24" customHeight="1">
      <c r="A488" s="5" t="str">
        <f t="shared" si="14"/>
        <v/>
      </c>
      <c r="B488" s="18"/>
      <c r="C488" s="9"/>
      <c r="D488" s="10" t="str">
        <f>IF($C488="","",ROUND(SUMIFS(الإدخالات!$D$2:$D$501,الإدخالات!$C$2:$C$501,$C488)+SUMIFS($F$1:F487,$C$1:C487,$C488)-SUMIFS('الصرف المباشر'!$D$2:$D$501,'الصرف المباشر'!$C$2:$C$501,$C488)-SUMPRODUCT((الطبخات!$B$2:$B$900=$C488)*الطبخات!$C$2:$C$900*COUNTIF('سجل الإنتاج'!$C$2:$C$501,الطبخات!$A$2:$A$900)),3))</f>
        <v/>
      </c>
      <c r="E488" s="15"/>
      <c r="F488" s="19" t="str">
        <f t="shared" si="15"/>
        <v/>
      </c>
      <c r="G488" s="9"/>
      <c r="H488" s="9"/>
    </row>
    <row r="489" spans="1:8" ht="24" customHeight="1">
      <c r="A489" s="5" t="str">
        <f t="shared" si="14"/>
        <v/>
      </c>
      <c r="B489" s="18"/>
      <c r="C489" s="9"/>
      <c r="D489" s="10" t="str">
        <f>IF($C489="","",ROUND(SUMIFS(الإدخالات!$D$2:$D$501,الإدخالات!$C$2:$C$501,$C489)+SUMIFS($F$1:F488,$C$1:C488,$C489)-SUMIFS('الصرف المباشر'!$D$2:$D$501,'الصرف المباشر'!$C$2:$C$501,$C489)-SUMPRODUCT((الطبخات!$B$2:$B$900=$C489)*الطبخات!$C$2:$C$900*COUNTIF('سجل الإنتاج'!$C$2:$C$501,الطبخات!$A$2:$A$900)),3))</f>
        <v/>
      </c>
      <c r="E489" s="15"/>
      <c r="F489" s="19" t="str">
        <f t="shared" si="15"/>
        <v/>
      </c>
      <c r="G489" s="9"/>
      <c r="H489" s="9"/>
    </row>
    <row r="490" spans="1:8" ht="24" customHeight="1">
      <c r="A490" s="5" t="str">
        <f t="shared" si="14"/>
        <v/>
      </c>
      <c r="B490" s="18"/>
      <c r="C490" s="9"/>
      <c r="D490" s="10" t="str">
        <f>IF($C490="","",ROUND(SUMIFS(الإدخالات!$D$2:$D$501,الإدخالات!$C$2:$C$501,$C490)+SUMIFS($F$1:F489,$C$1:C489,$C490)-SUMIFS('الصرف المباشر'!$D$2:$D$501,'الصرف المباشر'!$C$2:$C$501,$C490)-SUMPRODUCT((الطبخات!$B$2:$B$900=$C490)*الطبخات!$C$2:$C$900*COUNTIF('سجل الإنتاج'!$C$2:$C$501,الطبخات!$A$2:$A$900)),3))</f>
        <v/>
      </c>
      <c r="E490" s="15"/>
      <c r="F490" s="19" t="str">
        <f t="shared" si="15"/>
        <v/>
      </c>
      <c r="G490" s="9"/>
      <c r="H490" s="9"/>
    </row>
    <row r="491" spans="1:8" ht="24" customHeight="1">
      <c r="A491" s="5" t="str">
        <f t="shared" si="14"/>
        <v/>
      </c>
      <c r="B491" s="18"/>
      <c r="C491" s="9"/>
      <c r="D491" s="10" t="str">
        <f>IF($C491="","",ROUND(SUMIFS(الإدخالات!$D$2:$D$501,الإدخالات!$C$2:$C$501,$C491)+SUMIFS($F$1:F490,$C$1:C490,$C491)-SUMIFS('الصرف المباشر'!$D$2:$D$501,'الصرف المباشر'!$C$2:$C$501,$C491)-SUMPRODUCT((الطبخات!$B$2:$B$900=$C491)*الطبخات!$C$2:$C$900*COUNTIF('سجل الإنتاج'!$C$2:$C$501,الطبخات!$A$2:$A$900)),3))</f>
        <v/>
      </c>
      <c r="E491" s="15"/>
      <c r="F491" s="19" t="str">
        <f t="shared" si="15"/>
        <v/>
      </c>
      <c r="G491" s="9"/>
      <c r="H491" s="9"/>
    </row>
    <row r="492" spans="1:8" ht="24" customHeight="1">
      <c r="A492" s="5" t="str">
        <f t="shared" si="14"/>
        <v/>
      </c>
      <c r="B492" s="18"/>
      <c r="C492" s="9"/>
      <c r="D492" s="10" t="str">
        <f>IF($C492="","",ROUND(SUMIFS(الإدخالات!$D$2:$D$501,الإدخالات!$C$2:$C$501,$C492)+SUMIFS($F$1:F491,$C$1:C491,$C492)-SUMIFS('الصرف المباشر'!$D$2:$D$501,'الصرف المباشر'!$C$2:$C$501,$C492)-SUMPRODUCT((الطبخات!$B$2:$B$900=$C492)*الطبخات!$C$2:$C$900*COUNTIF('سجل الإنتاج'!$C$2:$C$501,الطبخات!$A$2:$A$900)),3))</f>
        <v/>
      </c>
      <c r="E492" s="15"/>
      <c r="F492" s="19" t="str">
        <f t="shared" si="15"/>
        <v/>
      </c>
      <c r="G492" s="9"/>
      <c r="H492" s="9"/>
    </row>
    <row r="493" spans="1:8" ht="24" customHeight="1">
      <c r="A493" s="5" t="str">
        <f t="shared" si="14"/>
        <v/>
      </c>
      <c r="B493" s="18"/>
      <c r="C493" s="9"/>
      <c r="D493" s="10" t="str">
        <f>IF($C493="","",ROUND(SUMIFS(الإدخالات!$D$2:$D$501,الإدخالات!$C$2:$C$501,$C493)+SUMIFS($F$1:F492,$C$1:C492,$C493)-SUMIFS('الصرف المباشر'!$D$2:$D$501,'الصرف المباشر'!$C$2:$C$501,$C493)-SUMPRODUCT((الطبخات!$B$2:$B$900=$C493)*الطبخات!$C$2:$C$900*COUNTIF('سجل الإنتاج'!$C$2:$C$501,الطبخات!$A$2:$A$900)),3))</f>
        <v/>
      </c>
      <c r="E493" s="15"/>
      <c r="F493" s="19" t="str">
        <f t="shared" si="15"/>
        <v/>
      </c>
      <c r="G493" s="9"/>
      <c r="H493" s="9"/>
    </row>
    <row r="494" spans="1:8" ht="24" customHeight="1">
      <c r="A494" s="5" t="str">
        <f t="shared" si="14"/>
        <v/>
      </c>
      <c r="B494" s="18"/>
      <c r="C494" s="9"/>
      <c r="D494" s="10" t="str">
        <f>IF($C494="","",ROUND(SUMIFS(الإدخالات!$D$2:$D$501,الإدخالات!$C$2:$C$501,$C494)+SUMIFS($F$1:F493,$C$1:C493,$C494)-SUMIFS('الصرف المباشر'!$D$2:$D$501,'الصرف المباشر'!$C$2:$C$501,$C494)-SUMPRODUCT((الطبخات!$B$2:$B$900=$C494)*الطبخات!$C$2:$C$900*COUNTIF('سجل الإنتاج'!$C$2:$C$501,الطبخات!$A$2:$A$900)),3))</f>
        <v/>
      </c>
      <c r="E494" s="15"/>
      <c r="F494" s="19" t="str">
        <f t="shared" si="15"/>
        <v/>
      </c>
      <c r="G494" s="9"/>
      <c r="H494" s="9"/>
    </row>
    <row r="495" spans="1:8" ht="24" customHeight="1">
      <c r="A495" s="5" t="str">
        <f t="shared" si="14"/>
        <v/>
      </c>
      <c r="B495" s="18"/>
      <c r="C495" s="9"/>
      <c r="D495" s="10" t="str">
        <f>IF($C495="","",ROUND(SUMIFS(الإدخالات!$D$2:$D$501,الإدخالات!$C$2:$C$501,$C495)+SUMIFS($F$1:F494,$C$1:C494,$C495)-SUMIFS('الصرف المباشر'!$D$2:$D$501,'الصرف المباشر'!$C$2:$C$501,$C495)-SUMPRODUCT((الطبخات!$B$2:$B$900=$C495)*الطبخات!$C$2:$C$900*COUNTIF('سجل الإنتاج'!$C$2:$C$501,الطبخات!$A$2:$A$900)),3))</f>
        <v/>
      </c>
      <c r="E495" s="15"/>
      <c r="F495" s="19" t="str">
        <f t="shared" si="15"/>
        <v/>
      </c>
      <c r="G495" s="9"/>
      <c r="H495" s="9"/>
    </row>
    <row r="496" spans="1:8" ht="24" customHeight="1">
      <c r="A496" s="5" t="str">
        <f t="shared" si="14"/>
        <v/>
      </c>
      <c r="B496" s="18"/>
      <c r="C496" s="9"/>
      <c r="D496" s="10" t="str">
        <f>IF($C496="","",ROUND(SUMIFS(الإدخالات!$D$2:$D$501,الإدخالات!$C$2:$C$501,$C496)+SUMIFS($F$1:F495,$C$1:C495,$C496)-SUMIFS('الصرف المباشر'!$D$2:$D$501,'الصرف المباشر'!$C$2:$C$501,$C496)-SUMPRODUCT((الطبخات!$B$2:$B$900=$C496)*الطبخات!$C$2:$C$900*COUNTIF('سجل الإنتاج'!$C$2:$C$501,الطبخات!$A$2:$A$900)),3))</f>
        <v/>
      </c>
      <c r="E496" s="15"/>
      <c r="F496" s="19" t="str">
        <f t="shared" si="15"/>
        <v/>
      </c>
      <c r="G496" s="9"/>
      <c r="H496" s="9"/>
    </row>
    <row r="497" spans="1:8" ht="24" customHeight="1">
      <c r="A497" s="5" t="str">
        <f t="shared" si="14"/>
        <v/>
      </c>
      <c r="B497" s="18"/>
      <c r="C497" s="9"/>
      <c r="D497" s="10" t="str">
        <f>IF($C497="","",ROUND(SUMIFS(الإدخالات!$D$2:$D$501,الإدخالات!$C$2:$C$501,$C497)+SUMIFS($F$1:F496,$C$1:C496,$C497)-SUMIFS('الصرف المباشر'!$D$2:$D$501,'الصرف المباشر'!$C$2:$C$501,$C497)-SUMPRODUCT((الطبخات!$B$2:$B$900=$C497)*الطبخات!$C$2:$C$900*COUNTIF('سجل الإنتاج'!$C$2:$C$501,الطبخات!$A$2:$A$900)),3))</f>
        <v/>
      </c>
      <c r="E497" s="15"/>
      <c r="F497" s="19" t="str">
        <f t="shared" si="15"/>
        <v/>
      </c>
      <c r="G497" s="9"/>
      <c r="H497" s="9"/>
    </row>
    <row r="498" spans="1:8" ht="24" customHeight="1">
      <c r="A498" s="5" t="str">
        <f t="shared" si="14"/>
        <v/>
      </c>
      <c r="B498" s="18"/>
      <c r="C498" s="9"/>
      <c r="D498" s="10" t="str">
        <f>IF($C498="","",ROUND(SUMIFS(الإدخالات!$D$2:$D$501,الإدخالات!$C$2:$C$501,$C498)+SUMIFS($F$1:F497,$C$1:C497,$C498)-SUMIFS('الصرف المباشر'!$D$2:$D$501,'الصرف المباشر'!$C$2:$C$501,$C498)-SUMPRODUCT((الطبخات!$B$2:$B$900=$C498)*الطبخات!$C$2:$C$900*COUNTIF('سجل الإنتاج'!$C$2:$C$501,الطبخات!$A$2:$A$900)),3))</f>
        <v/>
      </c>
      <c r="E498" s="15"/>
      <c r="F498" s="19" t="str">
        <f t="shared" si="15"/>
        <v/>
      </c>
      <c r="G498" s="9"/>
      <c r="H498" s="9"/>
    </row>
    <row r="499" spans="1:8" ht="24" customHeight="1">
      <c r="A499" s="5" t="str">
        <f t="shared" si="14"/>
        <v/>
      </c>
      <c r="B499" s="18"/>
      <c r="C499" s="9"/>
      <c r="D499" s="10" t="str">
        <f>IF($C499="","",ROUND(SUMIFS(الإدخالات!$D$2:$D$501,الإدخالات!$C$2:$C$501,$C499)+SUMIFS($F$1:F498,$C$1:C498,$C499)-SUMIFS('الصرف المباشر'!$D$2:$D$501,'الصرف المباشر'!$C$2:$C$501,$C499)-SUMPRODUCT((الطبخات!$B$2:$B$900=$C499)*الطبخات!$C$2:$C$900*COUNTIF('سجل الإنتاج'!$C$2:$C$501,الطبخات!$A$2:$A$900)),3))</f>
        <v/>
      </c>
      <c r="E499" s="15"/>
      <c r="F499" s="19" t="str">
        <f t="shared" si="15"/>
        <v/>
      </c>
      <c r="G499" s="9"/>
      <c r="H499" s="9"/>
    </row>
    <row r="500" spans="1:8" ht="24" customHeight="1">
      <c r="A500" s="5" t="str">
        <f t="shared" si="14"/>
        <v/>
      </c>
      <c r="B500" s="18"/>
      <c r="C500" s="9"/>
      <c r="D500" s="10" t="str">
        <f>IF($C500="","",ROUND(SUMIFS(الإدخالات!$D$2:$D$501,الإدخالات!$C$2:$C$501,$C500)+SUMIFS($F$1:F499,$C$1:C499,$C500)-SUMIFS('الصرف المباشر'!$D$2:$D$501,'الصرف المباشر'!$C$2:$C$501,$C500)-SUMPRODUCT((الطبخات!$B$2:$B$900=$C500)*الطبخات!$C$2:$C$900*COUNTIF('سجل الإنتاج'!$C$2:$C$501,الطبخات!$A$2:$A$900)),3))</f>
        <v/>
      </c>
      <c r="E500" s="15"/>
      <c r="F500" s="19" t="str">
        <f t="shared" si="15"/>
        <v/>
      </c>
      <c r="G500" s="9"/>
      <c r="H500" s="9"/>
    </row>
    <row r="501" spans="1:8" ht="24" customHeight="1">
      <c r="A501" s="5" t="str">
        <f t="shared" si="14"/>
        <v/>
      </c>
      <c r="B501" s="18"/>
      <c r="C501" s="9"/>
      <c r="D501" s="10" t="str">
        <f>IF($C501="","",ROUND(SUMIFS(الإدخالات!$D$2:$D$501,الإدخالات!$C$2:$C$501,$C501)+SUMIFS($F$1:F500,$C$1:C500,$C501)-SUMIFS('الصرف المباشر'!$D$2:$D$501,'الصرف المباشر'!$C$2:$C$501,$C501)-SUMPRODUCT((الطبخات!$B$2:$B$900=$C501)*الطبخات!$C$2:$C$900*COUNTIF('سجل الإنتاج'!$C$2:$C$501,الطبخات!$A$2:$A$900)),3))</f>
        <v/>
      </c>
      <c r="E501" s="15"/>
      <c r="F501" s="19" t="str">
        <f t="shared" si="15"/>
        <v/>
      </c>
      <c r="G501" s="9"/>
      <c r="H501" s="9"/>
    </row>
  </sheetData>
  <sheetProtection sheet="1" objects="1" scenarios="1"/>
  <autoFilter ref="A1:H501" xr:uid="{00000000-0009-0000-0000-000006000000}"/>
  <conditionalFormatting sqref="A2:H501">
    <cfRule type="expression" dxfId="13" priority="1">
      <formula>AND(OR($C2&lt;&gt;"",$E2&lt;&gt;"",$B2&lt;&gt;""),OR($C2="",$E2="",$B2="",$G2=""))</formula>
    </cfRule>
  </conditionalFormatting>
  <conditionalFormatting sqref="F2:F501">
    <cfRule type="expression" dxfId="11" priority="3">
      <formula>AND($F2&lt;&gt;"",$F2&lt;0)</formula>
    </cfRule>
    <cfRule type="expression" dxfId="10" priority="4">
      <formula>AND($F2&lt;&gt;"",$F2&gt;0)</formula>
    </cfRule>
  </conditionalFormatting>
  <dataValidations count="2">
    <dataValidation type="decimal" operator="greaterThanOrEqual" allowBlank="1" showErrorMessage="1" errorTitle="قيمة سالبة" error="الكمية الفعلية لا يمكن أن تكون سالبة" sqref="E2:E501" xr:uid="{00000000-0002-0000-0600-000001000000}">
      <formula1>0</formula1>
    </dataValidation>
    <dataValidation type="list" allowBlank="1" showErrorMessage="1" errorTitle="سبب غير صحيح" error="اختر سبباً من القائمة" sqref="G2:G501" xr:uid="{00000000-0002-0000-0600-000002000000}">
      <formula1>"تلف,فقدان,خطأ إدخال سابق,سرقة,فرق جرد غير معروف السبب,أخرى"</formula1>
    </dataValidation>
  </dataValidations>
  <pageMargins left="0.75" right="0.75" top="1" bottom="1" header="0.5" footer="0.5"/>
  <extLst>
    <ext xmlns:x14="http://schemas.microsoft.com/office/spreadsheetml/2009/9/main" uri="{78C0D931-6437-407d-A8EE-F0AAD7539E65}">
      <x14:conditionalFormattings>
        <x14:conditionalFormatting xmlns:xm="http://schemas.microsoft.com/office/excel/2006/main">
          <x14:cfRule type="expression" priority="2" id="{00000000-000E-0000-0600-000002000000}">
            <xm:f>AND($C2&lt;&gt;"",COUNTIF(المواد!$A$2:$A$319,$C2)=0)</xm:f>
            <x14:dxf>
              <fill>
                <patternFill patternType="solid">
                  <fgColor rgb="FFFCE4E4"/>
                </patternFill>
              </fill>
            </x14:dxf>
          </x14:cfRule>
          <xm:sqref>A2:H501</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ErrorMessage="1" errorTitle="مادة غير موجودة" error="اختر مادة من صفحة المواد" xr:uid="{00000000-0002-0000-0600-000000000000}">
          <x14:formula1>
            <xm:f>المواد!$A$2:$A$319</xm:f>
          </x14:formula1>
          <xm:sqref>C2:C501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2E7D32"/>
  </sheetPr>
  <dimension ref="A1:F320"/>
  <sheetViews>
    <sheetView rightToLeft="1" workbookViewId="0">
      <pane ySplit="1" topLeftCell="A73" activePane="bottomLeft" state="frozen"/>
      <selection pane="bottomLeft"/>
    </sheetView>
  </sheetViews>
  <sheetFormatPr defaultRowHeight="14.25"/>
  <cols>
    <col min="1" max="1" width="32" customWidth="1"/>
    <col min="2" max="2" width="12" customWidth="1"/>
    <col min="3" max="3" width="16" customWidth="1"/>
    <col min="4" max="4" width="22" customWidth="1"/>
    <col min="5" max="5" width="20" customWidth="1"/>
    <col min="6" max="6" width="16" customWidth="1"/>
  </cols>
  <sheetData>
    <row r="1" spans="1:6" ht="26.1" customHeight="1">
      <c r="A1" s="2" t="s">
        <v>9</v>
      </c>
      <c r="B1" s="2" t="s">
        <v>11</v>
      </c>
      <c r="C1" s="2" t="s">
        <v>10</v>
      </c>
      <c r="D1" s="2" t="s">
        <v>160</v>
      </c>
      <c r="E1" s="2" t="s">
        <v>161</v>
      </c>
      <c r="F1" s="14" t="s">
        <v>162</v>
      </c>
    </row>
    <row r="2" spans="1:6" ht="24" customHeight="1">
      <c r="A2" s="3" t="str">
        <f>المواد!A2</f>
        <v>ملح</v>
      </c>
      <c r="B2" s="5" t="str">
        <f>المواد!B2</f>
        <v>كغ</v>
      </c>
      <c r="C2" s="4">
        <f>IF($A2="","",ROUND(SUMIFS(الإدخالات!$D$2:$D$501,الإدخالات!$C$2:$C$501,$A2)+SUMIFS('تعديل الجرد'!$F$2:$F$501,'تعديل الجرد'!$C$2:$C$501,$A2)-SUMIFS('الصرف المباشر'!$D$2:$D$501,'الصرف المباشر'!$C$2:$C$501,$A2)-SUMPRODUCT((الطبخات!$B$2:$B$900=$A2)*الطبخات!$C$2:$C$900*COUNTIF('سجل الإنتاج'!$C$2:$C$501,الطبخات!$A$2:$A$900)),3))</f>
        <v>128.04</v>
      </c>
      <c r="D2" s="4">
        <f>IF($A2="","",ROUND(SUMIFS('الصرف المباشر'!$D$2:$D$501,'الصرف المباشر'!$C$2:$C$501,$A2)+SUMPRODUCT((الطبخات!$B$2:$B$900=$A2)*الطبخات!$C$2:$C$900*COUNTIF('سجل الإنتاج'!$C$2:$C$501,الطبخات!$A$2:$A$900)),3))</f>
        <v>10</v>
      </c>
      <c r="E2" s="5" t="str">
        <f t="shared" ref="E2:E65" si="0">IF($A2="","",IF($C2&lt;0,"❌ رصيد سالب - يحتاج مراجعة","✔ طبيعي"))</f>
        <v>✔ طبيعي</v>
      </c>
      <c r="F2" s="5" t="str">
        <f>IF(AND($A2&lt;&gt;"",$E2&lt;&gt;"✔ طبيعي"),SUMPRODUCT(('الرصيد الحالي'!$E$2:$E2&lt;&gt;"✔ طبيعي")*('الرصيد الحالي'!$E$2:$E2&lt;&gt;"")*('الرصيد الحالي'!$A$2:$A2&lt;&gt;"")),"")</f>
        <v/>
      </c>
    </row>
    <row r="3" spans="1:6" ht="24" customHeight="1">
      <c r="A3" s="3" t="str">
        <f>المواد!A3</f>
        <v>مقصب</v>
      </c>
      <c r="B3" s="5" t="str">
        <f>المواد!B3</f>
        <v>كغ</v>
      </c>
      <c r="C3" s="4">
        <f>IF($A3="","",ROUND(SUMIFS(الإدخالات!$D$2:$D$501,الإدخالات!$C$2:$C$501,$A3)+SUMIFS('تعديل الجرد'!$F$2:$F$501,'تعديل الجرد'!$C$2:$C$501,$A3)-SUMIFS('الصرف المباشر'!$D$2:$D$501,'الصرف المباشر'!$C$2:$C$501,$A3)-SUMPRODUCT((الطبخات!$B$2:$B$900=$A3)*الطبخات!$C$2:$C$900*COUNTIF('سجل الإنتاج'!$C$2:$C$501,الطبخات!$A$2:$A$900)),3))</f>
        <v>2</v>
      </c>
      <c r="D3" s="4">
        <f>IF($A3="","",ROUND(SUMIFS('الصرف المباشر'!$D$2:$D$501,'الصرف المباشر'!$C$2:$C$501,$A3)+SUMPRODUCT((الطبخات!$B$2:$B$900=$A3)*الطبخات!$C$2:$C$900*COUNTIF('سجل الإنتاج'!$C$2:$C$501,الطبخات!$A$2:$A$900)),3))</f>
        <v>0</v>
      </c>
      <c r="E3" s="5" t="str">
        <f t="shared" si="0"/>
        <v>✔ طبيعي</v>
      </c>
      <c r="F3" s="5" t="str">
        <f>IF(AND($A3&lt;&gt;"",$E3&lt;&gt;"✔ طبيعي"),SUMPRODUCT(('الرصيد الحالي'!$E$2:$E3&lt;&gt;"✔ طبيعي")*('الرصيد الحالي'!$E$2:$E3&lt;&gt;"")*('الرصيد الحالي'!$A$2:$A3&lt;&gt;"")),"")</f>
        <v/>
      </c>
    </row>
    <row r="4" spans="1:6" ht="24" customHeight="1">
      <c r="A4" s="3" t="str">
        <f>المواد!A4</f>
        <v>مجمد</v>
      </c>
      <c r="B4" s="5" t="str">
        <f>المواد!B4</f>
        <v>كغ</v>
      </c>
      <c r="C4" s="4">
        <f>IF($A4="","",ROUND(SUMIFS(الإدخالات!$D$2:$D$501,الإدخالات!$C$2:$C$501,$A4)+SUMIFS('تعديل الجرد'!$F$2:$F$501,'تعديل الجرد'!$C$2:$C$501,$A4)-SUMIFS('الصرف المباشر'!$D$2:$D$501,'الصرف المباشر'!$C$2:$C$501,$A4)-SUMPRODUCT((الطبخات!$B$2:$B$900=$A4)*الطبخات!$C$2:$C$900*COUNTIF('سجل الإنتاج'!$C$2:$C$501,الطبخات!$A$2:$A$900)),3))</f>
        <v>63.5</v>
      </c>
      <c r="D4" s="4">
        <f>IF($A4="","",ROUND(SUMIFS('الصرف المباشر'!$D$2:$D$501,'الصرف المباشر'!$C$2:$C$501,$A4)+SUMPRODUCT((الطبخات!$B$2:$B$900=$A4)*الطبخات!$C$2:$C$900*COUNTIF('سجل الإنتاج'!$C$2:$C$501,الطبخات!$A$2:$A$900)),3))</f>
        <v>0</v>
      </c>
      <c r="E4" s="5" t="str">
        <f t="shared" si="0"/>
        <v>✔ طبيعي</v>
      </c>
      <c r="F4" s="5" t="str">
        <f>IF(AND($A4&lt;&gt;"",$E4&lt;&gt;"✔ طبيعي"),SUMPRODUCT(('الرصيد الحالي'!$E$2:$E4&lt;&gt;"✔ طبيعي")*('الرصيد الحالي'!$E$2:$E4&lt;&gt;"")*('الرصيد الحالي'!$A$2:$A4&lt;&gt;"")),"")</f>
        <v/>
      </c>
    </row>
    <row r="5" spans="1:6" ht="24" customHeight="1">
      <c r="A5" s="3" t="str">
        <f>المواد!A5</f>
        <v>مانع رغوة مائي</v>
      </c>
      <c r="B5" s="5" t="str">
        <f>المواد!B5</f>
        <v>كغ</v>
      </c>
      <c r="C5" s="4">
        <f>IF($A5="","",ROUND(SUMIFS(الإدخالات!$D$2:$D$501,الإدخالات!$C$2:$C$501,$A5)+SUMIFS('تعديل الجرد'!$F$2:$F$501,'تعديل الجرد'!$C$2:$C$501,$A5)-SUMIFS('الصرف المباشر'!$D$2:$D$501,'الصرف المباشر'!$C$2:$C$501,$A5)-SUMPRODUCT((الطبخات!$B$2:$B$900=$A5)*الطبخات!$C$2:$C$900*COUNTIF('سجل الإنتاج'!$C$2:$C$501,الطبخات!$A$2:$A$900)),3))</f>
        <v>0</v>
      </c>
      <c r="D5" s="4">
        <f>IF($A5="","",ROUND(SUMIFS('الصرف المباشر'!$D$2:$D$501,'الصرف المباشر'!$C$2:$C$501,$A5)+SUMPRODUCT((الطبخات!$B$2:$B$900=$A5)*الطبخات!$C$2:$C$900*COUNTIF('سجل الإنتاج'!$C$2:$C$501,الطبخات!$A$2:$A$900)),3))</f>
        <v>0</v>
      </c>
      <c r="E5" s="5" t="str">
        <f t="shared" si="0"/>
        <v>✔ طبيعي</v>
      </c>
      <c r="F5" s="5" t="str">
        <f>IF(AND($A5&lt;&gt;"",$E5&lt;&gt;"✔ طبيعي"),SUMPRODUCT(('الرصيد الحالي'!$E$2:$E5&lt;&gt;"✔ طبيعي")*('الرصيد الحالي'!$E$2:$E5&lt;&gt;"")*('الرصيد الحالي'!$A$2:$A5&lt;&gt;"")),"")</f>
        <v/>
      </c>
    </row>
    <row r="6" spans="1:6" ht="24" customHeight="1">
      <c r="A6" s="3" t="str">
        <f>المواد!A6</f>
        <v>مانع رغوة سيليكون</v>
      </c>
      <c r="B6" s="5" t="str">
        <f>المواد!B6</f>
        <v>كغ</v>
      </c>
      <c r="C6" s="4">
        <f>IF($A6="","",ROUND(SUMIFS(الإدخالات!$D$2:$D$501,الإدخالات!$C$2:$C$501,$A6)+SUMIFS('تعديل الجرد'!$F$2:$F$501,'تعديل الجرد'!$C$2:$C$501,$A6)-SUMIFS('الصرف المباشر'!$D$2:$D$501,'الصرف المباشر'!$C$2:$C$501,$A6)-SUMPRODUCT((الطبخات!$B$2:$B$900=$A6)*الطبخات!$C$2:$C$900*COUNTIF('سجل الإنتاج'!$C$2:$C$501,الطبخات!$A$2:$A$900)),3))</f>
        <v>0</v>
      </c>
      <c r="D6" s="4">
        <f>IF($A6="","",ROUND(SUMIFS('الصرف المباشر'!$D$2:$D$501,'الصرف المباشر'!$C$2:$C$501,$A6)+SUMPRODUCT((الطبخات!$B$2:$B$900=$A6)*الطبخات!$C$2:$C$900*COUNTIF('سجل الإنتاج'!$C$2:$C$501,الطبخات!$A$2:$A$900)),3))</f>
        <v>0</v>
      </c>
      <c r="E6" s="5" t="str">
        <f t="shared" si="0"/>
        <v>✔ طبيعي</v>
      </c>
      <c r="F6" s="5" t="str">
        <f>IF(AND($A6&lt;&gt;"",$E6&lt;&gt;"✔ طبيعي"),SUMPRODUCT(('الرصيد الحالي'!$E$2:$E6&lt;&gt;"✔ طبيعي")*('الرصيد الحالي'!$E$2:$E6&lt;&gt;"")*('الرصيد الحالي'!$A$2:$A6&lt;&gt;"")),"")</f>
        <v/>
      </c>
    </row>
    <row r="7" spans="1:6" ht="24" customHeight="1">
      <c r="A7" s="3" t="str">
        <f>المواد!A7</f>
        <v>ماء مقطرة</v>
      </c>
      <c r="B7" s="5" t="str">
        <f>المواد!B7</f>
        <v>كغ</v>
      </c>
      <c r="C7" s="4">
        <f>IF($A7="","",ROUND(SUMIFS(الإدخالات!$D$2:$D$501,الإدخالات!$C$2:$C$501,$A7)+SUMIFS('تعديل الجرد'!$F$2:$F$501,'تعديل الجرد'!$C$2:$C$501,$A7)-SUMIFS('الصرف المباشر'!$D$2:$D$501,'الصرف المباشر'!$C$2:$C$501,$A7)-SUMPRODUCT((الطبخات!$B$2:$B$900=$A7)*الطبخات!$C$2:$C$900*COUNTIF('سجل الإنتاج'!$C$2:$C$501,الطبخات!$A$2:$A$900)),3))</f>
        <v>27947</v>
      </c>
      <c r="D7" s="4">
        <f>IF($A7="","",ROUND(SUMIFS('الصرف المباشر'!$D$2:$D$501,'الصرف المباشر'!$C$2:$C$501,$A7)+SUMPRODUCT((الطبخات!$B$2:$B$900=$A7)*الطبخات!$C$2:$C$900*COUNTIF('سجل الإنتاج'!$C$2:$C$501,الطبخات!$A$2:$A$900)),3))</f>
        <v>675</v>
      </c>
      <c r="E7" s="5" t="str">
        <f t="shared" si="0"/>
        <v>✔ طبيعي</v>
      </c>
      <c r="F7" s="5" t="str">
        <f>IF(AND($A7&lt;&gt;"",$E7&lt;&gt;"✔ طبيعي"),SUMPRODUCT(('الرصيد الحالي'!$E$2:$E7&lt;&gt;"✔ طبيعي")*('الرصيد الحالي'!$E$2:$E7&lt;&gt;"")*('الرصيد الحالي'!$A$2:$A7&lt;&gt;"")),"")</f>
        <v/>
      </c>
    </row>
    <row r="8" spans="1:6" ht="24" customHeight="1">
      <c r="A8" s="3" t="str">
        <f>المواد!A8</f>
        <v>ماء بلسم</v>
      </c>
      <c r="B8" s="5" t="str">
        <f>المواد!B8</f>
        <v>كغ</v>
      </c>
      <c r="C8" s="4">
        <f>IF($A8="","",ROUND(SUMIFS(الإدخالات!$D$2:$D$501,الإدخالات!$C$2:$C$501,$A8)+SUMIFS('تعديل الجرد'!$F$2:$F$501,'تعديل الجرد'!$C$2:$C$501,$A8)-SUMIFS('الصرف المباشر'!$D$2:$D$501,'الصرف المباشر'!$C$2:$C$501,$A8)-SUMPRODUCT((الطبخات!$B$2:$B$900=$A8)*الطبخات!$C$2:$C$900*COUNTIF('سجل الإنتاج'!$C$2:$C$501,الطبخات!$A$2:$A$900)),3))</f>
        <v>0</v>
      </c>
      <c r="D8" s="4">
        <f>IF($A8="","",ROUND(SUMIFS('الصرف المباشر'!$D$2:$D$501,'الصرف المباشر'!$C$2:$C$501,$A8)+SUMPRODUCT((الطبخات!$B$2:$B$900=$A8)*الطبخات!$C$2:$C$900*COUNTIF('سجل الإنتاج'!$C$2:$C$501,الطبخات!$A$2:$A$900)),3))</f>
        <v>0</v>
      </c>
      <c r="E8" s="5" t="str">
        <f t="shared" si="0"/>
        <v>✔ طبيعي</v>
      </c>
      <c r="F8" s="5" t="str">
        <f>IF(AND($A8&lt;&gt;"",$E8&lt;&gt;"✔ طبيعي"),SUMPRODUCT(('الرصيد الحالي'!$E$2:$E8&lt;&gt;"✔ طبيعي")*('الرصيد الحالي'!$E$2:$E8&lt;&gt;"")*('الرصيد الحالي'!$A$2:$A8&lt;&gt;"")),"")</f>
        <v/>
      </c>
    </row>
    <row r="9" spans="1:6" ht="24" customHeight="1">
      <c r="A9" s="3" t="str">
        <f>المواد!A9</f>
        <v>لانيت 16 ماليزي</v>
      </c>
      <c r="B9" s="5" t="str">
        <f>المواد!B9</f>
        <v>كغ</v>
      </c>
      <c r="C9" s="4">
        <f>IF($A9="","",ROUND(SUMIFS(الإدخالات!$D$2:$D$501,الإدخالات!$C$2:$C$501,$A9)+SUMIFS('تعديل الجرد'!$F$2:$F$501,'تعديل الجرد'!$C$2:$C$501,$A9)-SUMIFS('الصرف المباشر'!$D$2:$D$501,'الصرف المباشر'!$C$2:$C$501,$A9)-SUMPRODUCT((الطبخات!$B$2:$B$900=$A9)*الطبخات!$C$2:$C$900*COUNTIF('سجل الإنتاج'!$C$2:$C$501,الطبخات!$A$2:$A$900)),3))</f>
        <v>0</v>
      </c>
      <c r="D9" s="4">
        <f>IF($A9="","",ROUND(SUMIFS('الصرف المباشر'!$D$2:$D$501,'الصرف المباشر'!$C$2:$C$501,$A9)+SUMPRODUCT((الطبخات!$B$2:$B$900=$A9)*الطبخات!$C$2:$C$900*COUNTIF('سجل الإنتاج'!$C$2:$C$501,الطبخات!$A$2:$A$900)),3))</f>
        <v>0</v>
      </c>
      <c r="E9" s="5" t="str">
        <f t="shared" si="0"/>
        <v>✔ طبيعي</v>
      </c>
      <c r="F9" s="5" t="str">
        <f>IF(AND($A9&lt;&gt;"",$E9&lt;&gt;"✔ طبيعي"),SUMPRODUCT(('الرصيد الحالي'!$E$2:$E9&lt;&gt;"✔ طبيعي")*('الرصيد الحالي'!$E$2:$E9&lt;&gt;"")*('الرصيد الحالي'!$A$2:$A9&lt;&gt;"")),"")</f>
        <v/>
      </c>
    </row>
    <row r="10" spans="1:6" ht="24" customHeight="1">
      <c r="A10" s="3" t="str">
        <f>المواد!A10</f>
        <v>كوستيك-قطرونة</v>
      </c>
      <c r="B10" s="5" t="str">
        <f>المواد!B10</f>
        <v>كغ</v>
      </c>
      <c r="C10" s="4">
        <f>IF($A10="","",ROUND(SUMIFS(الإدخالات!$D$2:$D$501,الإدخالات!$C$2:$C$501,$A10)+SUMIFS('تعديل الجرد'!$F$2:$F$501,'تعديل الجرد'!$C$2:$C$501,$A10)-SUMIFS('الصرف المباشر'!$D$2:$D$501,'الصرف المباشر'!$C$2:$C$501,$A10)-SUMPRODUCT((الطبخات!$B$2:$B$900=$A10)*الطبخات!$C$2:$C$900*COUNTIF('سجل الإنتاج'!$C$2:$C$501,الطبخات!$A$2:$A$900)),3))</f>
        <v>8.7100000000000009</v>
      </c>
      <c r="D10" s="4">
        <f>IF($A10="","",ROUND(SUMIFS('الصرف المباشر'!$D$2:$D$501,'الصرف المباشر'!$C$2:$C$501,$A10)+SUMPRODUCT((الطبخات!$B$2:$B$900=$A10)*الطبخات!$C$2:$C$900*COUNTIF('سجل الإنتاج'!$C$2:$C$501,الطبخات!$A$2:$A$900)),3))</f>
        <v>19</v>
      </c>
      <c r="E10" s="5" t="str">
        <f t="shared" si="0"/>
        <v>✔ طبيعي</v>
      </c>
      <c r="F10" s="5" t="str">
        <f>IF(AND($A10&lt;&gt;"",$E10&lt;&gt;"✔ طبيعي"),SUMPRODUCT(('الرصيد الحالي'!$E$2:$E10&lt;&gt;"✔ طبيعي")*('الرصيد الحالي'!$E$2:$E10&lt;&gt;"")*('الرصيد الحالي'!$A$2:$A10&lt;&gt;"")),"")</f>
        <v/>
      </c>
    </row>
    <row r="11" spans="1:6" ht="24" customHeight="1">
      <c r="A11" s="3" t="str">
        <f>المواد!A11</f>
        <v>كمبرلان</v>
      </c>
      <c r="B11" s="5" t="str">
        <f>المواد!B11</f>
        <v>كغ</v>
      </c>
      <c r="C11" s="4">
        <f>IF($A11="","",ROUND(SUMIFS(الإدخالات!$D$2:$D$501,الإدخالات!$C$2:$C$501,$A11)+SUMIFS('تعديل الجرد'!$F$2:$F$501,'تعديل الجرد'!$C$2:$C$501,$A11)-SUMIFS('الصرف المباشر'!$D$2:$D$501,'الصرف المباشر'!$C$2:$C$501,$A11)-SUMPRODUCT((الطبخات!$B$2:$B$900=$A11)*الطبخات!$C$2:$C$900*COUNTIF('سجل الإنتاج'!$C$2:$C$501,الطبخات!$A$2:$A$900)),3))</f>
        <v>0</v>
      </c>
      <c r="D11" s="4">
        <f>IF($A11="","",ROUND(SUMIFS('الصرف المباشر'!$D$2:$D$501,'الصرف المباشر'!$C$2:$C$501,$A11)+SUMPRODUCT((الطبخات!$B$2:$B$900=$A11)*الطبخات!$C$2:$C$900*COUNTIF('سجل الإنتاج'!$C$2:$C$501,الطبخات!$A$2:$A$900)),3))</f>
        <v>0</v>
      </c>
      <c r="E11" s="5" t="str">
        <f t="shared" si="0"/>
        <v>✔ طبيعي</v>
      </c>
      <c r="F11" s="5" t="str">
        <f>IF(AND($A11&lt;&gt;"",$E11&lt;&gt;"✔ طبيعي"),SUMPRODUCT(('الرصيد الحالي'!$E$2:$E11&lt;&gt;"✔ طبيعي")*('الرصيد الحالي'!$E$2:$E11&lt;&gt;"")*('الرصيد الحالي'!$A$2:$A11&lt;&gt;"")),"")</f>
        <v/>
      </c>
    </row>
    <row r="12" spans="1:6" ht="24" customHeight="1">
      <c r="A12" s="3" t="str">
        <f>المواد!A12</f>
        <v>كليمازول</v>
      </c>
      <c r="B12" s="5" t="str">
        <f>المواد!B12</f>
        <v>كغ</v>
      </c>
      <c r="C12" s="4">
        <f>IF($A12="","",ROUND(SUMIFS(الإدخالات!$D$2:$D$501,الإدخالات!$C$2:$C$501,$A12)+SUMIFS('تعديل الجرد'!$F$2:$F$501,'تعديل الجرد'!$C$2:$C$501,$A12)-SUMIFS('الصرف المباشر'!$D$2:$D$501,'الصرف المباشر'!$C$2:$C$501,$A12)-SUMPRODUCT((الطبخات!$B$2:$B$900=$A12)*الطبخات!$C$2:$C$900*COUNTIF('سجل الإنتاج'!$C$2:$C$501,الطبخات!$A$2:$A$900)),3))</f>
        <v>0</v>
      </c>
      <c r="D12" s="4">
        <f>IF($A12="","",ROUND(SUMIFS('الصرف المباشر'!$D$2:$D$501,'الصرف المباشر'!$C$2:$C$501,$A12)+SUMPRODUCT((الطبخات!$B$2:$B$900=$A12)*الطبخات!$C$2:$C$900*COUNTIF('سجل الإنتاج'!$C$2:$C$501,الطبخات!$A$2:$A$900)),3))</f>
        <v>0</v>
      </c>
      <c r="E12" s="5" t="str">
        <f t="shared" si="0"/>
        <v>✔ طبيعي</v>
      </c>
      <c r="F12" s="5" t="str">
        <f>IF(AND($A12&lt;&gt;"",$E12&lt;&gt;"✔ طبيعي"),SUMPRODUCT(('الرصيد الحالي'!$E$2:$E12&lt;&gt;"✔ طبيعي")*('الرصيد الحالي'!$E$2:$E12&lt;&gt;"")*('الرصيد الحالي'!$A$2:$A12&lt;&gt;"")),"")</f>
        <v/>
      </c>
    </row>
    <row r="13" spans="1:6" ht="24" customHeight="1">
      <c r="A13" s="3" t="str">
        <f>المواد!A13</f>
        <v>كلور خام</v>
      </c>
      <c r="B13" s="5" t="str">
        <f>المواد!B13</f>
        <v>كغ</v>
      </c>
      <c r="C13" s="4">
        <f>IF($A13="","",ROUND(SUMIFS(الإدخالات!$D$2:$D$501,الإدخالات!$C$2:$C$501,$A13)+SUMIFS('تعديل الجرد'!$F$2:$F$501,'تعديل الجرد'!$C$2:$C$501,$A13)-SUMIFS('الصرف المباشر'!$D$2:$D$501,'الصرف المباشر'!$C$2:$C$501,$A13)-SUMPRODUCT((الطبخات!$B$2:$B$900=$A13)*الطبخات!$C$2:$C$900*COUNTIF('سجل الإنتاج'!$C$2:$C$501,الطبخات!$A$2:$A$900)),3))</f>
        <v>272</v>
      </c>
      <c r="D13" s="4">
        <f>IF($A13="","",ROUND(SUMIFS('الصرف المباشر'!$D$2:$D$501,'الصرف المباشر'!$C$2:$C$501,$A13)+SUMPRODUCT((الطبخات!$B$2:$B$900=$A13)*الطبخات!$C$2:$C$900*COUNTIF('سجل الإنتاج'!$C$2:$C$501,الطبخات!$A$2:$A$900)),3))</f>
        <v>0</v>
      </c>
      <c r="E13" s="5" t="str">
        <f t="shared" si="0"/>
        <v>✔ طبيعي</v>
      </c>
      <c r="F13" s="5" t="str">
        <f>IF(AND($A13&lt;&gt;"",$E13&lt;&gt;"✔ طبيعي"),SUMPRODUCT(('الرصيد الحالي'!$E$2:$E13&lt;&gt;"✔ طبيعي")*('الرصيد الحالي'!$E$2:$E13&lt;&gt;"")*('الرصيد الحالي'!$A$2:$A13&lt;&gt;"")),"")</f>
        <v/>
      </c>
    </row>
    <row r="14" spans="1:6" ht="24" customHeight="1">
      <c r="A14" s="3" t="str">
        <f>المواد!A14</f>
        <v>كحول (ايثانول)</v>
      </c>
      <c r="B14" s="5" t="str">
        <f>المواد!B14</f>
        <v>كغ</v>
      </c>
      <c r="C14" s="4">
        <f>IF($A14="","",ROUND(SUMIFS(الإدخالات!$D$2:$D$501,الإدخالات!$C$2:$C$501,$A14)+SUMIFS('تعديل الجرد'!$F$2:$F$501,'تعديل الجرد'!$C$2:$C$501,$A14)-SUMIFS('الصرف المباشر'!$D$2:$D$501,'الصرف المباشر'!$C$2:$C$501,$A14)-SUMPRODUCT((الطبخات!$B$2:$B$900=$A14)*الطبخات!$C$2:$C$900*COUNTIF('سجل الإنتاج'!$C$2:$C$501,الطبخات!$A$2:$A$900)),3))</f>
        <v>25</v>
      </c>
      <c r="D14" s="4">
        <f>IF($A14="","",ROUND(SUMIFS('الصرف المباشر'!$D$2:$D$501,'الصرف المباشر'!$C$2:$C$501,$A14)+SUMPRODUCT((الطبخات!$B$2:$B$900=$A14)*الطبخات!$C$2:$C$900*COUNTIF('سجل الإنتاج'!$C$2:$C$501,الطبخات!$A$2:$A$900)),3))</f>
        <v>0</v>
      </c>
      <c r="E14" s="5" t="str">
        <f t="shared" si="0"/>
        <v>✔ طبيعي</v>
      </c>
      <c r="F14" s="5" t="str">
        <f>IF(AND($A14&lt;&gt;"",$E14&lt;&gt;"✔ طبيعي"),SUMPRODUCT(('الرصيد الحالي'!$E$2:$E14&lt;&gt;"✔ طبيعي")*('الرصيد الحالي'!$E$2:$E14&lt;&gt;"")*('الرصيد الحالي'!$A$2:$A14&lt;&gt;"")),"")</f>
        <v/>
      </c>
    </row>
    <row r="15" spans="1:6" ht="24" customHeight="1">
      <c r="A15" s="3" t="str">
        <f>المواد!A15</f>
        <v>فورمول ( سم )</v>
      </c>
      <c r="B15" s="5" t="str">
        <f>المواد!B15</f>
        <v>كغ</v>
      </c>
      <c r="C15" s="4">
        <f>IF($A15="","",ROUND(SUMIFS(الإدخالات!$D$2:$D$501,الإدخالات!$C$2:$C$501,$A15)+SUMIFS('تعديل الجرد'!$F$2:$F$501,'تعديل الجرد'!$C$2:$C$501,$A15)-SUMIFS('الصرف المباشر'!$D$2:$D$501,'الصرف المباشر'!$C$2:$C$501,$A15)-SUMPRODUCT((الطبخات!$B$2:$B$900=$A15)*الطبخات!$C$2:$C$900*COUNTIF('سجل الإنتاج'!$C$2:$C$501,الطبخات!$A$2:$A$900)),3))</f>
        <v>0.14000000000000001</v>
      </c>
      <c r="D15" s="4">
        <f>IF($A15="","",ROUND(SUMIFS('الصرف المباشر'!$D$2:$D$501,'الصرف المباشر'!$C$2:$C$501,$A15)+SUMPRODUCT((الطبخات!$B$2:$B$900=$A15)*الطبخات!$C$2:$C$900*COUNTIF('سجل الإنتاج'!$C$2:$C$501,الطبخات!$A$2:$A$900)),3))</f>
        <v>1.5</v>
      </c>
      <c r="E15" s="5" t="str">
        <f t="shared" si="0"/>
        <v>✔ طبيعي</v>
      </c>
      <c r="F15" s="5" t="str">
        <f>IF(AND($A15&lt;&gt;"",$E15&lt;&gt;"✔ طبيعي"),SUMPRODUCT(('الرصيد الحالي'!$E$2:$E15&lt;&gt;"✔ طبيعي")*('الرصيد الحالي'!$E$2:$E15&lt;&gt;"")*('الرصيد الحالي'!$A$2:$A15&lt;&gt;"")),"")</f>
        <v/>
      </c>
    </row>
    <row r="16" spans="1:6" ht="24" customHeight="1">
      <c r="A16" s="3" t="str">
        <f>المواد!A16</f>
        <v>فاتي كحول</v>
      </c>
      <c r="B16" s="5" t="str">
        <f>المواد!B16</f>
        <v>كغ</v>
      </c>
      <c r="C16" s="4">
        <f>IF($A16="","",ROUND(SUMIFS(الإدخالات!$D$2:$D$501,الإدخالات!$C$2:$C$501,$A16)+SUMIFS('تعديل الجرد'!$F$2:$F$501,'تعديل الجرد'!$C$2:$C$501,$A16)-SUMIFS('الصرف المباشر'!$D$2:$D$501,'الصرف المباشر'!$C$2:$C$501,$A16)-SUMPRODUCT((الطبخات!$B$2:$B$900=$A16)*الطبخات!$C$2:$C$900*COUNTIF('سجل الإنتاج'!$C$2:$C$501,الطبخات!$A$2:$A$900)),3))</f>
        <v>251.4</v>
      </c>
      <c r="D16" s="4">
        <f>IF($A16="","",ROUND(SUMIFS('الصرف المباشر'!$D$2:$D$501,'الصرف المباشر'!$C$2:$C$501,$A16)+SUMPRODUCT((الطبخات!$B$2:$B$900=$A16)*الطبخات!$C$2:$C$900*COUNTIF('سجل الإنتاج'!$C$2:$C$501,الطبخات!$A$2:$A$900)),3))</f>
        <v>0</v>
      </c>
      <c r="E16" s="5" t="str">
        <f t="shared" si="0"/>
        <v>✔ طبيعي</v>
      </c>
      <c r="F16" s="5" t="str">
        <f>IF(AND($A16&lt;&gt;"",$E16&lt;&gt;"✔ طبيعي"),SUMPRODUCT(('الرصيد الحالي'!$E$2:$E16&lt;&gt;"✔ طبيعي")*('الرصيد الحالي'!$E$2:$E16&lt;&gt;"")*('الرصيد الحالي'!$A$2:$A16&lt;&gt;"")),"")</f>
        <v/>
      </c>
    </row>
    <row r="17" spans="1:6" ht="24" customHeight="1">
      <c r="A17" s="3" t="str">
        <f>المواد!A17</f>
        <v>غليسيرين</v>
      </c>
      <c r="B17" s="5" t="str">
        <f>المواد!B17</f>
        <v>كغ</v>
      </c>
      <c r="C17" s="4">
        <f>IF($A17="","",ROUND(SUMIFS(الإدخالات!$D$2:$D$501,الإدخالات!$C$2:$C$501,$A17)+SUMIFS('تعديل الجرد'!$F$2:$F$501,'تعديل الجرد'!$C$2:$C$501,$A17)-SUMIFS('الصرف المباشر'!$D$2:$D$501,'الصرف المباشر'!$C$2:$C$501,$A17)-SUMPRODUCT((الطبخات!$B$2:$B$900=$A17)*الطبخات!$C$2:$C$900*COUNTIF('سجل الإنتاج'!$C$2:$C$501,الطبخات!$A$2:$A$900)),3))</f>
        <v>-5</v>
      </c>
      <c r="D17" s="4">
        <f>IF($A17="","",ROUND(SUMIFS('الصرف المباشر'!$D$2:$D$501,'الصرف المباشر'!$C$2:$C$501,$A17)+SUMPRODUCT((الطبخات!$B$2:$B$900=$A17)*الطبخات!$C$2:$C$900*COUNTIF('سجل الإنتاج'!$C$2:$C$501,الطبخات!$A$2:$A$900)),3))</f>
        <v>5</v>
      </c>
      <c r="E17" s="5" t="str">
        <f t="shared" si="0"/>
        <v>❌ رصيد سالب - يحتاج مراجعة</v>
      </c>
      <c r="F17" s="5">
        <f>IF(AND($A17&lt;&gt;"",$E17&lt;&gt;"✔ طبيعي"),SUMPRODUCT(('الرصيد الحالي'!$E$2:$E17&lt;&gt;"✔ طبيعي")*('الرصيد الحالي'!$E$2:$E17&lt;&gt;"")*('الرصيد الحالي'!$A$2:$A17&lt;&gt;"")),"")</f>
        <v>1</v>
      </c>
    </row>
    <row r="18" spans="1:6" ht="24" customHeight="1">
      <c r="A18" s="3" t="str">
        <f>المواد!A18</f>
        <v xml:space="preserve">عطر-نسيم-المحيط ocean-breeze - 327993 </v>
      </c>
      <c r="B18" s="5" t="str">
        <f>المواد!B18</f>
        <v>كغ</v>
      </c>
      <c r="C18" s="4">
        <f>IF($A18="","",ROUND(SUMIFS(الإدخالات!$D$2:$D$501,الإدخالات!$C$2:$C$501,$A18)+SUMIFS('تعديل الجرد'!$F$2:$F$501,'تعديل الجرد'!$C$2:$C$501,$A18)-SUMIFS('الصرف المباشر'!$D$2:$D$501,'الصرف المباشر'!$C$2:$C$501,$A18)-SUMPRODUCT((الطبخات!$B$2:$B$900=$A18)*الطبخات!$C$2:$C$900*COUNTIF('سجل الإنتاج'!$C$2:$C$501,الطبخات!$A$2:$A$900)),3))</f>
        <v>0.59</v>
      </c>
      <c r="D18" s="4">
        <f>IF($A18="","",ROUND(SUMIFS('الصرف المباشر'!$D$2:$D$501,'الصرف المباشر'!$C$2:$C$501,$A18)+SUMPRODUCT((الطبخات!$B$2:$B$900=$A18)*الطبخات!$C$2:$C$900*COUNTIF('سجل الإنتاج'!$C$2:$C$501,الطبخات!$A$2:$A$900)),3))</f>
        <v>0</v>
      </c>
      <c r="E18" s="5" t="str">
        <f t="shared" si="0"/>
        <v>✔ طبيعي</v>
      </c>
      <c r="F18" s="5" t="str">
        <f>IF(AND($A18&lt;&gt;"",$E18&lt;&gt;"✔ طبيعي"),SUMPRODUCT(('الرصيد الحالي'!$E$2:$E18&lt;&gt;"✔ طبيعي")*('الرصيد الحالي'!$E$2:$E18&lt;&gt;"")*('الرصيد الحالي'!$A$2:$A18&lt;&gt;"")),"")</f>
        <v/>
      </c>
    </row>
    <row r="19" spans="1:6" ht="24" customHeight="1">
      <c r="A19" s="3" t="str">
        <f>المواد!A19</f>
        <v>عطر-ليمون shiny-star - 485764</v>
      </c>
      <c r="B19" s="5" t="str">
        <f>المواد!B19</f>
        <v>كغ</v>
      </c>
      <c r="C19" s="4">
        <f>IF($A19="","",ROUND(SUMIFS(الإدخالات!$D$2:$D$501,الإدخالات!$C$2:$C$501,$A19)+SUMIFS('تعديل الجرد'!$F$2:$F$501,'تعديل الجرد'!$C$2:$C$501,$A19)-SUMIFS('الصرف المباشر'!$D$2:$D$501,'الصرف المباشر'!$C$2:$C$501,$A19)-SUMPRODUCT((الطبخات!$B$2:$B$900=$A19)*الطبخات!$C$2:$C$900*COUNTIF('سجل الإنتاج'!$C$2:$C$501,الطبخات!$A$2:$A$900)),3))</f>
        <v>0.52</v>
      </c>
      <c r="D19" s="4">
        <f>IF($A19="","",ROUND(SUMIFS('الصرف المباشر'!$D$2:$D$501,'الصرف المباشر'!$C$2:$C$501,$A19)+SUMPRODUCT((الطبخات!$B$2:$B$900=$A19)*الطبخات!$C$2:$C$900*COUNTIF('سجل الإنتاج'!$C$2:$C$501,الطبخات!$A$2:$A$900)),3))</f>
        <v>0</v>
      </c>
      <c r="E19" s="5" t="str">
        <f t="shared" si="0"/>
        <v>✔ طبيعي</v>
      </c>
      <c r="F19" s="5" t="str">
        <f>IF(AND($A19&lt;&gt;"",$E19&lt;&gt;"✔ طبيعي"),SUMPRODUCT(('الرصيد الحالي'!$E$2:$E19&lt;&gt;"✔ طبيعي")*('الرصيد الحالي'!$E$2:$E19&lt;&gt;"")*('الرصيد الحالي'!$A$2:$A19&lt;&gt;"")),"")</f>
        <v/>
      </c>
    </row>
    <row r="20" spans="1:6" ht="24" customHeight="1">
      <c r="A20" s="3" t="str">
        <f>المواد!A20</f>
        <v>عطر-ليمون citrus lemon new - 321639</v>
      </c>
      <c r="B20" s="5" t="str">
        <f>المواد!B20</f>
        <v>كغ</v>
      </c>
      <c r="C20" s="4">
        <f>IF($A20="","",ROUND(SUMIFS(الإدخالات!$D$2:$D$501,الإدخالات!$C$2:$C$501,$A20)+SUMIFS('تعديل الجرد'!$F$2:$F$501,'تعديل الجرد'!$C$2:$C$501,$A20)-SUMIFS('الصرف المباشر'!$D$2:$D$501,'الصرف المباشر'!$C$2:$C$501,$A20)-SUMPRODUCT((الطبخات!$B$2:$B$900=$A20)*الطبخات!$C$2:$C$900*COUNTIF('سجل الإنتاج'!$C$2:$C$501,الطبخات!$A$2:$A$900)),3))</f>
        <v>0.36</v>
      </c>
      <c r="D20" s="4">
        <f>IF($A20="","",ROUND(SUMIFS('الصرف المباشر'!$D$2:$D$501,'الصرف المباشر'!$C$2:$C$501,$A20)+SUMPRODUCT((الطبخات!$B$2:$B$900=$A20)*الطبخات!$C$2:$C$900*COUNTIF('سجل الإنتاج'!$C$2:$C$501,الطبخات!$A$2:$A$900)),3))</f>
        <v>0</v>
      </c>
      <c r="E20" s="5" t="str">
        <f t="shared" si="0"/>
        <v>✔ طبيعي</v>
      </c>
      <c r="F20" s="5" t="str">
        <f>IF(AND($A20&lt;&gt;"",$E20&lt;&gt;"✔ طبيعي"),SUMPRODUCT(('الرصيد الحالي'!$E$2:$E20&lt;&gt;"✔ طبيعي")*('الرصيد الحالي'!$E$2:$E20&lt;&gt;"")*('الرصيد الحالي'!$A$2:$A20&lt;&gt;"")),"")</f>
        <v/>
      </c>
    </row>
    <row r="21" spans="1:6" ht="24" customHeight="1">
      <c r="A21" s="3" t="str">
        <f>المواد!A21</f>
        <v>عطر-ليلك ariel-sensation - 318728</v>
      </c>
      <c r="B21" s="5" t="str">
        <f>المواد!B21</f>
        <v>كغ</v>
      </c>
      <c r="C21" s="4">
        <f>IF($A21="","",ROUND(SUMIFS(الإدخالات!$D$2:$D$501,الإدخالات!$C$2:$C$501,$A21)+SUMIFS('تعديل الجرد'!$F$2:$F$501,'تعديل الجرد'!$C$2:$C$501,$A21)-SUMIFS('الصرف المباشر'!$D$2:$D$501,'الصرف المباشر'!$C$2:$C$501,$A21)-SUMPRODUCT((الطبخات!$B$2:$B$900=$A21)*الطبخات!$C$2:$C$900*COUNTIF('سجل الإنتاج'!$C$2:$C$501,الطبخات!$A$2:$A$900)),3))</f>
        <v>0.74</v>
      </c>
      <c r="D21" s="4">
        <f>IF($A21="","",ROUND(SUMIFS('الصرف المباشر'!$D$2:$D$501,'الصرف المباشر'!$C$2:$C$501,$A21)+SUMPRODUCT((الطبخات!$B$2:$B$900=$A21)*الطبخات!$C$2:$C$900*COUNTIF('سجل الإنتاج'!$C$2:$C$501,الطبخات!$A$2:$A$900)),3))</f>
        <v>0</v>
      </c>
      <c r="E21" s="5" t="str">
        <f t="shared" si="0"/>
        <v>✔ طبيعي</v>
      </c>
      <c r="F21" s="5" t="str">
        <f>IF(AND($A21&lt;&gt;"",$E21&lt;&gt;"✔ طبيعي"),SUMPRODUCT(('الرصيد الحالي'!$E$2:$E21&lt;&gt;"✔ طبيعي")*('الرصيد الحالي'!$E$2:$E21&lt;&gt;"")*('الرصيد الحالي'!$A$2:$A21&lt;&gt;"")),"")</f>
        <v/>
      </c>
    </row>
    <row r="22" spans="1:6" ht="24" customHeight="1">
      <c r="A22" s="3" t="str">
        <f>المواد!A22</f>
        <v xml:space="preserve">عطر-سلطان </v>
      </c>
      <c r="B22" s="5" t="str">
        <f>المواد!B22</f>
        <v>كغ</v>
      </c>
      <c r="C22" s="4">
        <f>IF($A22="","",ROUND(SUMIFS(الإدخالات!$D$2:$D$501,الإدخالات!$C$2:$C$501,$A22)+SUMIFS('تعديل الجرد'!$F$2:$F$501,'تعديل الجرد'!$C$2:$C$501,$A22)-SUMIFS('الصرف المباشر'!$D$2:$D$501,'الصرف المباشر'!$C$2:$C$501,$A22)-SUMPRODUCT((الطبخات!$B$2:$B$900=$A22)*الطبخات!$C$2:$C$900*COUNTIF('سجل الإنتاج'!$C$2:$C$501,الطبخات!$A$2:$A$900)),3))</f>
        <v>2.59</v>
      </c>
      <c r="D22" s="4">
        <f>IF($A22="","",ROUND(SUMIFS('الصرف المباشر'!$D$2:$D$501,'الصرف المباشر'!$C$2:$C$501,$A22)+SUMPRODUCT((الطبخات!$B$2:$B$900=$A22)*الطبخات!$C$2:$C$900*COUNTIF('سجل الإنتاج'!$C$2:$C$501,الطبخات!$A$2:$A$900)),3))</f>
        <v>0</v>
      </c>
      <c r="E22" s="5" t="str">
        <f t="shared" si="0"/>
        <v>✔ طبيعي</v>
      </c>
      <c r="F22" s="5" t="str">
        <f>IF(AND($A22&lt;&gt;"",$E22&lt;&gt;"✔ طبيعي"),SUMPRODUCT(('الرصيد الحالي'!$E$2:$E22&lt;&gt;"✔ طبيعي")*('الرصيد الحالي'!$E$2:$E22&lt;&gt;"")*('الرصيد الحالي'!$A$2:$A22&lt;&gt;"")),"")</f>
        <v/>
      </c>
    </row>
    <row r="23" spans="1:6" ht="24" customHeight="1">
      <c r="A23" s="3" t="str">
        <f>المواد!A23</f>
        <v>عطر-زهور lovely-petals - 485718</v>
      </c>
      <c r="B23" s="5" t="str">
        <f>المواد!B23</f>
        <v>كغ</v>
      </c>
      <c r="C23" s="4">
        <f>IF($A23="","",ROUND(SUMIFS(الإدخالات!$D$2:$D$501,الإدخالات!$C$2:$C$501,$A23)+SUMIFS('تعديل الجرد'!$F$2:$F$501,'تعديل الجرد'!$C$2:$C$501,$A23)-SUMIFS('الصرف المباشر'!$D$2:$D$501,'الصرف المباشر'!$C$2:$C$501,$A23)-SUMPRODUCT((الطبخات!$B$2:$B$900=$A23)*الطبخات!$C$2:$C$900*COUNTIF('سجل الإنتاج'!$C$2:$C$501,الطبخات!$A$2:$A$900)),3))</f>
        <v>0.53</v>
      </c>
      <c r="D23" s="4">
        <f>IF($A23="","",ROUND(SUMIFS('الصرف المباشر'!$D$2:$D$501,'الصرف المباشر'!$C$2:$C$501,$A23)+SUMPRODUCT((الطبخات!$B$2:$B$900=$A23)*الطبخات!$C$2:$C$900*COUNTIF('سجل الإنتاج'!$C$2:$C$501,الطبخات!$A$2:$A$900)),3))</f>
        <v>0</v>
      </c>
      <c r="E23" s="5" t="str">
        <f t="shared" si="0"/>
        <v>✔ طبيعي</v>
      </c>
      <c r="F23" s="5" t="str">
        <f>IF(AND($A23&lt;&gt;"",$E23&lt;&gt;"✔ طبيعي"),SUMPRODUCT(('الرصيد الحالي'!$E$2:$E23&lt;&gt;"✔ طبيعي")*('الرصيد الحالي'!$E$2:$E23&lt;&gt;"")*('الرصيد الحالي'!$A$2:$A23&lt;&gt;"")),"")</f>
        <v/>
      </c>
    </row>
    <row r="24" spans="1:6" ht="24" customHeight="1">
      <c r="A24" s="3" t="str">
        <f>المواد!A24</f>
        <v>عطر-رمان apple grandada - 322730</v>
      </c>
      <c r="B24" s="5" t="str">
        <f>المواد!B24</f>
        <v>كغ</v>
      </c>
      <c r="C24" s="4">
        <f>IF($A24="","",ROUND(SUMIFS(الإدخالات!$D$2:$D$501,الإدخالات!$C$2:$C$501,$A24)+SUMIFS('تعديل الجرد'!$F$2:$F$501,'تعديل الجرد'!$C$2:$C$501,$A24)-SUMIFS('الصرف المباشر'!$D$2:$D$501,'الصرف المباشر'!$C$2:$C$501,$A24)-SUMPRODUCT((الطبخات!$B$2:$B$900=$A24)*الطبخات!$C$2:$C$900*COUNTIF('سجل الإنتاج'!$C$2:$C$501,الطبخات!$A$2:$A$900)),3))</f>
        <v>-1.34</v>
      </c>
      <c r="D24" s="4">
        <f>IF($A24="","",ROUND(SUMIFS('الصرف المباشر'!$D$2:$D$501,'الصرف المباشر'!$C$2:$C$501,$A24)+SUMPRODUCT((الطبخات!$B$2:$B$900=$A24)*الطبخات!$C$2:$C$900*COUNTIF('سجل الإنتاج'!$C$2:$C$501,الطبخات!$A$2:$A$900)),3))</f>
        <v>2</v>
      </c>
      <c r="E24" s="5" t="str">
        <f t="shared" si="0"/>
        <v>❌ رصيد سالب - يحتاج مراجعة</v>
      </c>
      <c r="F24" s="5">
        <f>IF(AND($A24&lt;&gt;"",$E24&lt;&gt;"✔ طبيعي"),SUMPRODUCT(('الرصيد الحالي'!$E$2:$E24&lt;&gt;"✔ طبيعي")*('الرصيد الحالي'!$E$2:$E24&lt;&gt;"")*('الرصيد الحالي'!$A$2:$A24&lt;&gt;"")),"")</f>
        <v>2</v>
      </c>
    </row>
    <row r="25" spans="1:6" ht="24" customHeight="1">
      <c r="A25" s="3" t="str">
        <f>المواد!A25</f>
        <v>عطر-توليب fresh-scent-amour - 485833</v>
      </c>
      <c r="B25" s="5" t="str">
        <f>المواد!B25</f>
        <v>كغ</v>
      </c>
      <c r="C25" s="4">
        <f>IF($A25="","",ROUND(SUMIFS(الإدخالات!$D$2:$D$501,الإدخالات!$C$2:$C$501,$A25)+SUMIFS('تعديل الجرد'!$F$2:$F$501,'تعديل الجرد'!$C$2:$C$501,$A25)-SUMIFS('الصرف المباشر'!$D$2:$D$501,'الصرف المباشر'!$C$2:$C$501,$A25)-SUMPRODUCT((الطبخات!$B$2:$B$900=$A25)*الطبخات!$C$2:$C$900*COUNTIF('سجل الإنتاج'!$C$2:$C$501,الطبخات!$A$2:$A$900)),3))</f>
        <v>0.6</v>
      </c>
      <c r="D25" s="4">
        <f>IF($A25="","",ROUND(SUMIFS('الصرف المباشر'!$D$2:$D$501,'الصرف المباشر'!$C$2:$C$501,$A25)+SUMPRODUCT((الطبخات!$B$2:$B$900=$A25)*الطبخات!$C$2:$C$900*COUNTIF('سجل الإنتاج'!$C$2:$C$501,الطبخات!$A$2:$A$900)),3))</f>
        <v>0</v>
      </c>
      <c r="E25" s="5" t="str">
        <f t="shared" si="0"/>
        <v>✔ طبيعي</v>
      </c>
      <c r="F25" s="5" t="str">
        <f>IF(AND($A25&lt;&gt;"",$E25&lt;&gt;"✔ طبيعي"),SUMPRODUCT(('الرصيد الحالي'!$E$2:$E25&lt;&gt;"✔ طبيعي")*('الرصيد الحالي'!$E$2:$E25&lt;&gt;"")*('الرصيد الحالي'!$A$2:$A25&lt;&gt;"")),"")</f>
        <v/>
      </c>
    </row>
    <row r="26" spans="1:6" ht="24" customHeight="1">
      <c r="A26" s="3" t="str">
        <f>المواد!A26</f>
        <v xml:space="preserve">عطر-تفاح apple - 317691 </v>
      </c>
      <c r="B26" s="5" t="str">
        <f>المواد!B26</f>
        <v>كغ</v>
      </c>
      <c r="C26" s="4">
        <f>IF($A26="","",ROUND(SUMIFS(الإدخالات!$D$2:$D$501,الإدخالات!$C$2:$C$501,$A26)+SUMIFS('تعديل الجرد'!$F$2:$F$501,'تعديل الجرد'!$C$2:$C$501,$A26)-SUMIFS('الصرف المباشر'!$D$2:$D$501,'الصرف المباشر'!$C$2:$C$501,$A26)-SUMPRODUCT((الطبخات!$B$2:$B$900=$A26)*الطبخات!$C$2:$C$900*COUNTIF('سجل الإنتاج'!$C$2:$C$501,الطبخات!$A$2:$A$900)),3))</f>
        <v>0.47</v>
      </c>
      <c r="D26" s="4">
        <f>IF($A26="","",ROUND(SUMIFS('الصرف المباشر'!$D$2:$D$501,'الصرف المباشر'!$C$2:$C$501,$A26)+SUMPRODUCT((الطبخات!$B$2:$B$900=$A26)*الطبخات!$C$2:$C$900*COUNTIF('سجل الإنتاج'!$C$2:$C$501,الطبخات!$A$2:$A$900)),3))</f>
        <v>0</v>
      </c>
      <c r="E26" s="5" t="str">
        <f t="shared" si="0"/>
        <v>✔ طبيعي</v>
      </c>
      <c r="F26" s="5" t="str">
        <f>IF(AND($A26&lt;&gt;"",$E26&lt;&gt;"✔ طبيعي"),SUMPRODUCT(('الرصيد الحالي'!$E$2:$E26&lt;&gt;"✔ طبيعي")*('الرصيد الحالي'!$E$2:$E26&lt;&gt;"")*('الرصيد الحالي'!$A$2:$A26&lt;&gt;"")),"")</f>
        <v/>
      </c>
    </row>
    <row r="27" spans="1:6" ht="24" customHeight="1">
      <c r="A27" s="3" t="str">
        <f>المواد!A27</f>
        <v>عطر-برنس</v>
      </c>
      <c r="B27" s="5" t="str">
        <f>المواد!B27</f>
        <v>كغ</v>
      </c>
      <c r="C27" s="4">
        <f>IF($A27="","",ROUND(SUMIFS(الإدخالات!$D$2:$D$501,الإدخالات!$C$2:$C$501,$A27)+SUMIFS('تعديل الجرد'!$F$2:$F$501,'تعديل الجرد'!$C$2:$C$501,$A27)-SUMIFS('الصرف المباشر'!$D$2:$D$501,'الصرف المباشر'!$C$2:$C$501,$A27)-SUMPRODUCT((الطبخات!$B$2:$B$900=$A27)*الطبخات!$C$2:$C$900*COUNTIF('سجل الإنتاج'!$C$2:$C$501,الطبخات!$A$2:$A$900)),3))</f>
        <v>0</v>
      </c>
      <c r="D27" s="4">
        <f>IF($A27="","",ROUND(SUMIFS('الصرف المباشر'!$D$2:$D$501,'الصرف المباشر'!$C$2:$C$501,$A27)+SUMPRODUCT((الطبخات!$B$2:$B$900=$A27)*الطبخات!$C$2:$C$900*COUNTIF('سجل الإنتاج'!$C$2:$C$501,الطبخات!$A$2:$A$900)),3))</f>
        <v>0</v>
      </c>
      <c r="E27" s="5" t="str">
        <f t="shared" si="0"/>
        <v>✔ طبيعي</v>
      </c>
      <c r="F27" s="5" t="str">
        <f>IF(AND($A27&lt;&gt;"",$E27&lt;&gt;"✔ طبيعي"),SUMPRODUCT(('الرصيد الحالي'!$E$2:$E27&lt;&gt;"✔ طبيعي")*('الرصيد الحالي'!$E$2:$E27&lt;&gt;"")*('الرصيد الحالي'!$A$2:$A27&lt;&gt;"")),"")</f>
        <v/>
      </c>
    </row>
    <row r="28" spans="1:6" ht="24" customHeight="1">
      <c r="A28" s="3" t="str">
        <f>المواد!A28</f>
        <v>عطر-ببوري ultimate-mixture - 485797</v>
      </c>
      <c r="B28" s="5" t="str">
        <f>المواد!B28</f>
        <v>كغ</v>
      </c>
      <c r="C28" s="4">
        <f>IF($A28="","",ROUND(SUMIFS(الإدخالات!$D$2:$D$501,الإدخالات!$C$2:$C$501,$A28)+SUMIFS('تعديل الجرد'!$F$2:$F$501,'تعديل الجرد'!$C$2:$C$501,$A28)-SUMIFS('الصرف المباشر'!$D$2:$D$501,'الصرف المباشر'!$C$2:$C$501,$A28)-SUMPRODUCT((الطبخات!$B$2:$B$900=$A28)*الطبخات!$C$2:$C$900*COUNTIF('سجل الإنتاج'!$C$2:$C$501,الطبخات!$A$2:$A$900)),3))</f>
        <v>20</v>
      </c>
      <c r="D28" s="4">
        <f>IF($A28="","",ROUND(SUMIFS('الصرف المباشر'!$D$2:$D$501,'الصرف المباشر'!$C$2:$C$501,$A28)+SUMPRODUCT((الطبخات!$B$2:$B$900=$A28)*الطبخات!$C$2:$C$900*COUNTIF('سجل الإنتاج'!$C$2:$C$501,الطبخات!$A$2:$A$900)),3))</f>
        <v>0</v>
      </c>
      <c r="E28" s="5" t="str">
        <f t="shared" si="0"/>
        <v>✔ طبيعي</v>
      </c>
      <c r="F28" s="5" t="str">
        <f>IF(AND($A28&lt;&gt;"",$E28&lt;&gt;"✔ طبيعي"),SUMPRODUCT(('الرصيد الحالي'!$E$2:$E28&lt;&gt;"✔ طبيعي")*('الرصيد الحالي'!$E$2:$E28&lt;&gt;"")*('الرصيد الحالي'!$A$2:$A28&lt;&gt;"")),"")</f>
        <v/>
      </c>
    </row>
    <row r="29" spans="1:6" ht="24" customHeight="1">
      <c r="A29" s="3" t="str">
        <f>المواد!A29</f>
        <v>عطر-ازهار-الربيع spring - 318643</v>
      </c>
      <c r="B29" s="5" t="str">
        <f>المواد!B29</f>
        <v>كغ</v>
      </c>
      <c r="C29" s="4">
        <f>IF($A29="","",ROUND(SUMIFS(الإدخالات!$D$2:$D$501,الإدخالات!$C$2:$C$501,$A29)+SUMIFS('تعديل الجرد'!$F$2:$F$501,'تعديل الجرد'!$C$2:$C$501,$A29)-SUMIFS('الصرف المباشر'!$D$2:$D$501,'الصرف المباشر'!$C$2:$C$501,$A29)-SUMPRODUCT((الطبخات!$B$2:$B$900=$A29)*الطبخات!$C$2:$C$900*COUNTIF('سجل الإنتاج'!$C$2:$C$501,الطبخات!$A$2:$A$900)),3))</f>
        <v>21.4</v>
      </c>
      <c r="D29" s="4">
        <f>IF($A29="","",ROUND(SUMIFS('الصرف المباشر'!$D$2:$D$501,'الصرف المباشر'!$C$2:$C$501,$A29)+SUMPRODUCT((الطبخات!$B$2:$B$900=$A29)*الطبخات!$C$2:$C$900*COUNTIF('سجل الإنتاج'!$C$2:$C$501,الطبخات!$A$2:$A$900)),3))</f>
        <v>0</v>
      </c>
      <c r="E29" s="5" t="str">
        <f t="shared" si="0"/>
        <v>✔ طبيعي</v>
      </c>
      <c r="F29" s="5" t="str">
        <f>IF(AND($A29&lt;&gt;"",$E29&lt;&gt;"✔ طبيعي"),SUMPRODUCT(('الرصيد الحالي'!$E$2:$E29&lt;&gt;"✔ طبيعي")*('الرصيد الحالي'!$E$2:$E29&lt;&gt;"")*('الرصيد الحالي'!$A$2:$A29&lt;&gt;"")),"")</f>
        <v/>
      </c>
    </row>
    <row r="30" spans="1:6" ht="24" customHeight="1">
      <c r="A30" s="3" t="str">
        <f>المواد!A30</f>
        <v>عطر هامول</v>
      </c>
      <c r="B30" s="5" t="str">
        <f>المواد!B30</f>
        <v>كغ</v>
      </c>
      <c r="C30" s="4">
        <f>IF($A30="","",ROUND(SUMIFS(الإدخالات!$D$2:$D$501,الإدخالات!$C$2:$C$501,$A30)+SUMIFS('تعديل الجرد'!$F$2:$F$501,'تعديل الجرد'!$C$2:$C$501,$A30)-SUMIFS('الصرف المباشر'!$D$2:$D$501,'الصرف المباشر'!$C$2:$C$501,$A30)-SUMPRODUCT((الطبخات!$B$2:$B$900=$A30)*الطبخات!$C$2:$C$900*COUNTIF('سجل الإنتاج'!$C$2:$C$501,الطبخات!$A$2:$A$900)),3))</f>
        <v>0</v>
      </c>
      <c r="D30" s="4">
        <f>IF($A30="","",ROUND(SUMIFS('الصرف المباشر'!$D$2:$D$501,'الصرف المباشر'!$C$2:$C$501,$A30)+SUMPRODUCT((الطبخات!$B$2:$B$900=$A30)*الطبخات!$C$2:$C$900*COUNTIF('سجل الإنتاج'!$C$2:$C$501,الطبخات!$A$2:$A$900)),3))</f>
        <v>0</v>
      </c>
      <c r="E30" s="5" t="str">
        <f t="shared" si="0"/>
        <v>✔ طبيعي</v>
      </c>
      <c r="F30" s="5" t="str">
        <f>IF(AND($A30&lt;&gt;"",$E30&lt;&gt;"✔ طبيعي"),SUMPRODUCT(('الرصيد الحالي'!$E$2:$E30&lt;&gt;"✔ طبيعي")*('الرصيد الحالي'!$E$2:$E30&lt;&gt;"")*('الرصيد الحالي'!$A$2:$A30&lt;&gt;"")),"")</f>
        <v/>
      </c>
    </row>
    <row r="31" spans="1:6" ht="24" customHeight="1">
      <c r="A31" s="3" t="str">
        <f>المواد!A31</f>
        <v>عطر مسك احمر</v>
      </c>
      <c r="B31" s="5" t="str">
        <f>المواد!B31</f>
        <v>كغ</v>
      </c>
      <c r="C31" s="4">
        <f>IF($A31="","",ROUND(SUMIFS(الإدخالات!$D$2:$D$501,الإدخالات!$C$2:$C$501,$A31)+SUMIFS('تعديل الجرد'!$F$2:$F$501,'تعديل الجرد'!$C$2:$C$501,$A31)-SUMIFS('الصرف المباشر'!$D$2:$D$501,'الصرف المباشر'!$C$2:$C$501,$A31)-SUMPRODUCT((الطبخات!$B$2:$B$900=$A31)*الطبخات!$C$2:$C$900*COUNTIF('سجل الإنتاج'!$C$2:$C$501,الطبخات!$A$2:$A$900)),3))</f>
        <v>2</v>
      </c>
      <c r="D31" s="4">
        <f>IF($A31="","",ROUND(SUMIFS('الصرف المباشر'!$D$2:$D$501,'الصرف المباشر'!$C$2:$C$501,$A31)+SUMPRODUCT((الطبخات!$B$2:$B$900=$A31)*الطبخات!$C$2:$C$900*COUNTIF('سجل الإنتاج'!$C$2:$C$501,الطبخات!$A$2:$A$900)),3))</f>
        <v>0</v>
      </c>
      <c r="E31" s="5" t="str">
        <f t="shared" si="0"/>
        <v>✔ طبيعي</v>
      </c>
      <c r="F31" s="5" t="str">
        <f>IF(AND($A31&lt;&gt;"",$E31&lt;&gt;"✔ طبيعي"),SUMPRODUCT(('الرصيد الحالي'!$E$2:$E31&lt;&gt;"✔ طبيعي")*('الرصيد الحالي'!$E$2:$E31&lt;&gt;"")*('الرصيد الحالي'!$A$2:$A31&lt;&gt;"")),"")</f>
        <v/>
      </c>
    </row>
    <row r="32" spans="1:6" ht="24" customHeight="1">
      <c r="A32" s="3" t="str">
        <f>المواد!A32</f>
        <v>عطر مسك</v>
      </c>
      <c r="B32" s="5" t="str">
        <f>المواد!B32</f>
        <v>كغ</v>
      </c>
      <c r="C32" s="4">
        <f>IF($A32="","",ROUND(SUMIFS(الإدخالات!$D$2:$D$501,الإدخالات!$C$2:$C$501,$A32)+SUMIFS('تعديل الجرد'!$F$2:$F$501,'تعديل الجرد'!$C$2:$C$501,$A32)-SUMIFS('الصرف المباشر'!$D$2:$D$501,'الصرف المباشر'!$C$2:$C$501,$A32)-SUMPRODUCT((الطبخات!$B$2:$B$900=$A32)*الطبخات!$C$2:$C$900*COUNTIF('سجل الإنتاج'!$C$2:$C$501,الطبخات!$A$2:$A$900)),3))</f>
        <v>3</v>
      </c>
      <c r="D32" s="4">
        <f>IF($A32="","",ROUND(SUMIFS('الصرف المباشر'!$D$2:$D$501,'الصرف المباشر'!$C$2:$C$501,$A32)+SUMPRODUCT((الطبخات!$B$2:$B$900=$A32)*الطبخات!$C$2:$C$900*COUNTIF('سجل الإنتاج'!$C$2:$C$501,الطبخات!$A$2:$A$900)),3))</f>
        <v>0</v>
      </c>
      <c r="E32" s="5" t="str">
        <f t="shared" si="0"/>
        <v>✔ طبيعي</v>
      </c>
      <c r="F32" s="5" t="str">
        <f>IF(AND($A32&lt;&gt;"",$E32&lt;&gt;"✔ طبيعي"),SUMPRODUCT(('الرصيد الحالي'!$E$2:$E32&lt;&gt;"✔ طبيعي")*('الرصيد الحالي'!$E$2:$E32&lt;&gt;"")*('الرصيد الحالي'!$A$2:$A32&lt;&gt;"")),"")</f>
        <v/>
      </c>
    </row>
    <row r="33" spans="1:6" ht="24" customHeight="1">
      <c r="A33" s="3" t="str">
        <f>المواد!A33</f>
        <v>عطر ليمون ماكسي</v>
      </c>
      <c r="B33" s="5" t="str">
        <f>المواد!B33</f>
        <v>كغ</v>
      </c>
      <c r="C33" s="4">
        <f>IF($A33="","",ROUND(SUMIFS(الإدخالات!$D$2:$D$501,الإدخالات!$C$2:$C$501,$A33)+SUMIFS('تعديل الجرد'!$F$2:$F$501,'تعديل الجرد'!$C$2:$C$501,$A33)-SUMIFS('الصرف المباشر'!$D$2:$D$501,'الصرف المباشر'!$C$2:$C$501,$A33)-SUMPRODUCT((الطبخات!$B$2:$B$900=$A33)*الطبخات!$C$2:$C$900*COUNTIF('سجل الإنتاج'!$C$2:$C$501,الطبخات!$A$2:$A$900)),3))</f>
        <v>0.42</v>
      </c>
      <c r="D33" s="4">
        <f>IF($A33="","",ROUND(SUMIFS('الصرف المباشر'!$D$2:$D$501,'الصرف المباشر'!$C$2:$C$501,$A33)+SUMPRODUCT((الطبخات!$B$2:$B$900=$A33)*الطبخات!$C$2:$C$900*COUNTIF('سجل الإنتاج'!$C$2:$C$501,الطبخات!$A$2:$A$900)),3))</f>
        <v>0</v>
      </c>
      <c r="E33" s="5" t="str">
        <f t="shared" si="0"/>
        <v>✔ طبيعي</v>
      </c>
      <c r="F33" s="5" t="str">
        <f>IF(AND($A33&lt;&gt;"",$E33&lt;&gt;"✔ طبيعي"),SUMPRODUCT(('الرصيد الحالي'!$E$2:$E33&lt;&gt;"✔ طبيعي")*('الرصيد الحالي'!$E$2:$E33&lt;&gt;"")*('الرصيد الحالي'!$A$2:$A33&lt;&gt;"")),"")</f>
        <v/>
      </c>
    </row>
    <row r="34" spans="1:6" ht="24" customHeight="1">
      <c r="A34" s="3" t="str">
        <f>المواد!A34</f>
        <v>عطر عسل</v>
      </c>
      <c r="B34" s="5" t="str">
        <f>المواد!B34</f>
        <v>كغ</v>
      </c>
      <c r="C34" s="4">
        <f>IF($A34="","",ROUND(SUMIFS(الإدخالات!$D$2:$D$501,الإدخالات!$C$2:$C$501,$A34)+SUMIFS('تعديل الجرد'!$F$2:$F$501,'تعديل الجرد'!$C$2:$C$501,$A34)-SUMIFS('الصرف المباشر'!$D$2:$D$501,'الصرف المباشر'!$C$2:$C$501,$A34)-SUMPRODUCT((الطبخات!$B$2:$B$900=$A34)*الطبخات!$C$2:$C$900*COUNTIF('سجل الإنتاج'!$C$2:$C$501,الطبخات!$A$2:$A$900)),3))</f>
        <v>1</v>
      </c>
      <c r="D34" s="4">
        <f>IF($A34="","",ROUND(SUMIFS('الصرف المباشر'!$D$2:$D$501,'الصرف المباشر'!$C$2:$C$501,$A34)+SUMPRODUCT((الطبخات!$B$2:$B$900=$A34)*الطبخات!$C$2:$C$900*COUNTIF('سجل الإنتاج'!$C$2:$C$501,الطبخات!$A$2:$A$900)),3))</f>
        <v>0</v>
      </c>
      <c r="E34" s="5" t="str">
        <f t="shared" si="0"/>
        <v>✔ طبيعي</v>
      </c>
      <c r="F34" s="5" t="str">
        <f>IF(AND($A34&lt;&gt;"",$E34&lt;&gt;"✔ طبيعي"),SUMPRODUCT(('الرصيد الحالي'!$E$2:$E34&lt;&gt;"✔ طبيعي")*('الرصيد الحالي'!$E$2:$E34&lt;&gt;"")*('الرصيد الحالي'!$A$2:$A34&lt;&gt;"")),"")</f>
        <v/>
      </c>
    </row>
    <row r="35" spans="1:6" ht="24" customHeight="1">
      <c r="A35" s="3" t="str">
        <f>المواد!A35</f>
        <v>عطر جوز الهند</v>
      </c>
      <c r="B35" s="5" t="str">
        <f>المواد!B35</f>
        <v>كغ</v>
      </c>
      <c r="C35" s="4">
        <f>IF($A35="","",ROUND(SUMIFS(الإدخالات!$D$2:$D$501,الإدخالات!$C$2:$C$501,$A35)+SUMIFS('تعديل الجرد'!$F$2:$F$501,'تعديل الجرد'!$C$2:$C$501,$A35)-SUMIFS('الصرف المباشر'!$D$2:$D$501,'الصرف المباشر'!$C$2:$C$501,$A35)-SUMPRODUCT((الطبخات!$B$2:$B$900=$A35)*الطبخات!$C$2:$C$900*COUNTIF('سجل الإنتاج'!$C$2:$C$501,الطبخات!$A$2:$A$900)),3))</f>
        <v>0</v>
      </c>
      <c r="D35" s="4">
        <f>IF($A35="","",ROUND(SUMIFS('الصرف المباشر'!$D$2:$D$501,'الصرف المباشر'!$C$2:$C$501,$A35)+SUMPRODUCT((الطبخات!$B$2:$B$900=$A35)*الطبخات!$C$2:$C$900*COUNTIF('سجل الإنتاج'!$C$2:$C$501,الطبخات!$A$2:$A$900)),3))</f>
        <v>0</v>
      </c>
      <c r="E35" s="5" t="str">
        <f t="shared" si="0"/>
        <v>✔ طبيعي</v>
      </c>
      <c r="F35" s="5" t="str">
        <f>IF(AND($A35&lt;&gt;"",$E35&lt;&gt;"✔ طبيعي"),SUMPRODUCT(('الرصيد الحالي'!$E$2:$E35&lt;&gt;"✔ طبيعي")*('الرصيد الحالي'!$E$2:$E35&lt;&gt;"")*('الرصيد الحالي'!$A$2:$A35&lt;&gt;"")),"")</f>
        <v/>
      </c>
    </row>
    <row r="36" spans="1:6" ht="24" customHeight="1">
      <c r="A36" s="3" t="str">
        <f>المواد!A36</f>
        <v>عطر بانتين</v>
      </c>
      <c r="B36" s="5" t="str">
        <f>المواد!B36</f>
        <v>كغ</v>
      </c>
      <c r="C36" s="4">
        <f>IF($A36="","",ROUND(SUMIFS(الإدخالات!$D$2:$D$501,الإدخالات!$C$2:$C$501,$A36)+SUMIFS('تعديل الجرد'!$F$2:$F$501,'تعديل الجرد'!$C$2:$C$501,$A36)-SUMIFS('الصرف المباشر'!$D$2:$D$501,'الصرف المباشر'!$C$2:$C$501,$A36)-SUMPRODUCT((الطبخات!$B$2:$B$900=$A36)*الطبخات!$C$2:$C$900*COUNTIF('سجل الإنتاج'!$C$2:$C$501,الطبخات!$A$2:$A$900)),3))</f>
        <v>0</v>
      </c>
      <c r="D36" s="4">
        <f>IF($A36="","",ROUND(SUMIFS('الصرف المباشر'!$D$2:$D$501,'الصرف المباشر'!$C$2:$C$501,$A36)+SUMPRODUCT((الطبخات!$B$2:$B$900=$A36)*الطبخات!$C$2:$C$900*COUNTIF('سجل الإنتاج'!$C$2:$C$501,الطبخات!$A$2:$A$900)),3))</f>
        <v>0</v>
      </c>
      <c r="E36" s="5" t="str">
        <f t="shared" si="0"/>
        <v>✔ طبيعي</v>
      </c>
      <c r="F36" s="5" t="str">
        <f>IF(AND($A36&lt;&gt;"",$E36&lt;&gt;"✔ طبيعي"),SUMPRODUCT(('الرصيد الحالي'!$E$2:$E36&lt;&gt;"✔ طبيعي")*('الرصيد الحالي'!$E$2:$E36&lt;&gt;"")*('الرصيد الحالي'!$A$2:$A36&lt;&gt;"")),"")</f>
        <v/>
      </c>
    </row>
    <row r="37" spans="1:6" ht="24" customHeight="1">
      <c r="A37" s="3" t="str">
        <f>المواد!A37</f>
        <v>عطر اوليفا</v>
      </c>
      <c r="B37" s="5" t="str">
        <f>المواد!B37</f>
        <v>كغ</v>
      </c>
      <c r="C37" s="4">
        <f>IF($A37="","",ROUND(SUMIFS(الإدخالات!$D$2:$D$501,الإدخالات!$C$2:$C$501,$A37)+SUMIFS('تعديل الجرد'!$F$2:$F$501,'تعديل الجرد'!$C$2:$C$501,$A37)-SUMIFS('الصرف المباشر'!$D$2:$D$501,'الصرف المباشر'!$C$2:$C$501,$A37)-SUMPRODUCT((الطبخات!$B$2:$B$900=$A37)*الطبخات!$C$2:$C$900*COUNTIF('سجل الإنتاج'!$C$2:$C$501,الطبخات!$A$2:$A$900)),3))</f>
        <v>0</v>
      </c>
      <c r="D37" s="4">
        <f>IF($A37="","",ROUND(SUMIFS('الصرف المباشر'!$D$2:$D$501,'الصرف المباشر'!$C$2:$C$501,$A37)+SUMPRODUCT((الطبخات!$B$2:$B$900=$A37)*الطبخات!$C$2:$C$900*COUNTIF('سجل الإنتاج'!$C$2:$C$501,الطبخات!$A$2:$A$900)),3))</f>
        <v>0</v>
      </c>
      <c r="E37" s="5" t="str">
        <f t="shared" si="0"/>
        <v>✔ طبيعي</v>
      </c>
      <c r="F37" s="5" t="str">
        <f>IF(AND($A37&lt;&gt;"",$E37&lt;&gt;"✔ طبيعي"),SUMPRODUCT(('الرصيد الحالي'!$E$2:$E37&lt;&gt;"✔ طبيعي")*('الرصيد الحالي'!$E$2:$E37&lt;&gt;"")*('الرصيد الحالي'!$A$2:$A37&lt;&gt;"")),"")</f>
        <v/>
      </c>
    </row>
    <row r="38" spans="1:6" ht="24" customHeight="1">
      <c r="A38" s="3" t="str">
        <f>المواد!A38</f>
        <v>عطر ramani-kodi-000110</v>
      </c>
      <c r="B38" s="5" t="str">
        <f>المواد!B38</f>
        <v>كغ</v>
      </c>
      <c r="C38" s="4">
        <f>IF($A38="","",ROUND(SUMIFS(الإدخالات!$D$2:$D$501,الإدخالات!$C$2:$C$501,$A38)+SUMIFS('تعديل الجرد'!$F$2:$F$501,'تعديل الجرد'!$C$2:$C$501,$A38)-SUMIFS('الصرف المباشر'!$D$2:$D$501,'الصرف المباشر'!$C$2:$C$501,$A38)-SUMPRODUCT((الطبخات!$B$2:$B$900=$A38)*الطبخات!$C$2:$C$900*COUNTIF('سجل الإنتاج'!$C$2:$C$501,الطبخات!$A$2:$A$900)),3))</f>
        <v>2</v>
      </c>
      <c r="D38" s="4">
        <f>IF($A38="","",ROUND(SUMIFS('الصرف المباشر'!$D$2:$D$501,'الصرف المباشر'!$C$2:$C$501,$A38)+SUMPRODUCT((الطبخات!$B$2:$B$900=$A38)*الطبخات!$C$2:$C$900*COUNTIF('سجل الإنتاج'!$C$2:$C$501,الطبخات!$A$2:$A$900)),3))</f>
        <v>0</v>
      </c>
      <c r="E38" s="5" t="str">
        <f t="shared" si="0"/>
        <v>✔ طبيعي</v>
      </c>
      <c r="F38" s="5" t="str">
        <f>IF(AND($A38&lt;&gt;"",$E38&lt;&gt;"✔ طبيعي"),SUMPRODUCT(('الرصيد الحالي'!$E$2:$E38&lt;&gt;"✔ طبيعي")*('الرصيد الحالي'!$E$2:$E38&lt;&gt;"")*('الرصيد الحالي'!$A$2:$A38&lt;&gt;"")),"")</f>
        <v/>
      </c>
    </row>
    <row r="39" spans="1:6" ht="24" customHeight="1">
      <c r="A39" s="3" t="str">
        <f>المواد!A39</f>
        <v>عطر magic sprel - 6168581</v>
      </c>
      <c r="B39" s="5" t="str">
        <f>المواد!B39</f>
        <v>كغ</v>
      </c>
      <c r="C39" s="4">
        <f>IF($A39="","",ROUND(SUMIFS(الإدخالات!$D$2:$D$501,الإدخالات!$C$2:$C$501,$A39)+SUMIFS('تعديل الجرد'!$F$2:$F$501,'تعديل الجرد'!$C$2:$C$501,$A39)-SUMIFS('الصرف المباشر'!$D$2:$D$501,'الصرف المباشر'!$C$2:$C$501,$A39)-SUMPRODUCT((الطبخات!$B$2:$B$900=$A39)*الطبخات!$C$2:$C$900*COUNTIF('سجل الإنتاج'!$C$2:$C$501,الطبخات!$A$2:$A$900)),3))</f>
        <v>50</v>
      </c>
      <c r="D39" s="4">
        <f>IF($A39="","",ROUND(SUMIFS('الصرف المباشر'!$D$2:$D$501,'الصرف المباشر'!$C$2:$C$501,$A39)+SUMPRODUCT((الطبخات!$B$2:$B$900=$A39)*الطبخات!$C$2:$C$900*COUNTIF('سجل الإنتاج'!$C$2:$C$501,الطبخات!$A$2:$A$900)),3))</f>
        <v>0</v>
      </c>
      <c r="E39" s="5" t="str">
        <f t="shared" si="0"/>
        <v>✔ طبيعي</v>
      </c>
      <c r="F39" s="5" t="str">
        <f>IF(AND($A39&lt;&gt;"",$E39&lt;&gt;"✔ طبيعي"),SUMPRODUCT(('الرصيد الحالي'!$E$2:$E39&lt;&gt;"✔ طبيعي")*('الرصيد الحالي'!$E$2:$E39&lt;&gt;"")*('الرصيد الحالي'!$A$2:$A39&lt;&gt;"")),"")</f>
        <v/>
      </c>
    </row>
    <row r="40" spans="1:6" ht="24" customHeight="1">
      <c r="A40" s="3" t="str">
        <f>المواد!A40</f>
        <v>عطر kavien-clein-eforia-000020</v>
      </c>
      <c r="B40" s="5" t="str">
        <f>المواد!B40</f>
        <v>كغ</v>
      </c>
      <c r="C40" s="4">
        <f>IF($A40="","",ROUND(SUMIFS(الإدخالات!$D$2:$D$501,الإدخالات!$C$2:$C$501,$A40)+SUMIFS('تعديل الجرد'!$F$2:$F$501,'تعديل الجرد'!$C$2:$C$501,$A40)-SUMIFS('الصرف المباشر'!$D$2:$D$501,'الصرف المباشر'!$C$2:$C$501,$A40)-SUMPRODUCT((الطبخات!$B$2:$B$900=$A40)*الطبخات!$C$2:$C$900*COUNTIF('سجل الإنتاج'!$C$2:$C$501,الطبخات!$A$2:$A$900)),3))</f>
        <v>4</v>
      </c>
      <c r="D40" s="4">
        <f>IF($A40="","",ROUND(SUMIFS('الصرف المباشر'!$D$2:$D$501,'الصرف المباشر'!$C$2:$C$501,$A40)+SUMPRODUCT((الطبخات!$B$2:$B$900=$A40)*الطبخات!$C$2:$C$900*COUNTIF('سجل الإنتاج'!$C$2:$C$501,الطبخات!$A$2:$A$900)),3))</f>
        <v>0</v>
      </c>
      <c r="E40" s="5" t="str">
        <f t="shared" si="0"/>
        <v>✔ طبيعي</v>
      </c>
      <c r="F40" s="5" t="str">
        <f>IF(AND($A40&lt;&gt;"",$E40&lt;&gt;"✔ طبيعي"),SUMPRODUCT(('الرصيد الحالي'!$E$2:$E40&lt;&gt;"✔ طبيعي")*('الرصيد الحالي'!$E$2:$E40&lt;&gt;"")*('الرصيد الحالي'!$A$2:$A40&lt;&gt;"")),"")</f>
        <v/>
      </c>
    </row>
    <row r="41" spans="1:6" ht="24" customHeight="1">
      <c r="A41" s="3" t="str">
        <f>المواد!A41</f>
        <v>عطر energy-000400</v>
      </c>
      <c r="B41" s="5" t="str">
        <f>المواد!B41</f>
        <v>كغ</v>
      </c>
      <c r="C41" s="4">
        <f>IF($A41="","",ROUND(SUMIFS(الإدخالات!$D$2:$D$501,الإدخالات!$C$2:$C$501,$A41)+SUMIFS('تعديل الجرد'!$F$2:$F$501,'تعديل الجرد'!$C$2:$C$501,$A41)-SUMIFS('الصرف المباشر'!$D$2:$D$501,'الصرف المباشر'!$C$2:$C$501,$A41)-SUMPRODUCT((الطبخات!$B$2:$B$900=$A41)*الطبخات!$C$2:$C$900*COUNTIF('سجل الإنتاج'!$C$2:$C$501,الطبخات!$A$2:$A$900)),3))</f>
        <v>1.44</v>
      </c>
      <c r="D41" s="4">
        <f>IF($A41="","",ROUND(SUMIFS('الصرف المباشر'!$D$2:$D$501,'الصرف المباشر'!$C$2:$C$501,$A41)+SUMPRODUCT((الطبخات!$B$2:$B$900=$A41)*الطبخات!$C$2:$C$900*COUNTIF('سجل الإنتاج'!$C$2:$C$501,الطبخات!$A$2:$A$900)),3))</f>
        <v>0</v>
      </c>
      <c r="E41" s="5" t="str">
        <f t="shared" si="0"/>
        <v>✔ طبيعي</v>
      </c>
      <c r="F41" s="5" t="str">
        <f>IF(AND($A41&lt;&gt;"",$E41&lt;&gt;"✔ طبيعي"),SUMPRODUCT(('الرصيد الحالي'!$E$2:$E41&lt;&gt;"✔ طبيعي")*('الرصيد الحالي'!$E$2:$E41&lt;&gt;"")*('الرصيد الحالي'!$A$2:$A41&lt;&gt;"")),"")</f>
        <v/>
      </c>
    </row>
    <row r="42" spans="1:6" ht="24" customHeight="1">
      <c r="A42" s="3" t="str">
        <f>المواد!A42</f>
        <v>عطر Blue APC - 0001198620</v>
      </c>
      <c r="B42" s="5" t="str">
        <f>المواد!B42</f>
        <v>كغ</v>
      </c>
      <c r="C42" s="4">
        <f>IF($A42="","",ROUND(SUMIFS(الإدخالات!$D$2:$D$501,الإدخالات!$C$2:$C$501,$A42)+SUMIFS('تعديل الجرد'!$F$2:$F$501,'تعديل الجرد'!$C$2:$C$501,$A42)-SUMIFS('الصرف المباشر'!$D$2:$D$501,'الصرف المباشر'!$C$2:$C$501,$A42)-SUMPRODUCT((الطبخات!$B$2:$B$900=$A42)*الطبخات!$C$2:$C$900*COUNTIF('سجل الإنتاج'!$C$2:$C$501,الطبخات!$A$2:$A$900)),3))</f>
        <v>105</v>
      </c>
      <c r="D42" s="4">
        <f>IF($A42="","",ROUND(SUMIFS('الصرف المباشر'!$D$2:$D$501,'الصرف المباشر'!$C$2:$C$501,$A42)+SUMPRODUCT((الطبخات!$B$2:$B$900=$A42)*الطبخات!$C$2:$C$900*COUNTIF('سجل الإنتاج'!$C$2:$C$501,الطبخات!$A$2:$A$900)),3))</f>
        <v>0</v>
      </c>
      <c r="E42" s="5" t="str">
        <f t="shared" si="0"/>
        <v>✔ طبيعي</v>
      </c>
      <c r="F42" s="5" t="str">
        <f>IF(AND($A42&lt;&gt;"",$E42&lt;&gt;"✔ طبيعي"),SUMPRODUCT(('الرصيد الحالي'!$E$2:$E42&lt;&gt;"✔ طبيعي")*('الرصيد الحالي'!$E$2:$E42&lt;&gt;"")*('الرصيد الحالي'!$A$2:$A42&lt;&gt;"")),"")</f>
        <v/>
      </c>
    </row>
    <row r="43" spans="1:6" ht="24" customHeight="1">
      <c r="A43" s="3" t="str">
        <f>المواد!A43</f>
        <v>عطر billionair-000250</v>
      </c>
      <c r="B43" s="5" t="str">
        <f>المواد!B43</f>
        <v>كغ</v>
      </c>
      <c r="C43" s="4">
        <f>IF($A43="","",ROUND(SUMIFS(الإدخالات!$D$2:$D$501,الإدخالات!$C$2:$C$501,$A43)+SUMIFS('تعديل الجرد'!$F$2:$F$501,'تعديل الجرد'!$C$2:$C$501,$A43)-SUMIFS('الصرف المباشر'!$D$2:$D$501,'الصرف المباشر'!$C$2:$C$501,$A43)-SUMPRODUCT((الطبخات!$B$2:$B$900=$A43)*الطبخات!$C$2:$C$900*COUNTIF('سجل الإنتاج'!$C$2:$C$501,الطبخات!$A$2:$A$900)),3))</f>
        <v>4</v>
      </c>
      <c r="D43" s="4">
        <f>IF($A43="","",ROUND(SUMIFS('الصرف المباشر'!$D$2:$D$501,'الصرف المباشر'!$C$2:$C$501,$A43)+SUMPRODUCT((الطبخات!$B$2:$B$900=$A43)*الطبخات!$C$2:$C$900*COUNTIF('سجل الإنتاج'!$C$2:$C$501,الطبخات!$A$2:$A$900)),3))</f>
        <v>0</v>
      </c>
      <c r="E43" s="5" t="str">
        <f t="shared" si="0"/>
        <v>✔ طبيعي</v>
      </c>
      <c r="F43" s="5" t="str">
        <f>IF(AND($A43&lt;&gt;"",$E43&lt;&gt;"✔ طبيعي"),SUMPRODUCT(('الرصيد الحالي'!$E$2:$E43&lt;&gt;"✔ طبيعي")*('الرصيد الحالي'!$E$2:$E43&lt;&gt;"")*('الرصيد الحالي'!$A$2:$A43&lt;&gt;"")),"")</f>
        <v/>
      </c>
    </row>
    <row r="44" spans="1:6" ht="24" customHeight="1">
      <c r="A44" s="3" t="str">
        <f>المواد!A44</f>
        <v>عطر be-apple-000320</v>
      </c>
      <c r="B44" s="5" t="str">
        <f>المواد!B44</f>
        <v>كغ</v>
      </c>
      <c r="C44" s="4">
        <f>IF($A44="","",ROUND(SUMIFS(الإدخالات!$D$2:$D$501,الإدخالات!$C$2:$C$501,$A44)+SUMIFS('تعديل الجرد'!$F$2:$F$501,'تعديل الجرد'!$C$2:$C$501,$A44)-SUMIFS('الصرف المباشر'!$D$2:$D$501,'الصرف المباشر'!$C$2:$C$501,$A44)-SUMPRODUCT((الطبخات!$B$2:$B$900=$A44)*الطبخات!$C$2:$C$900*COUNTIF('سجل الإنتاج'!$C$2:$C$501,الطبخات!$A$2:$A$900)),3))</f>
        <v>2</v>
      </c>
      <c r="D44" s="4">
        <f>IF($A44="","",ROUND(SUMIFS('الصرف المباشر'!$D$2:$D$501,'الصرف المباشر'!$C$2:$C$501,$A44)+SUMPRODUCT((الطبخات!$B$2:$B$900=$A44)*الطبخات!$C$2:$C$900*COUNTIF('سجل الإنتاج'!$C$2:$C$501,الطبخات!$A$2:$A$900)),3))</f>
        <v>0</v>
      </c>
      <c r="E44" s="5" t="str">
        <f t="shared" si="0"/>
        <v>✔ طبيعي</v>
      </c>
      <c r="F44" s="5" t="str">
        <f>IF(AND($A44&lt;&gt;"",$E44&lt;&gt;"✔ طبيعي"),SUMPRODUCT(('الرصيد الحالي'!$E$2:$E44&lt;&gt;"✔ طبيعي")*('الرصيد الحالي'!$E$2:$E44&lt;&gt;"")*('الرصيد الحالي'!$A$2:$A44&lt;&gt;"")),"")</f>
        <v/>
      </c>
    </row>
    <row r="45" spans="1:6" ht="24" customHeight="1">
      <c r="A45" s="3" t="str">
        <f>المواد!A45</f>
        <v xml:space="preserve">عبوة 1 لتر </v>
      </c>
      <c r="B45" s="5" t="str">
        <f>المواد!B45</f>
        <v>عدد</v>
      </c>
      <c r="C45" s="4">
        <f>IF($A45="","",ROUND(SUMIFS(الإدخالات!$D$2:$D$501,الإدخالات!$C$2:$C$501,$A45)+SUMIFS('تعديل الجرد'!$F$2:$F$501,'تعديل الجرد'!$C$2:$C$501,$A45)-SUMIFS('الصرف المباشر'!$D$2:$D$501,'الصرف المباشر'!$C$2:$C$501,$A45)-SUMPRODUCT((الطبخات!$B$2:$B$900=$A45)*الطبخات!$C$2:$C$900*COUNTIF('سجل الإنتاج'!$C$2:$C$501,الطبخات!$A$2:$A$900)),3))</f>
        <v>0</v>
      </c>
      <c r="D45" s="4">
        <f>IF($A45="","",ROUND(SUMIFS('الصرف المباشر'!$D$2:$D$501,'الصرف المباشر'!$C$2:$C$501,$A45)+SUMPRODUCT((الطبخات!$B$2:$B$900=$A45)*الطبخات!$C$2:$C$900*COUNTIF('سجل الإنتاج'!$C$2:$C$501,الطبخات!$A$2:$A$900)),3))</f>
        <v>0</v>
      </c>
      <c r="E45" s="5" t="str">
        <f t="shared" si="0"/>
        <v>✔ طبيعي</v>
      </c>
      <c r="F45" s="5" t="str">
        <f>IF(AND($A45&lt;&gt;"",$E45&lt;&gt;"✔ طبيعي"),SUMPRODUCT(('الرصيد الحالي'!$E$2:$E45&lt;&gt;"✔ طبيعي")*('الرصيد الحالي'!$E$2:$E45&lt;&gt;"")*('الرصيد الحالي'!$A$2:$A45&lt;&gt;"")),"")</f>
        <v/>
      </c>
    </row>
    <row r="46" spans="1:6" ht="24" customHeight="1">
      <c r="A46" s="3" t="str">
        <f>المواد!A46</f>
        <v>طبالي خشب</v>
      </c>
      <c r="B46" s="5" t="str">
        <f>المواد!B46</f>
        <v>كغ</v>
      </c>
      <c r="C46" s="4">
        <f>IF($A46="","",ROUND(SUMIFS(الإدخالات!$D$2:$D$501,الإدخالات!$C$2:$C$501,$A46)+SUMIFS('تعديل الجرد'!$F$2:$F$501,'تعديل الجرد'!$C$2:$C$501,$A46)-SUMIFS('الصرف المباشر'!$D$2:$D$501,'الصرف المباشر'!$C$2:$C$501,$A46)-SUMPRODUCT((الطبخات!$B$2:$B$900=$A46)*الطبخات!$C$2:$C$900*COUNTIF('سجل الإنتاج'!$C$2:$C$501,الطبخات!$A$2:$A$900)),3))</f>
        <v>17</v>
      </c>
      <c r="D46" s="4">
        <f>IF($A46="","",ROUND(SUMIFS('الصرف المباشر'!$D$2:$D$501,'الصرف المباشر'!$C$2:$C$501,$A46)+SUMPRODUCT((الطبخات!$B$2:$B$900=$A46)*الطبخات!$C$2:$C$900*COUNTIF('سجل الإنتاج'!$C$2:$C$501,الطبخات!$A$2:$A$900)),3))</f>
        <v>0</v>
      </c>
      <c r="E46" s="5" t="str">
        <f t="shared" si="0"/>
        <v>✔ طبيعي</v>
      </c>
      <c r="F46" s="5" t="str">
        <f>IF(AND($A46&lt;&gt;"",$E46&lt;&gt;"✔ طبيعي"),SUMPRODUCT(('الرصيد الحالي'!$E$2:$E46&lt;&gt;"✔ طبيعي")*('الرصيد الحالي'!$E$2:$E46&lt;&gt;"")*('الرصيد الحالي'!$A$2:$A46&lt;&gt;"")),"")</f>
        <v/>
      </c>
    </row>
    <row r="47" spans="1:6" ht="24" customHeight="1">
      <c r="A47" s="3" t="str">
        <f>المواد!A47</f>
        <v xml:space="preserve">صودا أش </v>
      </c>
      <c r="B47" s="5" t="str">
        <f>المواد!B47</f>
        <v>كغ</v>
      </c>
      <c r="C47" s="4">
        <f>IF($A47="","",ROUND(SUMIFS(الإدخالات!$D$2:$D$501,الإدخالات!$C$2:$C$501,$A47)+SUMIFS('تعديل الجرد'!$F$2:$F$501,'تعديل الجرد'!$C$2:$C$501,$A47)-SUMIFS('الصرف المباشر'!$D$2:$D$501,'الصرف المباشر'!$C$2:$C$501,$A47)-SUMPRODUCT((الطبخات!$B$2:$B$900=$A47)*الطبخات!$C$2:$C$900*COUNTIF('سجل الإنتاج'!$C$2:$C$501,الطبخات!$A$2:$A$900)),3))</f>
        <v>0</v>
      </c>
      <c r="D47" s="4">
        <f>IF($A47="","",ROUND(SUMIFS('الصرف المباشر'!$D$2:$D$501,'الصرف المباشر'!$C$2:$C$501,$A47)+SUMPRODUCT((الطبخات!$B$2:$B$900=$A47)*الطبخات!$C$2:$C$900*COUNTIF('سجل الإنتاج'!$C$2:$C$501,الطبخات!$A$2:$A$900)),3))</f>
        <v>0</v>
      </c>
      <c r="E47" s="5" t="str">
        <f t="shared" si="0"/>
        <v>✔ طبيعي</v>
      </c>
      <c r="F47" s="5" t="str">
        <f>IF(AND($A47&lt;&gt;"",$E47&lt;&gt;"✔ طبيعي"),SUMPRODUCT(('الرصيد الحالي'!$E$2:$E47&lt;&gt;"✔ طبيعي")*('الرصيد الحالي'!$E$2:$E47&lt;&gt;"")*('الرصيد الحالي'!$A$2:$A47&lt;&gt;"")),"")</f>
        <v/>
      </c>
    </row>
    <row r="48" spans="1:6" ht="24" customHeight="1">
      <c r="A48" s="3" t="str">
        <f>المواد!A48</f>
        <v>صبغة</v>
      </c>
      <c r="B48" s="5" t="str">
        <f>المواد!B48</f>
        <v>كغ</v>
      </c>
      <c r="C48" s="4">
        <f>IF($A48="","",ROUND(SUMIFS(الإدخالات!$D$2:$D$501,الإدخالات!$C$2:$C$501,$A48)+SUMIFS('تعديل الجرد'!$F$2:$F$501,'تعديل الجرد'!$C$2:$C$501,$A48)-SUMIFS('الصرف المباشر'!$D$2:$D$501,'الصرف المباشر'!$C$2:$C$501,$A48)-SUMPRODUCT((الطبخات!$B$2:$B$900=$A48)*الطبخات!$C$2:$C$900*COUNTIF('سجل الإنتاج'!$C$2:$C$501,الطبخات!$A$2:$A$900)),3))</f>
        <v>-25</v>
      </c>
      <c r="D48" s="4">
        <f>IF($A48="","",ROUND(SUMIFS('الصرف المباشر'!$D$2:$D$501,'الصرف المباشر'!$C$2:$C$501,$A48)+SUMPRODUCT((الطبخات!$B$2:$B$900=$A48)*الطبخات!$C$2:$C$900*COUNTIF('سجل الإنتاج'!$C$2:$C$501,الطبخات!$A$2:$A$900)),3))</f>
        <v>25</v>
      </c>
      <c r="E48" s="5" t="str">
        <f t="shared" si="0"/>
        <v>❌ رصيد سالب - يحتاج مراجعة</v>
      </c>
      <c r="F48" s="5">
        <f>IF(AND($A48&lt;&gt;"",$E48&lt;&gt;"✔ طبيعي"),SUMPRODUCT(('الرصيد الحالي'!$E$2:$E48&lt;&gt;"✔ طبيعي")*('الرصيد الحالي'!$E$2:$E48&lt;&gt;"")*('الرصيد الحالي'!$A$2:$A48&lt;&gt;"")),"")</f>
        <v>3</v>
      </c>
    </row>
    <row r="49" spans="1:6" ht="24" customHeight="1">
      <c r="A49" s="3" t="str">
        <f>المواد!A49</f>
        <v xml:space="preserve">سيليكات سائلة </v>
      </c>
      <c r="B49" s="5" t="str">
        <f>المواد!B49</f>
        <v>كغ</v>
      </c>
      <c r="C49" s="4">
        <f>IF($A49="","",ROUND(SUMIFS(الإدخالات!$D$2:$D$501,الإدخالات!$C$2:$C$501,$A49)+SUMIFS('تعديل الجرد'!$F$2:$F$501,'تعديل الجرد'!$C$2:$C$501,$A49)-SUMIFS('الصرف المباشر'!$D$2:$D$501,'الصرف المباشر'!$C$2:$C$501,$A49)-SUMPRODUCT((الطبخات!$B$2:$B$900=$A49)*الطبخات!$C$2:$C$900*COUNTIF('سجل الإنتاج'!$C$2:$C$501,الطبخات!$A$2:$A$900)),3))</f>
        <v>0</v>
      </c>
      <c r="D49" s="4">
        <f>IF($A49="","",ROUND(SUMIFS('الصرف المباشر'!$D$2:$D$501,'الصرف المباشر'!$C$2:$C$501,$A49)+SUMPRODUCT((الطبخات!$B$2:$B$900=$A49)*الطبخات!$C$2:$C$900*COUNTIF('سجل الإنتاج'!$C$2:$C$501,الطبخات!$A$2:$A$900)),3))</f>
        <v>0</v>
      </c>
      <c r="E49" s="5" t="str">
        <f t="shared" si="0"/>
        <v>✔ طبيعي</v>
      </c>
      <c r="F49" s="5" t="str">
        <f>IF(AND($A49&lt;&gt;"",$E49&lt;&gt;"✔ طبيعي"),SUMPRODUCT(('الرصيد الحالي'!$E$2:$E49&lt;&gt;"✔ طبيعي")*('الرصيد الحالي'!$E$2:$E49&lt;&gt;"")*('الرصيد الحالي'!$A$2:$A49&lt;&gt;"")),"")</f>
        <v/>
      </c>
    </row>
    <row r="50" spans="1:6" ht="24" customHeight="1">
      <c r="A50" s="3" t="str">
        <f>المواد!A50</f>
        <v>زيت الصنوبر</v>
      </c>
      <c r="B50" s="5" t="str">
        <f>المواد!B50</f>
        <v>كغ</v>
      </c>
      <c r="C50" s="4">
        <f>IF($A50="","",ROUND(SUMIFS(الإدخالات!$D$2:$D$501,الإدخالات!$C$2:$C$501,$A50)+SUMIFS('تعديل الجرد'!$F$2:$F$501,'تعديل الجرد'!$C$2:$C$501,$A50)-SUMIFS('الصرف المباشر'!$D$2:$D$501,'الصرف المباشر'!$C$2:$C$501,$A50)-SUMPRODUCT((الطبخات!$B$2:$B$900=$A50)*الطبخات!$C$2:$C$900*COUNTIF('سجل الإنتاج'!$C$2:$C$501,الطبخات!$A$2:$A$900)),3))</f>
        <v>24</v>
      </c>
      <c r="D50" s="4">
        <f>IF($A50="","",ROUND(SUMIFS('الصرف المباشر'!$D$2:$D$501,'الصرف المباشر'!$C$2:$C$501,$A50)+SUMPRODUCT((الطبخات!$B$2:$B$900=$A50)*الطبخات!$C$2:$C$900*COUNTIF('سجل الإنتاج'!$C$2:$C$501,الطبخات!$A$2:$A$900)),3))</f>
        <v>0</v>
      </c>
      <c r="E50" s="5" t="str">
        <f t="shared" si="0"/>
        <v>✔ طبيعي</v>
      </c>
      <c r="F50" s="5" t="str">
        <f>IF(AND($A50&lt;&gt;"",$E50&lt;&gt;"✔ طبيعي"),SUMPRODUCT(('الرصيد الحالي'!$E$2:$E50&lt;&gt;"✔ طبيعي")*('الرصيد الحالي'!$E$2:$E50&lt;&gt;"")*('الرصيد الحالي'!$A$2:$A50&lt;&gt;"")),"")</f>
        <v/>
      </c>
    </row>
    <row r="51" spans="1:6" ht="24" customHeight="1">
      <c r="A51" s="3" t="str">
        <f>المواد!A51</f>
        <v>زفتة</v>
      </c>
      <c r="B51" s="5" t="str">
        <f>المواد!B51</f>
        <v>كغ</v>
      </c>
      <c r="C51" s="4">
        <f>IF($A51="","",ROUND(SUMIFS(الإدخالات!$D$2:$D$501,الإدخالات!$C$2:$C$501,$A51)+SUMIFS('تعديل الجرد'!$F$2:$F$501,'تعديل الجرد'!$C$2:$C$501,$A51)-SUMIFS('الصرف المباشر'!$D$2:$D$501,'الصرف المباشر'!$C$2:$C$501,$A51)-SUMPRODUCT((الطبخات!$B$2:$B$900=$A51)*الطبخات!$C$2:$C$900*COUNTIF('سجل الإنتاج'!$C$2:$C$501,الطبخات!$A$2:$A$900)),3))</f>
        <v>386</v>
      </c>
      <c r="D51" s="4">
        <f>IF($A51="","",ROUND(SUMIFS('الصرف المباشر'!$D$2:$D$501,'الصرف المباشر'!$C$2:$C$501,$A51)+SUMPRODUCT((الطبخات!$B$2:$B$900=$A51)*الطبخات!$C$2:$C$900*COUNTIF('سجل الإنتاج'!$C$2:$C$501,الطبخات!$A$2:$A$900)),3))</f>
        <v>150</v>
      </c>
      <c r="E51" s="5" t="str">
        <f t="shared" si="0"/>
        <v>✔ طبيعي</v>
      </c>
      <c r="F51" s="5" t="str">
        <f>IF(AND($A51&lt;&gt;"",$E51&lt;&gt;"✔ طبيعي"),SUMPRODUCT(('الرصيد الحالي'!$E$2:$E51&lt;&gt;"✔ طبيعي")*('الرصيد الحالي'!$E$2:$E51&lt;&gt;"")*('الرصيد الحالي'!$A$2:$A51&lt;&gt;"")),"")</f>
        <v/>
      </c>
    </row>
    <row r="52" spans="1:6" ht="24" customHeight="1">
      <c r="A52" s="3" t="str">
        <f>المواد!A52</f>
        <v>ديباتيول فينب</v>
      </c>
      <c r="B52" s="5" t="str">
        <f>المواد!B52</f>
        <v>كغ</v>
      </c>
      <c r="C52" s="4">
        <f>IF($A52="","",ROUND(SUMIFS(الإدخالات!$D$2:$D$501,الإدخالات!$C$2:$C$501,$A52)+SUMIFS('تعديل الجرد'!$F$2:$F$501,'تعديل الجرد'!$C$2:$C$501,$A52)-SUMIFS('الصرف المباشر'!$D$2:$D$501,'الصرف المباشر'!$C$2:$C$501,$A52)-SUMPRODUCT((الطبخات!$B$2:$B$900=$A52)*الطبخات!$C$2:$C$900*COUNTIF('سجل الإنتاج'!$C$2:$C$501,الطبخات!$A$2:$A$900)),3))</f>
        <v>0</v>
      </c>
      <c r="D52" s="4">
        <f>IF($A52="","",ROUND(SUMIFS('الصرف المباشر'!$D$2:$D$501,'الصرف المباشر'!$C$2:$C$501,$A52)+SUMPRODUCT((الطبخات!$B$2:$B$900=$A52)*الطبخات!$C$2:$C$900*COUNTIF('سجل الإنتاج'!$C$2:$C$501,الطبخات!$A$2:$A$900)),3))</f>
        <v>0</v>
      </c>
      <c r="E52" s="5" t="str">
        <f t="shared" si="0"/>
        <v>✔ طبيعي</v>
      </c>
      <c r="F52" s="5" t="str">
        <f>IF(AND($A52&lt;&gt;"",$E52&lt;&gt;"✔ طبيعي"),SUMPRODUCT(('الرصيد الحالي'!$E$2:$E52&lt;&gt;"✔ طبيعي")*('الرصيد الحالي'!$E$2:$E52&lt;&gt;"")*('الرصيد الحالي'!$A$2:$A52&lt;&gt;"")),"")</f>
        <v/>
      </c>
    </row>
    <row r="53" spans="1:6" ht="24" customHeight="1">
      <c r="A53" s="3" t="str">
        <f>المواد!A53</f>
        <v>دواء غسيل نصف مصنع</v>
      </c>
      <c r="B53" s="5" t="str">
        <f>المواد!B53</f>
        <v>كغ</v>
      </c>
      <c r="C53" s="4">
        <f>IF($A53="","",ROUND(SUMIFS(الإدخالات!$D$2:$D$501,الإدخالات!$C$2:$C$501,$A53)+SUMIFS('تعديل الجرد'!$F$2:$F$501,'تعديل الجرد'!$C$2:$C$501,$A53)-SUMIFS('الصرف المباشر'!$D$2:$D$501,'الصرف المباشر'!$C$2:$C$501,$A53)-SUMPRODUCT((الطبخات!$B$2:$B$900=$A53)*الطبخات!$C$2:$C$900*COUNTIF('سجل الإنتاج'!$C$2:$C$501,الطبخات!$A$2:$A$900)),3))</f>
        <v>34</v>
      </c>
      <c r="D53" s="4">
        <f>IF($A53="","",ROUND(SUMIFS('الصرف المباشر'!$D$2:$D$501,'الصرف المباشر'!$C$2:$C$501,$A53)+SUMPRODUCT((الطبخات!$B$2:$B$900=$A53)*الطبخات!$C$2:$C$900*COUNTIF('سجل الإنتاج'!$C$2:$C$501,الطبخات!$A$2:$A$900)),3))</f>
        <v>0</v>
      </c>
      <c r="E53" s="5" t="str">
        <f t="shared" si="0"/>
        <v>✔ طبيعي</v>
      </c>
      <c r="F53" s="5" t="str">
        <f>IF(AND($A53&lt;&gt;"",$E53&lt;&gt;"✔ طبيعي"),SUMPRODUCT(('الرصيد الحالي'!$E$2:$E53&lt;&gt;"✔ طبيعي")*('الرصيد الحالي'!$E$2:$E53&lt;&gt;"")*('الرصيد الحالي'!$A$2:$A53&lt;&gt;"")),"")</f>
        <v/>
      </c>
    </row>
    <row r="54" spans="1:6" ht="24" customHeight="1">
      <c r="A54" s="3" t="str">
        <f>المواد!A54</f>
        <v>حمض الليمون</v>
      </c>
      <c r="B54" s="5" t="str">
        <f>المواد!B54</f>
        <v>كغ</v>
      </c>
      <c r="C54" s="4">
        <f>IF($A54="","",ROUND(SUMIFS(الإدخالات!$D$2:$D$501,الإدخالات!$C$2:$C$501,$A54)+SUMIFS('تعديل الجرد'!$F$2:$F$501,'تعديل الجرد'!$C$2:$C$501,$A54)-SUMIFS('الصرف المباشر'!$D$2:$D$501,'الصرف المباشر'!$C$2:$C$501,$A54)-SUMPRODUCT((الطبخات!$B$2:$B$900=$A54)*الطبخات!$C$2:$C$900*COUNTIF('سجل الإنتاج'!$C$2:$C$501,الطبخات!$A$2:$A$900)),3))</f>
        <v>1</v>
      </c>
      <c r="D54" s="4">
        <f>IF($A54="","",ROUND(SUMIFS('الصرف المباشر'!$D$2:$D$501,'الصرف المباشر'!$C$2:$C$501,$A54)+SUMPRODUCT((الطبخات!$B$2:$B$900=$A54)*الطبخات!$C$2:$C$900*COUNTIF('سجل الإنتاج'!$C$2:$C$501,الطبخات!$A$2:$A$900)),3))</f>
        <v>0</v>
      </c>
      <c r="E54" s="5" t="str">
        <f t="shared" si="0"/>
        <v>✔ طبيعي</v>
      </c>
      <c r="F54" s="5" t="str">
        <f>IF(AND($A54&lt;&gt;"",$E54&lt;&gt;"✔ طبيعي"),SUMPRODUCT(('الرصيد الحالي'!$E$2:$E54&lt;&gt;"✔ طبيعي")*('الرصيد الحالي'!$E$2:$E54&lt;&gt;"")*('الرصيد الحالي'!$A$2:$A54&lt;&gt;"")),"")</f>
        <v/>
      </c>
    </row>
    <row r="55" spans="1:6" ht="24" customHeight="1">
      <c r="A55" s="3" t="str">
        <f>المواد!A55</f>
        <v>حمض الكبريت</v>
      </c>
      <c r="B55" s="5" t="str">
        <f>المواد!B55</f>
        <v>كغ</v>
      </c>
      <c r="C55" s="4">
        <f>IF($A55="","",ROUND(SUMIFS(الإدخالات!$D$2:$D$501,الإدخالات!$C$2:$C$501,$A55)+SUMIFS('تعديل الجرد'!$F$2:$F$501,'تعديل الجرد'!$C$2:$C$501,$A55)-SUMIFS('الصرف المباشر'!$D$2:$D$501,'الصرف المباشر'!$C$2:$C$501,$A55)-SUMPRODUCT((الطبخات!$B$2:$B$900=$A55)*الطبخات!$C$2:$C$900*COUNTIF('سجل الإنتاج'!$C$2:$C$501,الطبخات!$A$2:$A$900)),3))</f>
        <v>0</v>
      </c>
      <c r="D55" s="4">
        <f>IF($A55="","",ROUND(SUMIFS('الصرف المباشر'!$D$2:$D$501,'الصرف المباشر'!$C$2:$C$501,$A55)+SUMPRODUCT((الطبخات!$B$2:$B$900=$A55)*الطبخات!$C$2:$C$900*COUNTIF('سجل الإنتاج'!$C$2:$C$501,الطبخات!$A$2:$A$900)),3))</f>
        <v>0</v>
      </c>
      <c r="E55" s="5" t="str">
        <f t="shared" si="0"/>
        <v>✔ طبيعي</v>
      </c>
      <c r="F55" s="5" t="str">
        <f>IF(AND($A55&lt;&gt;"",$E55&lt;&gt;"✔ طبيعي"),SUMPRODUCT(('الرصيد الحالي'!$E$2:$E55&lt;&gt;"✔ طبيعي")*('الرصيد الحالي'!$E$2:$E55&lt;&gt;"")*('الرصيد الحالي'!$A$2:$A55&lt;&gt;"")),"")</f>
        <v/>
      </c>
    </row>
    <row r="56" spans="1:6" ht="24" customHeight="1">
      <c r="A56" s="3" t="str">
        <f>المواد!A56</f>
        <v>حمض الخل</v>
      </c>
      <c r="B56" s="5" t="str">
        <f>المواد!B56</f>
        <v>كغ</v>
      </c>
      <c r="C56" s="4">
        <f>IF($A56="","",ROUND(SUMIFS(الإدخالات!$D$2:$D$501,الإدخالات!$C$2:$C$501,$A56)+SUMIFS('تعديل الجرد'!$F$2:$F$501,'تعديل الجرد'!$C$2:$C$501,$A56)-SUMIFS('الصرف المباشر'!$D$2:$D$501,'الصرف المباشر'!$C$2:$C$501,$A56)-SUMPRODUCT((الطبخات!$B$2:$B$900=$A56)*الطبخات!$C$2:$C$900*COUNTIF('سجل الإنتاج'!$C$2:$C$501,الطبخات!$A$2:$A$900)),3))</f>
        <v>1</v>
      </c>
      <c r="D56" s="4">
        <f>IF($A56="","",ROUND(SUMIFS('الصرف المباشر'!$D$2:$D$501,'الصرف المباشر'!$C$2:$C$501,$A56)+SUMPRODUCT((الطبخات!$B$2:$B$900=$A56)*الطبخات!$C$2:$C$900*COUNTIF('سجل الإنتاج'!$C$2:$C$501,الطبخات!$A$2:$A$900)),3))</f>
        <v>0</v>
      </c>
      <c r="E56" s="5" t="str">
        <f t="shared" si="0"/>
        <v>✔ طبيعي</v>
      </c>
      <c r="F56" s="5" t="str">
        <f>IF(AND($A56&lt;&gt;"",$E56&lt;&gt;"✔ طبيعي"),SUMPRODUCT(('الرصيد الحالي'!$E$2:$E56&lt;&gt;"✔ طبيعي")*('الرصيد الحالي'!$E$2:$E56&lt;&gt;"")*('الرصيد الحالي'!$A$2:$A56&lt;&gt;"")),"")</f>
        <v/>
      </c>
    </row>
    <row r="57" spans="1:6" ht="24" customHeight="1">
      <c r="A57" s="3" t="str">
        <f>المواد!A57</f>
        <v>حليب التين</v>
      </c>
      <c r="B57" s="5" t="str">
        <f>المواد!B57</f>
        <v>كغ</v>
      </c>
      <c r="C57" s="4">
        <f>IF($A57="","",ROUND(SUMIFS(الإدخالات!$D$2:$D$501,الإدخالات!$C$2:$C$501,$A57)+SUMIFS('تعديل الجرد'!$F$2:$F$501,'تعديل الجرد'!$C$2:$C$501,$A57)-SUMIFS('الصرف المباشر'!$D$2:$D$501,'الصرف المباشر'!$C$2:$C$501,$A57)-SUMPRODUCT((الطبخات!$B$2:$B$900=$A57)*الطبخات!$C$2:$C$900*COUNTIF('سجل الإنتاج'!$C$2:$C$501,الطبخات!$A$2:$A$900)),3))</f>
        <v>0.83</v>
      </c>
      <c r="D57" s="4">
        <f>IF($A57="","",ROUND(SUMIFS('الصرف المباشر'!$D$2:$D$501,'الصرف المباشر'!$C$2:$C$501,$A57)+SUMPRODUCT((الطبخات!$B$2:$B$900=$A57)*الطبخات!$C$2:$C$900*COUNTIF('سجل الإنتاج'!$C$2:$C$501,الطبخات!$A$2:$A$900)),3))</f>
        <v>0</v>
      </c>
      <c r="E57" s="5" t="str">
        <f t="shared" si="0"/>
        <v>✔ طبيعي</v>
      </c>
      <c r="F57" s="5" t="str">
        <f>IF(AND($A57&lt;&gt;"",$E57&lt;&gt;"✔ طبيعي"),SUMPRODUCT(('الرصيد الحالي'!$E$2:$E57&lt;&gt;"✔ طبيعي")*('الرصيد الحالي'!$E$2:$E57&lt;&gt;"")*('الرصيد الحالي'!$A$2:$A57&lt;&gt;"")),"")</f>
        <v/>
      </c>
    </row>
    <row r="58" spans="1:6" ht="24" customHeight="1">
      <c r="A58" s="3" t="str">
        <f>المواد!A58</f>
        <v>طبخة الشامبو</v>
      </c>
      <c r="B58" s="5" t="str">
        <f>المواد!B58</f>
        <v>كغ</v>
      </c>
      <c r="C58" s="4">
        <f>IF($A58="","",ROUND(SUMIFS(الإدخالات!$D$2:$D$501,الإدخالات!$C$2:$C$501,$A58)+SUMIFS('تعديل الجرد'!$F$2:$F$501,'تعديل الجرد'!$C$2:$C$501,$A58)-SUMIFS('الصرف المباشر'!$D$2:$D$501,'الصرف المباشر'!$C$2:$C$501,$A58)-SUMPRODUCT((الطبخات!$B$2:$B$900=$A58)*الطبخات!$C$2:$C$900*COUNTIF('سجل الإنتاج'!$C$2:$C$501,الطبخات!$A$2:$A$900)),3))</f>
        <v>0</v>
      </c>
      <c r="D58" s="4">
        <f>IF($A58="","",ROUND(SUMIFS('الصرف المباشر'!$D$2:$D$501,'الصرف المباشر'!$C$2:$C$501,$A58)+SUMPRODUCT((الطبخات!$B$2:$B$900=$A58)*الطبخات!$C$2:$C$900*COUNTIF('سجل الإنتاج'!$C$2:$C$501,الطبخات!$A$2:$A$900)),3))</f>
        <v>0</v>
      </c>
      <c r="E58" s="5" t="str">
        <f t="shared" si="0"/>
        <v>✔ طبيعي</v>
      </c>
      <c r="F58" s="5" t="str">
        <f>IF(AND($A58&lt;&gt;"",$E58&lt;&gt;"✔ طبيعي"),SUMPRODUCT(('الرصيد الحالي'!$E$2:$E58&lt;&gt;"✔ طبيعي")*('الرصيد الحالي'!$E$2:$E58&lt;&gt;"")*('الرصيد الحالي'!$A$2:$A58&lt;&gt;"")),"")</f>
        <v/>
      </c>
    </row>
    <row r="59" spans="1:6" ht="24" customHeight="1">
      <c r="A59" s="3" t="str">
        <f>المواد!A59</f>
        <v>تكسبون</v>
      </c>
      <c r="B59" s="5" t="str">
        <f>المواد!B59</f>
        <v>كغ</v>
      </c>
      <c r="C59" s="4">
        <f>IF($A59="","",ROUND(SUMIFS(الإدخالات!$D$2:$D$501,الإدخالات!$C$2:$C$501,$A59)+SUMIFS('تعديل الجرد'!$F$2:$F$501,'تعديل الجرد'!$C$2:$C$501,$A59)-SUMIFS('الصرف المباشر'!$D$2:$D$501,'الصرف المباشر'!$C$2:$C$501,$A59)-SUMPRODUCT((الطبخات!$B$2:$B$900=$A59)*الطبخات!$C$2:$C$900*COUNTIF('سجل الإنتاج'!$C$2:$C$501,الطبخات!$A$2:$A$900)),3))</f>
        <v>368</v>
      </c>
      <c r="D59" s="4">
        <f>IF($A59="","",ROUND(SUMIFS('الصرف المباشر'!$D$2:$D$501,'الصرف المباشر'!$C$2:$C$501,$A59)+SUMPRODUCT((الطبخات!$B$2:$B$900=$A59)*الطبخات!$C$2:$C$900*COUNTIF('سجل الإنتاج'!$C$2:$C$501,الطبخات!$A$2:$A$900)),3))</f>
        <v>100</v>
      </c>
      <c r="E59" s="5" t="str">
        <f t="shared" si="0"/>
        <v>✔ طبيعي</v>
      </c>
      <c r="F59" s="5" t="str">
        <f>IF(AND($A59&lt;&gt;"",$E59&lt;&gt;"✔ طبيعي"),SUMPRODUCT(('الرصيد الحالي'!$E$2:$E59&lt;&gt;"✔ طبيعي")*('الرصيد الحالي'!$E$2:$E59&lt;&gt;"")*('الرصيد الحالي'!$A$2:$A59&lt;&gt;"")),"")</f>
        <v/>
      </c>
    </row>
    <row r="60" spans="1:6" ht="24" customHeight="1">
      <c r="A60" s="3" t="str">
        <f>المواد!A60</f>
        <v xml:space="preserve">بيدون 4 لتر </v>
      </c>
      <c r="B60" s="5" t="str">
        <f>المواد!B60</f>
        <v>قطعة</v>
      </c>
      <c r="C60" s="4">
        <f>IF($A60="","",ROUND(SUMIFS(الإدخالات!$D$2:$D$501,الإدخالات!$C$2:$C$501,$A60)+SUMIFS('تعديل الجرد'!$F$2:$F$501,'تعديل الجرد'!$C$2:$C$501,$A60)-SUMIFS('الصرف المباشر'!$D$2:$D$501,'الصرف المباشر'!$C$2:$C$501,$A60)-SUMPRODUCT((الطبخات!$B$2:$B$900=$A60)*الطبخات!$C$2:$C$900*COUNTIF('سجل الإنتاج'!$C$2:$C$501,الطبخات!$A$2:$A$900)),3))</f>
        <v>12</v>
      </c>
      <c r="D60" s="4">
        <f>IF($A60="","",ROUND(SUMIFS('الصرف المباشر'!$D$2:$D$501,'الصرف المباشر'!$C$2:$C$501,$A60)+SUMPRODUCT((الطبخات!$B$2:$B$900=$A60)*الطبخات!$C$2:$C$900*COUNTIF('سجل الإنتاج'!$C$2:$C$501,الطبخات!$A$2:$A$900)),3))</f>
        <v>0</v>
      </c>
      <c r="E60" s="5" t="str">
        <f t="shared" si="0"/>
        <v>✔ طبيعي</v>
      </c>
      <c r="F60" s="5" t="str">
        <f>IF(AND($A60&lt;&gt;"",$E60&lt;&gt;"✔ طبيعي"),SUMPRODUCT(('الرصيد الحالي'!$E$2:$E60&lt;&gt;"✔ طبيعي")*('الرصيد الحالي'!$E$2:$E60&lt;&gt;"")*('الرصيد الحالي'!$A$2:$A60&lt;&gt;"")),"")</f>
        <v/>
      </c>
    </row>
    <row r="61" spans="1:6" ht="24" customHeight="1">
      <c r="A61" s="3" t="str">
        <f>المواد!A61</f>
        <v>بيتائين</v>
      </c>
      <c r="B61" s="5" t="str">
        <f>المواد!B61</f>
        <v>كغ</v>
      </c>
      <c r="C61" s="4">
        <f>IF($A61="","",ROUND(SUMIFS(الإدخالات!$D$2:$D$501,الإدخالات!$C$2:$C$501,$A61)+SUMIFS('تعديل الجرد'!$F$2:$F$501,'تعديل الجرد'!$C$2:$C$501,$A61)-SUMIFS('الصرف المباشر'!$D$2:$D$501,'الصرف المباشر'!$C$2:$C$501,$A61)-SUMPRODUCT((الطبخات!$B$2:$B$900=$A61)*الطبخات!$C$2:$C$900*COUNTIF('سجل الإنتاج'!$C$2:$C$501,الطبخات!$A$2:$A$900)),3))</f>
        <v>257.5</v>
      </c>
      <c r="D61" s="4">
        <f>IF($A61="","",ROUND(SUMIFS('الصرف المباشر'!$D$2:$D$501,'الصرف المباشر'!$C$2:$C$501,$A61)+SUMPRODUCT((الطبخات!$B$2:$B$900=$A61)*الطبخات!$C$2:$C$900*COUNTIF('سجل الإنتاج'!$C$2:$C$501,الطبخات!$A$2:$A$900)),3))</f>
        <v>50</v>
      </c>
      <c r="E61" s="5" t="str">
        <f t="shared" si="0"/>
        <v>✔ طبيعي</v>
      </c>
      <c r="F61" s="5" t="str">
        <f>IF(AND($A61&lt;&gt;"",$E61&lt;&gt;"✔ طبيعي"),SUMPRODUCT(('الرصيد الحالي'!$E$2:$E61&lt;&gt;"✔ طبيعي")*('الرصيد الحالي'!$E$2:$E61&lt;&gt;"")*('الرصيد الحالي'!$A$2:$A61&lt;&gt;"")),"")</f>
        <v/>
      </c>
    </row>
    <row r="62" spans="1:6" ht="24" customHeight="1">
      <c r="A62" s="3" t="str">
        <f>المواد!A62</f>
        <v>بوتيل غليكول</v>
      </c>
      <c r="B62" s="5" t="str">
        <f>المواد!B62</f>
        <v>كغ</v>
      </c>
      <c r="C62" s="4">
        <f>IF($A62="","",ROUND(SUMIFS(الإدخالات!$D$2:$D$501,الإدخالات!$C$2:$C$501,$A62)+SUMIFS('تعديل الجرد'!$F$2:$F$501,'تعديل الجرد'!$C$2:$C$501,$A62)-SUMIFS('الصرف المباشر'!$D$2:$D$501,'الصرف المباشر'!$C$2:$C$501,$A62)-SUMPRODUCT((الطبخات!$B$2:$B$900=$A62)*الطبخات!$C$2:$C$900*COUNTIF('سجل الإنتاج'!$C$2:$C$501,الطبخات!$A$2:$A$900)),3))</f>
        <v>0</v>
      </c>
      <c r="D62" s="4">
        <f>IF($A62="","",ROUND(SUMIFS('الصرف المباشر'!$D$2:$D$501,'الصرف المباشر'!$C$2:$C$501,$A62)+SUMPRODUCT((الطبخات!$B$2:$B$900=$A62)*الطبخات!$C$2:$C$900*COUNTIF('سجل الإنتاج'!$C$2:$C$501,الطبخات!$A$2:$A$900)),3))</f>
        <v>0</v>
      </c>
      <c r="E62" s="5" t="str">
        <f t="shared" si="0"/>
        <v>✔ طبيعي</v>
      </c>
      <c r="F62" s="5" t="str">
        <f>IF(AND($A62&lt;&gt;"",$E62&lt;&gt;"✔ طبيعي"),SUMPRODUCT(('الرصيد الحالي'!$E$2:$E62&lt;&gt;"✔ طبيعي")*('الرصيد الحالي'!$E$2:$E62&lt;&gt;"")*('الرصيد الحالي'!$A$2:$A62&lt;&gt;"")),"")</f>
        <v/>
      </c>
    </row>
    <row r="63" spans="1:6" ht="24" customHeight="1">
      <c r="A63" s="3" t="str">
        <f>المواد!A63</f>
        <v>بلسم جامد</v>
      </c>
      <c r="B63" s="5" t="str">
        <f>المواد!B63</f>
        <v>كغ</v>
      </c>
      <c r="C63" s="4">
        <f>IF($A63="","",ROUND(SUMIFS(الإدخالات!$D$2:$D$501,الإدخالات!$C$2:$C$501,$A63)+SUMIFS('تعديل الجرد'!$F$2:$F$501,'تعديل الجرد'!$C$2:$C$501,$A63)-SUMIFS('الصرف المباشر'!$D$2:$D$501,'الصرف المباشر'!$C$2:$C$501,$A63)-SUMPRODUCT((الطبخات!$B$2:$B$900=$A63)*الطبخات!$C$2:$C$900*COUNTIF('سجل الإنتاج'!$C$2:$C$501,الطبخات!$A$2:$A$900)),3))</f>
        <v>3</v>
      </c>
      <c r="D63" s="4">
        <f>IF($A63="","",ROUND(SUMIFS('الصرف المباشر'!$D$2:$D$501,'الصرف المباشر'!$C$2:$C$501,$A63)+SUMPRODUCT((الطبخات!$B$2:$B$900=$A63)*الطبخات!$C$2:$C$900*COUNTIF('سجل الإنتاج'!$C$2:$C$501,الطبخات!$A$2:$A$900)),3))</f>
        <v>0</v>
      </c>
      <c r="E63" s="5" t="str">
        <f t="shared" si="0"/>
        <v>✔ طبيعي</v>
      </c>
      <c r="F63" s="5" t="str">
        <f>IF(AND($A63&lt;&gt;"",$E63&lt;&gt;"✔ طبيعي"),SUMPRODUCT(('الرصيد الحالي'!$E$2:$E63&lt;&gt;"✔ طبيعي")*('الرصيد الحالي'!$E$2:$E63&lt;&gt;"")*('الرصيد الحالي'!$A$2:$A63&lt;&gt;"")),"")</f>
        <v/>
      </c>
    </row>
    <row r="64" spans="1:6" ht="24" customHeight="1">
      <c r="A64" s="3" t="str">
        <f>المواد!A64</f>
        <v>بروبلين - فينب</v>
      </c>
      <c r="B64" s="5" t="str">
        <f>المواد!B64</f>
        <v>كغ</v>
      </c>
      <c r="C64" s="4">
        <f>IF($A64="","",ROUND(SUMIFS(الإدخالات!$D$2:$D$501,الإدخالات!$C$2:$C$501,$A64)+SUMIFS('تعديل الجرد'!$F$2:$F$501,'تعديل الجرد'!$C$2:$C$501,$A64)-SUMIFS('الصرف المباشر'!$D$2:$D$501,'الصرف المباشر'!$C$2:$C$501,$A64)-SUMPRODUCT((الطبخات!$B$2:$B$900=$A64)*الطبخات!$C$2:$C$900*COUNTIF('سجل الإنتاج'!$C$2:$C$501,الطبخات!$A$2:$A$900)),3))</f>
        <v>0</v>
      </c>
      <c r="D64" s="4">
        <f>IF($A64="","",ROUND(SUMIFS('الصرف المباشر'!$D$2:$D$501,'الصرف المباشر'!$C$2:$C$501,$A64)+SUMPRODUCT((الطبخات!$B$2:$B$900=$A64)*الطبخات!$C$2:$C$900*COUNTIF('سجل الإنتاج'!$C$2:$C$501,الطبخات!$A$2:$A$900)),3))</f>
        <v>0</v>
      </c>
      <c r="E64" s="5" t="str">
        <f t="shared" si="0"/>
        <v>✔ طبيعي</v>
      </c>
      <c r="F64" s="5" t="str">
        <f>IF(AND($A64&lt;&gt;"",$E64&lt;&gt;"✔ طبيعي"),SUMPRODUCT(('الرصيد الحالي'!$E$2:$E64&lt;&gt;"✔ طبيعي")*('الرصيد الحالي'!$E$2:$E64&lt;&gt;"")*('الرصيد الحالي'!$A$2:$A64&lt;&gt;"")),"")</f>
        <v/>
      </c>
    </row>
    <row r="65" spans="1:6" ht="24" customHeight="1">
      <c r="A65" s="3" t="str">
        <f>المواد!A65</f>
        <v>ايمولجين</v>
      </c>
      <c r="B65" s="5" t="str">
        <f>المواد!B65</f>
        <v>كغ</v>
      </c>
      <c r="C65" s="4">
        <f>IF($A65="","",ROUND(SUMIFS(الإدخالات!$D$2:$D$501,الإدخالات!$C$2:$C$501,$A65)+SUMIFS('تعديل الجرد'!$F$2:$F$501,'تعديل الجرد'!$C$2:$C$501,$A65)-SUMIFS('الصرف المباشر'!$D$2:$D$501,'الصرف المباشر'!$C$2:$C$501,$A65)-SUMPRODUCT((الطبخات!$B$2:$B$900=$A65)*الطبخات!$C$2:$C$900*COUNTIF('سجل الإنتاج'!$C$2:$C$501,الطبخات!$A$2:$A$900)),3))</f>
        <v>6</v>
      </c>
      <c r="D65" s="4">
        <f>IF($A65="","",ROUND(SUMIFS('الصرف المباشر'!$D$2:$D$501,'الصرف المباشر'!$C$2:$C$501,$A65)+SUMPRODUCT((الطبخات!$B$2:$B$900=$A65)*الطبخات!$C$2:$C$900*COUNTIF('سجل الإنتاج'!$C$2:$C$501,الطبخات!$A$2:$A$900)),3))</f>
        <v>0</v>
      </c>
      <c r="E65" s="5" t="str">
        <f t="shared" si="0"/>
        <v>✔ طبيعي</v>
      </c>
      <c r="F65" s="5" t="str">
        <f>IF(AND($A65&lt;&gt;"",$E65&lt;&gt;"✔ طبيعي"),SUMPRODUCT(('الرصيد الحالي'!$E$2:$E65&lt;&gt;"✔ طبيعي")*('الرصيد الحالي'!$E$2:$E65&lt;&gt;"")*('الرصيد الحالي'!$A$2:$A65&lt;&gt;"")),"")</f>
        <v/>
      </c>
    </row>
    <row r="66" spans="1:6" ht="24" customHeight="1">
      <c r="A66" s="3" t="str">
        <f>المواد!A66</f>
        <v>ايديتا</v>
      </c>
      <c r="B66" s="5" t="str">
        <f>المواد!B66</f>
        <v>كغ</v>
      </c>
      <c r="C66" s="4">
        <f>IF($A66="","",ROUND(SUMIFS(الإدخالات!$D$2:$D$501,الإدخالات!$C$2:$C$501,$A66)+SUMIFS('تعديل الجرد'!$F$2:$F$501,'تعديل الجرد'!$C$2:$C$501,$A66)-SUMIFS('الصرف المباشر'!$D$2:$D$501,'الصرف المباشر'!$C$2:$C$501,$A66)-SUMPRODUCT((الطبخات!$B$2:$B$900=$A66)*الطبخات!$C$2:$C$900*COUNTIF('سجل الإنتاج'!$C$2:$C$501,الطبخات!$A$2:$A$900)),3))</f>
        <v>16.5</v>
      </c>
      <c r="D66" s="4">
        <f>IF($A66="","",ROUND(SUMIFS('الصرف المباشر'!$D$2:$D$501,'الصرف المباشر'!$C$2:$C$501,$A66)+SUMPRODUCT((الطبخات!$B$2:$B$900=$A66)*الطبخات!$C$2:$C$900*COUNTIF('سجل الإنتاج'!$C$2:$C$501,الطبخات!$A$2:$A$900)),3))</f>
        <v>0</v>
      </c>
      <c r="E66" s="5" t="str">
        <f t="shared" ref="E66:E129" si="1">IF($A66="","",IF($C66&lt;0,"❌ رصيد سالب - يحتاج مراجعة","✔ طبيعي"))</f>
        <v>✔ طبيعي</v>
      </c>
      <c r="F66" s="5" t="str">
        <f>IF(AND($A66&lt;&gt;"",$E66&lt;&gt;"✔ طبيعي"),SUMPRODUCT(('الرصيد الحالي'!$E$2:$E66&lt;&gt;"✔ طبيعي")*('الرصيد الحالي'!$E$2:$E66&lt;&gt;"")*('الرصيد الحالي'!$A$2:$A66&lt;&gt;"")),"")</f>
        <v/>
      </c>
    </row>
    <row r="67" spans="1:6" ht="24" customHeight="1">
      <c r="A67" s="3" t="str">
        <f>المواد!A67</f>
        <v>اسيد - روح الملح - حمض كلور الماء</v>
      </c>
      <c r="B67" s="5" t="str">
        <f>المواد!B67</f>
        <v>كغ</v>
      </c>
      <c r="C67" s="4">
        <f>IF($A67="","",ROUND(SUMIFS(الإدخالات!$D$2:$D$501,الإدخالات!$C$2:$C$501,$A67)+SUMIFS('تعديل الجرد'!$F$2:$F$501,'تعديل الجرد'!$C$2:$C$501,$A67)-SUMIFS('الصرف المباشر'!$D$2:$D$501,'الصرف المباشر'!$C$2:$C$501,$A67)-SUMPRODUCT((الطبخات!$B$2:$B$900=$A67)*الطبخات!$C$2:$C$900*COUNTIF('سجل الإنتاج'!$C$2:$C$501,الطبخات!$A$2:$A$900)),3))</f>
        <v>57</v>
      </c>
      <c r="D67" s="4">
        <f>IF($A67="","",ROUND(SUMIFS('الصرف المباشر'!$D$2:$D$501,'الصرف المباشر'!$C$2:$C$501,$A67)+SUMPRODUCT((الطبخات!$B$2:$B$900=$A67)*الطبخات!$C$2:$C$900*COUNTIF('سجل الإنتاج'!$C$2:$C$501,الطبخات!$A$2:$A$900)),3))</f>
        <v>0</v>
      </c>
      <c r="E67" s="5" t="str">
        <f t="shared" si="1"/>
        <v>✔ طبيعي</v>
      </c>
      <c r="F67" s="5" t="str">
        <f>IF(AND($A67&lt;&gt;"",$E67&lt;&gt;"✔ طبيعي"),SUMPRODUCT(('الرصيد الحالي'!$E$2:$E67&lt;&gt;"✔ طبيعي")*('الرصيد الحالي'!$E$2:$E67&lt;&gt;"")*('الرصيد الحالي'!$A$2:$A67&lt;&gt;"")),"")</f>
        <v/>
      </c>
    </row>
    <row r="68" spans="1:6" ht="24" customHeight="1">
      <c r="A68" s="3" t="str">
        <f>المواد!A68</f>
        <v>اسيتون</v>
      </c>
      <c r="B68" s="5" t="str">
        <f>المواد!B68</f>
        <v>كغ</v>
      </c>
      <c r="C68" s="4">
        <f>IF($A68="","",ROUND(SUMIFS(الإدخالات!$D$2:$D$501,الإدخالات!$C$2:$C$501,$A68)+SUMIFS('تعديل الجرد'!$F$2:$F$501,'تعديل الجرد'!$C$2:$C$501,$A68)-SUMIFS('الصرف المباشر'!$D$2:$D$501,'الصرف المباشر'!$C$2:$C$501,$A68)-SUMPRODUCT((الطبخات!$B$2:$B$900=$A68)*الطبخات!$C$2:$C$900*COUNTIF('سجل الإنتاج'!$C$2:$C$501,الطبخات!$A$2:$A$900)),3))</f>
        <v>207.5</v>
      </c>
      <c r="D68" s="4">
        <f>IF($A68="","",ROUND(SUMIFS('الصرف المباشر'!$D$2:$D$501,'الصرف المباشر'!$C$2:$C$501,$A68)+SUMPRODUCT((الطبخات!$B$2:$B$900=$A68)*الطبخات!$C$2:$C$900*COUNTIF('سجل الإنتاج'!$C$2:$C$501,الطبخات!$A$2:$A$900)),3))</f>
        <v>0</v>
      </c>
      <c r="E68" s="5" t="str">
        <f t="shared" si="1"/>
        <v>✔ طبيعي</v>
      </c>
      <c r="F68" s="5" t="str">
        <f>IF(AND($A68&lt;&gt;"",$E68&lt;&gt;"✔ طبيعي"),SUMPRODUCT(('الرصيد الحالي'!$E$2:$E68&lt;&gt;"✔ طبيعي")*('الرصيد الحالي'!$E$2:$E68&lt;&gt;"")*('الرصيد الحالي'!$A$2:$A68&lt;&gt;"")),"")</f>
        <v/>
      </c>
    </row>
    <row r="69" spans="1:6" ht="24" customHeight="1">
      <c r="A69" s="3" t="str">
        <f>المواد!A69</f>
        <v>لصاقة طابعة</v>
      </c>
      <c r="B69" s="5" t="str">
        <f>المواد!B69</f>
        <v>كغ</v>
      </c>
      <c r="C69" s="4">
        <f>IF($A69="","",ROUND(SUMIFS(الإدخالات!$D$2:$D$501,الإدخالات!$C$2:$C$501,$A69)+SUMIFS('تعديل الجرد'!$F$2:$F$501,'تعديل الجرد'!$C$2:$C$501,$A69)-SUMIFS('الصرف المباشر'!$D$2:$D$501,'الصرف المباشر'!$C$2:$C$501,$A69)-SUMPRODUCT((الطبخات!$B$2:$B$900=$A69)*الطبخات!$C$2:$C$900*COUNTIF('سجل الإنتاج'!$C$2:$C$501,الطبخات!$A$2:$A$900)),3))</f>
        <v>0</v>
      </c>
      <c r="D69" s="4">
        <f>IF($A69="","",ROUND(SUMIFS('الصرف المباشر'!$D$2:$D$501,'الصرف المباشر'!$C$2:$C$501,$A69)+SUMPRODUCT((الطبخات!$B$2:$B$900=$A69)*الطبخات!$C$2:$C$900*COUNTIF('سجل الإنتاج'!$C$2:$C$501,الطبخات!$A$2:$A$900)),3))</f>
        <v>0</v>
      </c>
      <c r="E69" s="5" t="str">
        <f t="shared" si="1"/>
        <v>✔ طبيعي</v>
      </c>
      <c r="F69" s="5" t="str">
        <f>IF(AND($A69&lt;&gt;"",$E69&lt;&gt;"✔ طبيعي"),SUMPRODUCT(('الرصيد الحالي'!$E$2:$E69&lt;&gt;"✔ طبيعي")*('الرصيد الحالي'!$E$2:$E69&lt;&gt;"")*('الرصيد الحالي'!$A$2:$A69&lt;&gt;"")),"")</f>
        <v/>
      </c>
    </row>
    <row r="70" spans="1:6" ht="24" customHeight="1">
      <c r="A70" s="3" t="str">
        <f>المواد!A70</f>
        <v>كريك بلاستيك</v>
      </c>
      <c r="B70" s="5" t="str">
        <f>المواد!B70</f>
        <v>كغ</v>
      </c>
      <c r="C70" s="4">
        <f>IF($A70="","",ROUND(SUMIFS(الإدخالات!$D$2:$D$501,الإدخالات!$C$2:$C$501,$A70)+SUMIFS('تعديل الجرد'!$F$2:$F$501,'تعديل الجرد'!$C$2:$C$501,$A70)-SUMIFS('الصرف المباشر'!$D$2:$D$501,'الصرف المباشر'!$C$2:$C$501,$A70)-SUMPRODUCT((الطبخات!$B$2:$B$900=$A70)*الطبخات!$C$2:$C$900*COUNTIF('سجل الإنتاج'!$C$2:$C$501,الطبخات!$A$2:$A$900)),3))</f>
        <v>1</v>
      </c>
      <c r="D70" s="4">
        <f>IF($A70="","",ROUND(SUMIFS('الصرف المباشر'!$D$2:$D$501,'الصرف المباشر'!$C$2:$C$501,$A70)+SUMPRODUCT((الطبخات!$B$2:$B$900=$A70)*الطبخات!$C$2:$C$900*COUNTIF('سجل الإنتاج'!$C$2:$C$501,الطبخات!$A$2:$A$900)),3))</f>
        <v>0</v>
      </c>
      <c r="E70" s="5" t="str">
        <f t="shared" si="1"/>
        <v>✔ طبيعي</v>
      </c>
      <c r="F70" s="5" t="str">
        <f>IF(AND($A70&lt;&gt;"",$E70&lt;&gt;"✔ طبيعي"),SUMPRODUCT(('الرصيد الحالي'!$E$2:$E70&lt;&gt;"✔ طبيعي")*('الرصيد الحالي'!$E$2:$E70&lt;&gt;"")*('الرصيد الحالي'!$A$2:$A70&lt;&gt;"")),"")</f>
        <v/>
      </c>
    </row>
    <row r="71" spans="1:6" ht="24" customHeight="1">
      <c r="A71" s="3" t="str">
        <f>المواد!A71</f>
        <v>فازلين</v>
      </c>
      <c r="B71" s="5" t="str">
        <f>المواد!B71</f>
        <v>كغ</v>
      </c>
      <c r="C71" s="4">
        <f>IF($A71="","",ROUND(SUMIFS(الإدخالات!$D$2:$D$501,الإدخالات!$C$2:$C$501,$A71)+SUMIFS('تعديل الجرد'!$F$2:$F$501,'تعديل الجرد'!$C$2:$C$501,$A71)-SUMIFS('الصرف المباشر'!$D$2:$D$501,'الصرف المباشر'!$C$2:$C$501,$A71)-SUMPRODUCT((الطبخات!$B$2:$B$900=$A71)*الطبخات!$C$2:$C$900*COUNTIF('سجل الإنتاج'!$C$2:$C$501,الطبخات!$A$2:$A$900)),3))</f>
        <v>0</v>
      </c>
      <c r="D71" s="4">
        <f>IF($A71="","",ROUND(SUMIFS('الصرف المباشر'!$D$2:$D$501,'الصرف المباشر'!$C$2:$C$501,$A71)+SUMPRODUCT((الطبخات!$B$2:$B$900=$A71)*الطبخات!$C$2:$C$900*COUNTIF('سجل الإنتاج'!$C$2:$C$501,الطبخات!$A$2:$A$900)),3))</f>
        <v>0</v>
      </c>
      <c r="E71" s="5" t="str">
        <f t="shared" si="1"/>
        <v>✔ طبيعي</v>
      </c>
      <c r="F71" s="5" t="str">
        <f>IF(AND($A71&lt;&gt;"",$E71&lt;&gt;"✔ طبيعي"),SUMPRODUCT(('الرصيد الحالي'!$E$2:$E71&lt;&gt;"✔ طبيعي")*('الرصيد الحالي'!$E$2:$E71&lt;&gt;"")*('الرصيد الحالي'!$A$2:$A71&lt;&gt;"")),"")</f>
        <v/>
      </c>
    </row>
    <row r="72" spans="1:6" ht="24" customHeight="1">
      <c r="A72" s="3" t="str">
        <f>المواد!A72</f>
        <v xml:space="preserve">عبوات كلور + فلاش فارغة </v>
      </c>
      <c r="B72" s="5" t="str">
        <f>المواد!B72</f>
        <v>قطعة</v>
      </c>
      <c r="C72" s="4">
        <f>IF($A72="","",ROUND(SUMIFS(الإدخالات!$D$2:$D$501,الإدخالات!$C$2:$C$501,$A72)+SUMIFS('تعديل الجرد'!$F$2:$F$501,'تعديل الجرد'!$C$2:$C$501,$A72)-SUMIFS('الصرف المباشر'!$D$2:$D$501,'الصرف المباشر'!$C$2:$C$501,$A72)-SUMPRODUCT((الطبخات!$B$2:$B$900=$A72)*الطبخات!$C$2:$C$900*COUNTIF('سجل الإنتاج'!$C$2:$C$501,الطبخات!$A$2:$A$900)),3))</f>
        <v>19.829999999999998</v>
      </c>
      <c r="D72" s="4">
        <f>IF($A72="","",ROUND(SUMIFS('الصرف المباشر'!$D$2:$D$501,'الصرف المباشر'!$C$2:$C$501,$A72)+SUMPRODUCT((الطبخات!$B$2:$B$900=$A72)*الطبخات!$C$2:$C$900*COUNTIF('سجل الإنتاج'!$C$2:$C$501,الطبخات!$A$2:$A$900)),3))</f>
        <v>0</v>
      </c>
      <c r="E72" s="5" t="str">
        <f t="shared" si="1"/>
        <v>✔ طبيعي</v>
      </c>
      <c r="F72" s="5" t="str">
        <f>IF(AND($A72&lt;&gt;"",$E72&lt;&gt;"✔ طبيعي"),SUMPRODUCT(('الرصيد الحالي'!$E$2:$E72&lt;&gt;"✔ طبيعي")*('الرصيد الحالي'!$E$2:$E72&lt;&gt;"")*('الرصيد الحالي'!$A$2:$A72&lt;&gt;"")),"")</f>
        <v/>
      </c>
    </row>
    <row r="73" spans="1:6" ht="24" customHeight="1">
      <c r="A73" s="3" t="str">
        <f>المواد!A73</f>
        <v>عبوات شفافة 3 لتر</v>
      </c>
      <c r="B73" s="5" t="str">
        <f>المواد!B73</f>
        <v>قطعة</v>
      </c>
      <c r="C73" s="4">
        <f>IF($A73="","",ROUND(SUMIFS(الإدخالات!$D$2:$D$501,الإدخالات!$C$2:$C$501,$A73)+SUMIFS('تعديل الجرد'!$F$2:$F$501,'تعديل الجرد'!$C$2:$C$501,$A73)-SUMIFS('الصرف المباشر'!$D$2:$D$501,'الصرف المباشر'!$C$2:$C$501,$A73)-SUMPRODUCT((الطبخات!$B$2:$B$900=$A73)*الطبخات!$C$2:$C$900*COUNTIF('سجل الإنتاج'!$C$2:$C$501,الطبخات!$A$2:$A$900)),3))</f>
        <v>11.16</v>
      </c>
      <c r="D73" s="4">
        <f>IF($A73="","",ROUND(SUMIFS('الصرف المباشر'!$D$2:$D$501,'الصرف المباشر'!$C$2:$C$501,$A73)+SUMPRODUCT((الطبخات!$B$2:$B$900=$A73)*الطبخات!$C$2:$C$900*COUNTIF('سجل الإنتاج'!$C$2:$C$501,الطبخات!$A$2:$A$900)),3))</f>
        <v>0</v>
      </c>
      <c r="E73" s="5" t="str">
        <f t="shared" si="1"/>
        <v>✔ طبيعي</v>
      </c>
      <c r="F73" s="5" t="str">
        <f>IF(AND($A73&lt;&gt;"",$E73&lt;&gt;"✔ طبيعي"),SUMPRODUCT(('الرصيد الحالي'!$E$2:$E73&lt;&gt;"✔ طبيعي")*('الرصيد الحالي'!$E$2:$E73&lt;&gt;"")*('الرصيد الحالي'!$A$2:$A73&lt;&gt;"")),"")</f>
        <v/>
      </c>
    </row>
    <row r="74" spans="1:6" ht="24" customHeight="1">
      <c r="A74" s="3" t="str">
        <f>المواد!A74</f>
        <v>عبوات حليبي</v>
      </c>
      <c r="B74" s="5" t="str">
        <f>المواد!B74</f>
        <v>قطعة</v>
      </c>
      <c r="C74" s="4">
        <f>IF($A74="","",ROUND(SUMIFS(الإدخالات!$D$2:$D$501,الإدخالات!$C$2:$C$501,$A74)+SUMIFS('تعديل الجرد'!$F$2:$F$501,'تعديل الجرد'!$C$2:$C$501,$A74)-SUMIFS('الصرف المباشر'!$D$2:$D$501,'الصرف المباشر'!$C$2:$C$501,$A74)-SUMPRODUCT((الطبخات!$B$2:$B$900=$A74)*الطبخات!$C$2:$C$900*COUNTIF('سجل الإنتاج'!$C$2:$C$501,الطبخات!$A$2:$A$900)),3))</f>
        <v>93.75</v>
      </c>
      <c r="D74" s="4">
        <f>IF($A74="","",ROUND(SUMIFS('الصرف المباشر'!$D$2:$D$501,'الصرف المباشر'!$C$2:$C$501,$A74)+SUMPRODUCT((الطبخات!$B$2:$B$900=$A74)*الطبخات!$C$2:$C$900*COUNTIF('سجل الإنتاج'!$C$2:$C$501,الطبخات!$A$2:$A$900)),3))</f>
        <v>0</v>
      </c>
      <c r="E74" s="5" t="str">
        <f t="shared" si="1"/>
        <v>✔ طبيعي</v>
      </c>
      <c r="F74" s="5" t="str">
        <f>IF(AND($A74&lt;&gt;"",$E74&lt;&gt;"✔ طبيعي"),SUMPRODUCT(('الرصيد الحالي'!$E$2:$E74&lt;&gt;"✔ طبيعي")*('الرصيد الحالي'!$E$2:$E74&lt;&gt;"")*('الرصيد الحالي'!$A$2:$A74&lt;&gt;"")),"")</f>
        <v/>
      </c>
    </row>
    <row r="75" spans="1:6" ht="24" customHeight="1">
      <c r="A75" s="3" t="e">
        <f>المواد!#REF!</f>
        <v>#REF!</v>
      </c>
      <c r="B75" s="5" t="e">
        <f>المواد!#REF!</f>
        <v>#REF!</v>
      </c>
      <c r="C75" s="4" t="e">
        <f>IF($A75="","",ROUND(SUMIFS(الإدخالات!$D$2:$D$501,الإدخالات!$C$2:$C$501,$A75)+SUMIFS('تعديل الجرد'!$F$2:$F$501,'تعديل الجرد'!$C$2:$C$501,$A75)-SUMIFS('الصرف المباشر'!$D$2:$D$501,'الصرف المباشر'!$C$2:$C$501,$A75)-SUMPRODUCT((الطبخات!$B$2:$B$900=$A75)*الطبخات!$C$2:$C$900*COUNTIF('سجل الإنتاج'!$C$2:$C$501,الطبخات!$A$2:$A$900)),3))</f>
        <v>#REF!</v>
      </c>
      <c r="D75" s="4" t="e">
        <f>IF($A75="","",ROUND(SUMIFS('الصرف المباشر'!$D$2:$D$501,'الصرف المباشر'!$C$2:$C$501,$A75)+SUMPRODUCT((الطبخات!$B$2:$B$900=$A75)*الطبخات!$C$2:$C$900*COUNTIF('سجل الإنتاج'!$C$2:$C$501,الطبخات!$A$2:$A$900)),3))</f>
        <v>#REF!</v>
      </c>
      <c r="E75" s="5" t="e">
        <f t="shared" si="1"/>
        <v>#REF!</v>
      </c>
      <c r="F75" s="5" t="e">
        <f>IF(AND($A75&lt;&gt;"",$E75&lt;&gt;"✔ طبيعي"),SUMPRODUCT(('الرصيد الحالي'!$E$2:$E75&lt;&gt;"✔ طبيعي")*('الرصيد الحالي'!$E$2:$E75&lt;&gt;"")*('الرصيد الحالي'!$A$2:$A75&lt;&gt;"")),"")</f>
        <v>#REF!</v>
      </c>
    </row>
    <row r="76" spans="1:6" ht="24" customHeight="1">
      <c r="A76" s="3" t="str">
        <f>المواد!A75</f>
        <v>عطر عود</v>
      </c>
      <c r="B76" s="5" t="str">
        <f>المواد!B75</f>
        <v>كغ</v>
      </c>
      <c r="C76" s="4">
        <f>IF($A76="","",ROUND(SUMIFS(الإدخالات!$D$2:$D$501,الإدخالات!$C$2:$C$501,$A76)+SUMIFS('تعديل الجرد'!$F$2:$F$501,'تعديل الجرد'!$C$2:$C$501,$A76)-SUMIFS('الصرف المباشر'!$D$2:$D$501,'الصرف المباشر'!$C$2:$C$501,$A76)-SUMPRODUCT((الطبخات!$B$2:$B$900=$A76)*الطبخات!$C$2:$C$900*COUNTIF('سجل الإنتاج'!$C$2:$C$501,الطبخات!$A$2:$A$900)),3))</f>
        <v>0</v>
      </c>
      <c r="D76" s="4">
        <f>IF($A76="","",ROUND(SUMIFS('الصرف المباشر'!$D$2:$D$501,'الصرف المباشر'!$C$2:$C$501,$A76)+SUMPRODUCT((الطبخات!$B$2:$B$900=$A76)*الطبخات!$C$2:$C$900*COUNTIF('سجل الإنتاج'!$C$2:$C$501,الطبخات!$A$2:$A$900)),3))</f>
        <v>0</v>
      </c>
      <c r="E76" s="5" t="str">
        <f t="shared" si="1"/>
        <v>✔ طبيعي</v>
      </c>
      <c r="F76" s="5" t="str">
        <f>IF(AND($A76&lt;&gt;"",$E76&lt;&gt;"✔ طبيعي"),SUMPRODUCT(('الرصيد الحالي'!$E$2:$E76&lt;&gt;"✔ طبيعي")*('الرصيد الحالي'!$E$2:$E76&lt;&gt;"")*('الرصيد الحالي'!$A$2:$A76&lt;&gt;"")),"")</f>
        <v/>
      </c>
    </row>
    <row r="77" spans="1:6" ht="24" customHeight="1">
      <c r="A77" s="3" t="str">
        <f>المواد!A76</f>
        <v>بربولين غيلمول</v>
      </c>
      <c r="B77" s="5" t="str">
        <f>المواد!B76</f>
        <v>كغ</v>
      </c>
      <c r="C77" s="4">
        <f>IF($A77="","",ROUND(SUMIFS(الإدخالات!$D$2:$D$501,الإدخالات!$C$2:$C$501,$A77)+SUMIFS('تعديل الجرد'!$F$2:$F$501,'تعديل الجرد'!$C$2:$C$501,$A77)-SUMIFS('الصرف المباشر'!$D$2:$D$501,'الصرف المباشر'!$C$2:$C$501,$A77)-SUMPRODUCT((الطبخات!$B$2:$B$900=$A77)*الطبخات!$C$2:$C$900*COUNTIF('سجل الإنتاج'!$C$2:$C$501,الطبخات!$A$2:$A$900)),3))</f>
        <v>0</v>
      </c>
      <c r="D77" s="4">
        <f>IF($A77="","",ROUND(SUMIFS('الصرف المباشر'!$D$2:$D$501,'الصرف المباشر'!$C$2:$C$501,$A77)+SUMPRODUCT((الطبخات!$B$2:$B$900=$A77)*الطبخات!$C$2:$C$900*COUNTIF('سجل الإنتاج'!$C$2:$C$501,الطبخات!$A$2:$A$900)),3))</f>
        <v>0</v>
      </c>
      <c r="E77" s="5" t="str">
        <f t="shared" si="1"/>
        <v>✔ طبيعي</v>
      </c>
      <c r="F77" s="5" t="str">
        <f>IF(AND($A77&lt;&gt;"",$E77&lt;&gt;"✔ طبيعي"),SUMPRODUCT(('الرصيد الحالي'!$E$2:$E77&lt;&gt;"✔ طبيعي")*('الرصيد الحالي'!$E$2:$E77&lt;&gt;"")*('الرصيد الحالي'!$A$2:$A77&lt;&gt;"")),"")</f>
        <v/>
      </c>
    </row>
    <row r="78" spans="1:6" ht="24" customHeight="1">
      <c r="A78" s="3" t="str">
        <f>المواد!A77</f>
        <v>حبيبات ملونة</v>
      </c>
      <c r="B78" s="5" t="str">
        <f>المواد!B77</f>
        <v>كغ</v>
      </c>
      <c r="C78" s="4">
        <f>IF($A78="","",ROUND(SUMIFS(الإدخالات!$D$2:$D$501,الإدخالات!$C$2:$C$501,$A78)+SUMIFS('تعديل الجرد'!$F$2:$F$501,'تعديل الجرد'!$C$2:$C$501,$A78)-SUMIFS('الصرف المباشر'!$D$2:$D$501,'الصرف المباشر'!$C$2:$C$501,$A78)-SUMPRODUCT((الطبخات!$B$2:$B$900=$A78)*الطبخات!$C$2:$C$900*COUNTIF('سجل الإنتاج'!$C$2:$C$501,الطبخات!$A$2:$A$900)),3))</f>
        <v>0</v>
      </c>
      <c r="D78" s="4">
        <f>IF($A78="","",ROUND(SUMIFS('الصرف المباشر'!$D$2:$D$501,'الصرف المباشر'!$C$2:$C$501,$A78)+SUMPRODUCT((الطبخات!$B$2:$B$900=$A78)*الطبخات!$C$2:$C$900*COUNTIF('سجل الإنتاج'!$C$2:$C$501,الطبخات!$A$2:$A$900)),3))</f>
        <v>0</v>
      </c>
      <c r="E78" s="5" t="str">
        <f t="shared" si="1"/>
        <v>✔ طبيعي</v>
      </c>
      <c r="F78" s="5" t="str">
        <f>IF(AND($A78&lt;&gt;"",$E78&lt;&gt;"✔ طبيعي"),SUMPRODUCT(('الرصيد الحالي'!$E$2:$E78&lt;&gt;"✔ طبيعي")*('الرصيد الحالي'!$E$2:$E78&lt;&gt;"")*('الرصيد الحالي'!$A$2:$A78&lt;&gt;"")),"")</f>
        <v/>
      </c>
    </row>
    <row r="79" spans="1:6" ht="24" customHeight="1">
      <c r="A79" s="3" t="str">
        <f>المواد!A78</f>
        <v>غطا عبوة 3لتر</v>
      </c>
      <c r="B79" s="5" t="str">
        <f>المواد!B78</f>
        <v>قطعة</v>
      </c>
      <c r="C79" s="4">
        <f>IF($A79="","",ROUND(SUMIFS(الإدخالات!$D$2:$D$501,الإدخالات!$C$2:$C$501,$A79)+SUMIFS('تعديل الجرد'!$F$2:$F$501,'تعديل الجرد'!$C$2:$C$501,$A79)-SUMIFS('الصرف المباشر'!$D$2:$D$501,'الصرف المباشر'!$C$2:$C$501,$A79)-SUMPRODUCT((الطبخات!$B$2:$B$900=$A79)*الطبخات!$C$2:$C$900*COUNTIF('سجل الإنتاج'!$C$2:$C$501,الطبخات!$A$2:$A$900)),3))</f>
        <v>0</v>
      </c>
      <c r="D79" s="4">
        <f>IF($A79="","",ROUND(SUMIFS('الصرف المباشر'!$D$2:$D$501,'الصرف المباشر'!$C$2:$C$501,$A79)+SUMPRODUCT((الطبخات!$B$2:$B$900=$A79)*الطبخات!$C$2:$C$900*COUNTIF('سجل الإنتاج'!$C$2:$C$501,الطبخات!$A$2:$A$900)),3))</f>
        <v>0</v>
      </c>
      <c r="E79" s="5" t="str">
        <f t="shared" si="1"/>
        <v>✔ طبيعي</v>
      </c>
      <c r="F79" s="5" t="str">
        <f>IF(AND($A79&lt;&gt;"",$E79&lt;&gt;"✔ طبيعي"),SUMPRODUCT(('الرصيد الحالي'!$E$2:$E79&lt;&gt;"✔ طبيعي")*('الرصيد الحالي'!$E$2:$E79&lt;&gt;"")*('الرصيد الحالي'!$A$2:$A79&lt;&gt;"")),"")</f>
        <v/>
      </c>
    </row>
    <row r="80" spans="1:6" ht="24" customHeight="1">
      <c r="A80" s="3" t="str">
        <f>المواد!A79</f>
        <v>مياه مقطرة 4 لتر</v>
      </c>
      <c r="B80" s="5" t="str">
        <f>المواد!B79</f>
        <v>عبوة</v>
      </c>
      <c r="C80" s="4">
        <f>IF($A80="","",ROUND(SUMIFS(الإدخالات!$D$2:$D$501,الإدخالات!$C$2:$C$501,$A80)+SUMIFS('تعديل الجرد'!$F$2:$F$501,'تعديل الجرد'!$C$2:$C$501,$A80)-SUMIFS('الصرف المباشر'!$D$2:$D$501,'الصرف المباشر'!$C$2:$C$501,$A80)-SUMPRODUCT((الطبخات!$B$2:$B$900=$A80)*الطبخات!$C$2:$C$900*COUNTIF('سجل الإنتاج'!$C$2:$C$501,الطبخات!$A$2:$A$900)),3))</f>
        <v>0</v>
      </c>
      <c r="D80" s="4">
        <f>IF($A80="","",ROUND(SUMIFS('الصرف المباشر'!$D$2:$D$501,'الصرف المباشر'!$C$2:$C$501,$A80)+SUMPRODUCT((الطبخات!$B$2:$B$900=$A80)*الطبخات!$C$2:$C$900*COUNTIF('سجل الإنتاج'!$C$2:$C$501,الطبخات!$A$2:$A$900)),3))</f>
        <v>0</v>
      </c>
      <c r="E80" s="5" t="str">
        <f t="shared" si="1"/>
        <v>✔ طبيعي</v>
      </c>
      <c r="F80" s="5" t="str">
        <f>IF(AND($A80&lt;&gt;"",$E80&lt;&gt;"✔ طبيعي"),SUMPRODUCT(('الرصيد الحالي'!$E$2:$E80&lt;&gt;"✔ طبيعي")*('الرصيد الحالي'!$E$2:$E80&lt;&gt;"")*('الرصيد الحالي'!$A$2:$A80&lt;&gt;"")),"")</f>
        <v/>
      </c>
    </row>
    <row r="81" spans="1:6" ht="24" customHeight="1">
      <c r="A81" s="3" t="str">
        <f>المواد!A80</f>
        <v>مياه مقطرة 1 لتر</v>
      </c>
      <c r="B81" s="5" t="str">
        <f>المواد!B80</f>
        <v>عبوة</v>
      </c>
      <c r="C81" s="4">
        <f>IF($A81="","",ROUND(SUMIFS(الإدخالات!$D$2:$D$501,الإدخالات!$C$2:$C$501,$A81)+SUMIFS('تعديل الجرد'!$F$2:$F$501,'تعديل الجرد'!$C$2:$C$501,$A81)-SUMIFS('الصرف المباشر'!$D$2:$D$501,'الصرف المباشر'!$C$2:$C$501,$A81)-SUMPRODUCT((الطبخات!$B$2:$B$900=$A81)*الطبخات!$C$2:$C$900*COUNTIF('سجل الإنتاج'!$C$2:$C$501,الطبخات!$A$2:$A$900)),3))</f>
        <v>0</v>
      </c>
      <c r="D81" s="4">
        <f>IF($A81="","",ROUND(SUMIFS('الصرف المباشر'!$D$2:$D$501,'الصرف المباشر'!$C$2:$C$501,$A81)+SUMPRODUCT((الطبخات!$B$2:$B$900=$A81)*الطبخات!$C$2:$C$900*COUNTIF('سجل الإنتاج'!$C$2:$C$501,الطبخات!$A$2:$A$900)),3))</f>
        <v>0</v>
      </c>
      <c r="E81" s="5" t="str">
        <f t="shared" si="1"/>
        <v>✔ طبيعي</v>
      </c>
      <c r="F81" s="5" t="str">
        <f>IF(AND($A81&lt;&gt;"",$E81&lt;&gt;"✔ طبيعي"),SUMPRODUCT(('الرصيد الحالي'!$E$2:$E81&lt;&gt;"✔ طبيعي")*('الرصيد الحالي'!$E$2:$E81&lt;&gt;"")*('الرصيد الحالي'!$A$2:$A81&lt;&gt;"")),"")</f>
        <v/>
      </c>
    </row>
    <row r="82" spans="1:6" ht="24" customHeight="1">
      <c r="A82" s="3" t="str">
        <f>المواد!A81</f>
        <v>مهسهس زفته - معجون</v>
      </c>
      <c r="B82" s="5" t="str">
        <f>المواد!B81</f>
        <v>كغ</v>
      </c>
      <c r="C82" s="4">
        <f>IF($A82="","",ROUND(SUMIFS(الإدخالات!$D$2:$D$501,الإدخالات!$C$2:$C$501,$A82)+SUMIFS('تعديل الجرد'!$F$2:$F$501,'تعديل الجرد'!$C$2:$C$501,$A82)-SUMIFS('الصرف المباشر'!$D$2:$D$501,'الصرف المباشر'!$C$2:$C$501,$A82)-SUMPRODUCT((الطبخات!$B$2:$B$900=$A82)*الطبخات!$C$2:$C$900*COUNTIF('سجل الإنتاج'!$C$2:$C$501,الطبخات!$A$2:$A$900)),3))</f>
        <v>0</v>
      </c>
      <c r="D82" s="4">
        <f>IF($A82="","",ROUND(SUMIFS('الصرف المباشر'!$D$2:$D$501,'الصرف المباشر'!$C$2:$C$501,$A82)+SUMPRODUCT((الطبخات!$B$2:$B$900=$A82)*الطبخات!$C$2:$C$900*COUNTIF('سجل الإنتاج'!$C$2:$C$501,الطبخات!$A$2:$A$900)),3))</f>
        <v>0</v>
      </c>
      <c r="E82" s="5" t="str">
        <f t="shared" si="1"/>
        <v>✔ طبيعي</v>
      </c>
      <c r="F82" s="5" t="str">
        <f>IF(AND($A82&lt;&gt;"",$E82&lt;&gt;"✔ طبيعي"),SUMPRODUCT(('الرصيد الحالي'!$E$2:$E82&lt;&gt;"✔ طبيعي")*('الرصيد الحالي'!$E$2:$E82&lt;&gt;"")*('الرصيد الحالي'!$A$2:$A82&lt;&gt;"")),"")</f>
        <v/>
      </c>
    </row>
    <row r="83" spans="1:6" ht="24" customHeight="1">
      <c r="A83" s="3" t="str">
        <f>المواد!A82</f>
        <v>مماسح مكتب َ</v>
      </c>
      <c r="B83" s="5" t="str">
        <f>المواد!B82</f>
        <v>كيس</v>
      </c>
      <c r="C83" s="4">
        <f>IF($A83="","",ROUND(SUMIFS(الإدخالات!$D$2:$D$501,الإدخالات!$C$2:$C$501,$A83)+SUMIFS('تعديل الجرد'!$F$2:$F$501,'تعديل الجرد'!$C$2:$C$501,$A83)-SUMIFS('الصرف المباشر'!$D$2:$D$501,'الصرف المباشر'!$C$2:$C$501,$A83)-SUMPRODUCT((الطبخات!$B$2:$B$900=$A83)*الطبخات!$C$2:$C$900*COUNTIF('سجل الإنتاج'!$C$2:$C$501,الطبخات!$A$2:$A$900)),3))</f>
        <v>0</v>
      </c>
      <c r="D83" s="4">
        <f>IF($A83="","",ROUND(SUMIFS('الصرف المباشر'!$D$2:$D$501,'الصرف المباشر'!$C$2:$C$501,$A83)+SUMPRODUCT((الطبخات!$B$2:$B$900=$A83)*الطبخات!$C$2:$C$900*COUNTIF('سجل الإنتاج'!$C$2:$C$501,الطبخات!$A$2:$A$900)),3))</f>
        <v>0</v>
      </c>
      <c r="E83" s="5" t="str">
        <f t="shared" si="1"/>
        <v>✔ طبيعي</v>
      </c>
      <c r="F83" s="5" t="str">
        <f>IF(AND($A83&lt;&gt;"",$E83&lt;&gt;"✔ طبيعي"),SUMPRODUCT(('الرصيد الحالي'!$E$2:$E83&lt;&gt;"✔ طبيعي")*('الرصيد الحالي'!$E$2:$E83&lt;&gt;"")*('الرصيد الحالي'!$A$2:$A83&lt;&gt;"")),"")</f>
        <v/>
      </c>
    </row>
    <row r="84" spans="1:6" ht="24" customHeight="1">
      <c r="A84" s="3" t="str">
        <f>المواد!A83</f>
        <v>مماسح قماش عائلة فايبر</v>
      </c>
      <c r="B84" s="5" t="str">
        <f>المواد!B83</f>
        <v>كيس</v>
      </c>
      <c r="C84" s="4">
        <f>IF($A84="","",ROUND(SUMIFS(الإدخالات!$D$2:$D$501,الإدخالات!$C$2:$C$501,$A84)+SUMIFS('تعديل الجرد'!$F$2:$F$501,'تعديل الجرد'!$C$2:$C$501,$A84)-SUMIFS('الصرف المباشر'!$D$2:$D$501,'الصرف المباشر'!$C$2:$C$501,$A84)-SUMPRODUCT((الطبخات!$B$2:$B$900=$A84)*الطبخات!$C$2:$C$900*COUNTIF('سجل الإنتاج'!$C$2:$C$501,الطبخات!$A$2:$A$900)),3))</f>
        <v>0</v>
      </c>
      <c r="D84" s="4">
        <f>IF($A84="","",ROUND(SUMIFS('الصرف المباشر'!$D$2:$D$501,'الصرف المباشر'!$C$2:$C$501,$A84)+SUMPRODUCT((الطبخات!$B$2:$B$900=$A84)*الطبخات!$C$2:$C$900*COUNTIF('سجل الإنتاج'!$C$2:$C$501,الطبخات!$A$2:$A$900)),3))</f>
        <v>0</v>
      </c>
      <c r="E84" s="5" t="str">
        <f t="shared" si="1"/>
        <v>✔ طبيعي</v>
      </c>
      <c r="F84" s="5" t="str">
        <f>IF(AND($A84&lt;&gt;"",$E84&lt;&gt;"✔ طبيعي"),SUMPRODUCT(('الرصيد الحالي'!$E$2:$E84&lt;&gt;"✔ طبيعي")*('الرصيد الحالي'!$E$2:$E84&lt;&gt;"")*('الرصيد الحالي'!$A$2:$A84&lt;&gt;"")),"")</f>
        <v/>
      </c>
    </row>
    <row r="85" spans="1:6" ht="24" customHeight="1">
      <c r="A85" s="3" t="str">
        <f>المواد!A84</f>
        <v>مماسح بلور</v>
      </c>
      <c r="B85" s="5" t="str">
        <f>المواد!B84</f>
        <v>كيس</v>
      </c>
      <c r="C85" s="4">
        <f>IF($A85="","",ROUND(SUMIFS(الإدخالات!$D$2:$D$501,الإدخالات!$C$2:$C$501,$A85)+SUMIFS('تعديل الجرد'!$F$2:$F$501,'تعديل الجرد'!$C$2:$C$501,$A85)-SUMIFS('الصرف المباشر'!$D$2:$D$501,'الصرف المباشر'!$C$2:$C$501,$A85)-SUMPRODUCT((الطبخات!$B$2:$B$900=$A85)*الطبخات!$C$2:$C$900*COUNTIF('سجل الإنتاج'!$C$2:$C$501,الطبخات!$A$2:$A$900)),3))</f>
        <v>0</v>
      </c>
      <c r="D85" s="4">
        <f>IF($A85="","",ROUND(SUMIFS('الصرف المباشر'!$D$2:$D$501,'الصرف المباشر'!$C$2:$C$501,$A85)+SUMPRODUCT((الطبخات!$B$2:$B$900=$A85)*الطبخات!$C$2:$C$900*COUNTIF('سجل الإنتاج'!$C$2:$C$501,الطبخات!$A$2:$A$900)),3))</f>
        <v>0</v>
      </c>
      <c r="E85" s="5" t="str">
        <f t="shared" si="1"/>
        <v>✔ طبيعي</v>
      </c>
      <c r="F85" s="5" t="str">
        <f>IF(AND($A85&lt;&gt;"",$E85&lt;&gt;"✔ طبيعي"),SUMPRODUCT(('الرصيد الحالي'!$E$2:$E85&lt;&gt;"✔ طبيعي")*('الرصيد الحالي'!$E$2:$E85&lt;&gt;"")*('الرصيد الحالي'!$A$2:$A85&lt;&gt;"")),"")</f>
        <v/>
      </c>
    </row>
    <row r="86" spans="1:6" ht="24" customHeight="1">
      <c r="A86" s="3" t="str">
        <f>المواد!A85</f>
        <v>مماسح ارضيات</v>
      </c>
      <c r="B86" s="5" t="str">
        <f>المواد!B85</f>
        <v>كيس</v>
      </c>
      <c r="C86" s="4">
        <f>IF($A86="","",ROUND(SUMIFS(الإدخالات!$D$2:$D$501,الإدخالات!$C$2:$C$501,$A86)+SUMIFS('تعديل الجرد'!$F$2:$F$501,'تعديل الجرد'!$C$2:$C$501,$A86)-SUMIFS('الصرف المباشر'!$D$2:$D$501,'الصرف المباشر'!$C$2:$C$501,$A86)-SUMPRODUCT((الطبخات!$B$2:$B$900=$A86)*الطبخات!$C$2:$C$900*COUNTIF('سجل الإنتاج'!$C$2:$C$501,الطبخات!$A$2:$A$900)),3))</f>
        <v>0</v>
      </c>
      <c r="D86" s="4">
        <f>IF($A86="","",ROUND(SUMIFS('الصرف المباشر'!$D$2:$D$501,'الصرف المباشر'!$C$2:$C$501,$A86)+SUMPRODUCT((الطبخات!$B$2:$B$900=$A86)*الطبخات!$C$2:$C$900*COUNTIF('سجل الإنتاج'!$C$2:$C$501,الطبخات!$A$2:$A$900)),3))</f>
        <v>0</v>
      </c>
      <c r="E86" s="5" t="str">
        <f t="shared" si="1"/>
        <v>✔ طبيعي</v>
      </c>
      <c r="F86" s="5" t="str">
        <f>IF(AND($A86&lt;&gt;"",$E86&lt;&gt;"✔ طبيعي"),SUMPRODUCT(('الرصيد الحالي'!$E$2:$E86&lt;&gt;"✔ طبيعي")*('الرصيد الحالي'!$E$2:$E86&lt;&gt;"")*('الرصيد الحالي'!$A$2:$A86&lt;&gt;"")),"")</f>
        <v/>
      </c>
    </row>
    <row r="87" spans="1:6" ht="24" customHeight="1">
      <c r="A87" s="3" t="str">
        <f>المواد!A86</f>
        <v>ملمع سيارات 3 لتر</v>
      </c>
      <c r="B87" s="5" t="str">
        <f>المواد!B86</f>
        <v>عبوة</v>
      </c>
      <c r="C87" s="4">
        <f>IF($A87="","",ROUND(SUMIFS(الإدخالات!$D$2:$D$501,الإدخالات!$C$2:$C$501,$A87)+SUMIFS('تعديل الجرد'!$F$2:$F$501,'تعديل الجرد'!$C$2:$C$501,$A87)-SUMIFS('الصرف المباشر'!$D$2:$D$501,'الصرف المباشر'!$C$2:$C$501,$A87)-SUMPRODUCT((الطبخات!$B$2:$B$900=$A87)*الطبخات!$C$2:$C$900*COUNTIF('سجل الإنتاج'!$C$2:$C$501,الطبخات!$A$2:$A$900)),3))</f>
        <v>0</v>
      </c>
      <c r="D87" s="4">
        <f>IF($A87="","",ROUND(SUMIFS('الصرف المباشر'!$D$2:$D$501,'الصرف المباشر'!$C$2:$C$501,$A87)+SUMPRODUCT((الطبخات!$B$2:$B$900=$A87)*الطبخات!$C$2:$C$900*COUNTIF('سجل الإنتاج'!$C$2:$C$501,الطبخات!$A$2:$A$900)),3))</f>
        <v>0</v>
      </c>
      <c r="E87" s="5" t="str">
        <f t="shared" si="1"/>
        <v>✔ طبيعي</v>
      </c>
      <c r="F87" s="5" t="str">
        <f>IF(AND($A87&lt;&gt;"",$E87&lt;&gt;"✔ طبيعي"),SUMPRODUCT(('الرصيد الحالي'!$E$2:$E87&lt;&gt;"✔ طبيعي")*('الرصيد الحالي'!$E$2:$E87&lt;&gt;"")*('الرصيد الحالي'!$A$2:$A87&lt;&gt;"")),"")</f>
        <v/>
      </c>
    </row>
    <row r="88" spans="1:6" ht="24" customHeight="1">
      <c r="A88" s="3" t="str">
        <f>المواد!A87</f>
        <v>ملمع سيارات / فرط</v>
      </c>
      <c r="B88" s="5" t="str">
        <f>المواد!B87</f>
        <v>كغ</v>
      </c>
      <c r="C88" s="4">
        <f>IF($A88="","",ROUND(SUMIFS(الإدخالات!$D$2:$D$501,الإدخالات!$C$2:$C$501,$A88)+SUMIFS('تعديل الجرد'!$F$2:$F$501,'تعديل الجرد'!$C$2:$C$501,$A88)-SUMIFS('الصرف المباشر'!$D$2:$D$501,'الصرف المباشر'!$C$2:$C$501,$A88)-SUMPRODUCT((الطبخات!$B$2:$B$900=$A88)*الطبخات!$C$2:$C$900*COUNTIF('سجل الإنتاج'!$C$2:$C$501,الطبخات!$A$2:$A$900)),3))</f>
        <v>0</v>
      </c>
      <c r="D88" s="4">
        <f>IF($A88="","",ROUND(SUMIFS('الصرف المباشر'!$D$2:$D$501,'الصرف المباشر'!$C$2:$C$501,$A88)+SUMPRODUCT((الطبخات!$B$2:$B$900=$A88)*الطبخات!$C$2:$C$900*COUNTIF('سجل الإنتاج'!$C$2:$C$501,الطبخات!$A$2:$A$900)),3))</f>
        <v>0</v>
      </c>
      <c r="E88" s="5" t="str">
        <f t="shared" si="1"/>
        <v>✔ طبيعي</v>
      </c>
      <c r="F88" s="5" t="str">
        <f>IF(AND($A88&lt;&gt;"",$E88&lt;&gt;"✔ طبيعي"),SUMPRODUCT(('الرصيد الحالي'!$E$2:$E88&lt;&gt;"✔ طبيعي")*('الرصيد الحالي'!$E$2:$E88&lt;&gt;"")*('الرصيد الحالي'!$A$2:$A88&lt;&gt;"")),"")</f>
        <v/>
      </c>
    </row>
    <row r="89" spans="1:6" ht="24" customHeight="1">
      <c r="A89" s="3" t="str">
        <f>المواد!A88</f>
        <v>ملمع زجاج الكرمل</v>
      </c>
      <c r="B89" s="5" t="str">
        <f>المواد!B88</f>
        <v>عبوة</v>
      </c>
      <c r="C89" s="4">
        <f>IF($A89="","",ROUND(SUMIFS(الإدخالات!$D$2:$D$501,الإدخالات!$C$2:$C$501,$A89)+SUMIFS('تعديل الجرد'!$F$2:$F$501,'تعديل الجرد'!$C$2:$C$501,$A89)-SUMIFS('الصرف المباشر'!$D$2:$D$501,'الصرف المباشر'!$C$2:$C$501,$A89)-SUMPRODUCT((الطبخات!$B$2:$B$900=$A89)*الطبخات!$C$2:$C$900*COUNTIF('سجل الإنتاج'!$C$2:$C$501,الطبخات!$A$2:$A$900)),3))</f>
        <v>0</v>
      </c>
      <c r="D89" s="4">
        <f>IF($A89="","",ROUND(SUMIFS('الصرف المباشر'!$D$2:$D$501,'الصرف المباشر'!$C$2:$C$501,$A89)+SUMPRODUCT((الطبخات!$B$2:$B$900=$A89)*الطبخات!$C$2:$C$900*COUNTIF('سجل الإنتاج'!$C$2:$C$501,الطبخات!$A$2:$A$900)),3))</f>
        <v>0</v>
      </c>
      <c r="E89" s="5" t="str">
        <f t="shared" si="1"/>
        <v>✔ طبيعي</v>
      </c>
      <c r="F89" s="5" t="str">
        <f>IF(AND($A89&lt;&gt;"",$E89&lt;&gt;"✔ طبيعي"),SUMPRODUCT(('الرصيد الحالي'!$E$2:$E89&lt;&gt;"✔ طبيعي")*('الرصيد الحالي'!$E$2:$E89&lt;&gt;"")*('الرصيد الحالي'!$A$2:$A89&lt;&gt;"")),"")</f>
        <v/>
      </c>
    </row>
    <row r="90" spans="1:6" ht="24" customHeight="1">
      <c r="A90" s="3" t="str">
        <f>المواد!A89</f>
        <v>ملمع زجاج 3 لتر</v>
      </c>
      <c r="B90" s="5" t="str">
        <f>المواد!B89</f>
        <v>عبوة</v>
      </c>
      <c r="C90" s="4">
        <f>IF($A90="","",ROUND(SUMIFS(الإدخالات!$D$2:$D$501,الإدخالات!$C$2:$C$501,$A90)+SUMIFS('تعديل الجرد'!$F$2:$F$501,'تعديل الجرد'!$C$2:$C$501,$A90)-SUMIFS('الصرف المباشر'!$D$2:$D$501,'الصرف المباشر'!$C$2:$C$501,$A90)-SUMPRODUCT((الطبخات!$B$2:$B$900=$A90)*الطبخات!$C$2:$C$900*COUNTIF('سجل الإنتاج'!$C$2:$C$501,الطبخات!$A$2:$A$900)),3))</f>
        <v>0</v>
      </c>
      <c r="D90" s="4">
        <f>IF($A90="","",ROUND(SUMIFS('الصرف المباشر'!$D$2:$D$501,'الصرف المباشر'!$C$2:$C$501,$A90)+SUMPRODUCT((الطبخات!$B$2:$B$900=$A90)*الطبخات!$C$2:$C$900*COUNTIF('سجل الإنتاج'!$C$2:$C$501,الطبخات!$A$2:$A$900)),3))</f>
        <v>0</v>
      </c>
      <c r="E90" s="5" t="str">
        <f t="shared" si="1"/>
        <v>✔ طبيعي</v>
      </c>
      <c r="F90" s="5" t="str">
        <f>IF(AND($A90&lt;&gt;"",$E90&lt;&gt;"✔ طبيعي"),SUMPRODUCT(('الرصيد الحالي'!$E$2:$E90&lt;&gt;"✔ طبيعي")*('الرصيد الحالي'!$E$2:$E90&lt;&gt;"")*('الرصيد الحالي'!$A$2:$A90&lt;&gt;"")),"")</f>
        <v/>
      </c>
    </row>
    <row r="91" spans="1:6" ht="24" customHeight="1">
      <c r="A91" s="3" t="str">
        <f>المواد!A90</f>
        <v>ملمع زجاج / فرط</v>
      </c>
      <c r="B91" s="5" t="str">
        <f>المواد!B90</f>
        <v>كغ</v>
      </c>
      <c r="C91" s="4">
        <f>IF($A91="","",ROUND(SUMIFS(الإدخالات!$D$2:$D$501,الإدخالات!$C$2:$C$501,$A91)+SUMIFS('تعديل الجرد'!$F$2:$F$501,'تعديل الجرد'!$C$2:$C$501,$A91)-SUMIFS('الصرف المباشر'!$D$2:$D$501,'الصرف المباشر'!$C$2:$C$501,$A91)-SUMPRODUCT((الطبخات!$B$2:$B$900=$A91)*الطبخات!$C$2:$C$900*COUNTIF('سجل الإنتاج'!$C$2:$C$501,الطبخات!$A$2:$A$900)),3))</f>
        <v>0</v>
      </c>
      <c r="D91" s="4">
        <f>IF($A91="","",ROUND(SUMIFS('الصرف المباشر'!$D$2:$D$501,'الصرف المباشر'!$C$2:$C$501,$A91)+SUMPRODUCT((الطبخات!$B$2:$B$900=$A91)*الطبخات!$C$2:$C$900*COUNTIF('سجل الإنتاج'!$C$2:$C$501,الطبخات!$A$2:$A$900)),3))</f>
        <v>0</v>
      </c>
      <c r="E91" s="5" t="str">
        <f t="shared" si="1"/>
        <v>✔ طبيعي</v>
      </c>
      <c r="F91" s="5" t="str">
        <f>IF(AND($A91&lt;&gt;"",$E91&lt;&gt;"✔ طبيعي"),SUMPRODUCT(('الرصيد الحالي'!$E$2:$E91&lt;&gt;"✔ طبيعي")*('الرصيد الحالي'!$E$2:$E91&lt;&gt;"")*('الرصيد الحالي'!$A$2:$A91&lt;&gt;"")),"")</f>
        <v/>
      </c>
    </row>
    <row r="92" spans="1:6" ht="24" customHeight="1">
      <c r="A92" s="3" t="str">
        <f>المواد!A91</f>
        <v>ملطف جو ليتس</v>
      </c>
      <c r="B92" s="5" t="str">
        <f>المواد!B91</f>
        <v>عبوة</v>
      </c>
      <c r="C92" s="4">
        <f>IF($A92="","",ROUND(SUMIFS(الإدخالات!$D$2:$D$501,الإدخالات!$C$2:$C$501,$A92)+SUMIFS('تعديل الجرد'!$F$2:$F$501,'تعديل الجرد'!$C$2:$C$501,$A92)-SUMIFS('الصرف المباشر'!$D$2:$D$501,'الصرف المباشر'!$C$2:$C$501,$A92)-SUMPRODUCT((الطبخات!$B$2:$B$900=$A92)*الطبخات!$C$2:$C$900*COUNTIF('سجل الإنتاج'!$C$2:$C$501,الطبخات!$A$2:$A$900)),3))</f>
        <v>0</v>
      </c>
      <c r="D92" s="4">
        <f>IF($A92="","",ROUND(SUMIFS('الصرف المباشر'!$D$2:$D$501,'الصرف المباشر'!$C$2:$C$501,$A92)+SUMPRODUCT((الطبخات!$B$2:$B$900=$A92)*الطبخات!$C$2:$C$900*COUNTIF('سجل الإنتاج'!$C$2:$C$501,الطبخات!$A$2:$A$900)),3))</f>
        <v>0</v>
      </c>
      <c r="E92" s="5" t="str">
        <f t="shared" si="1"/>
        <v>✔ طبيعي</v>
      </c>
      <c r="F92" s="5" t="str">
        <f>IF(AND($A92&lt;&gt;"",$E92&lt;&gt;"✔ طبيعي"),SUMPRODUCT(('الرصيد الحالي'!$E$2:$E92&lt;&gt;"✔ طبيعي")*('الرصيد الحالي'!$E$2:$E92&lt;&gt;"")*('الرصيد الحالي'!$A$2:$A92&lt;&gt;"")),"")</f>
        <v/>
      </c>
    </row>
    <row r="93" spans="1:6" ht="24" customHeight="1">
      <c r="A93" s="3" t="str">
        <f>المواد!A92</f>
        <v>ملطف جو</v>
      </c>
      <c r="B93" s="5" t="str">
        <f>المواد!B92</f>
        <v>عبوة</v>
      </c>
      <c r="C93" s="4">
        <f>IF($A93="","",ROUND(SUMIFS(الإدخالات!$D$2:$D$501,الإدخالات!$C$2:$C$501,$A93)+SUMIFS('تعديل الجرد'!$F$2:$F$501,'تعديل الجرد'!$C$2:$C$501,$A93)-SUMIFS('الصرف المباشر'!$D$2:$D$501,'الصرف المباشر'!$C$2:$C$501,$A93)-SUMPRODUCT((الطبخات!$B$2:$B$900=$A93)*الطبخات!$C$2:$C$900*COUNTIF('سجل الإنتاج'!$C$2:$C$501,الطبخات!$A$2:$A$900)),3))</f>
        <v>0</v>
      </c>
      <c r="D93" s="4">
        <f>IF($A93="","",ROUND(SUMIFS('الصرف المباشر'!$D$2:$D$501,'الصرف المباشر'!$C$2:$C$501,$A93)+SUMPRODUCT((الطبخات!$B$2:$B$900=$A93)*الطبخات!$C$2:$C$900*COUNTIF('سجل الإنتاج'!$C$2:$C$501,الطبخات!$A$2:$A$900)),3))</f>
        <v>0</v>
      </c>
      <c r="E93" s="5" t="str">
        <f t="shared" si="1"/>
        <v>✔ طبيعي</v>
      </c>
      <c r="F93" s="5" t="str">
        <f>IF(AND($A93&lt;&gt;"",$E93&lt;&gt;"✔ طبيعي"),SUMPRODUCT(('الرصيد الحالي'!$E$2:$E93&lt;&gt;"✔ طبيعي")*('الرصيد الحالي'!$E$2:$E93&lt;&gt;"")*('الرصيد الحالي'!$A$2:$A93&lt;&gt;"")),"")</f>
        <v/>
      </c>
    </row>
    <row r="94" spans="1:6" ht="24" customHeight="1">
      <c r="A94" s="3" t="str">
        <f>المواد!A93</f>
        <v xml:space="preserve">مكانس ناعمة كثيفة </v>
      </c>
      <c r="B94" s="5" t="str">
        <f>المواد!B93</f>
        <v>قطعة</v>
      </c>
      <c r="C94" s="4">
        <f>IF($A94="","",ROUND(SUMIFS(الإدخالات!$D$2:$D$501,الإدخالات!$C$2:$C$501,$A94)+SUMIFS('تعديل الجرد'!$F$2:$F$501,'تعديل الجرد'!$C$2:$C$501,$A94)-SUMIFS('الصرف المباشر'!$D$2:$D$501,'الصرف المباشر'!$C$2:$C$501,$A94)-SUMPRODUCT((الطبخات!$B$2:$B$900=$A94)*الطبخات!$C$2:$C$900*COUNTIF('سجل الإنتاج'!$C$2:$C$501,الطبخات!$A$2:$A$900)),3))</f>
        <v>0</v>
      </c>
      <c r="D94" s="4">
        <f>IF($A94="","",ROUND(SUMIFS('الصرف المباشر'!$D$2:$D$501,'الصرف المباشر'!$C$2:$C$501,$A94)+SUMPRODUCT((الطبخات!$B$2:$B$900=$A94)*الطبخات!$C$2:$C$900*COUNTIF('سجل الإنتاج'!$C$2:$C$501,الطبخات!$A$2:$A$900)),3))</f>
        <v>0</v>
      </c>
      <c r="E94" s="5" t="str">
        <f t="shared" si="1"/>
        <v>✔ طبيعي</v>
      </c>
      <c r="F94" s="5" t="str">
        <f>IF(AND($A94&lt;&gt;"",$E94&lt;&gt;"✔ طبيعي"),SUMPRODUCT(('الرصيد الحالي'!$E$2:$E94&lt;&gt;"✔ طبيعي")*('الرصيد الحالي'!$E$2:$E94&lt;&gt;"")*('الرصيد الحالي'!$A$2:$A94&lt;&gt;"")),"")</f>
        <v/>
      </c>
    </row>
    <row r="95" spans="1:6" ht="24" customHeight="1">
      <c r="A95" s="3" t="str">
        <f>المواد!A94</f>
        <v xml:space="preserve">مكانس خشنة </v>
      </c>
      <c r="B95" s="5" t="str">
        <f>المواد!B94</f>
        <v>قطعة</v>
      </c>
      <c r="C95" s="4">
        <f>IF($A95="","",ROUND(SUMIFS(الإدخالات!$D$2:$D$501,الإدخالات!$C$2:$C$501,$A95)+SUMIFS('تعديل الجرد'!$F$2:$F$501,'تعديل الجرد'!$C$2:$C$501,$A95)-SUMIFS('الصرف المباشر'!$D$2:$D$501,'الصرف المباشر'!$C$2:$C$501,$A95)-SUMPRODUCT((الطبخات!$B$2:$B$900=$A95)*الطبخات!$C$2:$C$900*COUNTIF('سجل الإنتاج'!$C$2:$C$501,الطبخات!$A$2:$A$900)),3))</f>
        <v>0</v>
      </c>
      <c r="D95" s="4">
        <f>IF($A95="","",ROUND(SUMIFS('الصرف المباشر'!$D$2:$D$501,'الصرف المباشر'!$C$2:$C$501,$A95)+SUMPRODUCT((الطبخات!$B$2:$B$900=$A95)*الطبخات!$C$2:$C$900*COUNTIF('سجل الإنتاج'!$C$2:$C$501,الطبخات!$A$2:$A$900)),3))</f>
        <v>0</v>
      </c>
      <c r="E95" s="5" t="str">
        <f t="shared" si="1"/>
        <v>✔ طبيعي</v>
      </c>
      <c r="F95" s="5" t="str">
        <f>IF(AND($A95&lt;&gt;"",$E95&lt;&gt;"✔ طبيعي"),SUMPRODUCT(('الرصيد الحالي'!$E$2:$E95&lt;&gt;"✔ طبيعي")*('الرصيد الحالي'!$E$2:$E95&lt;&gt;"")*('الرصيد الحالي'!$A$2:$A95&lt;&gt;"")),"")</f>
        <v/>
      </c>
    </row>
    <row r="96" spans="1:6" ht="24" customHeight="1">
      <c r="A96" s="3" t="str">
        <f>المواد!A95</f>
        <v>معطر كرمل .</v>
      </c>
      <c r="B96" s="5" t="str">
        <f>المواد!B95</f>
        <v>عبوة</v>
      </c>
      <c r="C96" s="4">
        <f>IF($A96="","",ROUND(SUMIFS(الإدخالات!$D$2:$D$501,الإدخالات!$C$2:$C$501,$A96)+SUMIFS('تعديل الجرد'!$F$2:$F$501,'تعديل الجرد'!$C$2:$C$501,$A96)-SUMIFS('الصرف المباشر'!$D$2:$D$501,'الصرف المباشر'!$C$2:$C$501,$A96)-SUMPRODUCT((الطبخات!$B$2:$B$900=$A96)*الطبخات!$C$2:$C$900*COUNTIF('سجل الإنتاج'!$C$2:$C$501,الطبخات!$A$2:$A$900)),3))</f>
        <v>0</v>
      </c>
      <c r="D96" s="4">
        <f>IF($A96="","",ROUND(SUMIFS('الصرف المباشر'!$D$2:$D$501,'الصرف المباشر'!$C$2:$C$501,$A96)+SUMPRODUCT((الطبخات!$B$2:$B$900=$A96)*الطبخات!$C$2:$C$900*COUNTIF('سجل الإنتاج'!$C$2:$C$501,الطبخات!$A$2:$A$900)),3))</f>
        <v>0</v>
      </c>
      <c r="E96" s="5" t="str">
        <f t="shared" si="1"/>
        <v>✔ طبيعي</v>
      </c>
      <c r="F96" s="5" t="str">
        <f>IF(AND($A96&lt;&gt;"",$E96&lt;&gt;"✔ طبيعي"),SUMPRODUCT(('الرصيد الحالي'!$E$2:$E96&lt;&gt;"✔ طبيعي")*('الرصيد الحالي'!$E$2:$E96&lt;&gt;"")*('الرصيد الحالي'!$A$2:$A96&lt;&gt;"")),"")</f>
        <v/>
      </c>
    </row>
    <row r="97" spans="1:6" ht="24" customHeight="1">
      <c r="A97" s="3" t="str">
        <f>المواد!A96</f>
        <v>معطر عافية</v>
      </c>
      <c r="B97" s="5" t="str">
        <f>المواد!B96</f>
        <v>عبوة</v>
      </c>
      <c r="C97" s="4">
        <f>IF($A97="","",ROUND(SUMIFS(الإدخالات!$D$2:$D$501,الإدخالات!$C$2:$C$501,$A97)+SUMIFS('تعديل الجرد'!$F$2:$F$501,'تعديل الجرد'!$C$2:$C$501,$A97)-SUMIFS('الصرف المباشر'!$D$2:$D$501,'الصرف المباشر'!$C$2:$C$501,$A97)-SUMPRODUCT((الطبخات!$B$2:$B$900=$A97)*الطبخات!$C$2:$C$900*COUNTIF('سجل الإنتاج'!$C$2:$C$501,الطبخات!$A$2:$A$900)),3))</f>
        <v>0</v>
      </c>
      <c r="D97" s="4">
        <f>IF($A97="","",ROUND(SUMIFS('الصرف المباشر'!$D$2:$D$501,'الصرف المباشر'!$C$2:$C$501,$A97)+SUMPRODUCT((الطبخات!$B$2:$B$900=$A97)*الطبخات!$C$2:$C$900*COUNTIF('سجل الإنتاج'!$C$2:$C$501,الطبخات!$A$2:$A$900)),3))</f>
        <v>0</v>
      </c>
      <c r="E97" s="5" t="str">
        <f t="shared" si="1"/>
        <v>✔ طبيعي</v>
      </c>
      <c r="F97" s="5" t="str">
        <f>IF(AND($A97&lt;&gt;"",$E97&lt;&gt;"✔ طبيعي"),SUMPRODUCT(('الرصيد الحالي'!$E$2:$E97&lt;&gt;"✔ طبيعي")*('الرصيد الحالي'!$E$2:$E97&lt;&gt;"")*('الرصيد الحالي'!$A$2:$A97&lt;&gt;"")),"")</f>
        <v/>
      </c>
    </row>
    <row r="98" spans="1:6" ht="24" customHeight="1">
      <c r="A98" s="3" t="str">
        <f>المواد!A97</f>
        <v xml:space="preserve">معطر super / فرط </v>
      </c>
      <c r="B98" s="5" t="str">
        <f>المواد!B97</f>
        <v>كغ</v>
      </c>
      <c r="C98" s="4">
        <f>IF($A98="","",ROUND(SUMIFS(الإدخالات!$D$2:$D$501,الإدخالات!$C$2:$C$501,$A98)+SUMIFS('تعديل الجرد'!$F$2:$F$501,'تعديل الجرد'!$C$2:$C$501,$A98)-SUMIFS('الصرف المباشر'!$D$2:$D$501,'الصرف المباشر'!$C$2:$C$501,$A98)-SUMPRODUCT((الطبخات!$B$2:$B$900=$A98)*الطبخات!$C$2:$C$900*COUNTIF('سجل الإنتاج'!$C$2:$C$501,الطبخات!$A$2:$A$900)),3))</f>
        <v>0</v>
      </c>
      <c r="D98" s="4">
        <f>IF($A98="","",ROUND(SUMIFS('الصرف المباشر'!$D$2:$D$501,'الصرف المباشر'!$C$2:$C$501,$A98)+SUMPRODUCT((الطبخات!$B$2:$B$900=$A98)*الطبخات!$C$2:$C$900*COUNTIF('سجل الإنتاج'!$C$2:$C$501,الطبخات!$A$2:$A$900)),3))</f>
        <v>0</v>
      </c>
      <c r="E98" s="5" t="str">
        <f t="shared" si="1"/>
        <v>✔ طبيعي</v>
      </c>
      <c r="F98" s="5" t="str">
        <f>IF(AND($A98&lt;&gt;"",$E98&lt;&gt;"✔ طبيعي"),SUMPRODUCT(('الرصيد الحالي'!$E$2:$E98&lt;&gt;"✔ طبيعي")*('الرصيد الحالي'!$E$2:$E98&lt;&gt;"")*('الرصيد الحالي'!$A$2:$A98&lt;&gt;"")),"")</f>
        <v/>
      </c>
    </row>
    <row r="99" spans="1:6" ht="24" customHeight="1">
      <c r="A99" s="3" t="str">
        <f>المواد!A98</f>
        <v>معطر super / عبوة 3 لتر</v>
      </c>
      <c r="B99" s="5" t="str">
        <f>المواد!B98</f>
        <v>عبوة</v>
      </c>
      <c r="C99" s="4">
        <f>IF($A99="","",ROUND(SUMIFS(الإدخالات!$D$2:$D$501,الإدخالات!$C$2:$C$501,$A99)+SUMIFS('تعديل الجرد'!$F$2:$F$501,'تعديل الجرد'!$C$2:$C$501,$A99)-SUMIFS('الصرف المباشر'!$D$2:$D$501,'الصرف المباشر'!$C$2:$C$501,$A99)-SUMPRODUCT((الطبخات!$B$2:$B$900=$A99)*الطبخات!$C$2:$C$900*COUNTIF('سجل الإنتاج'!$C$2:$C$501,الطبخات!$A$2:$A$900)),3))</f>
        <v>0</v>
      </c>
      <c r="D99" s="4">
        <f>IF($A99="","",ROUND(SUMIFS('الصرف المباشر'!$D$2:$D$501,'الصرف المباشر'!$C$2:$C$501,$A99)+SUMPRODUCT((الطبخات!$B$2:$B$900=$A99)*الطبخات!$C$2:$C$900*COUNTIF('سجل الإنتاج'!$C$2:$C$501,الطبخات!$A$2:$A$900)),3))</f>
        <v>0</v>
      </c>
      <c r="E99" s="5" t="str">
        <f t="shared" si="1"/>
        <v>✔ طبيعي</v>
      </c>
      <c r="F99" s="5" t="str">
        <f>IF(AND($A99&lt;&gt;"",$E99&lt;&gt;"✔ طبيعي"),SUMPRODUCT(('الرصيد الحالي'!$E$2:$E99&lt;&gt;"✔ طبيعي")*('الرصيد الحالي'!$E$2:$E99&lt;&gt;"")*('الرصيد الحالي'!$A$2:$A99&lt;&gt;"")),"")</f>
        <v/>
      </c>
    </row>
    <row r="100" spans="1:6" ht="24" customHeight="1">
      <c r="A100" s="3" t="str">
        <f>المواد!A99</f>
        <v xml:space="preserve">مساحات / نشافات </v>
      </c>
      <c r="B100" s="5" t="str">
        <f>المواد!B99</f>
        <v>قطعة</v>
      </c>
      <c r="C100" s="4">
        <f>IF($A100="","",ROUND(SUMIFS(الإدخالات!$D$2:$D$501,الإدخالات!$C$2:$C$501,$A100)+SUMIFS('تعديل الجرد'!$F$2:$F$501,'تعديل الجرد'!$C$2:$C$501,$A100)-SUMIFS('الصرف المباشر'!$D$2:$D$501,'الصرف المباشر'!$C$2:$C$501,$A100)-SUMPRODUCT((الطبخات!$B$2:$B$900=$A100)*الطبخات!$C$2:$C$900*COUNTIF('سجل الإنتاج'!$C$2:$C$501,الطبخات!$A$2:$A$900)),3))</f>
        <v>0</v>
      </c>
      <c r="D100" s="4">
        <f>IF($A100="","",ROUND(SUMIFS('الصرف المباشر'!$D$2:$D$501,'الصرف المباشر'!$C$2:$C$501,$A100)+SUMPRODUCT((الطبخات!$B$2:$B$900=$A100)*الطبخات!$C$2:$C$900*COUNTIF('سجل الإنتاج'!$C$2:$C$501,الطبخات!$A$2:$A$900)),3))</f>
        <v>0</v>
      </c>
      <c r="E100" s="5" t="str">
        <f t="shared" si="1"/>
        <v>✔ طبيعي</v>
      </c>
      <c r="F100" s="5" t="str">
        <f>IF(AND($A100&lt;&gt;"",$E100&lt;&gt;"✔ طبيعي"),SUMPRODUCT(('الرصيد الحالي'!$E$2:$E100&lt;&gt;"✔ طبيعي")*('الرصيد الحالي'!$E$2:$E100&lt;&gt;"")*('الرصيد الحالي'!$A$2:$A100&lt;&gt;"")),"")</f>
        <v/>
      </c>
    </row>
    <row r="101" spans="1:6" ht="24" customHeight="1">
      <c r="A101" s="3" t="str">
        <f>المواد!A100</f>
        <v>محارم مكتب</v>
      </c>
      <c r="B101" s="5" t="str">
        <f>المواد!B100</f>
        <v>قطعة</v>
      </c>
      <c r="C101" s="4">
        <f>IF($A101="","",ROUND(SUMIFS(الإدخالات!$D$2:$D$501,الإدخالات!$C$2:$C$501,$A101)+SUMIFS('تعديل الجرد'!$F$2:$F$501,'تعديل الجرد'!$C$2:$C$501,$A101)-SUMIFS('الصرف المباشر'!$D$2:$D$501,'الصرف المباشر'!$C$2:$C$501,$A101)-SUMPRODUCT((الطبخات!$B$2:$B$900=$A101)*الطبخات!$C$2:$C$900*COUNTIF('سجل الإنتاج'!$C$2:$C$501,الطبخات!$A$2:$A$900)),3))</f>
        <v>0</v>
      </c>
      <c r="D101" s="4">
        <f>IF($A101="","",ROUND(SUMIFS('الصرف المباشر'!$D$2:$D$501,'الصرف المباشر'!$C$2:$C$501,$A101)+SUMPRODUCT((الطبخات!$B$2:$B$900=$A101)*الطبخات!$C$2:$C$900*COUNTIF('سجل الإنتاج'!$C$2:$C$501,الطبخات!$A$2:$A$900)),3))</f>
        <v>0</v>
      </c>
      <c r="E101" s="5" t="str">
        <f t="shared" si="1"/>
        <v>✔ طبيعي</v>
      </c>
      <c r="F101" s="5" t="str">
        <f>IF(AND($A101&lt;&gt;"",$E101&lt;&gt;"✔ طبيعي"),SUMPRODUCT(('الرصيد الحالي'!$E$2:$E101&lt;&gt;"✔ طبيعي")*('الرصيد الحالي'!$E$2:$E101&lt;&gt;"")*('الرصيد الحالي'!$A$2:$A101&lt;&gt;"")),"")</f>
        <v/>
      </c>
    </row>
    <row r="102" spans="1:6" ht="24" customHeight="1">
      <c r="A102" s="3" t="str">
        <f>المواد!A101</f>
        <v>محارم تواليت</v>
      </c>
      <c r="B102" s="5" t="str">
        <f>المواد!B101</f>
        <v>قطعة</v>
      </c>
      <c r="C102" s="4">
        <f>IF($A102="","",ROUND(SUMIFS(الإدخالات!$D$2:$D$501,الإدخالات!$C$2:$C$501,$A102)+SUMIFS('تعديل الجرد'!$F$2:$F$501,'تعديل الجرد'!$C$2:$C$501,$A102)-SUMIFS('الصرف المباشر'!$D$2:$D$501,'الصرف المباشر'!$C$2:$C$501,$A102)-SUMPRODUCT((الطبخات!$B$2:$B$900=$A102)*الطبخات!$C$2:$C$900*COUNTIF('سجل الإنتاج'!$C$2:$C$501,الطبخات!$A$2:$A$900)),3))</f>
        <v>0</v>
      </c>
      <c r="D102" s="4">
        <f>IF($A102="","",ROUND(SUMIFS('الصرف المباشر'!$D$2:$D$501,'الصرف المباشر'!$C$2:$C$501,$A102)+SUMPRODUCT((الطبخات!$B$2:$B$900=$A102)*الطبخات!$C$2:$C$900*COUNTIF('سجل الإنتاج'!$C$2:$C$501,الطبخات!$A$2:$A$900)),3))</f>
        <v>0</v>
      </c>
      <c r="E102" s="5" t="str">
        <f t="shared" si="1"/>
        <v>✔ طبيعي</v>
      </c>
      <c r="F102" s="5" t="str">
        <f>IF(AND($A102&lt;&gt;"",$E102&lt;&gt;"✔ طبيعي"),SUMPRODUCT(('الرصيد الحالي'!$E$2:$E102&lt;&gt;"✔ طبيعي")*('الرصيد الحالي'!$E$2:$E102&lt;&gt;"")*('الرصيد الحالي'!$A$2:$A102&lt;&gt;"")),"")</f>
        <v/>
      </c>
    </row>
    <row r="103" spans="1:6" ht="24" customHeight="1">
      <c r="A103" s="3" t="str">
        <f>المواد!A102</f>
        <v>محارم الكرزة</v>
      </c>
      <c r="B103" s="5" t="str">
        <f>المواد!B102</f>
        <v>قطعة</v>
      </c>
      <c r="C103" s="4">
        <f>IF($A103="","",ROUND(SUMIFS(الإدخالات!$D$2:$D$501,الإدخالات!$C$2:$C$501,$A103)+SUMIFS('تعديل الجرد'!$F$2:$F$501,'تعديل الجرد'!$C$2:$C$501,$A103)-SUMIFS('الصرف المباشر'!$D$2:$D$501,'الصرف المباشر'!$C$2:$C$501,$A103)-SUMPRODUCT((الطبخات!$B$2:$B$900=$A103)*الطبخات!$C$2:$C$900*COUNTIF('سجل الإنتاج'!$C$2:$C$501,الطبخات!$A$2:$A$900)),3))</f>
        <v>0</v>
      </c>
      <c r="D103" s="4">
        <f>IF($A103="","",ROUND(SUMIFS('الصرف المباشر'!$D$2:$D$501,'الصرف المباشر'!$C$2:$C$501,$A103)+SUMPRODUCT((الطبخات!$B$2:$B$900=$A103)*الطبخات!$C$2:$C$900*COUNTIF('سجل الإنتاج'!$C$2:$C$501,الطبخات!$A$2:$A$900)),3))</f>
        <v>0</v>
      </c>
      <c r="E103" s="5" t="str">
        <f t="shared" si="1"/>
        <v>✔ طبيعي</v>
      </c>
      <c r="F103" s="5" t="str">
        <f>IF(AND($A103&lt;&gt;"",$E103&lt;&gt;"✔ طبيعي"),SUMPRODUCT(('الرصيد الحالي'!$E$2:$E103&lt;&gt;"✔ طبيعي")*('الرصيد الحالي'!$E$2:$E103&lt;&gt;"")*('الرصيد الحالي'!$A$2:$A103&lt;&gt;"")),"")</f>
        <v/>
      </c>
    </row>
    <row r="104" spans="1:6" ht="24" customHeight="1">
      <c r="A104" s="3" t="str">
        <f>المواد!A103</f>
        <v>مبيد حشري بار بار</v>
      </c>
      <c r="B104" s="5" t="str">
        <f>المواد!B103</f>
        <v>قطعة</v>
      </c>
      <c r="C104" s="4">
        <f>IF($A104="","",ROUND(SUMIFS(الإدخالات!$D$2:$D$501,الإدخالات!$C$2:$C$501,$A104)+SUMIFS('تعديل الجرد'!$F$2:$F$501,'تعديل الجرد'!$C$2:$C$501,$A104)-SUMIFS('الصرف المباشر'!$D$2:$D$501,'الصرف المباشر'!$C$2:$C$501,$A104)-SUMPRODUCT((الطبخات!$B$2:$B$900=$A104)*الطبخات!$C$2:$C$900*COUNTIF('سجل الإنتاج'!$C$2:$C$501,الطبخات!$A$2:$A$900)),3))</f>
        <v>0</v>
      </c>
      <c r="D104" s="4">
        <f>IF($A104="","",ROUND(SUMIFS('الصرف المباشر'!$D$2:$D$501,'الصرف المباشر'!$C$2:$C$501,$A104)+SUMPRODUCT((الطبخات!$B$2:$B$900=$A104)*الطبخات!$C$2:$C$900*COUNTIF('سجل الإنتاج'!$C$2:$C$501,الطبخات!$A$2:$A$900)),3))</f>
        <v>0</v>
      </c>
      <c r="E104" s="5" t="str">
        <f t="shared" si="1"/>
        <v>✔ طبيعي</v>
      </c>
      <c r="F104" s="5" t="str">
        <f>IF(AND($A104&lt;&gt;"",$E104&lt;&gt;"✔ طبيعي"),SUMPRODUCT(('الرصيد الحالي'!$E$2:$E104&lt;&gt;"✔ طبيعي")*('الرصيد الحالي'!$E$2:$E104&lt;&gt;"")*('الرصيد الحالي'!$A$2:$A104&lt;&gt;"")),"")</f>
        <v/>
      </c>
    </row>
    <row r="105" spans="1:6" ht="24" customHeight="1">
      <c r="A105" s="3" t="str">
        <f>المواد!A104</f>
        <v xml:space="preserve">ليف جلي ثلاثية </v>
      </c>
      <c r="B105" s="5" t="str">
        <f>المواد!B104</f>
        <v>قطعة</v>
      </c>
      <c r="C105" s="4">
        <f>IF($A105="","",ROUND(SUMIFS(الإدخالات!$D$2:$D$501,الإدخالات!$C$2:$C$501,$A105)+SUMIFS('تعديل الجرد'!$F$2:$F$501,'تعديل الجرد'!$C$2:$C$501,$A105)-SUMIFS('الصرف المباشر'!$D$2:$D$501,'الصرف المباشر'!$C$2:$C$501,$A105)-SUMPRODUCT((الطبخات!$B$2:$B$900=$A105)*الطبخات!$C$2:$C$900*COUNTIF('سجل الإنتاج'!$C$2:$C$501,الطبخات!$A$2:$A$900)),3))</f>
        <v>0</v>
      </c>
      <c r="D105" s="4">
        <f>IF($A105="","",ROUND(SUMIFS('الصرف المباشر'!$D$2:$D$501,'الصرف المباشر'!$C$2:$C$501,$A105)+SUMPRODUCT((الطبخات!$B$2:$B$900=$A105)*الطبخات!$C$2:$C$900*COUNTIF('سجل الإنتاج'!$C$2:$C$501,الطبخات!$A$2:$A$900)),3))</f>
        <v>0</v>
      </c>
      <c r="E105" s="5" t="str">
        <f t="shared" si="1"/>
        <v>✔ طبيعي</v>
      </c>
      <c r="F105" s="5" t="str">
        <f>IF(AND($A105&lt;&gt;"",$E105&lt;&gt;"✔ طبيعي"),SUMPRODUCT(('الرصيد الحالي'!$E$2:$E105&lt;&gt;"✔ طبيعي")*('الرصيد الحالي'!$E$2:$E105&lt;&gt;"")*('الرصيد الحالي'!$A$2:$A105&lt;&gt;"")),"")</f>
        <v/>
      </c>
    </row>
    <row r="106" spans="1:6" ht="24" customHeight="1">
      <c r="A106" s="3" t="str">
        <f>المواد!A105</f>
        <v>ليف اسفنج</v>
      </c>
      <c r="B106" s="5" t="str">
        <f>المواد!B105</f>
        <v>كيس</v>
      </c>
      <c r="C106" s="4">
        <f>IF($A106="","",ROUND(SUMIFS(الإدخالات!$D$2:$D$501,الإدخالات!$C$2:$C$501,$A106)+SUMIFS('تعديل الجرد'!$F$2:$F$501,'تعديل الجرد'!$C$2:$C$501,$A106)-SUMIFS('الصرف المباشر'!$D$2:$D$501,'الصرف المباشر'!$C$2:$C$501,$A106)-SUMPRODUCT((الطبخات!$B$2:$B$900=$A106)*الطبخات!$C$2:$C$900*COUNTIF('سجل الإنتاج'!$C$2:$C$501,الطبخات!$A$2:$A$900)),3))</f>
        <v>0</v>
      </c>
      <c r="D106" s="4">
        <f>IF($A106="","",ROUND(SUMIFS('الصرف المباشر'!$D$2:$D$501,'الصرف المباشر'!$C$2:$C$501,$A106)+SUMPRODUCT((الطبخات!$B$2:$B$900=$A106)*الطبخات!$C$2:$C$900*COUNTIF('سجل الإنتاج'!$C$2:$C$501,الطبخات!$A$2:$A$900)),3))</f>
        <v>0</v>
      </c>
      <c r="E106" s="5" t="str">
        <f t="shared" si="1"/>
        <v>✔ طبيعي</v>
      </c>
      <c r="F106" s="5" t="str">
        <f>IF(AND($A106&lt;&gt;"",$E106&lt;&gt;"✔ طبيعي"),SUMPRODUCT(('الرصيد الحالي'!$E$2:$E106&lt;&gt;"✔ طبيعي")*('الرصيد الحالي'!$E$2:$E106&lt;&gt;"")*('الرصيد الحالي'!$A$2:$A106&lt;&gt;"")),"")</f>
        <v/>
      </c>
    </row>
    <row r="107" spans="1:6" ht="24" customHeight="1">
      <c r="A107" s="3" t="str">
        <f>المواد!A106</f>
        <v>لوح صابون مسك</v>
      </c>
      <c r="B107" s="5" t="str">
        <f>المواد!B106</f>
        <v>قطعة</v>
      </c>
      <c r="C107" s="4">
        <f>IF($A107="","",ROUND(SUMIFS(الإدخالات!$D$2:$D$501,الإدخالات!$C$2:$C$501,$A107)+SUMIFS('تعديل الجرد'!$F$2:$F$501,'تعديل الجرد'!$C$2:$C$501,$A107)-SUMIFS('الصرف المباشر'!$D$2:$D$501,'الصرف المباشر'!$C$2:$C$501,$A107)-SUMPRODUCT((الطبخات!$B$2:$B$900=$A107)*الطبخات!$C$2:$C$900*COUNTIF('سجل الإنتاج'!$C$2:$C$501,الطبخات!$A$2:$A$900)),3))</f>
        <v>0</v>
      </c>
      <c r="D107" s="4">
        <f>IF($A107="","",ROUND(SUMIFS('الصرف المباشر'!$D$2:$D$501,'الصرف المباشر'!$C$2:$C$501,$A107)+SUMPRODUCT((الطبخات!$B$2:$B$900=$A107)*الطبخات!$C$2:$C$900*COUNTIF('سجل الإنتاج'!$C$2:$C$501,الطبخات!$A$2:$A$900)),3))</f>
        <v>0</v>
      </c>
      <c r="E107" s="5" t="str">
        <f t="shared" si="1"/>
        <v>✔ طبيعي</v>
      </c>
      <c r="F107" s="5" t="str">
        <f>IF(AND($A107&lt;&gt;"",$E107&lt;&gt;"✔ طبيعي"),SUMPRODUCT(('الرصيد الحالي'!$E$2:$E107&lt;&gt;"✔ طبيعي")*('الرصيد الحالي'!$E$2:$E107&lt;&gt;"")*('الرصيد الحالي'!$A$2:$A107&lt;&gt;"")),"")</f>
        <v/>
      </c>
    </row>
    <row r="108" spans="1:6" ht="24" customHeight="1">
      <c r="A108" s="3" t="str">
        <f>المواد!A107</f>
        <v>لاصق</v>
      </c>
      <c r="B108" s="5" t="str">
        <f>المواد!B107</f>
        <v>قطعة</v>
      </c>
      <c r="C108" s="4">
        <f>IF($A108="","",ROUND(SUMIFS(الإدخالات!$D$2:$D$501,الإدخالات!$C$2:$C$501,$A108)+SUMIFS('تعديل الجرد'!$F$2:$F$501,'تعديل الجرد'!$C$2:$C$501,$A108)-SUMIFS('الصرف المباشر'!$D$2:$D$501,'الصرف المباشر'!$C$2:$C$501,$A108)-SUMPRODUCT((الطبخات!$B$2:$B$900=$A108)*الطبخات!$C$2:$C$900*COUNTIF('سجل الإنتاج'!$C$2:$C$501,الطبخات!$A$2:$A$900)),3))</f>
        <v>0</v>
      </c>
      <c r="D108" s="4">
        <f>IF($A108="","",ROUND(SUMIFS('الصرف المباشر'!$D$2:$D$501,'الصرف المباشر'!$C$2:$C$501,$A108)+SUMPRODUCT((الطبخات!$B$2:$B$900=$A108)*الطبخات!$C$2:$C$900*COUNTIF('سجل الإنتاج'!$C$2:$C$501,الطبخات!$A$2:$A$900)),3))</f>
        <v>0</v>
      </c>
      <c r="E108" s="5" t="str">
        <f t="shared" si="1"/>
        <v>✔ طبيعي</v>
      </c>
      <c r="F108" s="5" t="str">
        <f>IF(AND($A108&lt;&gt;"",$E108&lt;&gt;"✔ طبيعي"),SUMPRODUCT(('الرصيد الحالي'!$E$2:$E108&lt;&gt;"✔ طبيعي")*('الرصيد الحالي'!$E$2:$E108&lt;&gt;"")*('الرصيد الحالي'!$A$2:$A108&lt;&gt;"")),"")</f>
        <v/>
      </c>
    </row>
    <row r="109" spans="1:6" ht="24" customHeight="1">
      <c r="A109" s="3" t="str">
        <f>المواد!A108</f>
        <v>كياس نايلون</v>
      </c>
      <c r="B109" s="5" t="str">
        <f>المواد!B108</f>
        <v>كغ</v>
      </c>
      <c r="C109" s="4">
        <f>IF($A109="","",ROUND(SUMIFS(الإدخالات!$D$2:$D$501,الإدخالات!$C$2:$C$501,$A109)+SUMIFS('تعديل الجرد'!$F$2:$F$501,'تعديل الجرد'!$C$2:$C$501,$A109)-SUMIFS('الصرف المباشر'!$D$2:$D$501,'الصرف المباشر'!$C$2:$C$501,$A109)-SUMPRODUCT((الطبخات!$B$2:$B$900=$A109)*الطبخات!$C$2:$C$900*COUNTIF('سجل الإنتاج'!$C$2:$C$501,الطبخات!$A$2:$A$900)),3))</f>
        <v>0</v>
      </c>
      <c r="D109" s="4">
        <f>IF($A109="","",ROUND(SUMIFS('الصرف المباشر'!$D$2:$D$501,'الصرف المباشر'!$C$2:$C$501,$A109)+SUMPRODUCT((الطبخات!$B$2:$B$900=$A109)*الطبخات!$C$2:$C$900*COUNTIF('سجل الإنتاج'!$C$2:$C$501,الطبخات!$A$2:$A$900)),3))</f>
        <v>0</v>
      </c>
      <c r="E109" s="5" t="str">
        <f t="shared" si="1"/>
        <v>✔ طبيعي</v>
      </c>
      <c r="F109" s="5" t="str">
        <f>IF(AND($A109&lt;&gt;"",$E109&lt;&gt;"✔ طبيعي"),SUMPRODUCT(('الرصيد الحالي'!$E$2:$E109&lt;&gt;"✔ طبيعي")*('الرصيد الحالي'!$E$2:$E109&lt;&gt;"")*('الرصيد الحالي'!$A$2:$A109&lt;&gt;"")),"")</f>
        <v/>
      </c>
    </row>
    <row r="110" spans="1:6" ht="24" customHeight="1">
      <c r="A110" s="3" t="str">
        <f>المواد!A109</f>
        <v>كياس قمامة</v>
      </c>
      <c r="B110" s="5" t="str">
        <f>المواد!B109</f>
        <v>كيس</v>
      </c>
      <c r="C110" s="4">
        <f>IF($A110="","",ROUND(SUMIFS(الإدخالات!$D$2:$D$501,الإدخالات!$C$2:$C$501,$A110)+SUMIFS('تعديل الجرد'!$F$2:$F$501,'تعديل الجرد'!$C$2:$C$501,$A110)-SUMIFS('الصرف المباشر'!$D$2:$D$501,'الصرف المباشر'!$C$2:$C$501,$A110)-SUMPRODUCT((الطبخات!$B$2:$B$900=$A110)*الطبخات!$C$2:$C$900*COUNTIF('سجل الإنتاج'!$C$2:$C$501,الطبخات!$A$2:$A$900)),3))</f>
        <v>0</v>
      </c>
      <c r="D110" s="4">
        <f>IF($A110="","",ROUND(SUMIFS('الصرف المباشر'!$D$2:$D$501,'الصرف المباشر'!$C$2:$C$501,$A110)+SUMPRODUCT((الطبخات!$B$2:$B$900=$A110)*الطبخات!$C$2:$C$900*COUNTIF('سجل الإنتاج'!$C$2:$C$501,الطبخات!$A$2:$A$900)),3))</f>
        <v>0</v>
      </c>
      <c r="E110" s="5" t="str">
        <f t="shared" si="1"/>
        <v>✔ طبيعي</v>
      </c>
      <c r="F110" s="5" t="str">
        <f>IF(AND($A110&lt;&gt;"",$E110&lt;&gt;"✔ طبيعي"),SUMPRODUCT(('الرصيد الحالي'!$E$2:$E110&lt;&gt;"✔ طبيعي")*('الرصيد الحالي'!$E$2:$E110&lt;&gt;"")*('الرصيد الحالي'!$A$2:$A110&lt;&gt;"")),"")</f>
        <v/>
      </c>
    </row>
    <row r="111" spans="1:6" ht="24" customHeight="1">
      <c r="A111" s="3" t="str">
        <f>المواد!A110</f>
        <v>كمامات</v>
      </c>
      <c r="B111" s="5" t="str">
        <f>المواد!B110</f>
        <v>كيس</v>
      </c>
      <c r="C111" s="4">
        <f>IF($A111="","",ROUND(SUMIFS(الإدخالات!$D$2:$D$501,الإدخالات!$C$2:$C$501,$A111)+SUMIFS('تعديل الجرد'!$F$2:$F$501,'تعديل الجرد'!$C$2:$C$501,$A111)-SUMIFS('الصرف المباشر'!$D$2:$D$501,'الصرف المباشر'!$C$2:$C$501,$A111)-SUMPRODUCT((الطبخات!$B$2:$B$900=$A111)*الطبخات!$C$2:$C$900*COUNTIF('سجل الإنتاج'!$C$2:$C$501,الطبخات!$A$2:$A$900)),3))</f>
        <v>0</v>
      </c>
      <c r="D111" s="4">
        <f>IF($A111="","",ROUND(SUMIFS('الصرف المباشر'!$D$2:$D$501,'الصرف المباشر'!$C$2:$C$501,$A111)+SUMPRODUCT((الطبخات!$B$2:$B$900=$A111)*الطبخات!$C$2:$C$900*COUNTIF('سجل الإنتاج'!$C$2:$C$501,الطبخات!$A$2:$A$900)),3))</f>
        <v>0</v>
      </c>
      <c r="E111" s="5" t="str">
        <f t="shared" si="1"/>
        <v>✔ طبيعي</v>
      </c>
      <c r="F111" s="5" t="str">
        <f>IF(AND($A111&lt;&gt;"",$E111&lt;&gt;"✔ طبيعي"),SUMPRODUCT(('الرصيد الحالي'!$E$2:$E111&lt;&gt;"✔ طبيعي")*('الرصيد الحالي'!$E$2:$E111&lt;&gt;"")*('الرصيد الحالي'!$A$2:$A111&lt;&gt;"")),"")</f>
        <v/>
      </c>
    </row>
    <row r="112" spans="1:6" ht="24" customHeight="1">
      <c r="A112" s="3" t="str">
        <f>المواد!A111</f>
        <v>كلور 4 لتر</v>
      </c>
      <c r="B112" s="5" t="str">
        <f>المواد!B111</f>
        <v>عبوة</v>
      </c>
      <c r="C112" s="4">
        <f>IF($A112="","",ROUND(SUMIFS(الإدخالات!$D$2:$D$501,الإدخالات!$C$2:$C$501,$A112)+SUMIFS('تعديل الجرد'!$F$2:$F$501,'تعديل الجرد'!$C$2:$C$501,$A112)-SUMIFS('الصرف المباشر'!$D$2:$D$501,'الصرف المباشر'!$C$2:$C$501,$A112)-SUMPRODUCT((الطبخات!$B$2:$B$900=$A112)*الطبخات!$C$2:$C$900*COUNTIF('سجل الإنتاج'!$C$2:$C$501,الطبخات!$A$2:$A$900)),3))</f>
        <v>0</v>
      </c>
      <c r="D112" s="4">
        <f>IF($A112="","",ROUND(SUMIFS('الصرف المباشر'!$D$2:$D$501,'الصرف المباشر'!$C$2:$C$501,$A112)+SUMPRODUCT((الطبخات!$B$2:$B$900=$A112)*الطبخات!$C$2:$C$900*COUNTIF('سجل الإنتاج'!$C$2:$C$501,الطبخات!$A$2:$A$900)),3))</f>
        <v>0</v>
      </c>
      <c r="E112" s="5" t="str">
        <f t="shared" si="1"/>
        <v>✔ طبيعي</v>
      </c>
      <c r="F112" s="5" t="str">
        <f>IF(AND($A112&lt;&gt;"",$E112&lt;&gt;"✔ طبيعي"),SUMPRODUCT(('الرصيد الحالي'!$E$2:$E112&lt;&gt;"✔ طبيعي")*('الرصيد الحالي'!$E$2:$E112&lt;&gt;"")*('الرصيد الحالي'!$A$2:$A112&lt;&gt;"")),"")</f>
        <v/>
      </c>
    </row>
    <row r="113" spans="1:6" ht="24" customHeight="1">
      <c r="A113" s="3" t="str">
        <f>المواد!A112</f>
        <v>كلور 1 لتر</v>
      </c>
      <c r="B113" s="5" t="str">
        <f>المواد!B112</f>
        <v>عبوة</v>
      </c>
      <c r="C113" s="4">
        <f>IF($A113="","",ROUND(SUMIFS(الإدخالات!$D$2:$D$501,الإدخالات!$C$2:$C$501,$A113)+SUMIFS('تعديل الجرد'!$F$2:$F$501,'تعديل الجرد'!$C$2:$C$501,$A113)-SUMIFS('الصرف المباشر'!$D$2:$D$501,'الصرف المباشر'!$C$2:$C$501,$A113)-SUMPRODUCT((الطبخات!$B$2:$B$900=$A113)*الطبخات!$C$2:$C$900*COUNTIF('سجل الإنتاج'!$C$2:$C$501,الطبخات!$A$2:$A$900)),3))</f>
        <v>0</v>
      </c>
      <c r="D113" s="4">
        <f>IF($A113="","",ROUND(SUMIFS('الصرف المباشر'!$D$2:$D$501,'الصرف المباشر'!$C$2:$C$501,$A113)+SUMPRODUCT((الطبخات!$B$2:$B$900=$A113)*الطبخات!$C$2:$C$900*COUNTIF('سجل الإنتاج'!$C$2:$C$501,الطبخات!$A$2:$A$900)),3))</f>
        <v>0</v>
      </c>
      <c r="E113" s="5" t="str">
        <f t="shared" si="1"/>
        <v>✔ طبيعي</v>
      </c>
      <c r="F113" s="5" t="str">
        <f>IF(AND($A113&lt;&gt;"",$E113&lt;&gt;"✔ طبيعي"),SUMPRODUCT(('الرصيد الحالي'!$E$2:$E113&lt;&gt;"✔ طبيعي")*('الرصيد الحالي'!$E$2:$E113&lt;&gt;"")*('الرصيد الحالي'!$A$2:$A113&lt;&gt;"")),"")</f>
        <v/>
      </c>
    </row>
    <row r="114" spans="1:6" ht="24" customHeight="1">
      <c r="A114" s="3" t="str">
        <f>المواد!A113</f>
        <v xml:space="preserve">كلور / فرط </v>
      </c>
      <c r="B114" s="5" t="str">
        <f>المواد!B113</f>
        <v>كغ</v>
      </c>
      <c r="C114" s="4">
        <f>IF($A114="","",ROUND(SUMIFS(الإدخالات!$D$2:$D$501,الإدخالات!$C$2:$C$501,$A114)+SUMIFS('تعديل الجرد'!$F$2:$F$501,'تعديل الجرد'!$C$2:$C$501,$A114)-SUMIFS('الصرف المباشر'!$D$2:$D$501,'الصرف المباشر'!$C$2:$C$501,$A114)-SUMPRODUCT((الطبخات!$B$2:$B$900=$A114)*الطبخات!$C$2:$C$900*COUNTIF('سجل الإنتاج'!$C$2:$C$501,الطبخات!$A$2:$A$900)),3))</f>
        <v>0</v>
      </c>
      <c r="D114" s="4">
        <f>IF($A114="","",ROUND(SUMIFS('الصرف المباشر'!$D$2:$D$501,'الصرف المباشر'!$C$2:$C$501,$A114)+SUMPRODUCT((الطبخات!$B$2:$B$900=$A114)*الطبخات!$C$2:$C$900*COUNTIF('سجل الإنتاج'!$C$2:$C$501,الطبخات!$A$2:$A$900)),3))</f>
        <v>0</v>
      </c>
      <c r="E114" s="5" t="str">
        <f t="shared" si="1"/>
        <v>✔ طبيعي</v>
      </c>
      <c r="F114" s="5" t="str">
        <f>IF(AND($A114&lt;&gt;"",$E114&lt;&gt;"✔ طبيعي"),SUMPRODUCT(('الرصيد الحالي'!$E$2:$E114&lt;&gt;"✔ طبيعي")*('الرصيد الحالي'!$E$2:$E114&lt;&gt;"")*('الرصيد الحالي'!$A$2:$A114&lt;&gt;"")),"")</f>
        <v/>
      </c>
    </row>
    <row r="115" spans="1:6" ht="24" customHeight="1">
      <c r="A115" s="3" t="str">
        <f>المواد!A114</f>
        <v>كفوف نايلون</v>
      </c>
      <c r="B115" s="5" t="str">
        <f>المواد!B114</f>
        <v>قطعة</v>
      </c>
      <c r="C115" s="4">
        <f>IF($A115="","",ROUND(SUMIFS(الإدخالات!$D$2:$D$501,الإدخالات!$C$2:$C$501,$A115)+SUMIFS('تعديل الجرد'!$F$2:$F$501,'تعديل الجرد'!$C$2:$C$501,$A115)-SUMIFS('الصرف المباشر'!$D$2:$D$501,'الصرف المباشر'!$C$2:$C$501,$A115)-SUMPRODUCT((الطبخات!$B$2:$B$900=$A115)*الطبخات!$C$2:$C$900*COUNTIF('سجل الإنتاج'!$C$2:$C$501,الطبخات!$A$2:$A$900)),3))</f>
        <v>0</v>
      </c>
      <c r="D115" s="4">
        <f>IF($A115="","",ROUND(SUMIFS('الصرف المباشر'!$D$2:$D$501,'الصرف المباشر'!$C$2:$C$501,$A115)+SUMPRODUCT((الطبخات!$B$2:$B$900=$A115)*الطبخات!$C$2:$C$900*COUNTIF('سجل الإنتاج'!$C$2:$C$501,الطبخات!$A$2:$A$900)),3))</f>
        <v>0</v>
      </c>
      <c r="E115" s="5" t="str">
        <f t="shared" si="1"/>
        <v>✔ طبيعي</v>
      </c>
      <c r="F115" s="5" t="str">
        <f>IF(AND($A115&lt;&gt;"",$E115&lt;&gt;"✔ طبيعي"),SUMPRODUCT(('الرصيد الحالي'!$E$2:$E115&lt;&gt;"✔ طبيعي")*('الرصيد الحالي'!$E$2:$E115&lt;&gt;"")*('الرصيد الحالي'!$A$2:$A115&lt;&gt;"")),"")</f>
        <v/>
      </c>
    </row>
    <row r="116" spans="1:6" ht="24" customHeight="1">
      <c r="A116" s="3" t="str">
        <f>المواد!A115</f>
        <v>كفوف طبية</v>
      </c>
      <c r="B116" s="5" t="str">
        <f>المواد!B115</f>
        <v>قطعة</v>
      </c>
      <c r="C116" s="4">
        <f>IF($A116="","",ROUND(SUMIFS(الإدخالات!$D$2:$D$501,الإدخالات!$C$2:$C$501,$A116)+SUMIFS('تعديل الجرد'!$F$2:$F$501,'تعديل الجرد'!$C$2:$C$501,$A116)-SUMIFS('الصرف المباشر'!$D$2:$D$501,'الصرف المباشر'!$C$2:$C$501,$A116)-SUMPRODUCT((الطبخات!$B$2:$B$900=$A116)*الطبخات!$C$2:$C$900*COUNTIF('سجل الإنتاج'!$C$2:$C$501,الطبخات!$A$2:$A$900)),3))</f>
        <v>0</v>
      </c>
      <c r="D116" s="4">
        <f>IF($A116="","",ROUND(SUMIFS('الصرف المباشر'!$D$2:$D$501,'الصرف المباشر'!$C$2:$C$501,$A116)+SUMPRODUCT((الطبخات!$B$2:$B$900=$A116)*الطبخات!$C$2:$C$900*COUNTIF('سجل الإنتاج'!$C$2:$C$501,الطبخات!$A$2:$A$900)),3))</f>
        <v>0</v>
      </c>
      <c r="E116" s="5" t="str">
        <f t="shared" si="1"/>
        <v>✔ طبيعي</v>
      </c>
      <c r="F116" s="5" t="str">
        <f>IF(AND($A116&lt;&gt;"",$E116&lt;&gt;"✔ طبيعي"),SUMPRODUCT(('الرصيد الحالي'!$E$2:$E116&lt;&gt;"✔ طبيعي")*('الرصيد الحالي'!$E$2:$E116&lt;&gt;"")*('الرصيد الحالي'!$A$2:$A116&lt;&gt;"")),"")</f>
        <v/>
      </c>
    </row>
    <row r="117" spans="1:6" ht="24" customHeight="1">
      <c r="A117" s="3" t="str">
        <f>المواد!A116</f>
        <v>كفوف صناعية</v>
      </c>
      <c r="B117" s="5" t="str">
        <f>المواد!B116</f>
        <v>قطعة</v>
      </c>
      <c r="C117" s="4">
        <f>IF($A117="","",ROUND(SUMIFS(الإدخالات!$D$2:$D$501,الإدخالات!$C$2:$C$501,$A117)+SUMIFS('تعديل الجرد'!$F$2:$F$501,'تعديل الجرد'!$C$2:$C$501,$A117)-SUMIFS('الصرف المباشر'!$D$2:$D$501,'الصرف المباشر'!$C$2:$C$501,$A117)-SUMPRODUCT((الطبخات!$B$2:$B$900=$A117)*الطبخات!$C$2:$C$900*COUNTIF('سجل الإنتاج'!$C$2:$C$501,الطبخات!$A$2:$A$900)),3))</f>
        <v>0</v>
      </c>
      <c r="D117" s="4">
        <f>IF($A117="","",ROUND(SUMIFS('الصرف المباشر'!$D$2:$D$501,'الصرف المباشر'!$C$2:$C$501,$A117)+SUMPRODUCT((الطبخات!$B$2:$B$900=$A117)*الطبخات!$C$2:$C$900*COUNTIF('سجل الإنتاج'!$C$2:$C$501,الطبخات!$A$2:$A$900)),3))</f>
        <v>0</v>
      </c>
      <c r="E117" s="5" t="str">
        <f t="shared" si="1"/>
        <v>✔ طبيعي</v>
      </c>
      <c r="F117" s="5" t="str">
        <f>IF(AND($A117&lt;&gt;"",$E117&lt;&gt;"✔ طبيعي"),SUMPRODUCT(('الرصيد الحالي'!$E$2:$E117&lt;&gt;"✔ طبيعي")*('الرصيد الحالي'!$E$2:$E117&lt;&gt;"")*('الرصيد الحالي'!$A$2:$A117&lt;&gt;"")),"")</f>
        <v/>
      </c>
    </row>
    <row r="118" spans="1:6" ht="24" customHeight="1">
      <c r="A118" s="3" t="str">
        <f>المواد!A117</f>
        <v>كفوف جلي</v>
      </c>
      <c r="B118" s="5" t="str">
        <f>المواد!B117</f>
        <v>قطعة</v>
      </c>
      <c r="C118" s="4">
        <f>IF($A118="","",ROUND(SUMIFS(الإدخالات!$D$2:$D$501,الإدخالات!$C$2:$C$501,$A118)+SUMIFS('تعديل الجرد'!$F$2:$F$501,'تعديل الجرد'!$C$2:$C$501,$A118)-SUMIFS('الصرف المباشر'!$D$2:$D$501,'الصرف المباشر'!$C$2:$C$501,$A118)-SUMPRODUCT((الطبخات!$B$2:$B$900=$A118)*الطبخات!$C$2:$C$900*COUNTIF('سجل الإنتاج'!$C$2:$C$501,الطبخات!$A$2:$A$900)),3))</f>
        <v>0</v>
      </c>
      <c r="D118" s="4">
        <f>IF($A118="","",ROUND(SUMIFS('الصرف المباشر'!$D$2:$D$501,'الصرف المباشر'!$C$2:$C$501,$A118)+SUMPRODUCT((الطبخات!$B$2:$B$900=$A118)*الطبخات!$C$2:$C$900*COUNTIF('سجل الإنتاج'!$C$2:$C$501,الطبخات!$A$2:$A$900)),3))</f>
        <v>0</v>
      </c>
      <c r="E118" s="5" t="str">
        <f t="shared" si="1"/>
        <v>✔ طبيعي</v>
      </c>
      <c r="F118" s="5" t="str">
        <f>IF(AND($A118&lt;&gt;"",$E118&lt;&gt;"✔ طبيعي"),SUMPRODUCT(('الرصيد الحالي'!$E$2:$E118&lt;&gt;"✔ طبيعي")*('الرصيد الحالي'!$E$2:$E118&lt;&gt;"")*('الرصيد الحالي'!$A$2:$A118&lt;&gt;"")),"")</f>
        <v/>
      </c>
    </row>
    <row r="119" spans="1:6" ht="24" customHeight="1">
      <c r="A119" s="3" t="str">
        <f>المواد!A118</f>
        <v>كاسات شاي صغيرة 17 *6</v>
      </c>
      <c r="B119" s="5" t="str">
        <f>المواد!B118</f>
        <v>قطعة</v>
      </c>
      <c r="C119" s="4">
        <f>IF($A119="","",ROUND(SUMIFS(الإدخالات!$D$2:$D$501,الإدخالات!$C$2:$C$501,$A119)+SUMIFS('تعديل الجرد'!$F$2:$F$501,'تعديل الجرد'!$C$2:$C$501,$A119)-SUMIFS('الصرف المباشر'!$D$2:$D$501,'الصرف المباشر'!$C$2:$C$501,$A119)-SUMPRODUCT((الطبخات!$B$2:$B$900=$A119)*الطبخات!$C$2:$C$900*COUNTIF('سجل الإنتاج'!$C$2:$C$501,الطبخات!$A$2:$A$900)),3))</f>
        <v>0</v>
      </c>
      <c r="D119" s="4">
        <f>IF($A119="","",ROUND(SUMIFS('الصرف المباشر'!$D$2:$D$501,'الصرف المباشر'!$C$2:$C$501,$A119)+SUMPRODUCT((الطبخات!$B$2:$B$900=$A119)*الطبخات!$C$2:$C$900*COUNTIF('سجل الإنتاج'!$C$2:$C$501,الطبخات!$A$2:$A$900)),3))</f>
        <v>0</v>
      </c>
      <c r="E119" s="5" t="str">
        <f t="shared" si="1"/>
        <v>✔ طبيعي</v>
      </c>
      <c r="F119" s="5" t="str">
        <f>IF(AND($A119&lt;&gt;"",$E119&lt;&gt;"✔ طبيعي"),SUMPRODUCT(('الرصيد الحالي'!$E$2:$E119&lt;&gt;"✔ طبيعي")*('الرصيد الحالي'!$E$2:$E119&lt;&gt;"")*('الرصيد الحالي'!$A$2:$A119&lt;&gt;"")),"")</f>
        <v/>
      </c>
    </row>
    <row r="120" spans="1:6" ht="24" customHeight="1">
      <c r="A120" s="3" t="str">
        <f>المواد!A119</f>
        <v>قاشط سيارات / فرط</v>
      </c>
      <c r="B120" s="5" t="str">
        <f>المواد!B119</f>
        <v>كغ</v>
      </c>
      <c r="C120" s="4">
        <f>IF($A120="","",ROUND(SUMIFS(الإدخالات!$D$2:$D$501,الإدخالات!$C$2:$C$501,$A120)+SUMIFS('تعديل الجرد'!$F$2:$F$501,'تعديل الجرد'!$C$2:$C$501,$A120)-SUMIFS('الصرف المباشر'!$D$2:$D$501,'الصرف المباشر'!$C$2:$C$501,$A120)-SUMPRODUCT((الطبخات!$B$2:$B$900=$A120)*الطبخات!$C$2:$C$900*COUNTIF('سجل الإنتاج'!$C$2:$C$501,الطبخات!$A$2:$A$900)),3))</f>
        <v>0</v>
      </c>
      <c r="D120" s="4">
        <f>IF($A120="","",ROUND(SUMIFS('الصرف المباشر'!$D$2:$D$501,'الصرف المباشر'!$C$2:$C$501,$A120)+SUMPRODUCT((الطبخات!$B$2:$B$900=$A120)*الطبخات!$C$2:$C$900*COUNTIF('سجل الإنتاج'!$C$2:$C$501,الطبخات!$A$2:$A$900)),3))</f>
        <v>0</v>
      </c>
      <c r="E120" s="5" t="str">
        <f t="shared" si="1"/>
        <v>✔ طبيعي</v>
      </c>
      <c r="F120" s="5" t="str">
        <f>IF(AND($A120&lt;&gt;"",$E120&lt;&gt;"✔ طبيعي"),SUMPRODUCT(('الرصيد الحالي'!$E$2:$E120&lt;&gt;"✔ طبيعي")*('الرصيد الحالي'!$E$2:$E120&lt;&gt;"")*('الرصيد الحالي'!$A$2:$A120&lt;&gt;"")),"")</f>
        <v/>
      </c>
    </row>
    <row r="121" spans="1:6" ht="24" customHeight="1">
      <c r="A121" s="3" t="str">
        <f>المواد!A120</f>
        <v xml:space="preserve">قاشط المينيوم - ساندي / فرط </v>
      </c>
      <c r="B121" s="5" t="str">
        <f>المواد!B120</f>
        <v>كغ</v>
      </c>
      <c r="C121" s="4">
        <f>IF($A121="","",ROUND(SUMIFS(الإدخالات!$D$2:$D$501,الإدخالات!$C$2:$C$501,$A121)+SUMIFS('تعديل الجرد'!$F$2:$F$501,'تعديل الجرد'!$C$2:$C$501,$A121)-SUMIFS('الصرف المباشر'!$D$2:$D$501,'الصرف المباشر'!$C$2:$C$501,$A121)-SUMPRODUCT((الطبخات!$B$2:$B$900=$A121)*الطبخات!$C$2:$C$900*COUNTIF('سجل الإنتاج'!$C$2:$C$501,الطبخات!$A$2:$A$900)),3))</f>
        <v>0</v>
      </c>
      <c r="D121" s="4">
        <f>IF($A121="","",ROUND(SUMIFS('الصرف المباشر'!$D$2:$D$501,'الصرف المباشر'!$C$2:$C$501,$A121)+SUMPRODUCT((الطبخات!$B$2:$B$900=$A121)*الطبخات!$C$2:$C$900*COUNTIF('سجل الإنتاج'!$C$2:$C$501,الطبخات!$A$2:$A$900)),3))</f>
        <v>0</v>
      </c>
      <c r="E121" s="5" t="str">
        <f t="shared" si="1"/>
        <v>✔ طبيعي</v>
      </c>
      <c r="F121" s="5" t="str">
        <f>IF(AND($A121&lt;&gt;"",$E121&lt;&gt;"✔ طبيعي"),SUMPRODUCT(('الرصيد الحالي'!$E$2:$E121&lt;&gt;"✔ طبيعي")*('الرصيد الحالي'!$E$2:$E121&lt;&gt;"")*('الرصيد الحالي'!$A$2:$A121&lt;&gt;"")),"")</f>
        <v/>
      </c>
    </row>
    <row r="122" spans="1:6" ht="24" customHeight="1">
      <c r="A122" s="3" t="str">
        <f>المواد!A121</f>
        <v>قاشط  المينيوم 3 لتر</v>
      </c>
      <c r="B122" s="5" t="str">
        <f>المواد!B121</f>
        <v>عبوة</v>
      </c>
      <c r="C122" s="4">
        <f>IF($A122="","",ROUND(SUMIFS(الإدخالات!$D$2:$D$501,الإدخالات!$C$2:$C$501,$A122)+SUMIFS('تعديل الجرد'!$F$2:$F$501,'تعديل الجرد'!$C$2:$C$501,$A122)-SUMIFS('الصرف المباشر'!$D$2:$D$501,'الصرف المباشر'!$C$2:$C$501,$A122)-SUMPRODUCT((الطبخات!$B$2:$B$900=$A122)*الطبخات!$C$2:$C$900*COUNTIF('سجل الإنتاج'!$C$2:$C$501,الطبخات!$A$2:$A$900)),3))</f>
        <v>0</v>
      </c>
      <c r="D122" s="4">
        <f>IF($A122="","",ROUND(SUMIFS('الصرف المباشر'!$D$2:$D$501,'الصرف المباشر'!$C$2:$C$501,$A122)+SUMPRODUCT((الطبخات!$B$2:$B$900=$A122)*الطبخات!$C$2:$C$900*COUNTIF('سجل الإنتاج'!$C$2:$C$501,الطبخات!$A$2:$A$900)),3))</f>
        <v>0</v>
      </c>
      <c r="E122" s="5" t="str">
        <f t="shared" si="1"/>
        <v>✔ طبيعي</v>
      </c>
      <c r="F122" s="5" t="str">
        <f>IF(AND($A122&lt;&gt;"",$E122&lt;&gt;"✔ طبيعي"),SUMPRODUCT(('الرصيد الحالي'!$E$2:$E122&lt;&gt;"✔ طبيعي")*('الرصيد الحالي'!$E$2:$E122&lt;&gt;"")*('الرصيد الحالي'!$A$2:$A122&lt;&gt;"")),"")</f>
        <v/>
      </c>
    </row>
    <row r="123" spans="1:6" ht="24" customHeight="1">
      <c r="A123" s="3" t="str">
        <f>المواد!A122</f>
        <v xml:space="preserve">فلاش 4 لتر </v>
      </c>
      <c r="B123" s="5" t="str">
        <f>المواد!B122</f>
        <v>عبوة</v>
      </c>
      <c r="C123" s="4">
        <f>IF($A123="","",ROUND(SUMIFS(الإدخالات!$D$2:$D$501,الإدخالات!$C$2:$C$501,$A123)+SUMIFS('تعديل الجرد'!$F$2:$F$501,'تعديل الجرد'!$C$2:$C$501,$A123)-SUMIFS('الصرف المباشر'!$D$2:$D$501,'الصرف المباشر'!$C$2:$C$501,$A123)-SUMPRODUCT((الطبخات!$B$2:$B$900=$A123)*الطبخات!$C$2:$C$900*COUNTIF('سجل الإنتاج'!$C$2:$C$501,الطبخات!$A$2:$A$900)),3))</f>
        <v>0</v>
      </c>
      <c r="D123" s="4">
        <f>IF($A123="","",ROUND(SUMIFS('الصرف المباشر'!$D$2:$D$501,'الصرف المباشر'!$C$2:$C$501,$A123)+SUMPRODUCT((الطبخات!$B$2:$B$900=$A123)*الطبخات!$C$2:$C$900*COUNTIF('سجل الإنتاج'!$C$2:$C$501,الطبخات!$A$2:$A$900)),3))</f>
        <v>0</v>
      </c>
      <c r="E123" s="5" t="str">
        <f t="shared" si="1"/>
        <v>✔ طبيعي</v>
      </c>
      <c r="F123" s="5" t="str">
        <f>IF(AND($A123&lt;&gt;"",$E123&lt;&gt;"✔ طبيعي"),SUMPRODUCT(('الرصيد الحالي'!$E$2:$E123&lt;&gt;"✔ طبيعي")*('الرصيد الحالي'!$E$2:$E123&lt;&gt;"")*('الرصيد الحالي'!$A$2:$A123&lt;&gt;"")),"")</f>
        <v/>
      </c>
    </row>
    <row r="124" spans="1:6" ht="24" customHeight="1">
      <c r="A124" s="3" t="str">
        <f>المواد!A123</f>
        <v>فلاش / فرط</v>
      </c>
      <c r="B124" s="5" t="str">
        <f>المواد!B123</f>
        <v>كغ</v>
      </c>
      <c r="C124" s="4">
        <f>IF($A124="","",ROUND(SUMIFS(الإدخالات!$D$2:$D$501,الإدخالات!$C$2:$C$501,$A124)+SUMIFS('تعديل الجرد'!$F$2:$F$501,'تعديل الجرد'!$C$2:$C$501,$A124)-SUMIFS('الصرف المباشر'!$D$2:$D$501,'الصرف المباشر'!$C$2:$C$501,$A124)-SUMPRODUCT((الطبخات!$B$2:$B$900=$A124)*الطبخات!$C$2:$C$900*COUNTIF('سجل الإنتاج'!$C$2:$C$501,الطبخات!$A$2:$A$900)),3))</f>
        <v>0</v>
      </c>
      <c r="D124" s="4">
        <f>IF($A124="","",ROUND(SUMIFS('الصرف المباشر'!$D$2:$D$501,'الصرف المباشر'!$C$2:$C$501,$A124)+SUMPRODUCT((الطبخات!$B$2:$B$900=$A124)*الطبخات!$C$2:$C$900*COUNTIF('سجل الإنتاج'!$C$2:$C$501,الطبخات!$A$2:$A$900)),3))</f>
        <v>0</v>
      </c>
      <c r="E124" s="5" t="str">
        <f t="shared" si="1"/>
        <v>✔ طبيعي</v>
      </c>
      <c r="F124" s="5" t="str">
        <f>IF(AND($A124&lt;&gt;"",$E124&lt;&gt;"✔ طبيعي"),SUMPRODUCT(('الرصيد الحالي'!$E$2:$E124&lt;&gt;"✔ طبيعي")*('الرصيد الحالي'!$E$2:$E124&lt;&gt;"")*('الرصيد الحالي'!$A$2:$A124&lt;&gt;"")),"")</f>
        <v/>
      </c>
    </row>
    <row r="125" spans="1:6" ht="24" customHeight="1">
      <c r="A125" s="3" t="str">
        <f>المواد!A124</f>
        <v>فرشاية بسط</v>
      </c>
      <c r="B125" s="5" t="str">
        <f>المواد!B124</f>
        <v>قطعة</v>
      </c>
      <c r="C125" s="4">
        <f>IF($A125="","",ROUND(SUMIFS(الإدخالات!$D$2:$D$501,الإدخالات!$C$2:$C$501,$A125)+SUMIFS('تعديل الجرد'!$F$2:$F$501,'تعديل الجرد'!$C$2:$C$501,$A125)-SUMIFS('الصرف المباشر'!$D$2:$D$501,'الصرف المباشر'!$C$2:$C$501,$A125)-SUMPRODUCT((الطبخات!$B$2:$B$900=$A125)*الطبخات!$C$2:$C$900*COUNTIF('سجل الإنتاج'!$C$2:$C$501,الطبخات!$A$2:$A$900)),3))</f>
        <v>0</v>
      </c>
      <c r="D125" s="4">
        <f>IF($A125="","",ROUND(SUMIFS('الصرف المباشر'!$D$2:$D$501,'الصرف المباشر'!$C$2:$C$501,$A125)+SUMPRODUCT((الطبخات!$B$2:$B$900=$A125)*الطبخات!$C$2:$C$900*COUNTIF('سجل الإنتاج'!$C$2:$C$501,الطبخات!$A$2:$A$900)),3))</f>
        <v>0</v>
      </c>
      <c r="E125" s="5" t="str">
        <f t="shared" si="1"/>
        <v>✔ طبيعي</v>
      </c>
      <c r="F125" s="5" t="str">
        <f>IF(AND($A125&lt;&gt;"",$E125&lt;&gt;"✔ طبيعي"),SUMPRODUCT(('الرصيد الحالي'!$E$2:$E125&lt;&gt;"✔ طبيعي")*('الرصيد الحالي'!$E$2:$E125&lt;&gt;"")*('الرصيد الحالي'!$A$2:$A125&lt;&gt;"")),"")</f>
        <v/>
      </c>
    </row>
    <row r="126" spans="1:6" ht="24" customHeight="1">
      <c r="A126" s="3" t="str">
        <f>المواد!A125</f>
        <v>فرشاة حمام</v>
      </c>
      <c r="B126" s="5" t="str">
        <f>المواد!B125</f>
        <v>قطعة</v>
      </c>
      <c r="C126" s="4">
        <f>IF($A126="","",ROUND(SUMIFS(الإدخالات!$D$2:$D$501,الإدخالات!$C$2:$C$501,$A126)+SUMIFS('تعديل الجرد'!$F$2:$F$501,'تعديل الجرد'!$C$2:$C$501,$A126)-SUMIFS('الصرف المباشر'!$D$2:$D$501,'الصرف المباشر'!$C$2:$C$501,$A126)-SUMPRODUCT((الطبخات!$B$2:$B$900=$A126)*الطبخات!$C$2:$C$900*COUNTIF('سجل الإنتاج'!$C$2:$C$501,الطبخات!$A$2:$A$900)),3))</f>
        <v>0</v>
      </c>
      <c r="D126" s="4">
        <f>IF($A126="","",ROUND(SUMIFS('الصرف المباشر'!$D$2:$D$501,'الصرف المباشر'!$C$2:$C$501,$A126)+SUMPRODUCT((الطبخات!$B$2:$B$900=$A126)*الطبخات!$C$2:$C$900*COUNTIF('سجل الإنتاج'!$C$2:$C$501,الطبخات!$A$2:$A$900)),3))</f>
        <v>0</v>
      </c>
      <c r="E126" s="5" t="str">
        <f t="shared" si="1"/>
        <v>✔ طبيعي</v>
      </c>
      <c r="F126" s="5" t="str">
        <f>IF(AND($A126&lt;&gt;"",$E126&lt;&gt;"✔ طبيعي"),SUMPRODUCT(('الرصيد الحالي'!$E$2:$E126&lt;&gt;"✔ طبيعي")*('الرصيد الحالي'!$E$2:$E126&lt;&gt;"")*('الرصيد الحالي'!$A$2:$A126&lt;&gt;"")),"")</f>
        <v/>
      </c>
    </row>
    <row r="127" spans="1:6" ht="24" customHeight="1">
      <c r="A127" s="3" t="str">
        <f>المواد!A126</f>
        <v xml:space="preserve">فاربن مزيل شعر </v>
      </c>
      <c r="B127" s="5" t="str">
        <f>المواد!B126</f>
        <v>قطعة</v>
      </c>
      <c r="C127" s="4">
        <f>IF($A127="","",ROUND(SUMIFS(الإدخالات!$D$2:$D$501,الإدخالات!$C$2:$C$501,$A127)+SUMIFS('تعديل الجرد'!$F$2:$F$501,'تعديل الجرد'!$C$2:$C$501,$A127)-SUMIFS('الصرف المباشر'!$D$2:$D$501,'الصرف المباشر'!$C$2:$C$501,$A127)-SUMPRODUCT((الطبخات!$B$2:$B$900=$A127)*الطبخات!$C$2:$C$900*COUNTIF('سجل الإنتاج'!$C$2:$C$501,الطبخات!$A$2:$A$900)),3))</f>
        <v>0</v>
      </c>
      <c r="D127" s="4">
        <f>IF($A127="","",ROUND(SUMIFS('الصرف المباشر'!$D$2:$D$501,'الصرف المباشر'!$C$2:$C$501,$A127)+SUMPRODUCT((الطبخات!$B$2:$B$900=$A127)*الطبخات!$C$2:$C$900*COUNTIF('سجل الإنتاج'!$C$2:$C$501,الطبخات!$A$2:$A$900)),3))</f>
        <v>0</v>
      </c>
      <c r="E127" s="5" t="str">
        <f t="shared" si="1"/>
        <v>✔ طبيعي</v>
      </c>
      <c r="F127" s="5" t="str">
        <f>IF(AND($A127&lt;&gt;"",$E127&lt;&gt;"✔ طبيعي"),SUMPRODUCT(('الرصيد الحالي'!$E$2:$E127&lt;&gt;"✔ طبيعي")*('الرصيد الحالي'!$E$2:$E127&lt;&gt;"")*('الرصيد الحالي'!$A$2:$A127&lt;&gt;"")),"")</f>
        <v/>
      </c>
    </row>
    <row r="128" spans="1:6" ht="24" customHeight="1">
      <c r="A128" s="3" t="str">
        <f>المواد!A127</f>
        <v>عملاق 3 لتر</v>
      </c>
      <c r="B128" s="5" t="str">
        <f>المواد!B127</f>
        <v>عبوة</v>
      </c>
      <c r="C128" s="4">
        <f>IF($A128="","",ROUND(SUMIFS(الإدخالات!$D$2:$D$501,الإدخالات!$C$2:$C$501,$A128)+SUMIFS('تعديل الجرد'!$F$2:$F$501,'تعديل الجرد'!$C$2:$C$501,$A128)-SUMIFS('الصرف المباشر'!$D$2:$D$501,'الصرف المباشر'!$C$2:$C$501,$A128)-SUMPRODUCT((الطبخات!$B$2:$B$900=$A128)*الطبخات!$C$2:$C$900*COUNTIF('سجل الإنتاج'!$C$2:$C$501,الطبخات!$A$2:$A$900)),3))</f>
        <v>0</v>
      </c>
      <c r="D128" s="4">
        <f>IF($A128="","",ROUND(SUMIFS('الصرف المباشر'!$D$2:$D$501,'الصرف المباشر'!$C$2:$C$501,$A128)+SUMPRODUCT((الطبخات!$B$2:$B$900=$A128)*الطبخات!$C$2:$C$900*COUNTIF('سجل الإنتاج'!$C$2:$C$501,الطبخات!$A$2:$A$900)),3))</f>
        <v>0</v>
      </c>
      <c r="E128" s="5" t="str">
        <f t="shared" si="1"/>
        <v>✔ طبيعي</v>
      </c>
      <c r="F128" s="5" t="str">
        <f>IF(AND($A128&lt;&gt;"",$E128&lt;&gt;"✔ طبيعي"),SUMPRODUCT(('الرصيد الحالي'!$E$2:$E128&lt;&gt;"✔ طبيعي")*('الرصيد الحالي'!$E$2:$E128&lt;&gt;"")*('الرصيد الحالي'!$A$2:$A128&lt;&gt;"")),"")</f>
        <v/>
      </c>
    </row>
    <row r="129" spans="1:6" ht="24" customHeight="1">
      <c r="A129" s="3" t="str">
        <f>المواد!A128</f>
        <v xml:space="preserve">عملاق </v>
      </c>
      <c r="B129" s="5" t="str">
        <f>المواد!B128</f>
        <v>كغ</v>
      </c>
      <c r="C129" s="4">
        <f>IF($A129="","",ROUND(SUMIFS(الإدخالات!$D$2:$D$501,الإدخالات!$C$2:$C$501,$A129)+SUMIFS('تعديل الجرد'!$F$2:$F$501,'تعديل الجرد'!$C$2:$C$501,$A129)-SUMIFS('الصرف المباشر'!$D$2:$D$501,'الصرف المباشر'!$C$2:$C$501,$A129)-SUMPRODUCT((الطبخات!$B$2:$B$900=$A129)*الطبخات!$C$2:$C$900*COUNTIF('سجل الإنتاج'!$C$2:$C$501,الطبخات!$A$2:$A$900)),3))</f>
        <v>0</v>
      </c>
      <c r="D129" s="4">
        <f>IF($A129="","",ROUND(SUMIFS('الصرف المباشر'!$D$2:$D$501,'الصرف المباشر'!$C$2:$C$501,$A129)+SUMPRODUCT((الطبخات!$B$2:$B$900=$A129)*الطبخات!$C$2:$C$900*COUNTIF('سجل الإنتاج'!$C$2:$C$501,الطبخات!$A$2:$A$900)),3))</f>
        <v>0</v>
      </c>
      <c r="E129" s="5" t="str">
        <f t="shared" si="1"/>
        <v>✔ طبيعي</v>
      </c>
      <c r="F129" s="5" t="str">
        <f>IF(AND($A129&lt;&gt;"",$E129&lt;&gt;"✔ طبيعي"),SUMPRODUCT(('الرصيد الحالي'!$E$2:$E129&lt;&gt;"✔ طبيعي")*('الرصيد الحالي'!$E$2:$E129&lt;&gt;"")*('الرصيد الحالي'!$A$2:$A129&lt;&gt;"")),"")</f>
        <v/>
      </c>
    </row>
    <row r="130" spans="1:6" ht="24" customHeight="1">
      <c r="A130" s="3" t="str">
        <f>المواد!A129</f>
        <v>عصايات</v>
      </c>
      <c r="B130" s="5" t="str">
        <f>المواد!B129</f>
        <v>قطعة</v>
      </c>
      <c r="C130" s="4">
        <f>IF($A130="","",ROUND(SUMIFS(الإدخالات!$D$2:$D$501,الإدخالات!$C$2:$C$501,$A130)+SUMIFS('تعديل الجرد'!$F$2:$F$501,'تعديل الجرد'!$C$2:$C$501,$A130)-SUMIFS('الصرف المباشر'!$D$2:$D$501,'الصرف المباشر'!$C$2:$C$501,$A130)-SUMPRODUCT((الطبخات!$B$2:$B$900=$A130)*الطبخات!$C$2:$C$900*COUNTIF('سجل الإنتاج'!$C$2:$C$501,الطبخات!$A$2:$A$900)),3))</f>
        <v>0</v>
      </c>
      <c r="D130" s="4">
        <f>IF($A130="","",ROUND(SUMIFS('الصرف المباشر'!$D$2:$D$501,'الصرف المباشر'!$C$2:$C$501,$A130)+SUMPRODUCT((الطبخات!$B$2:$B$900=$A130)*الطبخات!$C$2:$C$900*COUNTIF('سجل الإنتاج'!$C$2:$C$501,الطبخات!$A$2:$A$900)),3))</f>
        <v>0</v>
      </c>
      <c r="E130" s="5" t="str">
        <f t="shared" ref="E130:E193" si="2">IF($A130="","",IF($C130&lt;0,"❌ رصيد سالب - يحتاج مراجعة","✔ طبيعي"))</f>
        <v>✔ طبيعي</v>
      </c>
      <c r="F130" s="5" t="str">
        <f>IF(AND($A130&lt;&gt;"",$E130&lt;&gt;"✔ طبيعي"),SUMPRODUCT(('الرصيد الحالي'!$E$2:$E130&lt;&gt;"✔ طبيعي")*('الرصيد الحالي'!$E$2:$E130&lt;&gt;"")*('الرصيد الحالي'!$A$2:$A130&lt;&gt;"")),"")</f>
        <v/>
      </c>
    </row>
    <row r="131" spans="1:6" ht="24" customHeight="1">
      <c r="A131" s="3" t="str">
        <f>المواد!A130</f>
        <v>طواقي راس</v>
      </c>
      <c r="B131" s="5" t="str">
        <f>المواد!B130</f>
        <v>قطعة</v>
      </c>
      <c r="C131" s="4">
        <f>IF($A131="","",ROUND(SUMIFS(الإدخالات!$D$2:$D$501,الإدخالات!$C$2:$C$501,$A131)+SUMIFS('تعديل الجرد'!$F$2:$F$501,'تعديل الجرد'!$C$2:$C$501,$A131)-SUMIFS('الصرف المباشر'!$D$2:$D$501,'الصرف المباشر'!$C$2:$C$501,$A131)-SUMPRODUCT((الطبخات!$B$2:$B$900=$A131)*الطبخات!$C$2:$C$900*COUNTIF('سجل الإنتاج'!$C$2:$C$501,الطبخات!$A$2:$A$900)),3))</f>
        <v>0</v>
      </c>
      <c r="D131" s="4">
        <f>IF($A131="","",ROUND(SUMIFS('الصرف المباشر'!$D$2:$D$501,'الصرف المباشر'!$C$2:$C$501,$A131)+SUMPRODUCT((الطبخات!$B$2:$B$900=$A131)*الطبخات!$C$2:$C$900*COUNTIF('سجل الإنتاج'!$C$2:$C$501,الطبخات!$A$2:$A$900)),3))</f>
        <v>0</v>
      </c>
      <c r="E131" s="5" t="str">
        <f t="shared" si="2"/>
        <v>✔ طبيعي</v>
      </c>
      <c r="F131" s="5" t="str">
        <f>IF(AND($A131&lt;&gt;"",$E131&lt;&gt;"✔ طبيعي"),SUMPRODUCT(('الرصيد الحالي'!$E$2:$E131&lt;&gt;"✔ طبيعي")*('الرصيد الحالي'!$E$2:$E131&lt;&gt;"")*('الرصيد الحالي'!$A$2:$A131&lt;&gt;"")),"")</f>
        <v/>
      </c>
    </row>
    <row r="132" spans="1:6" ht="24" customHeight="1">
      <c r="A132" s="3" t="str">
        <f>المواد!A131</f>
        <v>صابون كرمل</v>
      </c>
      <c r="B132" s="5" t="str">
        <f>المواد!B131</f>
        <v>قطعة</v>
      </c>
      <c r="C132" s="4">
        <f>IF($A132="","",ROUND(SUMIFS(الإدخالات!$D$2:$D$501,الإدخالات!$C$2:$C$501,$A132)+SUMIFS('تعديل الجرد'!$F$2:$F$501,'تعديل الجرد'!$C$2:$C$501,$A132)-SUMIFS('الصرف المباشر'!$D$2:$D$501,'الصرف المباشر'!$C$2:$C$501,$A132)-SUMPRODUCT((الطبخات!$B$2:$B$900=$A132)*الطبخات!$C$2:$C$900*COUNTIF('سجل الإنتاج'!$C$2:$C$501,الطبخات!$A$2:$A$900)),3))</f>
        <v>0</v>
      </c>
      <c r="D132" s="4">
        <f>IF($A132="","",ROUND(SUMIFS('الصرف المباشر'!$D$2:$D$501,'الصرف المباشر'!$C$2:$C$501,$A132)+SUMPRODUCT((الطبخات!$B$2:$B$900=$A132)*الطبخات!$C$2:$C$900*COUNTIF('سجل الإنتاج'!$C$2:$C$501,الطبخات!$A$2:$A$900)),3))</f>
        <v>0</v>
      </c>
      <c r="E132" s="5" t="str">
        <f t="shared" si="2"/>
        <v>✔ طبيعي</v>
      </c>
      <c r="F132" s="5" t="str">
        <f>IF(AND($A132&lt;&gt;"",$E132&lt;&gt;"✔ طبيعي"),SUMPRODUCT(('الرصيد الحالي'!$E$2:$E132&lt;&gt;"✔ طبيعي")*('الرصيد الحالي'!$E$2:$E132&lt;&gt;"")*('الرصيد الحالي'!$A$2:$A132&lt;&gt;"")),"")</f>
        <v/>
      </c>
    </row>
    <row r="133" spans="1:6" ht="24" customHeight="1">
      <c r="A133" s="3" t="str">
        <f>المواد!A132</f>
        <v xml:space="preserve">صابون super / فرط </v>
      </c>
      <c r="B133" s="5" t="str">
        <f>المواد!B132</f>
        <v>كغ</v>
      </c>
      <c r="C133" s="4">
        <f>IF($A133="","",ROUND(SUMIFS(الإدخالات!$D$2:$D$501,الإدخالات!$C$2:$C$501,$A133)+SUMIFS('تعديل الجرد'!$F$2:$F$501,'تعديل الجرد'!$C$2:$C$501,$A133)-SUMIFS('الصرف المباشر'!$D$2:$D$501,'الصرف المباشر'!$C$2:$C$501,$A133)-SUMPRODUCT((الطبخات!$B$2:$B$900=$A133)*الطبخات!$C$2:$C$900*COUNTIF('سجل الإنتاج'!$C$2:$C$501,الطبخات!$A$2:$A$900)),3))</f>
        <v>0</v>
      </c>
      <c r="D133" s="4">
        <f>IF($A133="","",ROUND(SUMIFS('الصرف المباشر'!$D$2:$D$501,'الصرف المباشر'!$C$2:$C$501,$A133)+SUMPRODUCT((الطبخات!$B$2:$B$900=$A133)*الطبخات!$C$2:$C$900*COUNTIF('سجل الإنتاج'!$C$2:$C$501,الطبخات!$A$2:$A$900)),3))</f>
        <v>0</v>
      </c>
      <c r="E133" s="5" t="str">
        <f t="shared" si="2"/>
        <v>✔ طبيعي</v>
      </c>
      <c r="F133" s="5" t="str">
        <f>IF(AND($A133&lt;&gt;"",$E133&lt;&gt;"✔ طبيعي"),SUMPRODUCT(('الرصيد الحالي'!$E$2:$E133&lt;&gt;"✔ طبيعي")*('الرصيد الحالي'!$E$2:$E133&lt;&gt;"")*('الرصيد الحالي'!$A$2:$A133&lt;&gt;"")),"")</f>
        <v/>
      </c>
    </row>
    <row r="134" spans="1:6" ht="24" customHeight="1">
      <c r="A134" s="3" t="str">
        <f>المواد!A133</f>
        <v>صابون super / عبوة 3 لتر</v>
      </c>
      <c r="B134" s="5" t="str">
        <f>المواد!B133</f>
        <v>عبوة</v>
      </c>
      <c r="C134" s="4">
        <f>IF($A134="","",ROUND(SUMIFS(الإدخالات!$D$2:$D$501,الإدخالات!$C$2:$C$501,$A134)+SUMIFS('تعديل الجرد'!$F$2:$F$501,'تعديل الجرد'!$C$2:$C$501,$A134)-SUMIFS('الصرف المباشر'!$D$2:$D$501,'الصرف المباشر'!$C$2:$C$501,$A134)-SUMPRODUCT((الطبخات!$B$2:$B$900=$A134)*الطبخات!$C$2:$C$900*COUNTIF('سجل الإنتاج'!$C$2:$C$501,الطبخات!$A$2:$A$900)),3))</f>
        <v>0</v>
      </c>
      <c r="D134" s="4">
        <f>IF($A134="","",ROUND(SUMIFS('الصرف المباشر'!$D$2:$D$501,'الصرف المباشر'!$C$2:$C$501,$A134)+SUMPRODUCT((الطبخات!$B$2:$B$900=$A134)*الطبخات!$C$2:$C$900*COUNTIF('سجل الإنتاج'!$C$2:$C$501,الطبخات!$A$2:$A$900)),3))</f>
        <v>0</v>
      </c>
      <c r="E134" s="5" t="str">
        <f t="shared" si="2"/>
        <v>✔ طبيعي</v>
      </c>
      <c r="F134" s="5" t="str">
        <f>IF(AND($A134&lt;&gt;"",$E134&lt;&gt;"✔ طبيعي"),SUMPRODUCT(('الرصيد الحالي'!$E$2:$E134&lt;&gt;"✔ طبيعي")*('الرصيد الحالي'!$E$2:$E134&lt;&gt;"")*('الرصيد الحالي'!$A$2:$A134&lt;&gt;"")),"")</f>
        <v/>
      </c>
    </row>
    <row r="135" spans="1:6" ht="24" customHeight="1">
      <c r="A135" s="3" t="str">
        <f>المواد!A134</f>
        <v>شامبو سيارات</v>
      </c>
      <c r="B135" s="5" t="str">
        <f>المواد!B134</f>
        <v>كغ</v>
      </c>
      <c r="C135" s="4">
        <f>IF($A135="","",ROUND(SUMIFS(الإدخالات!$D$2:$D$501,الإدخالات!$C$2:$C$501,$A135)+SUMIFS('تعديل الجرد'!$F$2:$F$501,'تعديل الجرد'!$C$2:$C$501,$A135)-SUMIFS('الصرف المباشر'!$D$2:$D$501,'الصرف المباشر'!$C$2:$C$501,$A135)-SUMPRODUCT((الطبخات!$B$2:$B$900=$A135)*الطبخات!$C$2:$C$900*COUNTIF('سجل الإنتاج'!$C$2:$C$501,الطبخات!$A$2:$A$900)),3))</f>
        <v>0</v>
      </c>
      <c r="D135" s="4">
        <f>IF($A135="","",ROUND(SUMIFS('الصرف المباشر'!$D$2:$D$501,'الصرف المباشر'!$C$2:$C$501,$A135)+SUMPRODUCT((الطبخات!$B$2:$B$900=$A135)*الطبخات!$C$2:$C$900*COUNTIF('سجل الإنتاج'!$C$2:$C$501,الطبخات!$A$2:$A$900)),3))</f>
        <v>0</v>
      </c>
      <c r="E135" s="5" t="str">
        <f t="shared" si="2"/>
        <v>✔ طبيعي</v>
      </c>
      <c r="F135" s="5" t="str">
        <f>IF(AND($A135&lt;&gt;"",$E135&lt;&gt;"✔ طبيعي"),SUMPRODUCT(('الرصيد الحالي'!$E$2:$E135&lt;&gt;"✔ طبيعي")*('الرصيد الحالي'!$E$2:$E135&lt;&gt;"")*('الرصيد الحالي'!$A$2:$A135&lt;&gt;"")),"")</f>
        <v/>
      </c>
    </row>
    <row r="136" spans="1:6" ht="24" customHeight="1">
      <c r="A136" s="3" t="str">
        <f>المواد!A135</f>
        <v>شامبو 3 لتر</v>
      </c>
      <c r="B136" s="5" t="str">
        <f>المواد!B135</f>
        <v>عبوة</v>
      </c>
      <c r="C136" s="4">
        <f>IF($A136="","",ROUND(SUMIFS(الإدخالات!$D$2:$D$501,الإدخالات!$C$2:$C$501,$A136)+SUMIFS('تعديل الجرد'!$F$2:$F$501,'تعديل الجرد'!$C$2:$C$501,$A136)-SUMIFS('الصرف المباشر'!$D$2:$D$501,'الصرف المباشر'!$C$2:$C$501,$A136)-SUMPRODUCT((الطبخات!$B$2:$B$900=$A136)*الطبخات!$C$2:$C$900*COUNTIF('سجل الإنتاج'!$C$2:$C$501,الطبخات!$A$2:$A$900)),3))</f>
        <v>0</v>
      </c>
      <c r="D136" s="4">
        <f>IF($A136="","",ROUND(SUMIFS('الصرف المباشر'!$D$2:$D$501,'الصرف المباشر'!$C$2:$C$501,$A136)+SUMPRODUCT((الطبخات!$B$2:$B$900=$A136)*الطبخات!$C$2:$C$900*COUNTIF('سجل الإنتاج'!$C$2:$C$501,الطبخات!$A$2:$A$900)),3))</f>
        <v>0</v>
      </c>
      <c r="E136" s="5" t="str">
        <f t="shared" si="2"/>
        <v>✔ طبيعي</v>
      </c>
      <c r="F136" s="5" t="str">
        <f>IF(AND($A136&lt;&gt;"",$E136&lt;&gt;"✔ طبيعي"),SUMPRODUCT(('الرصيد الحالي'!$E$2:$E136&lt;&gt;"✔ طبيعي")*('الرصيد الحالي'!$E$2:$E136&lt;&gt;"")*('الرصيد الحالي'!$A$2:$A136&lt;&gt;"")),"")</f>
        <v/>
      </c>
    </row>
    <row r="137" spans="1:6" ht="24" customHeight="1">
      <c r="A137" s="3" t="str">
        <f>المواد!A136</f>
        <v xml:space="preserve">شامبو </v>
      </c>
      <c r="B137" s="5" t="str">
        <f>المواد!B136</f>
        <v>كغ</v>
      </c>
      <c r="C137" s="4">
        <f>IF($A137="","",ROUND(SUMIFS(الإدخالات!$D$2:$D$501,الإدخالات!$C$2:$C$501,$A137)+SUMIFS('تعديل الجرد'!$F$2:$F$501,'تعديل الجرد'!$C$2:$C$501,$A137)-SUMIFS('الصرف المباشر'!$D$2:$D$501,'الصرف المباشر'!$C$2:$C$501,$A137)-SUMPRODUCT((الطبخات!$B$2:$B$900=$A137)*الطبخات!$C$2:$C$900*COUNTIF('سجل الإنتاج'!$C$2:$C$501,الطبخات!$A$2:$A$900)),3))</f>
        <v>0</v>
      </c>
      <c r="D137" s="4">
        <f>IF($A137="","",ROUND(SUMIFS('الصرف المباشر'!$D$2:$D$501,'الصرف المباشر'!$C$2:$C$501,$A137)+SUMPRODUCT((الطبخات!$B$2:$B$900=$A137)*الطبخات!$C$2:$C$900*COUNTIF('سجل الإنتاج'!$C$2:$C$501,الطبخات!$A$2:$A$900)),3))</f>
        <v>0</v>
      </c>
      <c r="E137" s="5" t="str">
        <f t="shared" si="2"/>
        <v>✔ طبيعي</v>
      </c>
      <c r="F137" s="5" t="str">
        <f>IF(AND($A137&lt;&gt;"",$E137&lt;&gt;"✔ طبيعي"),SUMPRODUCT(('الرصيد الحالي'!$E$2:$E137&lt;&gt;"✔ طبيعي")*('الرصيد الحالي'!$E$2:$E137&lt;&gt;"")*('الرصيد الحالي'!$A$2:$A137&lt;&gt;"")),"")</f>
        <v/>
      </c>
    </row>
    <row r="138" spans="1:6" ht="24" customHeight="1">
      <c r="A138" s="3" t="str">
        <f>المواد!A137</f>
        <v>سيف عائلاتي</v>
      </c>
      <c r="B138" s="5" t="str">
        <f>المواد!B137</f>
        <v>قطعة</v>
      </c>
      <c r="C138" s="4">
        <f>IF($A138="","",ROUND(SUMIFS(الإدخالات!$D$2:$D$501,الإدخالات!$C$2:$C$501,$A138)+SUMIFS('تعديل الجرد'!$F$2:$F$501,'تعديل الجرد'!$C$2:$C$501,$A138)-SUMIFS('الصرف المباشر'!$D$2:$D$501,'الصرف المباشر'!$C$2:$C$501,$A138)-SUMPRODUCT((الطبخات!$B$2:$B$900=$A138)*الطبخات!$C$2:$C$900*COUNTIF('سجل الإنتاج'!$C$2:$C$501,الطبخات!$A$2:$A$900)),3))</f>
        <v>0</v>
      </c>
      <c r="D138" s="4">
        <f>IF($A138="","",ROUND(SUMIFS('الصرف المباشر'!$D$2:$D$501,'الصرف المباشر'!$C$2:$C$501,$A138)+SUMPRODUCT((الطبخات!$B$2:$B$900=$A138)*الطبخات!$C$2:$C$900*COUNTIF('سجل الإنتاج'!$C$2:$C$501,الطبخات!$A$2:$A$900)),3))</f>
        <v>0</v>
      </c>
      <c r="E138" s="5" t="str">
        <f t="shared" si="2"/>
        <v>✔ طبيعي</v>
      </c>
      <c r="F138" s="5" t="str">
        <f>IF(AND($A138&lt;&gt;"",$E138&lt;&gt;"✔ طبيعي"),SUMPRODUCT(('الرصيد الحالي'!$E$2:$E138&lt;&gt;"✔ طبيعي")*('الرصيد الحالي'!$E$2:$E138&lt;&gt;"")*('الرصيد الحالي'!$A$2:$A138&lt;&gt;"")),"")</f>
        <v/>
      </c>
    </row>
    <row r="139" spans="1:6" ht="24" customHeight="1">
      <c r="A139" s="3" t="str">
        <f>المواد!A138</f>
        <v xml:space="preserve">سيف بريفيت </v>
      </c>
      <c r="B139" s="5" t="str">
        <f>المواد!B138</f>
        <v>قطعة</v>
      </c>
      <c r="C139" s="4">
        <f>IF($A139="","",ROUND(SUMIFS(الإدخالات!$D$2:$D$501,الإدخالات!$C$2:$C$501,$A139)+SUMIFS('تعديل الجرد'!$F$2:$F$501,'تعديل الجرد'!$C$2:$C$501,$A139)-SUMIFS('الصرف المباشر'!$D$2:$D$501,'الصرف المباشر'!$C$2:$C$501,$A139)-SUMPRODUCT((الطبخات!$B$2:$B$900=$A139)*الطبخات!$C$2:$C$900*COUNTIF('سجل الإنتاج'!$C$2:$C$501,الطبخات!$A$2:$A$900)),3))</f>
        <v>0</v>
      </c>
      <c r="D139" s="4">
        <f>IF($A139="","",ROUND(SUMIFS('الصرف المباشر'!$D$2:$D$501,'الصرف المباشر'!$C$2:$C$501,$A139)+SUMPRODUCT((الطبخات!$B$2:$B$900=$A139)*الطبخات!$C$2:$C$900*COUNTIF('سجل الإنتاج'!$C$2:$C$501,الطبخات!$A$2:$A$900)),3))</f>
        <v>0</v>
      </c>
      <c r="E139" s="5" t="str">
        <f t="shared" si="2"/>
        <v>✔ طبيعي</v>
      </c>
      <c r="F139" s="5" t="str">
        <f>IF(AND($A139&lt;&gt;"",$E139&lt;&gt;"✔ طبيعي"),SUMPRODUCT(('الرصيد الحالي'!$E$2:$E139&lt;&gt;"✔ طبيعي")*('الرصيد الحالي'!$E$2:$E139&lt;&gt;"")*('الرصيد الحالي'!$A$2:$A139&lt;&gt;"")),"")</f>
        <v/>
      </c>
    </row>
    <row r="140" spans="1:6" ht="24" customHeight="1">
      <c r="A140" s="3" t="str">
        <f>المواد!A139</f>
        <v>سيف برلنت</v>
      </c>
      <c r="B140" s="5" t="str">
        <f>المواد!B139</f>
        <v>قطعة</v>
      </c>
      <c r="C140" s="4">
        <f>IF($A140="","",ROUND(SUMIFS(الإدخالات!$D$2:$D$501,الإدخالات!$C$2:$C$501,$A140)+SUMIFS('تعديل الجرد'!$F$2:$F$501,'تعديل الجرد'!$C$2:$C$501,$A140)-SUMIFS('الصرف المباشر'!$D$2:$D$501,'الصرف المباشر'!$C$2:$C$501,$A140)-SUMPRODUCT((الطبخات!$B$2:$B$900=$A140)*الطبخات!$C$2:$C$900*COUNTIF('سجل الإنتاج'!$C$2:$C$501,الطبخات!$A$2:$A$900)),3))</f>
        <v>0</v>
      </c>
      <c r="D140" s="4">
        <f>IF($A140="","",ROUND(SUMIFS('الصرف المباشر'!$D$2:$D$501,'الصرف المباشر'!$C$2:$C$501,$A140)+SUMPRODUCT((الطبخات!$B$2:$B$900=$A140)*الطبخات!$C$2:$C$900*COUNTIF('سجل الإنتاج'!$C$2:$C$501,الطبخات!$A$2:$A$900)),3))</f>
        <v>0</v>
      </c>
      <c r="E140" s="5" t="str">
        <f t="shared" si="2"/>
        <v>✔ طبيعي</v>
      </c>
      <c r="F140" s="5" t="str">
        <f>IF(AND($A140&lt;&gt;"",$E140&lt;&gt;"✔ طبيعي"),SUMPRODUCT(('الرصيد الحالي'!$E$2:$E140&lt;&gt;"✔ طبيعي")*('الرصيد الحالي'!$E$2:$E140&lt;&gt;"")*('الرصيد الحالي'!$A$2:$A140&lt;&gt;"")),"")</f>
        <v/>
      </c>
    </row>
    <row r="141" spans="1:6" ht="24" customHeight="1">
      <c r="A141" s="3" t="str">
        <f>المواد!A140</f>
        <v>سيف الكرار نخب اول</v>
      </c>
      <c r="B141" s="5" t="str">
        <f>المواد!B140</f>
        <v>قطعة</v>
      </c>
      <c r="C141" s="4">
        <f>IF($A141="","",ROUND(SUMIFS(الإدخالات!$D$2:$D$501,الإدخالات!$C$2:$C$501,$A141)+SUMIFS('تعديل الجرد'!$F$2:$F$501,'تعديل الجرد'!$C$2:$C$501,$A141)-SUMIFS('الصرف المباشر'!$D$2:$D$501,'الصرف المباشر'!$C$2:$C$501,$A141)-SUMPRODUCT((الطبخات!$B$2:$B$900=$A141)*الطبخات!$C$2:$C$900*COUNTIF('سجل الإنتاج'!$C$2:$C$501,الطبخات!$A$2:$A$900)),3))</f>
        <v>0</v>
      </c>
      <c r="D141" s="4">
        <f>IF($A141="","",ROUND(SUMIFS('الصرف المباشر'!$D$2:$D$501,'الصرف المباشر'!$C$2:$C$501,$A141)+SUMPRODUCT((الطبخات!$B$2:$B$900=$A141)*الطبخات!$C$2:$C$900*COUNTIF('سجل الإنتاج'!$C$2:$C$501,الطبخات!$A$2:$A$900)),3))</f>
        <v>0</v>
      </c>
      <c r="E141" s="5" t="str">
        <f t="shared" si="2"/>
        <v>✔ طبيعي</v>
      </c>
      <c r="F141" s="5" t="str">
        <f>IF(AND($A141&lt;&gt;"",$E141&lt;&gt;"✔ طبيعي"),SUMPRODUCT(('الرصيد الحالي'!$E$2:$E141&lt;&gt;"✔ طبيعي")*('الرصيد الحالي'!$E$2:$E141&lt;&gt;"")*('الرصيد الحالي'!$A$2:$A141&lt;&gt;"")),"")</f>
        <v/>
      </c>
    </row>
    <row r="142" spans="1:6" ht="24" customHeight="1">
      <c r="A142" s="3" t="str">
        <f>المواد!A141</f>
        <v>سيف الكرار 2602</v>
      </c>
      <c r="B142" s="5" t="str">
        <f>المواد!B141</f>
        <v>قطعة</v>
      </c>
      <c r="C142" s="4">
        <f>IF($A142="","",ROUND(SUMIFS(الإدخالات!$D$2:$D$501,الإدخالات!$C$2:$C$501,$A142)+SUMIFS('تعديل الجرد'!$F$2:$F$501,'تعديل الجرد'!$C$2:$C$501,$A142)-SUMIFS('الصرف المباشر'!$D$2:$D$501,'الصرف المباشر'!$C$2:$C$501,$A142)-SUMPRODUCT((الطبخات!$B$2:$B$900=$A142)*الطبخات!$C$2:$C$900*COUNTIF('سجل الإنتاج'!$C$2:$C$501,الطبخات!$A$2:$A$900)),3))</f>
        <v>0</v>
      </c>
      <c r="D142" s="4">
        <f>IF($A142="","",ROUND(SUMIFS('الصرف المباشر'!$D$2:$D$501,'الصرف المباشر'!$C$2:$C$501,$A142)+SUMPRODUCT((الطبخات!$B$2:$B$900=$A142)*الطبخات!$C$2:$C$900*COUNTIF('سجل الإنتاج'!$C$2:$C$501,الطبخات!$A$2:$A$900)),3))</f>
        <v>0</v>
      </c>
      <c r="E142" s="5" t="str">
        <f t="shared" si="2"/>
        <v>✔ طبيعي</v>
      </c>
      <c r="F142" s="5" t="str">
        <f>IF(AND($A142&lt;&gt;"",$E142&lt;&gt;"✔ طبيعي"),SUMPRODUCT(('الرصيد الحالي'!$E$2:$E142&lt;&gt;"✔ طبيعي")*('الرصيد الحالي'!$E$2:$E142&lt;&gt;"")*('الرصيد الحالي'!$A$2:$A142&lt;&gt;"")),"")</f>
        <v/>
      </c>
    </row>
    <row r="143" spans="1:6" ht="24" customHeight="1">
      <c r="A143" s="3" t="str">
        <f>المواد!A142</f>
        <v>سلة غسيل</v>
      </c>
      <c r="B143" s="5" t="str">
        <f>المواد!B142</f>
        <v>قطعة</v>
      </c>
      <c r="C143" s="4">
        <f>IF($A143="","",ROUND(SUMIFS(الإدخالات!$D$2:$D$501,الإدخالات!$C$2:$C$501,$A143)+SUMIFS('تعديل الجرد'!$F$2:$F$501,'تعديل الجرد'!$C$2:$C$501,$A143)-SUMIFS('الصرف المباشر'!$D$2:$D$501,'الصرف المباشر'!$C$2:$C$501,$A143)-SUMPRODUCT((الطبخات!$B$2:$B$900=$A143)*الطبخات!$C$2:$C$900*COUNTIF('سجل الإنتاج'!$C$2:$C$501,الطبخات!$A$2:$A$900)),3))</f>
        <v>0</v>
      </c>
      <c r="D143" s="4">
        <f>IF($A143="","",ROUND(SUMIFS('الصرف المباشر'!$D$2:$D$501,'الصرف المباشر'!$C$2:$C$501,$A143)+SUMPRODUCT((الطبخات!$B$2:$B$900=$A143)*الطبخات!$C$2:$C$900*COUNTIF('سجل الإنتاج'!$C$2:$C$501,الطبخات!$A$2:$A$900)),3))</f>
        <v>0</v>
      </c>
      <c r="E143" s="5" t="str">
        <f t="shared" si="2"/>
        <v>✔ طبيعي</v>
      </c>
      <c r="F143" s="5" t="str">
        <f>IF(AND($A143&lt;&gt;"",$E143&lt;&gt;"✔ طبيعي"),SUMPRODUCT(('الرصيد الحالي'!$E$2:$E143&lt;&gt;"✔ طبيعي")*('الرصيد الحالي'!$E$2:$E143&lt;&gt;"")*('الرصيد الحالي'!$A$2:$A143&lt;&gt;"")),"")</f>
        <v/>
      </c>
    </row>
    <row r="144" spans="1:6" ht="24" customHeight="1">
      <c r="A144" s="3" t="str">
        <f>المواد!A143</f>
        <v>سائل مغسل</v>
      </c>
      <c r="B144" s="5" t="str">
        <f>المواد!B143</f>
        <v>كغ</v>
      </c>
      <c r="C144" s="4">
        <f>IF($A144="","",ROUND(SUMIFS(الإدخالات!$D$2:$D$501,الإدخالات!$C$2:$C$501,$A144)+SUMIFS('تعديل الجرد'!$F$2:$F$501,'تعديل الجرد'!$C$2:$C$501,$A144)-SUMIFS('الصرف المباشر'!$D$2:$D$501,'الصرف المباشر'!$C$2:$C$501,$A144)-SUMPRODUCT((الطبخات!$B$2:$B$900=$A144)*الطبخات!$C$2:$C$900*COUNTIF('سجل الإنتاج'!$C$2:$C$501,الطبخات!$A$2:$A$900)),3))</f>
        <v>0</v>
      </c>
      <c r="D144" s="4">
        <f>IF($A144="","",ROUND(SUMIFS('الصرف المباشر'!$D$2:$D$501,'الصرف المباشر'!$C$2:$C$501,$A144)+SUMPRODUCT((الطبخات!$B$2:$B$900=$A144)*الطبخات!$C$2:$C$900*COUNTIF('سجل الإنتاج'!$C$2:$C$501,الطبخات!$A$2:$A$900)),3))</f>
        <v>0</v>
      </c>
      <c r="E144" s="5" t="str">
        <f t="shared" si="2"/>
        <v>✔ طبيعي</v>
      </c>
      <c r="F144" s="5" t="str">
        <f>IF(AND($A144&lt;&gt;"",$E144&lt;&gt;"✔ طبيعي"),SUMPRODUCT(('الرصيد الحالي'!$E$2:$E144&lt;&gt;"✔ طبيعي")*('الرصيد الحالي'!$E$2:$E144&lt;&gt;"")*('الرصيد الحالي'!$A$2:$A144&lt;&gt;"")),"")</f>
        <v/>
      </c>
    </row>
    <row r="145" spans="1:6" ht="24" customHeight="1">
      <c r="A145" s="3" t="str">
        <f>المواد!A144</f>
        <v>سائل غسيل زهري</v>
      </c>
      <c r="B145" s="5" t="str">
        <f>المواد!B144</f>
        <v>كغ</v>
      </c>
      <c r="C145" s="4">
        <f>IF($A145="","",ROUND(SUMIFS(الإدخالات!$D$2:$D$501,الإدخالات!$C$2:$C$501,$A145)+SUMIFS('تعديل الجرد'!$F$2:$F$501,'تعديل الجرد'!$C$2:$C$501,$A145)-SUMIFS('الصرف المباشر'!$D$2:$D$501,'الصرف المباشر'!$C$2:$C$501,$A145)-SUMPRODUCT((الطبخات!$B$2:$B$900=$A145)*الطبخات!$C$2:$C$900*COUNTIF('سجل الإنتاج'!$C$2:$C$501,الطبخات!$A$2:$A$900)),3))</f>
        <v>0</v>
      </c>
      <c r="D145" s="4">
        <f>IF($A145="","",ROUND(SUMIFS('الصرف المباشر'!$D$2:$D$501,'الصرف المباشر'!$C$2:$C$501,$A145)+SUMPRODUCT((الطبخات!$B$2:$B$900=$A145)*الطبخات!$C$2:$C$900*COUNTIF('سجل الإنتاج'!$C$2:$C$501,الطبخات!$A$2:$A$900)),3))</f>
        <v>0</v>
      </c>
      <c r="E145" s="5" t="str">
        <f t="shared" si="2"/>
        <v>✔ طبيعي</v>
      </c>
      <c r="F145" s="5" t="str">
        <f>IF(AND($A145&lt;&gt;"",$E145&lt;&gt;"✔ طبيعي"),SUMPRODUCT(('الرصيد الحالي'!$E$2:$E145&lt;&gt;"✔ طبيعي")*('الرصيد الحالي'!$E$2:$E145&lt;&gt;"")*('الرصيد الحالي'!$A$2:$A145&lt;&gt;"")),"")</f>
        <v/>
      </c>
    </row>
    <row r="146" spans="1:6" ht="24" customHeight="1">
      <c r="A146" s="3" t="str">
        <f>المواد!A145</f>
        <v>سائل غسيل اتوماتيك 3 لتر</v>
      </c>
      <c r="B146" s="5" t="str">
        <f>المواد!B145</f>
        <v>عبوة</v>
      </c>
      <c r="C146" s="4">
        <f>IF($A146="","",ROUND(SUMIFS(الإدخالات!$D$2:$D$501,الإدخالات!$C$2:$C$501,$A146)+SUMIFS('تعديل الجرد'!$F$2:$F$501,'تعديل الجرد'!$C$2:$C$501,$A146)-SUMIFS('الصرف المباشر'!$D$2:$D$501,'الصرف المباشر'!$C$2:$C$501,$A146)-SUMPRODUCT((الطبخات!$B$2:$B$900=$A146)*الطبخات!$C$2:$C$900*COUNTIF('سجل الإنتاج'!$C$2:$C$501,الطبخات!$A$2:$A$900)),3))</f>
        <v>0</v>
      </c>
      <c r="D146" s="4">
        <f>IF($A146="","",ROUND(SUMIFS('الصرف المباشر'!$D$2:$D$501,'الصرف المباشر'!$C$2:$C$501,$A146)+SUMPRODUCT((الطبخات!$B$2:$B$900=$A146)*الطبخات!$C$2:$C$900*COUNTIF('سجل الإنتاج'!$C$2:$C$501,الطبخات!$A$2:$A$900)),3))</f>
        <v>0</v>
      </c>
      <c r="E146" s="5" t="str">
        <f t="shared" si="2"/>
        <v>✔ طبيعي</v>
      </c>
      <c r="F146" s="5" t="str">
        <f>IF(AND($A146&lt;&gt;"",$E146&lt;&gt;"✔ طبيعي"),SUMPRODUCT(('الرصيد الحالي'!$E$2:$E146&lt;&gt;"✔ طبيعي")*('الرصيد الحالي'!$E$2:$E146&lt;&gt;"")*('الرصيد الحالي'!$A$2:$A146&lt;&gt;"")),"")</f>
        <v/>
      </c>
    </row>
    <row r="147" spans="1:6" ht="24" customHeight="1">
      <c r="A147" s="3" t="str">
        <f>المواد!A146</f>
        <v xml:space="preserve">سائل غسيل اتوماتيك / فرط </v>
      </c>
      <c r="B147" s="5" t="str">
        <f>المواد!B146</f>
        <v>كغ</v>
      </c>
      <c r="C147" s="4">
        <f>IF($A147="","",ROUND(SUMIFS(الإدخالات!$D$2:$D$501,الإدخالات!$C$2:$C$501,$A147)+SUMIFS('تعديل الجرد'!$F$2:$F$501,'تعديل الجرد'!$C$2:$C$501,$A147)-SUMIFS('الصرف المباشر'!$D$2:$D$501,'الصرف المباشر'!$C$2:$C$501,$A147)-SUMPRODUCT((الطبخات!$B$2:$B$900=$A147)*الطبخات!$C$2:$C$900*COUNTIF('سجل الإنتاج'!$C$2:$C$501,الطبخات!$A$2:$A$900)),3))</f>
        <v>0</v>
      </c>
      <c r="D147" s="4">
        <f>IF($A147="","",ROUND(SUMIFS('الصرف المباشر'!$D$2:$D$501,'الصرف المباشر'!$C$2:$C$501,$A147)+SUMPRODUCT((الطبخات!$B$2:$B$900=$A147)*الطبخات!$C$2:$C$900*COUNTIF('سجل الإنتاج'!$C$2:$C$501,الطبخات!$A$2:$A$900)),3))</f>
        <v>0</v>
      </c>
      <c r="E147" s="5" t="str">
        <f t="shared" si="2"/>
        <v>✔ طبيعي</v>
      </c>
      <c r="F147" s="5" t="str">
        <f>IF(AND($A147&lt;&gt;"",$E147&lt;&gt;"✔ طبيعي"),SUMPRODUCT(('الرصيد الحالي'!$E$2:$E147&lt;&gt;"✔ طبيعي")*('الرصيد الحالي'!$E$2:$E147&lt;&gt;"")*('الرصيد الحالي'!$A$2:$A147&lt;&gt;"")),"")</f>
        <v/>
      </c>
    </row>
    <row r="148" spans="1:6" ht="24" customHeight="1">
      <c r="A148" s="3" t="str">
        <f>المواد!A147</f>
        <v xml:space="preserve">سائل جلي متعدد الاستعمالات كرمل </v>
      </c>
      <c r="B148" s="5" t="str">
        <f>المواد!B147</f>
        <v>عبوة</v>
      </c>
      <c r="C148" s="4">
        <f>IF($A148="","",ROUND(SUMIFS(الإدخالات!$D$2:$D$501,الإدخالات!$C$2:$C$501,$A148)+SUMIFS('تعديل الجرد'!$F$2:$F$501,'تعديل الجرد'!$C$2:$C$501,$A148)-SUMIFS('الصرف المباشر'!$D$2:$D$501,'الصرف المباشر'!$C$2:$C$501,$A148)-SUMPRODUCT((الطبخات!$B$2:$B$900=$A148)*الطبخات!$C$2:$C$900*COUNTIF('سجل الإنتاج'!$C$2:$C$501,الطبخات!$A$2:$A$900)),3))</f>
        <v>0</v>
      </c>
      <c r="D148" s="4">
        <f>IF($A148="","",ROUND(SUMIFS('الصرف المباشر'!$D$2:$D$501,'الصرف المباشر'!$C$2:$C$501,$A148)+SUMPRODUCT((الطبخات!$B$2:$B$900=$A148)*الطبخات!$C$2:$C$900*COUNTIF('سجل الإنتاج'!$C$2:$C$501,الطبخات!$A$2:$A$900)),3))</f>
        <v>0</v>
      </c>
      <c r="E148" s="5" t="str">
        <f t="shared" si="2"/>
        <v>✔ طبيعي</v>
      </c>
      <c r="F148" s="5" t="str">
        <f>IF(AND($A148&lt;&gt;"",$E148&lt;&gt;"✔ طبيعي"),SUMPRODUCT(('الرصيد الحالي'!$E$2:$E148&lt;&gt;"✔ طبيعي")*('الرصيد الحالي'!$E$2:$E148&lt;&gt;"")*('الرصيد الحالي'!$A$2:$A148&lt;&gt;"")),"")</f>
        <v/>
      </c>
    </row>
    <row r="149" spans="1:6" ht="24" customHeight="1">
      <c r="A149" s="3" t="str">
        <f>المواد!A148</f>
        <v xml:space="preserve">سائل جلي متعدد الإستعمالات - غولدن هاوس 1 لتر </v>
      </c>
      <c r="B149" s="5" t="str">
        <f>المواد!B148</f>
        <v>عبوة</v>
      </c>
      <c r="C149" s="4">
        <f>IF($A149="","",ROUND(SUMIFS(الإدخالات!$D$2:$D$501,الإدخالات!$C$2:$C$501,$A149)+SUMIFS('تعديل الجرد'!$F$2:$F$501,'تعديل الجرد'!$C$2:$C$501,$A149)-SUMIFS('الصرف المباشر'!$D$2:$D$501,'الصرف المباشر'!$C$2:$C$501,$A149)-SUMPRODUCT((الطبخات!$B$2:$B$900=$A149)*الطبخات!$C$2:$C$900*COUNTIF('سجل الإنتاج'!$C$2:$C$501,الطبخات!$A$2:$A$900)),3))</f>
        <v>0</v>
      </c>
      <c r="D149" s="4">
        <f>IF($A149="","",ROUND(SUMIFS('الصرف المباشر'!$D$2:$D$501,'الصرف المباشر'!$C$2:$C$501,$A149)+SUMPRODUCT((الطبخات!$B$2:$B$900=$A149)*الطبخات!$C$2:$C$900*COUNTIF('سجل الإنتاج'!$C$2:$C$501,الطبخات!$A$2:$A$900)),3))</f>
        <v>0</v>
      </c>
      <c r="E149" s="5" t="str">
        <f t="shared" si="2"/>
        <v>✔ طبيعي</v>
      </c>
      <c r="F149" s="5" t="str">
        <f>IF(AND($A149&lt;&gt;"",$E149&lt;&gt;"✔ طبيعي"),SUMPRODUCT(('الرصيد الحالي'!$E$2:$E149&lt;&gt;"✔ طبيعي")*('الرصيد الحالي'!$E$2:$E149&lt;&gt;"")*('الرصيد الحالي'!$A$2:$A149&lt;&gt;"")),"")</f>
        <v/>
      </c>
    </row>
    <row r="150" spans="1:6" ht="24" customHeight="1">
      <c r="A150" s="3" t="str">
        <f>المواد!A149</f>
        <v>سائل جلي شفاف مع عطر / فرط</v>
      </c>
      <c r="B150" s="5" t="str">
        <f>المواد!B149</f>
        <v>كغ</v>
      </c>
      <c r="C150" s="4">
        <f>IF($A150="","",ROUND(SUMIFS(الإدخالات!$D$2:$D$501,الإدخالات!$C$2:$C$501,$A150)+SUMIFS('تعديل الجرد'!$F$2:$F$501,'تعديل الجرد'!$C$2:$C$501,$A150)-SUMIFS('الصرف المباشر'!$D$2:$D$501,'الصرف المباشر'!$C$2:$C$501,$A150)-SUMPRODUCT((الطبخات!$B$2:$B$900=$A150)*الطبخات!$C$2:$C$900*COUNTIF('سجل الإنتاج'!$C$2:$C$501,الطبخات!$A$2:$A$900)),3))</f>
        <v>0</v>
      </c>
      <c r="D150" s="4">
        <f>IF($A150="","",ROUND(SUMIFS('الصرف المباشر'!$D$2:$D$501,'الصرف المباشر'!$C$2:$C$501,$A150)+SUMPRODUCT((الطبخات!$B$2:$B$900=$A150)*الطبخات!$C$2:$C$900*COUNTIF('سجل الإنتاج'!$C$2:$C$501,الطبخات!$A$2:$A$900)),3))</f>
        <v>0</v>
      </c>
      <c r="E150" s="5" t="str">
        <f t="shared" si="2"/>
        <v>✔ طبيعي</v>
      </c>
      <c r="F150" s="5" t="str">
        <f>IF(AND($A150&lt;&gt;"",$E150&lt;&gt;"✔ طبيعي"),SUMPRODUCT(('الرصيد الحالي'!$E$2:$E150&lt;&gt;"✔ طبيعي")*('الرصيد الحالي'!$E$2:$E150&lt;&gt;"")*('الرصيد الحالي'!$A$2:$A150&lt;&gt;"")),"")</f>
        <v/>
      </c>
    </row>
    <row r="151" spans="1:6" ht="24" customHeight="1">
      <c r="A151" s="3" t="str">
        <f>المواد!A150</f>
        <v>سائل جلي super / فرط 2604</v>
      </c>
      <c r="B151" s="5" t="str">
        <f>المواد!B150</f>
        <v>كغ</v>
      </c>
      <c r="C151" s="4">
        <f>IF($A151="","",ROUND(SUMIFS(الإدخالات!$D$2:$D$501,الإدخالات!$C$2:$C$501,$A151)+SUMIFS('تعديل الجرد'!$F$2:$F$501,'تعديل الجرد'!$C$2:$C$501,$A151)-SUMIFS('الصرف المباشر'!$D$2:$D$501,'الصرف المباشر'!$C$2:$C$501,$A151)-SUMPRODUCT((الطبخات!$B$2:$B$900=$A151)*الطبخات!$C$2:$C$900*COUNTIF('سجل الإنتاج'!$C$2:$C$501,الطبخات!$A$2:$A$900)),3))</f>
        <v>0</v>
      </c>
      <c r="D151" s="4">
        <f>IF($A151="","",ROUND(SUMIFS('الصرف المباشر'!$D$2:$D$501,'الصرف المباشر'!$C$2:$C$501,$A151)+SUMPRODUCT((الطبخات!$B$2:$B$900=$A151)*الطبخات!$C$2:$C$900*COUNTIF('سجل الإنتاج'!$C$2:$C$501,الطبخات!$A$2:$A$900)),3))</f>
        <v>0</v>
      </c>
      <c r="E151" s="5" t="str">
        <f t="shared" si="2"/>
        <v>✔ طبيعي</v>
      </c>
      <c r="F151" s="5" t="str">
        <f>IF(AND($A151&lt;&gt;"",$E151&lt;&gt;"✔ طبيعي"),SUMPRODUCT(('الرصيد الحالي'!$E$2:$E151&lt;&gt;"✔ طبيعي")*('الرصيد الحالي'!$E$2:$E151&lt;&gt;"")*('الرصيد الحالي'!$A$2:$A151&lt;&gt;"")),"")</f>
        <v/>
      </c>
    </row>
    <row r="152" spans="1:6" ht="24" customHeight="1">
      <c r="A152" s="3" t="str">
        <f>المواد!A151</f>
        <v>سائل جلي super / فرط 2603</v>
      </c>
      <c r="B152" s="5" t="str">
        <f>المواد!B151</f>
        <v>كغ</v>
      </c>
      <c r="C152" s="4">
        <f>IF($A152="","",ROUND(SUMIFS(الإدخالات!$D$2:$D$501,الإدخالات!$C$2:$C$501,$A152)+SUMIFS('تعديل الجرد'!$F$2:$F$501,'تعديل الجرد'!$C$2:$C$501,$A152)-SUMIFS('الصرف المباشر'!$D$2:$D$501,'الصرف المباشر'!$C$2:$C$501,$A152)-SUMPRODUCT((الطبخات!$B$2:$B$900=$A152)*الطبخات!$C$2:$C$900*COUNTIF('سجل الإنتاج'!$C$2:$C$501,الطبخات!$A$2:$A$900)),3))</f>
        <v>0</v>
      </c>
      <c r="D152" s="4">
        <f>IF($A152="","",ROUND(SUMIFS('الصرف المباشر'!$D$2:$D$501,'الصرف المباشر'!$C$2:$C$501,$A152)+SUMPRODUCT((الطبخات!$B$2:$B$900=$A152)*الطبخات!$C$2:$C$900*COUNTIF('سجل الإنتاج'!$C$2:$C$501,الطبخات!$A$2:$A$900)),3))</f>
        <v>0</v>
      </c>
      <c r="E152" s="5" t="str">
        <f t="shared" si="2"/>
        <v>✔ طبيعي</v>
      </c>
      <c r="F152" s="5" t="str">
        <f>IF(AND($A152&lt;&gt;"",$E152&lt;&gt;"✔ طبيعي"),SUMPRODUCT(('الرصيد الحالي'!$E$2:$E152&lt;&gt;"✔ طبيعي")*('الرصيد الحالي'!$E$2:$E152&lt;&gt;"")*('الرصيد الحالي'!$A$2:$A152&lt;&gt;"")),"")</f>
        <v/>
      </c>
    </row>
    <row r="153" spans="1:6" ht="24" customHeight="1">
      <c r="A153" s="3" t="str">
        <f>المواد!A152</f>
        <v>سائل جلي super / فرط 2602</v>
      </c>
      <c r="B153" s="5" t="str">
        <f>المواد!B152</f>
        <v>كغ</v>
      </c>
      <c r="C153" s="4">
        <f>IF($A153="","",ROUND(SUMIFS(الإدخالات!$D$2:$D$501,الإدخالات!$C$2:$C$501,$A153)+SUMIFS('تعديل الجرد'!$F$2:$F$501,'تعديل الجرد'!$C$2:$C$501,$A153)-SUMIFS('الصرف المباشر'!$D$2:$D$501,'الصرف المباشر'!$C$2:$C$501,$A153)-SUMPRODUCT((الطبخات!$B$2:$B$900=$A153)*الطبخات!$C$2:$C$900*COUNTIF('سجل الإنتاج'!$C$2:$C$501,الطبخات!$A$2:$A$900)),3))</f>
        <v>0</v>
      </c>
      <c r="D153" s="4">
        <f>IF($A153="","",ROUND(SUMIFS('الصرف المباشر'!$D$2:$D$501,'الصرف المباشر'!$C$2:$C$501,$A153)+SUMPRODUCT((الطبخات!$B$2:$B$900=$A153)*الطبخات!$C$2:$C$900*COUNTIF('سجل الإنتاج'!$C$2:$C$501,الطبخات!$A$2:$A$900)),3))</f>
        <v>0</v>
      </c>
      <c r="E153" s="5" t="str">
        <f t="shared" si="2"/>
        <v>✔ طبيعي</v>
      </c>
      <c r="F153" s="5" t="str">
        <f>IF(AND($A153&lt;&gt;"",$E153&lt;&gt;"✔ طبيعي"),SUMPRODUCT(('الرصيد الحالي'!$E$2:$E153&lt;&gt;"✔ طبيعي")*('الرصيد الحالي'!$E$2:$E153&lt;&gt;"")*('الرصيد الحالي'!$A$2:$A153&lt;&gt;"")),"")</f>
        <v/>
      </c>
    </row>
    <row r="154" spans="1:6" ht="24" customHeight="1">
      <c r="A154" s="3" t="str">
        <f>المواد!A153</f>
        <v>سائل جلي super / فرط 2601</v>
      </c>
      <c r="B154" s="5" t="str">
        <f>المواد!B153</f>
        <v>كغ</v>
      </c>
      <c r="C154" s="4">
        <f>IF($A154="","",ROUND(SUMIFS(الإدخالات!$D$2:$D$501,الإدخالات!$C$2:$C$501,$A154)+SUMIFS('تعديل الجرد'!$F$2:$F$501,'تعديل الجرد'!$C$2:$C$501,$A154)-SUMIFS('الصرف المباشر'!$D$2:$D$501,'الصرف المباشر'!$C$2:$C$501,$A154)-SUMPRODUCT((الطبخات!$B$2:$B$900=$A154)*الطبخات!$C$2:$C$900*COUNTIF('سجل الإنتاج'!$C$2:$C$501,الطبخات!$A$2:$A$900)),3))</f>
        <v>0</v>
      </c>
      <c r="D154" s="4">
        <f>IF($A154="","",ROUND(SUMIFS('الصرف المباشر'!$D$2:$D$501,'الصرف المباشر'!$C$2:$C$501,$A154)+SUMPRODUCT((الطبخات!$B$2:$B$900=$A154)*الطبخات!$C$2:$C$900*COUNTIF('سجل الإنتاج'!$C$2:$C$501,الطبخات!$A$2:$A$900)),3))</f>
        <v>0</v>
      </c>
      <c r="E154" s="5" t="str">
        <f t="shared" si="2"/>
        <v>✔ طبيعي</v>
      </c>
      <c r="F154" s="5" t="str">
        <f>IF(AND($A154&lt;&gt;"",$E154&lt;&gt;"✔ طبيعي"),SUMPRODUCT(('الرصيد الحالي'!$E$2:$E154&lt;&gt;"✔ طبيعي")*('الرصيد الحالي'!$E$2:$E154&lt;&gt;"")*('الرصيد الحالي'!$A$2:$A154&lt;&gt;"")),"")</f>
        <v/>
      </c>
    </row>
    <row r="155" spans="1:6" ht="24" customHeight="1">
      <c r="A155" s="3" t="str">
        <f>المواد!A154</f>
        <v>سائل جلي super / عبوة 3 لتر 2604</v>
      </c>
      <c r="B155" s="5" t="str">
        <f>المواد!B154</f>
        <v>عبوة</v>
      </c>
      <c r="C155" s="4">
        <f>IF($A155="","",ROUND(SUMIFS(الإدخالات!$D$2:$D$501,الإدخالات!$C$2:$C$501,$A155)+SUMIFS('تعديل الجرد'!$F$2:$F$501,'تعديل الجرد'!$C$2:$C$501,$A155)-SUMIFS('الصرف المباشر'!$D$2:$D$501,'الصرف المباشر'!$C$2:$C$501,$A155)-SUMPRODUCT((الطبخات!$B$2:$B$900=$A155)*الطبخات!$C$2:$C$900*COUNTIF('سجل الإنتاج'!$C$2:$C$501,الطبخات!$A$2:$A$900)),3))</f>
        <v>0</v>
      </c>
      <c r="D155" s="4">
        <f>IF($A155="","",ROUND(SUMIFS('الصرف المباشر'!$D$2:$D$501,'الصرف المباشر'!$C$2:$C$501,$A155)+SUMPRODUCT((الطبخات!$B$2:$B$900=$A155)*الطبخات!$C$2:$C$900*COUNTIF('سجل الإنتاج'!$C$2:$C$501,الطبخات!$A$2:$A$900)),3))</f>
        <v>0</v>
      </c>
      <c r="E155" s="5" t="str">
        <f t="shared" si="2"/>
        <v>✔ طبيعي</v>
      </c>
      <c r="F155" s="5" t="str">
        <f>IF(AND($A155&lt;&gt;"",$E155&lt;&gt;"✔ طبيعي"),SUMPRODUCT(('الرصيد الحالي'!$E$2:$E155&lt;&gt;"✔ طبيعي")*('الرصيد الحالي'!$E$2:$E155&lt;&gt;"")*('الرصيد الحالي'!$A$2:$A155&lt;&gt;"")),"")</f>
        <v/>
      </c>
    </row>
    <row r="156" spans="1:6" ht="24" customHeight="1">
      <c r="A156" s="3" t="str">
        <f>المواد!A155</f>
        <v>سائل جلي super / عبوة 3 لتر 2603</v>
      </c>
      <c r="B156" s="5" t="str">
        <f>المواد!B155</f>
        <v>عبوة</v>
      </c>
      <c r="C156" s="4">
        <f>IF($A156="","",ROUND(SUMIFS(الإدخالات!$D$2:$D$501,الإدخالات!$C$2:$C$501,$A156)+SUMIFS('تعديل الجرد'!$F$2:$F$501,'تعديل الجرد'!$C$2:$C$501,$A156)-SUMIFS('الصرف المباشر'!$D$2:$D$501,'الصرف المباشر'!$C$2:$C$501,$A156)-SUMPRODUCT((الطبخات!$B$2:$B$900=$A156)*الطبخات!$C$2:$C$900*COUNTIF('سجل الإنتاج'!$C$2:$C$501,الطبخات!$A$2:$A$900)),3))</f>
        <v>0</v>
      </c>
      <c r="D156" s="4">
        <f>IF($A156="","",ROUND(SUMIFS('الصرف المباشر'!$D$2:$D$501,'الصرف المباشر'!$C$2:$C$501,$A156)+SUMPRODUCT((الطبخات!$B$2:$B$900=$A156)*الطبخات!$C$2:$C$900*COUNTIF('سجل الإنتاج'!$C$2:$C$501,الطبخات!$A$2:$A$900)),3))</f>
        <v>0</v>
      </c>
      <c r="E156" s="5" t="str">
        <f t="shared" si="2"/>
        <v>✔ طبيعي</v>
      </c>
      <c r="F156" s="5" t="str">
        <f>IF(AND($A156&lt;&gt;"",$E156&lt;&gt;"✔ طبيعي"),SUMPRODUCT(('الرصيد الحالي'!$E$2:$E156&lt;&gt;"✔ طبيعي")*('الرصيد الحالي'!$E$2:$E156&lt;&gt;"")*('الرصيد الحالي'!$A$2:$A156&lt;&gt;"")),"")</f>
        <v/>
      </c>
    </row>
    <row r="157" spans="1:6" ht="24" customHeight="1">
      <c r="A157" s="3" t="str">
        <f>المواد!A156</f>
        <v>سائل جلي super / عبوة 3 لتر 2602</v>
      </c>
      <c r="B157" s="5" t="str">
        <f>المواد!B156</f>
        <v>عبوة</v>
      </c>
      <c r="C157" s="4">
        <f>IF($A157="","",ROUND(SUMIFS(الإدخالات!$D$2:$D$501,الإدخالات!$C$2:$C$501,$A157)+SUMIFS('تعديل الجرد'!$F$2:$F$501,'تعديل الجرد'!$C$2:$C$501,$A157)-SUMIFS('الصرف المباشر'!$D$2:$D$501,'الصرف المباشر'!$C$2:$C$501,$A157)-SUMPRODUCT((الطبخات!$B$2:$B$900=$A157)*الطبخات!$C$2:$C$900*COUNTIF('سجل الإنتاج'!$C$2:$C$501,الطبخات!$A$2:$A$900)),3))</f>
        <v>0</v>
      </c>
      <c r="D157" s="4">
        <f>IF($A157="","",ROUND(SUMIFS('الصرف المباشر'!$D$2:$D$501,'الصرف المباشر'!$C$2:$C$501,$A157)+SUMPRODUCT((الطبخات!$B$2:$B$900=$A157)*الطبخات!$C$2:$C$900*COUNTIF('سجل الإنتاج'!$C$2:$C$501,الطبخات!$A$2:$A$900)),3))</f>
        <v>0</v>
      </c>
      <c r="E157" s="5" t="str">
        <f t="shared" si="2"/>
        <v>✔ طبيعي</v>
      </c>
      <c r="F157" s="5" t="str">
        <f>IF(AND($A157&lt;&gt;"",$E157&lt;&gt;"✔ طبيعي"),SUMPRODUCT(('الرصيد الحالي'!$E$2:$E157&lt;&gt;"✔ طبيعي")*('الرصيد الحالي'!$E$2:$E157&lt;&gt;"")*('الرصيد الحالي'!$A$2:$A157&lt;&gt;"")),"")</f>
        <v/>
      </c>
    </row>
    <row r="158" spans="1:6" ht="24" customHeight="1">
      <c r="A158" s="3" t="str">
        <f>المواد!A157</f>
        <v>سائل جلي super / عبوة 3 لتر 2601</v>
      </c>
      <c r="B158" s="5" t="str">
        <f>المواد!B157</f>
        <v>عبوة</v>
      </c>
      <c r="C158" s="4">
        <f>IF($A158="","",ROUND(SUMIFS(الإدخالات!$D$2:$D$501,الإدخالات!$C$2:$C$501,$A158)+SUMIFS('تعديل الجرد'!$F$2:$F$501,'تعديل الجرد'!$C$2:$C$501,$A158)-SUMIFS('الصرف المباشر'!$D$2:$D$501,'الصرف المباشر'!$C$2:$C$501,$A158)-SUMPRODUCT((الطبخات!$B$2:$B$900=$A158)*الطبخات!$C$2:$C$900*COUNTIF('سجل الإنتاج'!$C$2:$C$501,الطبخات!$A$2:$A$900)),3))</f>
        <v>0</v>
      </c>
      <c r="D158" s="4">
        <f>IF($A158="","",ROUND(SUMIFS('الصرف المباشر'!$D$2:$D$501,'الصرف المباشر'!$C$2:$C$501,$A158)+SUMPRODUCT((الطبخات!$B$2:$B$900=$A158)*الطبخات!$C$2:$C$900*COUNTIF('سجل الإنتاج'!$C$2:$C$501,الطبخات!$A$2:$A$900)),3))</f>
        <v>0</v>
      </c>
      <c r="E158" s="5" t="str">
        <f t="shared" si="2"/>
        <v>✔ طبيعي</v>
      </c>
      <c r="F158" s="5" t="str">
        <f>IF(AND($A158&lt;&gt;"",$E158&lt;&gt;"✔ طبيعي"),SUMPRODUCT(('الرصيد الحالي'!$E$2:$E158&lt;&gt;"✔ طبيعي")*('الرصيد الحالي'!$E$2:$E158&lt;&gt;"")*('الرصيد الحالي'!$A$2:$A158&lt;&gt;"")),"")</f>
        <v/>
      </c>
    </row>
    <row r="159" spans="1:6" ht="24" customHeight="1">
      <c r="A159" s="3" t="str">
        <f>المواد!A158</f>
        <v>زيت صنوبر 3 لتر</v>
      </c>
      <c r="B159" s="5" t="str">
        <f>المواد!B158</f>
        <v>عبوة</v>
      </c>
      <c r="C159" s="4">
        <f>IF($A159="","",ROUND(SUMIFS(الإدخالات!$D$2:$D$501,الإدخالات!$C$2:$C$501,$A159)+SUMIFS('تعديل الجرد'!$F$2:$F$501,'تعديل الجرد'!$C$2:$C$501,$A159)-SUMIFS('الصرف المباشر'!$D$2:$D$501,'الصرف المباشر'!$C$2:$C$501,$A159)-SUMPRODUCT((الطبخات!$B$2:$B$900=$A159)*الطبخات!$C$2:$C$900*COUNTIF('سجل الإنتاج'!$C$2:$C$501,الطبخات!$A$2:$A$900)),3))</f>
        <v>0</v>
      </c>
      <c r="D159" s="4">
        <f>IF($A159="","",ROUND(SUMIFS('الصرف المباشر'!$D$2:$D$501,'الصرف المباشر'!$C$2:$C$501,$A159)+SUMPRODUCT((الطبخات!$B$2:$B$900=$A159)*الطبخات!$C$2:$C$900*COUNTIF('سجل الإنتاج'!$C$2:$C$501,الطبخات!$A$2:$A$900)),3))</f>
        <v>0</v>
      </c>
      <c r="E159" s="5" t="str">
        <f t="shared" si="2"/>
        <v>✔ طبيعي</v>
      </c>
      <c r="F159" s="5" t="str">
        <f>IF(AND($A159&lt;&gt;"",$E159&lt;&gt;"✔ طبيعي"),SUMPRODUCT(('الرصيد الحالي'!$E$2:$E159&lt;&gt;"✔ طبيعي")*('الرصيد الحالي'!$E$2:$E159&lt;&gt;"")*('الرصيد الحالي'!$A$2:$A159&lt;&gt;"")),"")</f>
        <v/>
      </c>
    </row>
    <row r="160" spans="1:6" ht="24" customHeight="1">
      <c r="A160" s="3" t="str">
        <f>المواد!A159</f>
        <v xml:space="preserve">ديتول 3 لتر </v>
      </c>
      <c r="B160" s="5" t="str">
        <f>المواد!B159</f>
        <v>عبوة</v>
      </c>
      <c r="C160" s="4">
        <f>IF($A160="","",ROUND(SUMIFS(الإدخالات!$D$2:$D$501,الإدخالات!$C$2:$C$501,$A160)+SUMIFS('تعديل الجرد'!$F$2:$F$501,'تعديل الجرد'!$C$2:$C$501,$A160)-SUMIFS('الصرف المباشر'!$D$2:$D$501,'الصرف المباشر'!$C$2:$C$501,$A160)-SUMPRODUCT((الطبخات!$B$2:$B$900=$A160)*الطبخات!$C$2:$C$900*COUNTIF('سجل الإنتاج'!$C$2:$C$501,الطبخات!$A$2:$A$900)),3))</f>
        <v>0</v>
      </c>
      <c r="D160" s="4">
        <f>IF($A160="","",ROUND(SUMIFS('الصرف المباشر'!$D$2:$D$501,'الصرف المباشر'!$C$2:$C$501,$A160)+SUMPRODUCT((الطبخات!$B$2:$B$900=$A160)*الطبخات!$C$2:$C$900*COUNTIF('سجل الإنتاج'!$C$2:$C$501,الطبخات!$A$2:$A$900)),3))</f>
        <v>0</v>
      </c>
      <c r="E160" s="5" t="str">
        <f t="shared" si="2"/>
        <v>✔ طبيعي</v>
      </c>
      <c r="F160" s="5" t="str">
        <f>IF(AND($A160&lt;&gt;"",$E160&lt;&gt;"✔ طبيعي"),SUMPRODUCT(('الرصيد الحالي'!$E$2:$E160&lt;&gt;"✔ طبيعي")*('الرصيد الحالي'!$E$2:$E160&lt;&gt;"")*('الرصيد الحالي'!$A$2:$A160&lt;&gt;"")),"")</f>
        <v/>
      </c>
    </row>
    <row r="161" spans="1:6" ht="24" customHeight="1">
      <c r="A161" s="3" t="str">
        <f>المواد!A160</f>
        <v xml:space="preserve">ديتول / فرط </v>
      </c>
      <c r="B161" s="5" t="str">
        <f>المواد!B160</f>
        <v>كغ</v>
      </c>
      <c r="C161" s="4">
        <f>IF($A161="","",ROUND(SUMIFS(الإدخالات!$D$2:$D$501,الإدخالات!$C$2:$C$501,$A161)+SUMIFS('تعديل الجرد'!$F$2:$F$501,'تعديل الجرد'!$C$2:$C$501,$A161)-SUMIFS('الصرف المباشر'!$D$2:$D$501,'الصرف المباشر'!$C$2:$C$501,$A161)-SUMPRODUCT((الطبخات!$B$2:$B$900=$A161)*الطبخات!$C$2:$C$900*COUNTIF('سجل الإنتاج'!$C$2:$C$501,الطبخات!$A$2:$A$900)),3))</f>
        <v>0</v>
      </c>
      <c r="D161" s="4">
        <f>IF($A161="","",ROUND(SUMIFS('الصرف المباشر'!$D$2:$D$501,'الصرف المباشر'!$C$2:$C$501,$A161)+SUMPRODUCT((الطبخات!$B$2:$B$900=$A161)*الطبخات!$C$2:$C$900*COUNTIF('سجل الإنتاج'!$C$2:$C$501,الطبخات!$A$2:$A$900)),3))</f>
        <v>0</v>
      </c>
      <c r="E161" s="5" t="str">
        <f t="shared" si="2"/>
        <v>✔ طبيعي</v>
      </c>
      <c r="F161" s="5" t="str">
        <f>IF(AND($A161&lt;&gt;"",$E161&lt;&gt;"✔ طبيعي"),SUMPRODUCT(('الرصيد الحالي'!$E$2:$E161&lt;&gt;"✔ طبيعي")*('الرصيد الحالي'!$E$2:$E161&lt;&gt;"")*('الرصيد الحالي'!$A$2:$A161&lt;&gt;"")),"")</f>
        <v/>
      </c>
    </row>
    <row r="162" spans="1:6" ht="24" customHeight="1">
      <c r="A162" s="3" t="str">
        <f>المواد!A161</f>
        <v xml:space="preserve">دواء غسيل بودرا </v>
      </c>
      <c r="B162" s="5" t="str">
        <f>المواد!B161</f>
        <v>كغ</v>
      </c>
      <c r="C162" s="4">
        <f>IF($A162="","",ROUND(SUMIFS(الإدخالات!$D$2:$D$501,الإدخالات!$C$2:$C$501,$A162)+SUMIFS('تعديل الجرد'!$F$2:$F$501,'تعديل الجرد'!$C$2:$C$501,$A162)-SUMIFS('الصرف المباشر'!$D$2:$D$501,'الصرف المباشر'!$C$2:$C$501,$A162)-SUMPRODUCT((الطبخات!$B$2:$B$900=$A162)*الطبخات!$C$2:$C$900*COUNTIF('سجل الإنتاج'!$C$2:$C$501,الطبخات!$A$2:$A$900)),3))</f>
        <v>0</v>
      </c>
      <c r="D162" s="4">
        <f>IF($A162="","",ROUND(SUMIFS('الصرف المباشر'!$D$2:$D$501,'الصرف المباشر'!$C$2:$C$501,$A162)+SUMPRODUCT((الطبخات!$B$2:$B$900=$A162)*الطبخات!$C$2:$C$900*COUNTIF('سجل الإنتاج'!$C$2:$C$501,الطبخات!$A$2:$A$900)),3))</f>
        <v>0</v>
      </c>
      <c r="E162" s="5" t="str">
        <f t="shared" si="2"/>
        <v>✔ طبيعي</v>
      </c>
      <c r="F162" s="5" t="str">
        <f>IF(AND($A162&lt;&gt;"",$E162&lt;&gt;"✔ طبيعي"),SUMPRODUCT(('الرصيد الحالي'!$E$2:$E162&lt;&gt;"✔ طبيعي")*('الرصيد الحالي'!$E$2:$E162&lt;&gt;"")*('الرصيد الحالي'!$A$2:$A162&lt;&gt;"")),"")</f>
        <v/>
      </c>
    </row>
    <row r="163" spans="1:6" ht="24" customHeight="1">
      <c r="A163" s="3" t="str">
        <f>المواد!A162</f>
        <v>دوا غسيل نورا</v>
      </c>
      <c r="B163" s="5" t="str">
        <f>المواد!B162</f>
        <v>كغ</v>
      </c>
      <c r="C163" s="4">
        <f>IF($A163="","",ROUND(SUMIFS(الإدخالات!$D$2:$D$501,الإدخالات!$C$2:$C$501,$A163)+SUMIFS('تعديل الجرد'!$F$2:$F$501,'تعديل الجرد'!$C$2:$C$501,$A163)-SUMIFS('الصرف المباشر'!$D$2:$D$501,'الصرف المباشر'!$C$2:$C$501,$A163)-SUMPRODUCT((الطبخات!$B$2:$B$900=$A163)*الطبخات!$C$2:$C$900*COUNTIF('سجل الإنتاج'!$C$2:$C$501,الطبخات!$A$2:$A$900)),3))</f>
        <v>0</v>
      </c>
      <c r="D163" s="4">
        <f>IF($A163="","",ROUND(SUMIFS('الصرف المباشر'!$D$2:$D$501,'الصرف المباشر'!$C$2:$C$501,$A163)+SUMPRODUCT((الطبخات!$B$2:$B$900=$A163)*الطبخات!$C$2:$C$900*COUNTIF('سجل الإنتاج'!$C$2:$C$501,الطبخات!$A$2:$A$900)),3))</f>
        <v>0</v>
      </c>
      <c r="E163" s="5" t="str">
        <f t="shared" si="2"/>
        <v>✔ طبيعي</v>
      </c>
      <c r="F163" s="5" t="str">
        <f>IF(AND($A163&lt;&gt;"",$E163&lt;&gt;"✔ طبيعي"),SUMPRODUCT(('الرصيد الحالي'!$E$2:$E163&lt;&gt;"✔ طبيعي")*('الرصيد الحالي'!$E$2:$E163&lt;&gt;"")*('الرصيد الحالي'!$A$2:$A163&lt;&gt;"")),"")</f>
        <v/>
      </c>
    </row>
    <row r="164" spans="1:6" ht="24" customHeight="1">
      <c r="A164" s="3" t="str">
        <f>المواد!A163</f>
        <v xml:space="preserve">دفتر </v>
      </c>
      <c r="B164" s="5" t="str">
        <f>المواد!B163</f>
        <v>قطعة</v>
      </c>
      <c r="C164" s="4">
        <f>IF($A164="","",ROUND(SUMIFS(الإدخالات!$D$2:$D$501,الإدخالات!$C$2:$C$501,$A164)+SUMIFS('تعديل الجرد'!$F$2:$F$501,'تعديل الجرد'!$C$2:$C$501,$A164)-SUMIFS('الصرف المباشر'!$D$2:$D$501,'الصرف المباشر'!$C$2:$C$501,$A164)-SUMPRODUCT((الطبخات!$B$2:$B$900=$A164)*الطبخات!$C$2:$C$900*COUNTIF('سجل الإنتاج'!$C$2:$C$501,الطبخات!$A$2:$A$900)),3))</f>
        <v>0</v>
      </c>
      <c r="D164" s="4">
        <f>IF($A164="","",ROUND(SUMIFS('الصرف المباشر'!$D$2:$D$501,'الصرف المباشر'!$C$2:$C$501,$A164)+SUMPRODUCT((الطبخات!$B$2:$B$900=$A164)*الطبخات!$C$2:$C$900*COUNTIF('سجل الإنتاج'!$C$2:$C$501,الطبخات!$A$2:$A$900)),3))</f>
        <v>0</v>
      </c>
      <c r="E164" s="5" t="str">
        <f t="shared" si="2"/>
        <v>✔ طبيعي</v>
      </c>
      <c r="F164" s="5" t="str">
        <f>IF(AND($A164&lt;&gt;"",$E164&lt;&gt;"✔ طبيعي"),SUMPRODUCT(('الرصيد الحالي'!$E$2:$E164&lt;&gt;"✔ طبيعي")*('الرصيد الحالي'!$E$2:$E164&lt;&gt;"")*('الرصيد الحالي'!$A$2:$A164&lt;&gt;"")),"")</f>
        <v/>
      </c>
    </row>
    <row r="165" spans="1:6" ht="24" customHeight="1">
      <c r="A165" s="3" t="str">
        <f>المواد!A164</f>
        <v xml:space="preserve">خردة وبلاستيك </v>
      </c>
      <c r="B165" s="5" t="str">
        <f>المواد!B164</f>
        <v>كغ</v>
      </c>
      <c r="C165" s="4">
        <f>IF($A165="","",ROUND(SUMIFS(الإدخالات!$D$2:$D$501,الإدخالات!$C$2:$C$501,$A165)+SUMIFS('تعديل الجرد'!$F$2:$F$501,'تعديل الجرد'!$C$2:$C$501,$A165)-SUMIFS('الصرف المباشر'!$D$2:$D$501,'الصرف المباشر'!$C$2:$C$501,$A165)-SUMPRODUCT((الطبخات!$B$2:$B$900=$A165)*الطبخات!$C$2:$C$900*COUNTIF('سجل الإنتاج'!$C$2:$C$501,الطبخات!$A$2:$A$900)),3))</f>
        <v>0</v>
      </c>
      <c r="D165" s="4">
        <f>IF($A165="","",ROUND(SUMIFS('الصرف المباشر'!$D$2:$D$501,'الصرف المباشر'!$C$2:$C$501,$A165)+SUMPRODUCT((الطبخات!$B$2:$B$900=$A165)*الطبخات!$C$2:$C$900*COUNTIF('سجل الإنتاج'!$C$2:$C$501,الطبخات!$A$2:$A$900)),3))</f>
        <v>0</v>
      </c>
      <c r="E165" s="5" t="str">
        <f t="shared" si="2"/>
        <v>✔ طبيعي</v>
      </c>
      <c r="F165" s="5" t="str">
        <f>IF(AND($A165&lt;&gt;"",$E165&lt;&gt;"✔ طبيعي"),SUMPRODUCT(('الرصيد الحالي'!$E$2:$E165&lt;&gt;"✔ طبيعي")*('الرصيد الحالي'!$E$2:$E165&lt;&gt;"")*('الرصيد الحالي'!$A$2:$A165&lt;&gt;"")),"")</f>
        <v/>
      </c>
    </row>
    <row r="166" spans="1:6" ht="24" customHeight="1">
      <c r="A166" s="3" t="str">
        <f>المواد!A165</f>
        <v>جاطات + طشوطة بلاستيك</v>
      </c>
      <c r="B166" s="5" t="str">
        <f>المواد!B165</f>
        <v>قطعة</v>
      </c>
      <c r="C166" s="4">
        <f>IF($A166="","",ROUND(SUMIFS(الإدخالات!$D$2:$D$501,الإدخالات!$C$2:$C$501,$A166)+SUMIFS('تعديل الجرد'!$F$2:$F$501,'تعديل الجرد'!$C$2:$C$501,$A166)-SUMIFS('الصرف المباشر'!$D$2:$D$501,'الصرف المباشر'!$C$2:$C$501,$A166)-SUMPRODUCT((الطبخات!$B$2:$B$900=$A166)*الطبخات!$C$2:$C$900*COUNTIF('سجل الإنتاج'!$C$2:$C$501,الطبخات!$A$2:$A$900)),3))</f>
        <v>0</v>
      </c>
      <c r="D166" s="4">
        <f>IF($A166="","",ROUND(SUMIFS('الصرف المباشر'!$D$2:$D$501,'الصرف المباشر'!$C$2:$C$501,$A166)+SUMPRODUCT((الطبخات!$B$2:$B$900=$A166)*الطبخات!$C$2:$C$900*COUNTIF('سجل الإنتاج'!$C$2:$C$501,الطبخات!$A$2:$A$900)),3))</f>
        <v>0</v>
      </c>
      <c r="E166" s="5" t="str">
        <f t="shared" si="2"/>
        <v>✔ طبيعي</v>
      </c>
      <c r="F166" s="5" t="str">
        <f>IF(AND($A166&lt;&gt;"",$E166&lt;&gt;"✔ طبيعي"),SUMPRODUCT(('الرصيد الحالي'!$E$2:$E166&lt;&gt;"✔ طبيعي")*('الرصيد الحالي'!$E$2:$E166&lt;&gt;"")*('الرصيد الحالي'!$A$2:$A166&lt;&gt;"")),"")</f>
        <v/>
      </c>
    </row>
    <row r="167" spans="1:6" ht="24" customHeight="1">
      <c r="A167" s="3" t="str">
        <f>المواد!A166</f>
        <v>بيدون سعة 5 كغ</v>
      </c>
      <c r="B167" s="5" t="str">
        <f>المواد!B166</f>
        <v>قطعة</v>
      </c>
      <c r="C167" s="4">
        <f>IF($A167="","",ROUND(SUMIFS(الإدخالات!$D$2:$D$501,الإدخالات!$C$2:$C$501,$A167)+SUMIFS('تعديل الجرد'!$F$2:$F$501,'تعديل الجرد'!$C$2:$C$501,$A167)-SUMIFS('الصرف المباشر'!$D$2:$D$501,'الصرف المباشر'!$C$2:$C$501,$A167)-SUMPRODUCT((الطبخات!$B$2:$B$900=$A167)*الطبخات!$C$2:$C$900*COUNTIF('سجل الإنتاج'!$C$2:$C$501,الطبخات!$A$2:$A$900)),3))</f>
        <v>0</v>
      </c>
      <c r="D167" s="4">
        <f>IF($A167="","",ROUND(SUMIFS('الصرف المباشر'!$D$2:$D$501,'الصرف المباشر'!$C$2:$C$501,$A167)+SUMPRODUCT((الطبخات!$B$2:$B$900=$A167)*الطبخات!$C$2:$C$900*COUNTIF('سجل الإنتاج'!$C$2:$C$501,الطبخات!$A$2:$A$900)),3))</f>
        <v>0</v>
      </c>
      <c r="E167" s="5" t="str">
        <f t="shared" si="2"/>
        <v>✔ طبيعي</v>
      </c>
      <c r="F167" s="5" t="str">
        <f>IF(AND($A167&lt;&gt;"",$E167&lt;&gt;"✔ طبيعي"),SUMPRODUCT(('الرصيد الحالي'!$E$2:$E167&lt;&gt;"✔ طبيعي")*('الرصيد الحالي'!$E$2:$E167&lt;&gt;"")*('الرصيد الحالي'!$A$2:$A167&lt;&gt;"")),"")</f>
        <v/>
      </c>
    </row>
    <row r="168" spans="1:6" ht="24" customHeight="1">
      <c r="A168" s="3" t="str">
        <f>المواد!A167</f>
        <v>بيدون !</v>
      </c>
      <c r="B168" s="5" t="str">
        <f>المواد!B167</f>
        <v>قطعة</v>
      </c>
      <c r="C168" s="4">
        <f>IF($A168="","",ROUND(SUMIFS(الإدخالات!$D$2:$D$501,الإدخالات!$C$2:$C$501,$A168)+SUMIFS('تعديل الجرد'!$F$2:$F$501,'تعديل الجرد'!$C$2:$C$501,$A168)-SUMIFS('الصرف المباشر'!$D$2:$D$501,'الصرف المباشر'!$C$2:$C$501,$A168)-SUMPRODUCT((الطبخات!$B$2:$B$900=$A168)*الطبخات!$C$2:$C$900*COUNTIF('سجل الإنتاج'!$C$2:$C$501,الطبخات!$A$2:$A$900)),3))</f>
        <v>0</v>
      </c>
      <c r="D168" s="4">
        <f>IF($A168="","",ROUND(SUMIFS('الصرف المباشر'!$D$2:$D$501,'الصرف المباشر'!$C$2:$C$501,$A168)+SUMPRODUCT((الطبخات!$B$2:$B$900=$A168)*الطبخات!$C$2:$C$900*COUNTIF('سجل الإنتاج'!$C$2:$C$501,الطبخات!$A$2:$A$900)),3))</f>
        <v>0</v>
      </c>
      <c r="E168" s="5" t="str">
        <f t="shared" si="2"/>
        <v>✔ طبيعي</v>
      </c>
      <c r="F168" s="5" t="str">
        <f>IF(AND($A168&lt;&gt;"",$E168&lt;&gt;"✔ طبيعي"),SUMPRODUCT(('الرصيد الحالي'!$E$2:$E168&lt;&gt;"✔ طبيعي")*('الرصيد الحالي'!$E$2:$E168&lt;&gt;"")*('الرصيد الحالي'!$A$2:$A168&lt;&gt;"")),"")</f>
        <v/>
      </c>
    </row>
    <row r="169" spans="1:6" ht="24" customHeight="1">
      <c r="A169" s="3" t="str">
        <f>المواد!A168</f>
        <v xml:space="preserve">بي اتش 3 لتر </v>
      </c>
      <c r="B169" s="5" t="str">
        <f>المواد!B168</f>
        <v>قطعة</v>
      </c>
      <c r="C169" s="4">
        <f>IF($A169="","",ROUND(SUMIFS(الإدخالات!$D$2:$D$501,الإدخالات!$C$2:$C$501,$A169)+SUMIFS('تعديل الجرد'!$F$2:$F$501,'تعديل الجرد'!$C$2:$C$501,$A169)-SUMIFS('الصرف المباشر'!$D$2:$D$501,'الصرف المباشر'!$C$2:$C$501,$A169)-SUMPRODUCT((الطبخات!$B$2:$B$900=$A169)*الطبخات!$C$2:$C$900*COUNTIF('سجل الإنتاج'!$C$2:$C$501,الطبخات!$A$2:$A$900)),3))</f>
        <v>0</v>
      </c>
      <c r="D169" s="4">
        <f>IF($A169="","",ROUND(SUMIFS('الصرف المباشر'!$D$2:$D$501,'الصرف المباشر'!$C$2:$C$501,$A169)+SUMPRODUCT((الطبخات!$B$2:$B$900=$A169)*الطبخات!$C$2:$C$900*COUNTIF('سجل الإنتاج'!$C$2:$C$501,الطبخات!$A$2:$A$900)),3))</f>
        <v>0</v>
      </c>
      <c r="E169" s="5" t="str">
        <f t="shared" si="2"/>
        <v>✔ طبيعي</v>
      </c>
      <c r="F169" s="5" t="str">
        <f>IF(AND($A169&lt;&gt;"",$E169&lt;&gt;"✔ طبيعي"),SUMPRODUCT(('الرصيد الحالي'!$E$2:$E169&lt;&gt;"✔ طبيعي")*('الرصيد الحالي'!$E$2:$E169&lt;&gt;"")*('الرصيد الحالي'!$A$2:$A169&lt;&gt;"")),"")</f>
        <v/>
      </c>
    </row>
    <row r="170" spans="1:6" ht="24" customHeight="1">
      <c r="A170" s="3" t="str">
        <f>المواد!A169</f>
        <v>بي اتش - كرتونة</v>
      </c>
      <c r="B170" s="5" t="str">
        <f>المواد!B169</f>
        <v>قطعة</v>
      </c>
      <c r="C170" s="4">
        <f>IF($A170="","",ROUND(SUMIFS(الإدخالات!$D$2:$D$501,الإدخالات!$C$2:$C$501,$A170)+SUMIFS('تعديل الجرد'!$F$2:$F$501,'تعديل الجرد'!$C$2:$C$501,$A170)-SUMIFS('الصرف المباشر'!$D$2:$D$501,'الصرف المباشر'!$C$2:$C$501,$A170)-SUMPRODUCT((الطبخات!$B$2:$B$900=$A170)*الطبخات!$C$2:$C$900*COUNTIF('سجل الإنتاج'!$C$2:$C$501,الطبخات!$A$2:$A$900)),3))</f>
        <v>0</v>
      </c>
      <c r="D170" s="4">
        <f>IF($A170="","",ROUND(SUMIFS('الصرف المباشر'!$D$2:$D$501,'الصرف المباشر'!$C$2:$C$501,$A170)+SUMPRODUCT((الطبخات!$B$2:$B$900=$A170)*الطبخات!$C$2:$C$900*COUNTIF('سجل الإنتاج'!$C$2:$C$501,الطبخات!$A$2:$A$900)),3))</f>
        <v>0</v>
      </c>
      <c r="E170" s="5" t="str">
        <f t="shared" si="2"/>
        <v>✔ طبيعي</v>
      </c>
      <c r="F170" s="5" t="str">
        <f>IF(AND($A170&lt;&gt;"",$E170&lt;&gt;"✔ طبيعي"),SUMPRODUCT(('الرصيد الحالي'!$E$2:$E170&lt;&gt;"✔ طبيعي")*('الرصيد الحالي'!$E$2:$E170&lt;&gt;"")*('الرصيد الحالي'!$A$2:$A170&lt;&gt;"")),"")</f>
        <v/>
      </c>
    </row>
    <row r="171" spans="1:6" ht="24" customHeight="1">
      <c r="A171" s="3" t="str">
        <f>المواد!A170</f>
        <v>بي اتش - BH / فرط</v>
      </c>
      <c r="B171" s="5" t="str">
        <f>المواد!B170</f>
        <v>كغ</v>
      </c>
      <c r="C171" s="4">
        <f>IF($A171="","",ROUND(SUMIFS(الإدخالات!$D$2:$D$501,الإدخالات!$C$2:$C$501,$A171)+SUMIFS('تعديل الجرد'!$F$2:$F$501,'تعديل الجرد'!$C$2:$C$501,$A171)-SUMIFS('الصرف المباشر'!$D$2:$D$501,'الصرف المباشر'!$C$2:$C$501,$A171)-SUMPRODUCT((الطبخات!$B$2:$B$900=$A171)*الطبخات!$C$2:$C$900*COUNTIF('سجل الإنتاج'!$C$2:$C$501,الطبخات!$A$2:$A$900)),3))</f>
        <v>0</v>
      </c>
      <c r="D171" s="4">
        <f>IF($A171="","",ROUND(SUMIFS('الصرف المباشر'!$D$2:$D$501,'الصرف المباشر'!$C$2:$C$501,$A171)+SUMPRODUCT((الطبخات!$B$2:$B$900=$A171)*الطبخات!$C$2:$C$900*COUNTIF('سجل الإنتاج'!$C$2:$C$501,الطبخات!$A$2:$A$900)),3))</f>
        <v>0</v>
      </c>
      <c r="E171" s="5" t="str">
        <f t="shared" si="2"/>
        <v>✔ طبيعي</v>
      </c>
      <c r="F171" s="5" t="str">
        <f>IF(AND($A171&lt;&gt;"",$E171&lt;&gt;"✔ طبيعي"),SUMPRODUCT(('الرصيد الحالي'!$E$2:$E171&lt;&gt;"✔ طبيعي")*('الرصيد الحالي'!$E$2:$E171&lt;&gt;"")*('الرصيد الحالي'!$A$2:$A171&lt;&gt;"")),"")</f>
        <v/>
      </c>
    </row>
    <row r="172" spans="1:6" ht="24" customHeight="1">
      <c r="A172" s="3" t="str">
        <f>المواد!A171</f>
        <v>بي أتش ph الكرمل</v>
      </c>
      <c r="B172" s="5" t="str">
        <f>المواد!B171</f>
        <v>قطعة</v>
      </c>
      <c r="C172" s="4">
        <f>IF($A172="","",ROUND(SUMIFS(الإدخالات!$D$2:$D$501,الإدخالات!$C$2:$C$501,$A172)+SUMIFS('تعديل الجرد'!$F$2:$F$501,'تعديل الجرد'!$C$2:$C$501,$A172)-SUMIFS('الصرف المباشر'!$D$2:$D$501,'الصرف المباشر'!$C$2:$C$501,$A172)-SUMPRODUCT((الطبخات!$B$2:$B$900=$A172)*الطبخات!$C$2:$C$900*COUNTIF('سجل الإنتاج'!$C$2:$C$501,الطبخات!$A$2:$A$900)),3))</f>
        <v>0</v>
      </c>
      <c r="D172" s="4">
        <f>IF($A172="","",ROUND(SUMIFS('الصرف المباشر'!$D$2:$D$501,'الصرف المباشر'!$C$2:$C$501,$A172)+SUMPRODUCT((الطبخات!$B$2:$B$900=$A172)*الطبخات!$C$2:$C$900*COUNTIF('سجل الإنتاج'!$C$2:$C$501,الطبخات!$A$2:$A$900)),3))</f>
        <v>0</v>
      </c>
      <c r="E172" s="5" t="str">
        <f t="shared" si="2"/>
        <v>✔ طبيعي</v>
      </c>
      <c r="F172" s="5" t="str">
        <f>IF(AND($A172&lt;&gt;"",$E172&lt;&gt;"✔ طبيعي"),SUMPRODUCT(('الرصيد الحالي'!$E$2:$E172&lt;&gt;"✔ طبيعي")*('الرصيد الحالي'!$E$2:$E172&lt;&gt;"")*('الرصيد الحالي'!$A$2:$A172&lt;&gt;"")),"")</f>
        <v/>
      </c>
    </row>
    <row r="173" spans="1:6" ht="24" customHeight="1">
      <c r="A173" s="3" t="str">
        <f>المواد!A172</f>
        <v>بلسم 3 لتر</v>
      </c>
      <c r="B173" s="5" t="str">
        <f>المواد!B172</f>
        <v>عبوة</v>
      </c>
      <c r="C173" s="4">
        <f>IF($A173="","",ROUND(SUMIFS(الإدخالات!$D$2:$D$501,الإدخالات!$C$2:$C$501,$A173)+SUMIFS('تعديل الجرد'!$F$2:$F$501,'تعديل الجرد'!$C$2:$C$501,$A173)-SUMIFS('الصرف المباشر'!$D$2:$D$501,'الصرف المباشر'!$C$2:$C$501,$A173)-SUMPRODUCT((الطبخات!$B$2:$B$900=$A173)*الطبخات!$C$2:$C$900*COUNTIF('سجل الإنتاج'!$C$2:$C$501,الطبخات!$A$2:$A$900)),3))</f>
        <v>0</v>
      </c>
      <c r="D173" s="4">
        <f>IF($A173="","",ROUND(SUMIFS('الصرف المباشر'!$D$2:$D$501,'الصرف المباشر'!$C$2:$C$501,$A173)+SUMPRODUCT((الطبخات!$B$2:$B$900=$A173)*الطبخات!$C$2:$C$900*COUNTIF('سجل الإنتاج'!$C$2:$C$501,الطبخات!$A$2:$A$900)),3))</f>
        <v>0</v>
      </c>
      <c r="E173" s="5" t="str">
        <f t="shared" si="2"/>
        <v>✔ طبيعي</v>
      </c>
      <c r="F173" s="5" t="str">
        <f>IF(AND($A173&lt;&gt;"",$E173&lt;&gt;"✔ طبيعي"),SUMPRODUCT(('الرصيد الحالي'!$E$2:$E173&lt;&gt;"✔ طبيعي")*('الرصيد الحالي'!$E$2:$E173&lt;&gt;"")*('الرصيد الحالي'!$A$2:$A173&lt;&gt;"")),"")</f>
        <v/>
      </c>
    </row>
    <row r="174" spans="1:6" ht="24" customHeight="1">
      <c r="A174" s="3" t="str">
        <f>المواد!A173</f>
        <v>بلسم / فرط</v>
      </c>
      <c r="B174" s="5" t="str">
        <f>المواد!B173</f>
        <v>كغ</v>
      </c>
      <c r="C174" s="4">
        <f>IF($A174="","",ROUND(SUMIFS(الإدخالات!$D$2:$D$501,الإدخالات!$C$2:$C$501,$A174)+SUMIFS('تعديل الجرد'!$F$2:$F$501,'تعديل الجرد'!$C$2:$C$501,$A174)-SUMIFS('الصرف المباشر'!$D$2:$D$501,'الصرف المباشر'!$C$2:$C$501,$A174)-SUMPRODUCT((الطبخات!$B$2:$B$900=$A174)*الطبخات!$C$2:$C$900*COUNTIF('سجل الإنتاج'!$C$2:$C$501,الطبخات!$A$2:$A$900)),3))</f>
        <v>0</v>
      </c>
      <c r="D174" s="4">
        <f>IF($A174="","",ROUND(SUMIFS('الصرف المباشر'!$D$2:$D$501,'الصرف المباشر'!$C$2:$C$501,$A174)+SUMPRODUCT((الطبخات!$B$2:$B$900=$A174)*الطبخات!$C$2:$C$900*COUNTIF('سجل الإنتاج'!$C$2:$C$501,الطبخات!$A$2:$A$900)),3))</f>
        <v>0</v>
      </c>
      <c r="E174" s="5" t="str">
        <f t="shared" si="2"/>
        <v>✔ طبيعي</v>
      </c>
      <c r="F174" s="5" t="str">
        <f>IF(AND($A174&lt;&gt;"",$E174&lt;&gt;"✔ طبيعي"),SUMPRODUCT(('الرصيد الحالي'!$E$2:$E174&lt;&gt;"✔ طبيعي")*('الرصيد الحالي'!$E$2:$E174&lt;&gt;"")*('الرصيد الحالي'!$A$2:$A174&lt;&gt;"")),"")</f>
        <v/>
      </c>
    </row>
    <row r="175" spans="1:6" ht="24" customHeight="1">
      <c r="A175" s="3" t="str">
        <f>المواد!A174</f>
        <v>برميل كرتون</v>
      </c>
      <c r="B175" s="5" t="str">
        <f>المواد!B174</f>
        <v>عبوة</v>
      </c>
      <c r="C175" s="4">
        <f>IF($A175="","",ROUND(SUMIFS(الإدخالات!$D$2:$D$501,الإدخالات!$C$2:$C$501,$A175)+SUMIFS('تعديل الجرد'!$F$2:$F$501,'تعديل الجرد'!$C$2:$C$501,$A175)-SUMIFS('الصرف المباشر'!$D$2:$D$501,'الصرف المباشر'!$C$2:$C$501,$A175)-SUMPRODUCT((الطبخات!$B$2:$B$900=$A175)*الطبخات!$C$2:$C$900*COUNTIF('سجل الإنتاج'!$C$2:$C$501,الطبخات!$A$2:$A$900)),3))</f>
        <v>0</v>
      </c>
      <c r="D175" s="4">
        <f>IF($A175="","",ROUND(SUMIFS('الصرف المباشر'!$D$2:$D$501,'الصرف المباشر'!$C$2:$C$501,$A175)+SUMPRODUCT((الطبخات!$B$2:$B$900=$A175)*الطبخات!$C$2:$C$900*COUNTIF('سجل الإنتاج'!$C$2:$C$501,الطبخات!$A$2:$A$900)),3))</f>
        <v>0</v>
      </c>
      <c r="E175" s="5" t="str">
        <f t="shared" si="2"/>
        <v>✔ طبيعي</v>
      </c>
      <c r="F175" s="5" t="str">
        <f>IF(AND($A175&lt;&gt;"",$E175&lt;&gt;"✔ طبيعي"),SUMPRODUCT(('الرصيد الحالي'!$E$2:$E175&lt;&gt;"✔ طبيعي")*('الرصيد الحالي'!$E$2:$E175&lt;&gt;"")*('الرصيد الحالي'!$A$2:$A175&lt;&gt;"")),"")</f>
        <v/>
      </c>
    </row>
    <row r="176" spans="1:6" ht="24" customHeight="1">
      <c r="A176" s="3" t="str">
        <f>المواد!A175</f>
        <v>برميل تكسبون فارغ</v>
      </c>
      <c r="B176" s="5" t="str">
        <f>المواد!B175</f>
        <v>قطعة</v>
      </c>
      <c r="C176" s="4">
        <f>IF($A176="","",ROUND(SUMIFS(الإدخالات!$D$2:$D$501,الإدخالات!$C$2:$C$501,$A176)+SUMIFS('تعديل الجرد'!$F$2:$F$501,'تعديل الجرد'!$C$2:$C$501,$A176)-SUMIFS('الصرف المباشر'!$D$2:$D$501,'الصرف المباشر'!$C$2:$C$501,$A176)-SUMPRODUCT((الطبخات!$B$2:$B$900=$A176)*الطبخات!$C$2:$C$900*COUNTIF('سجل الإنتاج'!$C$2:$C$501,الطبخات!$A$2:$A$900)),3))</f>
        <v>0</v>
      </c>
      <c r="D176" s="4">
        <f>IF($A176="","",ROUND(SUMIFS('الصرف المباشر'!$D$2:$D$501,'الصرف المباشر'!$C$2:$C$501,$A176)+SUMPRODUCT((الطبخات!$B$2:$B$900=$A176)*الطبخات!$C$2:$C$900*COUNTIF('سجل الإنتاج'!$C$2:$C$501,الطبخات!$A$2:$A$900)),3))</f>
        <v>0</v>
      </c>
      <c r="E176" s="5" t="str">
        <f t="shared" si="2"/>
        <v>✔ طبيعي</v>
      </c>
      <c r="F176" s="5" t="str">
        <f>IF(AND($A176&lt;&gt;"",$E176&lt;&gt;"✔ طبيعي"),SUMPRODUCT(('الرصيد الحالي'!$E$2:$E176&lt;&gt;"✔ طبيعي")*('الرصيد الحالي'!$E$2:$E176&lt;&gt;"")*('الرصيد الحالي'!$A$2:$A176&lt;&gt;"")),"")</f>
        <v/>
      </c>
    </row>
    <row r="177" spans="1:6" ht="24" customHeight="1">
      <c r="A177" s="3" t="str">
        <f>المواد!A176</f>
        <v xml:space="preserve">اقراص كلور </v>
      </c>
      <c r="B177" s="5" t="str">
        <f>المواد!B176</f>
        <v>قطعة</v>
      </c>
      <c r="C177" s="4">
        <f>IF($A177="","",ROUND(SUMIFS(الإدخالات!$D$2:$D$501,الإدخالات!$C$2:$C$501,$A177)+SUMIFS('تعديل الجرد'!$F$2:$F$501,'تعديل الجرد'!$C$2:$C$501,$A177)-SUMIFS('الصرف المباشر'!$D$2:$D$501,'الصرف المباشر'!$C$2:$C$501,$A177)-SUMPRODUCT((الطبخات!$B$2:$B$900=$A177)*الطبخات!$C$2:$C$900*COUNTIF('سجل الإنتاج'!$C$2:$C$501,الطبخات!$A$2:$A$900)),3))</f>
        <v>0</v>
      </c>
      <c r="D177" s="4">
        <f>IF($A177="","",ROUND(SUMIFS('الصرف المباشر'!$D$2:$D$501,'الصرف المباشر'!$C$2:$C$501,$A177)+SUMPRODUCT((الطبخات!$B$2:$B$900=$A177)*الطبخات!$C$2:$C$900*COUNTIF('سجل الإنتاج'!$C$2:$C$501,الطبخات!$A$2:$A$900)),3))</f>
        <v>0</v>
      </c>
      <c r="E177" s="5" t="str">
        <f t="shared" si="2"/>
        <v>✔ طبيعي</v>
      </c>
      <c r="F177" s="5" t="str">
        <f>IF(AND($A177&lt;&gt;"",$E177&lt;&gt;"✔ طبيعي"),SUMPRODUCT(('الرصيد الحالي'!$E$2:$E177&lt;&gt;"✔ طبيعي")*('الرصيد الحالي'!$E$2:$E177&lt;&gt;"")*('الرصيد الحالي'!$A$2:$A177&lt;&gt;"")),"")</f>
        <v/>
      </c>
    </row>
    <row r="178" spans="1:6" ht="24" customHeight="1">
      <c r="A178" s="3" t="str">
        <f>المواد!A177</f>
        <v>اسيد 3 لتر</v>
      </c>
      <c r="B178" s="5" t="str">
        <f>المواد!B177</f>
        <v>قطعة</v>
      </c>
      <c r="C178" s="4">
        <f>IF($A178="","",ROUND(SUMIFS(الإدخالات!$D$2:$D$501,الإدخالات!$C$2:$C$501,$A178)+SUMIFS('تعديل الجرد'!$F$2:$F$501,'تعديل الجرد'!$C$2:$C$501,$A178)-SUMIFS('الصرف المباشر'!$D$2:$D$501,'الصرف المباشر'!$C$2:$C$501,$A178)-SUMPRODUCT((الطبخات!$B$2:$B$900=$A178)*الطبخات!$C$2:$C$900*COUNTIF('سجل الإنتاج'!$C$2:$C$501,الطبخات!$A$2:$A$900)),3))</f>
        <v>0</v>
      </c>
      <c r="D178" s="4">
        <f>IF($A178="","",ROUND(SUMIFS('الصرف المباشر'!$D$2:$D$501,'الصرف المباشر'!$C$2:$C$501,$A178)+SUMPRODUCT((الطبخات!$B$2:$B$900=$A178)*الطبخات!$C$2:$C$900*COUNTIF('سجل الإنتاج'!$C$2:$C$501,الطبخات!$A$2:$A$900)),3))</f>
        <v>0</v>
      </c>
      <c r="E178" s="5" t="str">
        <f t="shared" si="2"/>
        <v>✔ طبيعي</v>
      </c>
      <c r="F178" s="5" t="str">
        <f>IF(AND($A178&lt;&gt;"",$E178&lt;&gt;"✔ طبيعي"),SUMPRODUCT(('الرصيد الحالي'!$E$2:$E178&lt;&gt;"✔ طبيعي")*('الرصيد الحالي'!$E$2:$E178&lt;&gt;"")*('الرصيد الحالي'!$A$2:$A178&lt;&gt;"")),"")</f>
        <v/>
      </c>
    </row>
    <row r="179" spans="1:6" ht="24" customHeight="1">
      <c r="A179" s="3" t="str">
        <f>المواد!A178</f>
        <v>أسيد 3 لتر</v>
      </c>
      <c r="B179" s="5" t="str">
        <f>المواد!B178</f>
        <v>قطعة</v>
      </c>
      <c r="C179" s="4">
        <f>IF($A179="","",ROUND(SUMIFS(الإدخالات!$D$2:$D$501,الإدخالات!$C$2:$C$501,$A179)+SUMIFS('تعديل الجرد'!$F$2:$F$501,'تعديل الجرد'!$C$2:$C$501,$A179)-SUMIFS('الصرف المباشر'!$D$2:$D$501,'الصرف المباشر'!$C$2:$C$501,$A179)-SUMPRODUCT((الطبخات!$B$2:$B$900=$A179)*الطبخات!$C$2:$C$900*COUNTIF('سجل الإنتاج'!$C$2:$C$501,الطبخات!$A$2:$A$900)),3))</f>
        <v>0</v>
      </c>
      <c r="D179" s="4">
        <f>IF($A179="","",ROUND(SUMIFS('الصرف المباشر'!$D$2:$D$501,'الصرف المباشر'!$C$2:$C$501,$A179)+SUMPRODUCT((الطبخات!$B$2:$B$900=$A179)*الطبخات!$C$2:$C$900*COUNTIF('سجل الإنتاج'!$C$2:$C$501,الطبخات!$A$2:$A$900)),3))</f>
        <v>0</v>
      </c>
      <c r="E179" s="5" t="str">
        <f t="shared" si="2"/>
        <v>✔ طبيعي</v>
      </c>
      <c r="F179" s="5" t="str">
        <f>IF(AND($A179&lt;&gt;"",$E179&lt;&gt;"✔ طبيعي"),SUMPRODUCT(('الرصيد الحالي'!$E$2:$E179&lt;&gt;"✔ طبيعي")*('الرصيد الحالي'!$E$2:$E179&lt;&gt;"")*('الرصيد الحالي'!$A$2:$A179&lt;&gt;"")),"")</f>
        <v/>
      </c>
    </row>
    <row r="180" spans="1:6" ht="24" customHeight="1">
      <c r="A180" s="3" t="str">
        <f>المواد!A179</f>
        <v>أسيد 1 لتر</v>
      </c>
      <c r="B180" s="5" t="str">
        <f>المواد!B179</f>
        <v>قطعة</v>
      </c>
      <c r="C180" s="4">
        <f>IF($A180="","",ROUND(SUMIFS(الإدخالات!$D$2:$D$501,الإدخالات!$C$2:$C$501,$A180)+SUMIFS('تعديل الجرد'!$F$2:$F$501,'تعديل الجرد'!$C$2:$C$501,$A180)-SUMIFS('الصرف المباشر'!$D$2:$D$501,'الصرف المباشر'!$C$2:$C$501,$A180)-SUMPRODUCT((الطبخات!$B$2:$B$900=$A180)*الطبخات!$C$2:$C$900*COUNTIF('سجل الإنتاج'!$C$2:$C$501,الطبخات!$A$2:$A$900)),3))</f>
        <v>0</v>
      </c>
      <c r="D180" s="4">
        <f>IF($A180="","",ROUND(SUMIFS('الصرف المباشر'!$D$2:$D$501,'الصرف المباشر'!$C$2:$C$501,$A180)+SUMPRODUCT((الطبخات!$B$2:$B$900=$A180)*الطبخات!$C$2:$C$900*COUNTIF('سجل الإنتاج'!$C$2:$C$501,الطبخات!$A$2:$A$900)),3))</f>
        <v>0</v>
      </c>
      <c r="E180" s="5" t="str">
        <f t="shared" si="2"/>
        <v>✔ طبيعي</v>
      </c>
      <c r="F180" s="5" t="str">
        <f>IF(AND($A180&lt;&gt;"",$E180&lt;&gt;"✔ طبيعي"),SUMPRODUCT(('الرصيد الحالي'!$E$2:$E180&lt;&gt;"✔ طبيعي")*('الرصيد الحالي'!$E$2:$E180&lt;&gt;"")*('الرصيد الحالي'!$A$2:$A180&lt;&gt;"")),"")</f>
        <v/>
      </c>
    </row>
    <row r="181" spans="1:6" ht="24" customHeight="1">
      <c r="A181" s="3">
        <f>المواد!A180</f>
        <v>0</v>
      </c>
      <c r="B181" s="5">
        <f>المواد!B180</f>
        <v>0</v>
      </c>
      <c r="C181" s="4">
        <f>IF($A181="","",ROUND(SUMIFS(الإدخالات!$D$2:$D$501,الإدخالات!$C$2:$C$501,$A181)+SUMIFS('تعديل الجرد'!$F$2:$F$501,'تعديل الجرد'!$C$2:$C$501,$A181)-SUMIFS('الصرف المباشر'!$D$2:$D$501,'الصرف المباشر'!$C$2:$C$501,$A181)-SUMPRODUCT((الطبخات!$B$2:$B$900=$A181)*الطبخات!$C$2:$C$900*COUNTIF('سجل الإنتاج'!$C$2:$C$501,الطبخات!$A$2:$A$900)),3))</f>
        <v>0</v>
      </c>
      <c r="D181" s="4">
        <f>IF($A181="","",ROUND(SUMIFS('الصرف المباشر'!$D$2:$D$501,'الصرف المباشر'!$C$2:$C$501,$A181)+SUMPRODUCT((الطبخات!$B$2:$B$900=$A181)*الطبخات!$C$2:$C$900*COUNTIF('سجل الإنتاج'!$C$2:$C$501,الطبخات!$A$2:$A$900)),3))</f>
        <v>0</v>
      </c>
      <c r="E181" s="5" t="str">
        <f t="shared" si="2"/>
        <v>✔ طبيعي</v>
      </c>
      <c r="F181" s="5" t="str">
        <f>IF(AND($A181&lt;&gt;"",$E181&lt;&gt;"✔ طبيعي"),SUMPRODUCT(('الرصيد الحالي'!$E$2:$E181&lt;&gt;"✔ طبيعي")*('الرصيد الحالي'!$E$2:$E181&lt;&gt;"")*('الرصيد الحالي'!$A$2:$A181&lt;&gt;"")),"")</f>
        <v/>
      </c>
    </row>
    <row r="182" spans="1:6" ht="24" customHeight="1">
      <c r="A182" s="3">
        <f>المواد!A181</f>
        <v>0</v>
      </c>
      <c r="B182" s="5">
        <f>المواد!B181</f>
        <v>0</v>
      </c>
      <c r="C182" s="4">
        <f>IF($A182="","",ROUND(SUMIFS(الإدخالات!$D$2:$D$501,الإدخالات!$C$2:$C$501,$A182)+SUMIFS('تعديل الجرد'!$F$2:$F$501,'تعديل الجرد'!$C$2:$C$501,$A182)-SUMIFS('الصرف المباشر'!$D$2:$D$501,'الصرف المباشر'!$C$2:$C$501,$A182)-SUMPRODUCT((الطبخات!$B$2:$B$900=$A182)*الطبخات!$C$2:$C$900*COUNTIF('سجل الإنتاج'!$C$2:$C$501,الطبخات!$A$2:$A$900)),3))</f>
        <v>0</v>
      </c>
      <c r="D182" s="4">
        <f>IF($A182="","",ROUND(SUMIFS('الصرف المباشر'!$D$2:$D$501,'الصرف المباشر'!$C$2:$C$501,$A182)+SUMPRODUCT((الطبخات!$B$2:$B$900=$A182)*الطبخات!$C$2:$C$900*COUNTIF('سجل الإنتاج'!$C$2:$C$501,الطبخات!$A$2:$A$900)),3))</f>
        <v>0</v>
      </c>
      <c r="E182" s="5" t="str">
        <f t="shared" si="2"/>
        <v>✔ طبيعي</v>
      </c>
      <c r="F182" s="5" t="str">
        <f>IF(AND($A182&lt;&gt;"",$E182&lt;&gt;"✔ طبيعي"),SUMPRODUCT(('الرصيد الحالي'!$E$2:$E182&lt;&gt;"✔ طبيعي")*('الرصيد الحالي'!$E$2:$E182&lt;&gt;"")*('الرصيد الحالي'!$A$2:$A182&lt;&gt;"")),"")</f>
        <v/>
      </c>
    </row>
    <row r="183" spans="1:6" ht="24" customHeight="1">
      <c r="A183" s="3">
        <f>المواد!A182</f>
        <v>0</v>
      </c>
      <c r="B183" s="5">
        <f>المواد!B182</f>
        <v>0</v>
      </c>
      <c r="C183" s="4">
        <f>IF($A183="","",ROUND(SUMIFS(الإدخالات!$D$2:$D$501,الإدخالات!$C$2:$C$501,$A183)+SUMIFS('تعديل الجرد'!$F$2:$F$501,'تعديل الجرد'!$C$2:$C$501,$A183)-SUMIFS('الصرف المباشر'!$D$2:$D$501,'الصرف المباشر'!$C$2:$C$501,$A183)-SUMPRODUCT((الطبخات!$B$2:$B$900=$A183)*الطبخات!$C$2:$C$900*COUNTIF('سجل الإنتاج'!$C$2:$C$501,الطبخات!$A$2:$A$900)),3))</f>
        <v>0</v>
      </c>
      <c r="D183" s="4">
        <f>IF($A183="","",ROUND(SUMIFS('الصرف المباشر'!$D$2:$D$501,'الصرف المباشر'!$C$2:$C$501,$A183)+SUMPRODUCT((الطبخات!$B$2:$B$900=$A183)*الطبخات!$C$2:$C$900*COUNTIF('سجل الإنتاج'!$C$2:$C$501,الطبخات!$A$2:$A$900)),3))</f>
        <v>0</v>
      </c>
      <c r="E183" s="5" t="str">
        <f t="shared" si="2"/>
        <v>✔ طبيعي</v>
      </c>
      <c r="F183" s="5" t="str">
        <f>IF(AND($A183&lt;&gt;"",$E183&lt;&gt;"✔ طبيعي"),SUMPRODUCT(('الرصيد الحالي'!$E$2:$E183&lt;&gt;"✔ طبيعي")*('الرصيد الحالي'!$E$2:$E183&lt;&gt;"")*('الرصيد الحالي'!$A$2:$A183&lt;&gt;"")),"")</f>
        <v/>
      </c>
    </row>
    <row r="184" spans="1:6" ht="24" customHeight="1">
      <c r="A184" s="3">
        <f>المواد!A183</f>
        <v>0</v>
      </c>
      <c r="B184" s="5">
        <f>المواد!B183</f>
        <v>0</v>
      </c>
      <c r="C184" s="4">
        <f>IF($A184="","",ROUND(SUMIFS(الإدخالات!$D$2:$D$501,الإدخالات!$C$2:$C$501,$A184)+SUMIFS('تعديل الجرد'!$F$2:$F$501,'تعديل الجرد'!$C$2:$C$501,$A184)-SUMIFS('الصرف المباشر'!$D$2:$D$501,'الصرف المباشر'!$C$2:$C$501,$A184)-SUMPRODUCT((الطبخات!$B$2:$B$900=$A184)*الطبخات!$C$2:$C$900*COUNTIF('سجل الإنتاج'!$C$2:$C$501,الطبخات!$A$2:$A$900)),3))</f>
        <v>0</v>
      </c>
      <c r="D184" s="4">
        <f>IF($A184="","",ROUND(SUMIFS('الصرف المباشر'!$D$2:$D$501,'الصرف المباشر'!$C$2:$C$501,$A184)+SUMPRODUCT((الطبخات!$B$2:$B$900=$A184)*الطبخات!$C$2:$C$900*COUNTIF('سجل الإنتاج'!$C$2:$C$501,الطبخات!$A$2:$A$900)),3))</f>
        <v>0</v>
      </c>
      <c r="E184" s="5" t="str">
        <f t="shared" si="2"/>
        <v>✔ طبيعي</v>
      </c>
      <c r="F184" s="5" t="str">
        <f>IF(AND($A184&lt;&gt;"",$E184&lt;&gt;"✔ طبيعي"),SUMPRODUCT(('الرصيد الحالي'!$E$2:$E184&lt;&gt;"✔ طبيعي")*('الرصيد الحالي'!$E$2:$E184&lt;&gt;"")*('الرصيد الحالي'!$A$2:$A184&lt;&gt;"")),"")</f>
        <v/>
      </c>
    </row>
    <row r="185" spans="1:6" ht="24" customHeight="1">
      <c r="A185" s="3">
        <f>المواد!A184</f>
        <v>0</v>
      </c>
      <c r="B185" s="5">
        <f>المواد!B184</f>
        <v>0</v>
      </c>
      <c r="C185" s="4">
        <f>IF($A185="","",ROUND(SUMIFS(الإدخالات!$D$2:$D$501,الإدخالات!$C$2:$C$501,$A185)+SUMIFS('تعديل الجرد'!$F$2:$F$501,'تعديل الجرد'!$C$2:$C$501,$A185)-SUMIFS('الصرف المباشر'!$D$2:$D$501,'الصرف المباشر'!$C$2:$C$501,$A185)-SUMPRODUCT((الطبخات!$B$2:$B$900=$A185)*الطبخات!$C$2:$C$900*COUNTIF('سجل الإنتاج'!$C$2:$C$501,الطبخات!$A$2:$A$900)),3))</f>
        <v>0</v>
      </c>
      <c r="D185" s="4">
        <f>IF($A185="","",ROUND(SUMIFS('الصرف المباشر'!$D$2:$D$501,'الصرف المباشر'!$C$2:$C$501,$A185)+SUMPRODUCT((الطبخات!$B$2:$B$900=$A185)*الطبخات!$C$2:$C$900*COUNTIF('سجل الإنتاج'!$C$2:$C$501,الطبخات!$A$2:$A$900)),3))</f>
        <v>0</v>
      </c>
      <c r="E185" s="5" t="str">
        <f t="shared" si="2"/>
        <v>✔ طبيعي</v>
      </c>
      <c r="F185" s="5" t="str">
        <f>IF(AND($A185&lt;&gt;"",$E185&lt;&gt;"✔ طبيعي"),SUMPRODUCT(('الرصيد الحالي'!$E$2:$E185&lt;&gt;"✔ طبيعي")*('الرصيد الحالي'!$E$2:$E185&lt;&gt;"")*('الرصيد الحالي'!$A$2:$A185&lt;&gt;"")),"")</f>
        <v/>
      </c>
    </row>
    <row r="186" spans="1:6" ht="24" customHeight="1">
      <c r="A186" s="3">
        <f>المواد!A185</f>
        <v>0</v>
      </c>
      <c r="B186" s="5">
        <f>المواد!B185</f>
        <v>0</v>
      </c>
      <c r="C186" s="4">
        <f>IF($A186="","",ROUND(SUMIFS(الإدخالات!$D$2:$D$501,الإدخالات!$C$2:$C$501,$A186)+SUMIFS('تعديل الجرد'!$F$2:$F$501,'تعديل الجرد'!$C$2:$C$501,$A186)-SUMIFS('الصرف المباشر'!$D$2:$D$501,'الصرف المباشر'!$C$2:$C$501,$A186)-SUMPRODUCT((الطبخات!$B$2:$B$900=$A186)*الطبخات!$C$2:$C$900*COUNTIF('سجل الإنتاج'!$C$2:$C$501,الطبخات!$A$2:$A$900)),3))</f>
        <v>0</v>
      </c>
      <c r="D186" s="4">
        <f>IF($A186="","",ROUND(SUMIFS('الصرف المباشر'!$D$2:$D$501,'الصرف المباشر'!$C$2:$C$501,$A186)+SUMPRODUCT((الطبخات!$B$2:$B$900=$A186)*الطبخات!$C$2:$C$900*COUNTIF('سجل الإنتاج'!$C$2:$C$501,الطبخات!$A$2:$A$900)),3))</f>
        <v>0</v>
      </c>
      <c r="E186" s="5" t="str">
        <f t="shared" si="2"/>
        <v>✔ طبيعي</v>
      </c>
      <c r="F186" s="5" t="str">
        <f>IF(AND($A186&lt;&gt;"",$E186&lt;&gt;"✔ طبيعي"),SUMPRODUCT(('الرصيد الحالي'!$E$2:$E186&lt;&gt;"✔ طبيعي")*('الرصيد الحالي'!$E$2:$E186&lt;&gt;"")*('الرصيد الحالي'!$A$2:$A186&lt;&gt;"")),"")</f>
        <v/>
      </c>
    </row>
    <row r="187" spans="1:6" ht="24" customHeight="1">
      <c r="A187" s="3">
        <f>المواد!A186</f>
        <v>0</v>
      </c>
      <c r="B187" s="5">
        <f>المواد!B186</f>
        <v>0</v>
      </c>
      <c r="C187" s="4">
        <f>IF($A187="","",ROUND(SUMIFS(الإدخالات!$D$2:$D$501,الإدخالات!$C$2:$C$501,$A187)+SUMIFS('تعديل الجرد'!$F$2:$F$501,'تعديل الجرد'!$C$2:$C$501,$A187)-SUMIFS('الصرف المباشر'!$D$2:$D$501,'الصرف المباشر'!$C$2:$C$501,$A187)-SUMPRODUCT((الطبخات!$B$2:$B$900=$A187)*الطبخات!$C$2:$C$900*COUNTIF('سجل الإنتاج'!$C$2:$C$501,الطبخات!$A$2:$A$900)),3))</f>
        <v>0</v>
      </c>
      <c r="D187" s="4">
        <f>IF($A187="","",ROUND(SUMIFS('الصرف المباشر'!$D$2:$D$501,'الصرف المباشر'!$C$2:$C$501,$A187)+SUMPRODUCT((الطبخات!$B$2:$B$900=$A187)*الطبخات!$C$2:$C$900*COUNTIF('سجل الإنتاج'!$C$2:$C$501,الطبخات!$A$2:$A$900)),3))</f>
        <v>0</v>
      </c>
      <c r="E187" s="5" t="str">
        <f t="shared" si="2"/>
        <v>✔ طبيعي</v>
      </c>
      <c r="F187" s="5" t="str">
        <f>IF(AND($A187&lt;&gt;"",$E187&lt;&gt;"✔ طبيعي"),SUMPRODUCT(('الرصيد الحالي'!$E$2:$E187&lt;&gt;"✔ طبيعي")*('الرصيد الحالي'!$E$2:$E187&lt;&gt;"")*('الرصيد الحالي'!$A$2:$A187&lt;&gt;"")),"")</f>
        <v/>
      </c>
    </row>
    <row r="188" spans="1:6" ht="24" customHeight="1">
      <c r="A188" s="3">
        <f>المواد!A187</f>
        <v>0</v>
      </c>
      <c r="B188" s="5">
        <f>المواد!B187</f>
        <v>0</v>
      </c>
      <c r="C188" s="4">
        <f>IF($A188="","",ROUND(SUMIFS(الإدخالات!$D$2:$D$501,الإدخالات!$C$2:$C$501,$A188)+SUMIFS('تعديل الجرد'!$F$2:$F$501,'تعديل الجرد'!$C$2:$C$501,$A188)-SUMIFS('الصرف المباشر'!$D$2:$D$501,'الصرف المباشر'!$C$2:$C$501,$A188)-SUMPRODUCT((الطبخات!$B$2:$B$900=$A188)*الطبخات!$C$2:$C$900*COUNTIF('سجل الإنتاج'!$C$2:$C$501,الطبخات!$A$2:$A$900)),3))</f>
        <v>0</v>
      </c>
      <c r="D188" s="4">
        <f>IF($A188="","",ROUND(SUMIFS('الصرف المباشر'!$D$2:$D$501,'الصرف المباشر'!$C$2:$C$501,$A188)+SUMPRODUCT((الطبخات!$B$2:$B$900=$A188)*الطبخات!$C$2:$C$900*COUNTIF('سجل الإنتاج'!$C$2:$C$501,الطبخات!$A$2:$A$900)),3))</f>
        <v>0</v>
      </c>
      <c r="E188" s="5" t="str">
        <f t="shared" si="2"/>
        <v>✔ طبيعي</v>
      </c>
      <c r="F188" s="5" t="str">
        <f>IF(AND($A188&lt;&gt;"",$E188&lt;&gt;"✔ طبيعي"),SUMPRODUCT(('الرصيد الحالي'!$E$2:$E188&lt;&gt;"✔ طبيعي")*('الرصيد الحالي'!$E$2:$E188&lt;&gt;"")*('الرصيد الحالي'!$A$2:$A188&lt;&gt;"")),"")</f>
        <v/>
      </c>
    </row>
    <row r="189" spans="1:6" ht="24" customHeight="1">
      <c r="A189" s="3">
        <f>المواد!A188</f>
        <v>0</v>
      </c>
      <c r="B189" s="5">
        <f>المواد!B188</f>
        <v>0</v>
      </c>
      <c r="C189" s="4">
        <f>IF($A189="","",ROUND(SUMIFS(الإدخالات!$D$2:$D$501,الإدخالات!$C$2:$C$501,$A189)+SUMIFS('تعديل الجرد'!$F$2:$F$501,'تعديل الجرد'!$C$2:$C$501,$A189)-SUMIFS('الصرف المباشر'!$D$2:$D$501,'الصرف المباشر'!$C$2:$C$501,$A189)-SUMPRODUCT((الطبخات!$B$2:$B$900=$A189)*الطبخات!$C$2:$C$900*COUNTIF('سجل الإنتاج'!$C$2:$C$501,الطبخات!$A$2:$A$900)),3))</f>
        <v>0</v>
      </c>
      <c r="D189" s="4">
        <f>IF($A189="","",ROUND(SUMIFS('الصرف المباشر'!$D$2:$D$501,'الصرف المباشر'!$C$2:$C$501,$A189)+SUMPRODUCT((الطبخات!$B$2:$B$900=$A189)*الطبخات!$C$2:$C$900*COUNTIF('سجل الإنتاج'!$C$2:$C$501,الطبخات!$A$2:$A$900)),3))</f>
        <v>0</v>
      </c>
      <c r="E189" s="5" t="str">
        <f t="shared" si="2"/>
        <v>✔ طبيعي</v>
      </c>
      <c r="F189" s="5" t="str">
        <f>IF(AND($A189&lt;&gt;"",$E189&lt;&gt;"✔ طبيعي"),SUMPRODUCT(('الرصيد الحالي'!$E$2:$E189&lt;&gt;"✔ طبيعي")*('الرصيد الحالي'!$E$2:$E189&lt;&gt;"")*('الرصيد الحالي'!$A$2:$A189&lt;&gt;"")),"")</f>
        <v/>
      </c>
    </row>
    <row r="190" spans="1:6" ht="24" customHeight="1">
      <c r="A190" s="3">
        <f>المواد!A189</f>
        <v>0</v>
      </c>
      <c r="B190" s="5" t="str">
        <f>المواد!B189</f>
        <v>كوستيك-قطرونة</v>
      </c>
      <c r="C190" s="4">
        <f>IF($A190="","",ROUND(SUMIFS(الإدخالات!$D$2:$D$501,الإدخالات!$C$2:$C$501,$A190)+SUMIFS('تعديل الجرد'!$F$2:$F$501,'تعديل الجرد'!$C$2:$C$501,$A190)-SUMIFS('الصرف المباشر'!$D$2:$D$501,'الصرف المباشر'!$C$2:$C$501,$A190)-SUMPRODUCT((الطبخات!$B$2:$B$900=$A190)*الطبخات!$C$2:$C$900*COUNTIF('سجل الإنتاج'!$C$2:$C$501,الطبخات!$A$2:$A$900)),3))</f>
        <v>0</v>
      </c>
      <c r="D190" s="4">
        <f>IF($A190="","",ROUND(SUMIFS('الصرف المباشر'!$D$2:$D$501,'الصرف المباشر'!$C$2:$C$501,$A190)+SUMPRODUCT((الطبخات!$B$2:$B$900=$A190)*الطبخات!$C$2:$C$900*COUNTIF('سجل الإنتاج'!$C$2:$C$501,الطبخات!$A$2:$A$900)),3))</f>
        <v>0</v>
      </c>
      <c r="E190" s="5" t="str">
        <f t="shared" si="2"/>
        <v>✔ طبيعي</v>
      </c>
      <c r="F190" s="5" t="str">
        <f>IF(AND($A190&lt;&gt;"",$E190&lt;&gt;"✔ طبيعي"),SUMPRODUCT(('الرصيد الحالي'!$E$2:$E190&lt;&gt;"✔ طبيعي")*('الرصيد الحالي'!$E$2:$E190&lt;&gt;"")*('الرصيد الحالي'!$A$2:$A190&lt;&gt;"")),"")</f>
        <v/>
      </c>
    </row>
    <row r="191" spans="1:6" ht="24" customHeight="1">
      <c r="A191" s="3">
        <f>المواد!A190</f>
        <v>0</v>
      </c>
      <c r="B191" s="5">
        <f>المواد!B190</f>
        <v>0</v>
      </c>
      <c r="C191" s="4">
        <f>IF($A191="","",ROUND(SUMIFS(الإدخالات!$D$2:$D$501,الإدخالات!$C$2:$C$501,$A191)+SUMIFS('تعديل الجرد'!$F$2:$F$501,'تعديل الجرد'!$C$2:$C$501,$A191)-SUMIFS('الصرف المباشر'!$D$2:$D$501,'الصرف المباشر'!$C$2:$C$501,$A191)-SUMPRODUCT((الطبخات!$B$2:$B$900=$A191)*الطبخات!$C$2:$C$900*COUNTIF('سجل الإنتاج'!$C$2:$C$501,الطبخات!$A$2:$A$900)),3))</f>
        <v>0</v>
      </c>
      <c r="D191" s="4">
        <f>IF($A191="","",ROUND(SUMIFS('الصرف المباشر'!$D$2:$D$501,'الصرف المباشر'!$C$2:$C$501,$A191)+SUMPRODUCT((الطبخات!$B$2:$B$900=$A191)*الطبخات!$C$2:$C$900*COUNTIF('سجل الإنتاج'!$C$2:$C$501,الطبخات!$A$2:$A$900)),3))</f>
        <v>0</v>
      </c>
      <c r="E191" s="5" t="str">
        <f t="shared" si="2"/>
        <v>✔ طبيعي</v>
      </c>
      <c r="F191" s="5" t="str">
        <f>IF(AND($A191&lt;&gt;"",$E191&lt;&gt;"✔ طبيعي"),SUMPRODUCT(('الرصيد الحالي'!$E$2:$E191&lt;&gt;"✔ طبيعي")*('الرصيد الحالي'!$E$2:$E191&lt;&gt;"")*('الرصيد الحالي'!$A$2:$A191&lt;&gt;"")),"")</f>
        <v/>
      </c>
    </row>
    <row r="192" spans="1:6" ht="24" customHeight="1">
      <c r="A192" s="3">
        <f>المواد!A191</f>
        <v>0</v>
      </c>
      <c r="B192" s="5">
        <f>المواد!B191</f>
        <v>0</v>
      </c>
      <c r="C192" s="4">
        <f>IF($A192="","",ROUND(SUMIFS(الإدخالات!$D$2:$D$501,الإدخالات!$C$2:$C$501,$A192)+SUMIFS('تعديل الجرد'!$F$2:$F$501,'تعديل الجرد'!$C$2:$C$501,$A192)-SUMIFS('الصرف المباشر'!$D$2:$D$501,'الصرف المباشر'!$C$2:$C$501,$A192)-SUMPRODUCT((الطبخات!$B$2:$B$900=$A192)*الطبخات!$C$2:$C$900*COUNTIF('سجل الإنتاج'!$C$2:$C$501,الطبخات!$A$2:$A$900)),3))</f>
        <v>0</v>
      </c>
      <c r="D192" s="4">
        <f>IF($A192="","",ROUND(SUMIFS('الصرف المباشر'!$D$2:$D$501,'الصرف المباشر'!$C$2:$C$501,$A192)+SUMPRODUCT((الطبخات!$B$2:$B$900=$A192)*الطبخات!$C$2:$C$900*COUNTIF('سجل الإنتاج'!$C$2:$C$501,الطبخات!$A$2:$A$900)),3))</f>
        <v>0</v>
      </c>
      <c r="E192" s="5" t="str">
        <f t="shared" si="2"/>
        <v>✔ طبيعي</v>
      </c>
      <c r="F192" s="5" t="str">
        <f>IF(AND($A192&lt;&gt;"",$E192&lt;&gt;"✔ طبيعي"),SUMPRODUCT(('الرصيد الحالي'!$E$2:$E192&lt;&gt;"✔ طبيعي")*('الرصيد الحالي'!$E$2:$E192&lt;&gt;"")*('الرصيد الحالي'!$A$2:$A192&lt;&gt;"")),"")</f>
        <v/>
      </c>
    </row>
    <row r="193" spans="1:6" ht="24" customHeight="1">
      <c r="A193" s="3">
        <f>المواد!A192</f>
        <v>0</v>
      </c>
      <c r="B193" s="5">
        <f>المواد!B192</f>
        <v>0</v>
      </c>
      <c r="C193" s="4">
        <f>IF($A193="","",ROUND(SUMIFS(الإدخالات!$D$2:$D$501,الإدخالات!$C$2:$C$501,$A193)+SUMIFS('تعديل الجرد'!$F$2:$F$501,'تعديل الجرد'!$C$2:$C$501,$A193)-SUMIFS('الصرف المباشر'!$D$2:$D$501,'الصرف المباشر'!$C$2:$C$501,$A193)-SUMPRODUCT((الطبخات!$B$2:$B$900=$A193)*الطبخات!$C$2:$C$900*COUNTIF('سجل الإنتاج'!$C$2:$C$501,الطبخات!$A$2:$A$900)),3))</f>
        <v>0</v>
      </c>
      <c r="D193" s="4">
        <f>IF($A193="","",ROUND(SUMIFS('الصرف المباشر'!$D$2:$D$501,'الصرف المباشر'!$C$2:$C$501,$A193)+SUMPRODUCT((الطبخات!$B$2:$B$900=$A193)*الطبخات!$C$2:$C$900*COUNTIF('سجل الإنتاج'!$C$2:$C$501,الطبخات!$A$2:$A$900)),3))</f>
        <v>0</v>
      </c>
      <c r="E193" s="5" t="str">
        <f t="shared" si="2"/>
        <v>✔ طبيعي</v>
      </c>
      <c r="F193" s="5" t="str">
        <f>IF(AND($A193&lt;&gt;"",$E193&lt;&gt;"✔ طبيعي"),SUMPRODUCT(('الرصيد الحالي'!$E$2:$E193&lt;&gt;"✔ طبيعي")*('الرصيد الحالي'!$E$2:$E193&lt;&gt;"")*('الرصيد الحالي'!$A$2:$A193&lt;&gt;"")),"")</f>
        <v/>
      </c>
    </row>
    <row r="194" spans="1:6" ht="24" customHeight="1">
      <c r="A194" s="3">
        <f>المواد!A193</f>
        <v>0</v>
      </c>
      <c r="B194" s="5">
        <f>المواد!B193</f>
        <v>0</v>
      </c>
      <c r="C194" s="4">
        <f>IF($A194="","",ROUND(SUMIFS(الإدخالات!$D$2:$D$501,الإدخالات!$C$2:$C$501,$A194)+SUMIFS('تعديل الجرد'!$F$2:$F$501,'تعديل الجرد'!$C$2:$C$501,$A194)-SUMIFS('الصرف المباشر'!$D$2:$D$501,'الصرف المباشر'!$C$2:$C$501,$A194)-SUMPRODUCT((الطبخات!$B$2:$B$900=$A194)*الطبخات!$C$2:$C$900*COUNTIF('سجل الإنتاج'!$C$2:$C$501,الطبخات!$A$2:$A$900)),3))</f>
        <v>0</v>
      </c>
      <c r="D194" s="4">
        <f>IF($A194="","",ROUND(SUMIFS('الصرف المباشر'!$D$2:$D$501,'الصرف المباشر'!$C$2:$C$501,$A194)+SUMPRODUCT((الطبخات!$B$2:$B$900=$A194)*الطبخات!$C$2:$C$900*COUNTIF('سجل الإنتاج'!$C$2:$C$501,الطبخات!$A$2:$A$900)),3))</f>
        <v>0</v>
      </c>
      <c r="E194" s="5" t="str">
        <f t="shared" ref="E194:E257" si="3">IF($A194="","",IF($C194&lt;0,"❌ رصيد سالب - يحتاج مراجعة","✔ طبيعي"))</f>
        <v>✔ طبيعي</v>
      </c>
      <c r="F194" s="5" t="str">
        <f>IF(AND($A194&lt;&gt;"",$E194&lt;&gt;"✔ طبيعي"),SUMPRODUCT(('الرصيد الحالي'!$E$2:$E194&lt;&gt;"✔ طبيعي")*('الرصيد الحالي'!$E$2:$E194&lt;&gt;"")*('الرصيد الحالي'!$A$2:$A194&lt;&gt;"")),"")</f>
        <v/>
      </c>
    </row>
    <row r="195" spans="1:6" ht="24" customHeight="1">
      <c r="A195" s="3">
        <f>المواد!A194</f>
        <v>0</v>
      </c>
      <c r="B195" s="5">
        <f>المواد!B194</f>
        <v>0</v>
      </c>
      <c r="C195" s="4">
        <f>IF($A195="","",ROUND(SUMIFS(الإدخالات!$D$2:$D$501,الإدخالات!$C$2:$C$501,$A195)+SUMIFS('تعديل الجرد'!$F$2:$F$501,'تعديل الجرد'!$C$2:$C$501,$A195)-SUMIFS('الصرف المباشر'!$D$2:$D$501,'الصرف المباشر'!$C$2:$C$501,$A195)-SUMPRODUCT((الطبخات!$B$2:$B$900=$A195)*الطبخات!$C$2:$C$900*COUNTIF('سجل الإنتاج'!$C$2:$C$501,الطبخات!$A$2:$A$900)),3))</f>
        <v>0</v>
      </c>
      <c r="D195" s="4">
        <f>IF($A195="","",ROUND(SUMIFS('الصرف المباشر'!$D$2:$D$501,'الصرف المباشر'!$C$2:$C$501,$A195)+SUMPRODUCT((الطبخات!$B$2:$B$900=$A195)*الطبخات!$C$2:$C$900*COUNTIF('سجل الإنتاج'!$C$2:$C$501,الطبخات!$A$2:$A$900)),3))</f>
        <v>0</v>
      </c>
      <c r="E195" s="5" t="str">
        <f t="shared" si="3"/>
        <v>✔ طبيعي</v>
      </c>
      <c r="F195" s="5" t="str">
        <f>IF(AND($A195&lt;&gt;"",$E195&lt;&gt;"✔ طبيعي"),SUMPRODUCT(('الرصيد الحالي'!$E$2:$E195&lt;&gt;"✔ طبيعي")*('الرصيد الحالي'!$E$2:$E195&lt;&gt;"")*('الرصيد الحالي'!$A$2:$A195&lt;&gt;"")),"")</f>
        <v/>
      </c>
    </row>
    <row r="196" spans="1:6" ht="24" customHeight="1">
      <c r="A196" s="3">
        <f>المواد!A195</f>
        <v>0</v>
      </c>
      <c r="B196" s="5">
        <f>المواد!B195</f>
        <v>0</v>
      </c>
      <c r="C196" s="4">
        <f>IF($A196="","",ROUND(SUMIFS(الإدخالات!$D$2:$D$501,الإدخالات!$C$2:$C$501,$A196)+SUMIFS('تعديل الجرد'!$F$2:$F$501,'تعديل الجرد'!$C$2:$C$501,$A196)-SUMIFS('الصرف المباشر'!$D$2:$D$501,'الصرف المباشر'!$C$2:$C$501,$A196)-SUMPRODUCT((الطبخات!$B$2:$B$900=$A196)*الطبخات!$C$2:$C$900*COUNTIF('سجل الإنتاج'!$C$2:$C$501,الطبخات!$A$2:$A$900)),3))</f>
        <v>0</v>
      </c>
      <c r="D196" s="4">
        <f>IF($A196="","",ROUND(SUMIFS('الصرف المباشر'!$D$2:$D$501,'الصرف المباشر'!$C$2:$C$501,$A196)+SUMPRODUCT((الطبخات!$B$2:$B$900=$A196)*الطبخات!$C$2:$C$900*COUNTIF('سجل الإنتاج'!$C$2:$C$501,الطبخات!$A$2:$A$900)),3))</f>
        <v>0</v>
      </c>
      <c r="E196" s="5" t="str">
        <f t="shared" si="3"/>
        <v>✔ طبيعي</v>
      </c>
      <c r="F196" s="5" t="str">
        <f>IF(AND($A196&lt;&gt;"",$E196&lt;&gt;"✔ طبيعي"),SUMPRODUCT(('الرصيد الحالي'!$E$2:$E196&lt;&gt;"✔ طبيعي")*('الرصيد الحالي'!$E$2:$E196&lt;&gt;"")*('الرصيد الحالي'!$A$2:$A196&lt;&gt;"")),"")</f>
        <v/>
      </c>
    </row>
    <row r="197" spans="1:6" ht="24" customHeight="1">
      <c r="A197" s="3">
        <f>المواد!A196</f>
        <v>0</v>
      </c>
      <c r="B197" s="5">
        <f>المواد!B196</f>
        <v>0</v>
      </c>
      <c r="C197" s="4">
        <f>IF($A197="","",ROUND(SUMIFS(الإدخالات!$D$2:$D$501,الإدخالات!$C$2:$C$501,$A197)+SUMIFS('تعديل الجرد'!$F$2:$F$501,'تعديل الجرد'!$C$2:$C$501,$A197)-SUMIFS('الصرف المباشر'!$D$2:$D$501,'الصرف المباشر'!$C$2:$C$501,$A197)-SUMPRODUCT((الطبخات!$B$2:$B$900=$A197)*الطبخات!$C$2:$C$900*COUNTIF('سجل الإنتاج'!$C$2:$C$501,الطبخات!$A$2:$A$900)),3))</f>
        <v>0</v>
      </c>
      <c r="D197" s="4">
        <f>IF($A197="","",ROUND(SUMIFS('الصرف المباشر'!$D$2:$D$501,'الصرف المباشر'!$C$2:$C$501,$A197)+SUMPRODUCT((الطبخات!$B$2:$B$900=$A197)*الطبخات!$C$2:$C$900*COUNTIF('سجل الإنتاج'!$C$2:$C$501,الطبخات!$A$2:$A$900)),3))</f>
        <v>0</v>
      </c>
      <c r="E197" s="5" t="str">
        <f t="shared" si="3"/>
        <v>✔ طبيعي</v>
      </c>
      <c r="F197" s="5" t="str">
        <f>IF(AND($A197&lt;&gt;"",$E197&lt;&gt;"✔ طبيعي"),SUMPRODUCT(('الرصيد الحالي'!$E$2:$E197&lt;&gt;"✔ طبيعي")*('الرصيد الحالي'!$E$2:$E197&lt;&gt;"")*('الرصيد الحالي'!$A$2:$A197&lt;&gt;"")),"")</f>
        <v/>
      </c>
    </row>
    <row r="198" spans="1:6" ht="24" customHeight="1">
      <c r="A198" s="3">
        <f>المواد!A197</f>
        <v>0</v>
      </c>
      <c r="B198" s="5">
        <f>المواد!B197</f>
        <v>0</v>
      </c>
      <c r="C198" s="4">
        <f>IF($A198="","",ROUND(SUMIFS(الإدخالات!$D$2:$D$501,الإدخالات!$C$2:$C$501,$A198)+SUMIFS('تعديل الجرد'!$F$2:$F$501,'تعديل الجرد'!$C$2:$C$501,$A198)-SUMIFS('الصرف المباشر'!$D$2:$D$501,'الصرف المباشر'!$C$2:$C$501,$A198)-SUMPRODUCT((الطبخات!$B$2:$B$900=$A198)*الطبخات!$C$2:$C$900*COUNTIF('سجل الإنتاج'!$C$2:$C$501,الطبخات!$A$2:$A$900)),3))</f>
        <v>0</v>
      </c>
      <c r="D198" s="4">
        <f>IF($A198="","",ROUND(SUMIFS('الصرف المباشر'!$D$2:$D$501,'الصرف المباشر'!$C$2:$C$501,$A198)+SUMPRODUCT((الطبخات!$B$2:$B$900=$A198)*الطبخات!$C$2:$C$900*COUNTIF('سجل الإنتاج'!$C$2:$C$501,الطبخات!$A$2:$A$900)),3))</f>
        <v>0</v>
      </c>
      <c r="E198" s="5" t="str">
        <f t="shared" si="3"/>
        <v>✔ طبيعي</v>
      </c>
      <c r="F198" s="5" t="str">
        <f>IF(AND($A198&lt;&gt;"",$E198&lt;&gt;"✔ طبيعي"),SUMPRODUCT(('الرصيد الحالي'!$E$2:$E198&lt;&gt;"✔ طبيعي")*('الرصيد الحالي'!$E$2:$E198&lt;&gt;"")*('الرصيد الحالي'!$A$2:$A198&lt;&gt;"")),"")</f>
        <v/>
      </c>
    </row>
    <row r="199" spans="1:6" ht="24" customHeight="1">
      <c r="A199" s="3">
        <f>المواد!A198</f>
        <v>0</v>
      </c>
      <c r="B199" s="5">
        <f>المواد!B198</f>
        <v>0</v>
      </c>
      <c r="C199" s="4">
        <f>IF($A199="","",ROUND(SUMIFS(الإدخالات!$D$2:$D$501,الإدخالات!$C$2:$C$501,$A199)+SUMIFS('تعديل الجرد'!$F$2:$F$501,'تعديل الجرد'!$C$2:$C$501,$A199)-SUMIFS('الصرف المباشر'!$D$2:$D$501,'الصرف المباشر'!$C$2:$C$501,$A199)-SUMPRODUCT((الطبخات!$B$2:$B$900=$A199)*الطبخات!$C$2:$C$900*COUNTIF('سجل الإنتاج'!$C$2:$C$501,الطبخات!$A$2:$A$900)),3))</f>
        <v>0</v>
      </c>
      <c r="D199" s="4">
        <f>IF($A199="","",ROUND(SUMIFS('الصرف المباشر'!$D$2:$D$501,'الصرف المباشر'!$C$2:$C$501,$A199)+SUMPRODUCT((الطبخات!$B$2:$B$900=$A199)*الطبخات!$C$2:$C$900*COUNTIF('سجل الإنتاج'!$C$2:$C$501,الطبخات!$A$2:$A$900)),3))</f>
        <v>0</v>
      </c>
      <c r="E199" s="5" t="str">
        <f t="shared" si="3"/>
        <v>✔ طبيعي</v>
      </c>
      <c r="F199" s="5" t="str">
        <f>IF(AND($A199&lt;&gt;"",$E199&lt;&gt;"✔ طبيعي"),SUMPRODUCT(('الرصيد الحالي'!$E$2:$E199&lt;&gt;"✔ طبيعي")*('الرصيد الحالي'!$E$2:$E199&lt;&gt;"")*('الرصيد الحالي'!$A$2:$A199&lt;&gt;"")),"")</f>
        <v/>
      </c>
    </row>
    <row r="200" spans="1:6" ht="24" customHeight="1">
      <c r="A200" s="3">
        <f>المواد!A199</f>
        <v>0</v>
      </c>
      <c r="B200" s="5">
        <f>المواد!B199</f>
        <v>0</v>
      </c>
      <c r="C200" s="4">
        <f>IF($A200="","",ROUND(SUMIFS(الإدخالات!$D$2:$D$501,الإدخالات!$C$2:$C$501,$A200)+SUMIFS('تعديل الجرد'!$F$2:$F$501,'تعديل الجرد'!$C$2:$C$501,$A200)-SUMIFS('الصرف المباشر'!$D$2:$D$501,'الصرف المباشر'!$C$2:$C$501,$A200)-SUMPRODUCT((الطبخات!$B$2:$B$900=$A200)*الطبخات!$C$2:$C$900*COUNTIF('سجل الإنتاج'!$C$2:$C$501,الطبخات!$A$2:$A$900)),3))</f>
        <v>0</v>
      </c>
      <c r="D200" s="4">
        <f>IF($A200="","",ROUND(SUMIFS('الصرف المباشر'!$D$2:$D$501,'الصرف المباشر'!$C$2:$C$501,$A200)+SUMPRODUCT((الطبخات!$B$2:$B$900=$A200)*الطبخات!$C$2:$C$900*COUNTIF('سجل الإنتاج'!$C$2:$C$501,الطبخات!$A$2:$A$900)),3))</f>
        <v>0</v>
      </c>
      <c r="E200" s="5" t="str">
        <f t="shared" si="3"/>
        <v>✔ طبيعي</v>
      </c>
      <c r="F200" s="5" t="str">
        <f>IF(AND($A200&lt;&gt;"",$E200&lt;&gt;"✔ طبيعي"),SUMPRODUCT(('الرصيد الحالي'!$E$2:$E200&lt;&gt;"✔ طبيعي")*('الرصيد الحالي'!$E$2:$E200&lt;&gt;"")*('الرصيد الحالي'!$A$2:$A200&lt;&gt;"")),"")</f>
        <v/>
      </c>
    </row>
    <row r="201" spans="1:6" ht="24" customHeight="1">
      <c r="A201" s="3">
        <f>المواد!A200</f>
        <v>0</v>
      </c>
      <c r="B201" s="5">
        <f>المواد!B200</f>
        <v>0</v>
      </c>
      <c r="C201" s="4">
        <f>IF($A201="","",ROUND(SUMIFS(الإدخالات!$D$2:$D$501,الإدخالات!$C$2:$C$501,$A201)+SUMIFS('تعديل الجرد'!$F$2:$F$501,'تعديل الجرد'!$C$2:$C$501,$A201)-SUMIFS('الصرف المباشر'!$D$2:$D$501,'الصرف المباشر'!$C$2:$C$501,$A201)-SUMPRODUCT((الطبخات!$B$2:$B$900=$A201)*الطبخات!$C$2:$C$900*COUNTIF('سجل الإنتاج'!$C$2:$C$501,الطبخات!$A$2:$A$900)),3))</f>
        <v>0</v>
      </c>
      <c r="D201" s="4">
        <f>IF($A201="","",ROUND(SUMIFS('الصرف المباشر'!$D$2:$D$501,'الصرف المباشر'!$C$2:$C$501,$A201)+SUMPRODUCT((الطبخات!$B$2:$B$900=$A201)*الطبخات!$C$2:$C$900*COUNTIF('سجل الإنتاج'!$C$2:$C$501,الطبخات!$A$2:$A$900)),3))</f>
        <v>0</v>
      </c>
      <c r="E201" s="5" t="str">
        <f t="shared" si="3"/>
        <v>✔ طبيعي</v>
      </c>
      <c r="F201" s="5" t="str">
        <f>IF(AND($A201&lt;&gt;"",$E201&lt;&gt;"✔ طبيعي"),SUMPRODUCT(('الرصيد الحالي'!$E$2:$E201&lt;&gt;"✔ طبيعي")*('الرصيد الحالي'!$E$2:$E201&lt;&gt;"")*('الرصيد الحالي'!$A$2:$A201&lt;&gt;"")),"")</f>
        <v/>
      </c>
    </row>
    <row r="202" spans="1:6" ht="24" customHeight="1">
      <c r="A202" s="3">
        <f>المواد!A201</f>
        <v>0</v>
      </c>
      <c r="B202" s="5">
        <f>المواد!B201</f>
        <v>0</v>
      </c>
      <c r="C202" s="4">
        <f>IF($A202="","",ROUND(SUMIFS(الإدخالات!$D$2:$D$501,الإدخالات!$C$2:$C$501,$A202)+SUMIFS('تعديل الجرد'!$F$2:$F$501,'تعديل الجرد'!$C$2:$C$501,$A202)-SUMIFS('الصرف المباشر'!$D$2:$D$501,'الصرف المباشر'!$C$2:$C$501,$A202)-SUMPRODUCT((الطبخات!$B$2:$B$900=$A202)*الطبخات!$C$2:$C$900*COUNTIF('سجل الإنتاج'!$C$2:$C$501,الطبخات!$A$2:$A$900)),3))</f>
        <v>0</v>
      </c>
      <c r="D202" s="4">
        <f>IF($A202="","",ROUND(SUMIFS('الصرف المباشر'!$D$2:$D$501,'الصرف المباشر'!$C$2:$C$501,$A202)+SUMPRODUCT((الطبخات!$B$2:$B$900=$A202)*الطبخات!$C$2:$C$900*COUNTIF('سجل الإنتاج'!$C$2:$C$501,الطبخات!$A$2:$A$900)),3))</f>
        <v>0</v>
      </c>
      <c r="E202" s="5" t="str">
        <f t="shared" si="3"/>
        <v>✔ طبيعي</v>
      </c>
      <c r="F202" s="5" t="str">
        <f>IF(AND($A202&lt;&gt;"",$E202&lt;&gt;"✔ طبيعي"),SUMPRODUCT(('الرصيد الحالي'!$E$2:$E202&lt;&gt;"✔ طبيعي")*('الرصيد الحالي'!$E$2:$E202&lt;&gt;"")*('الرصيد الحالي'!$A$2:$A202&lt;&gt;"")),"")</f>
        <v/>
      </c>
    </row>
    <row r="203" spans="1:6" ht="24" customHeight="1">
      <c r="A203" s="3">
        <f>المواد!A202</f>
        <v>0</v>
      </c>
      <c r="B203" s="5">
        <f>المواد!B202</f>
        <v>0</v>
      </c>
      <c r="C203" s="4">
        <f>IF($A203="","",ROUND(SUMIFS(الإدخالات!$D$2:$D$501,الإدخالات!$C$2:$C$501,$A203)+SUMIFS('تعديل الجرد'!$F$2:$F$501,'تعديل الجرد'!$C$2:$C$501,$A203)-SUMIFS('الصرف المباشر'!$D$2:$D$501,'الصرف المباشر'!$C$2:$C$501,$A203)-SUMPRODUCT((الطبخات!$B$2:$B$900=$A203)*الطبخات!$C$2:$C$900*COUNTIF('سجل الإنتاج'!$C$2:$C$501,الطبخات!$A$2:$A$900)),3))</f>
        <v>0</v>
      </c>
      <c r="D203" s="4">
        <f>IF($A203="","",ROUND(SUMIFS('الصرف المباشر'!$D$2:$D$501,'الصرف المباشر'!$C$2:$C$501,$A203)+SUMPRODUCT((الطبخات!$B$2:$B$900=$A203)*الطبخات!$C$2:$C$900*COUNTIF('سجل الإنتاج'!$C$2:$C$501,الطبخات!$A$2:$A$900)),3))</f>
        <v>0</v>
      </c>
      <c r="E203" s="5" t="str">
        <f t="shared" si="3"/>
        <v>✔ طبيعي</v>
      </c>
      <c r="F203" s="5" t="str">
        <f>IF(AND($A203&lt;&gt;"",$E203&lt;&gt;"✔ طبيعي"),SUMPRODUCT(('الرصيد الحالي'!$E$2:$E203&lt;&gt;"✔ طبيعي")*('الرصيد الحالي'!$E$2:$E203&lt;&gt;"")*('الرصيد الحالي'!$A$2:$A203&lt;&gt;"")),"")</f>
        <v/>
      </c>
    </row>
    <row r="204" spans="1:6" ht="24" customHeight="1">
      <c r="A204" s="3">
        <f>المواد!A203</f>
        <v>0</v>
      </c>
      <c r="B204" s="5">
        <f>المواد!B203</f>
        <v>0</v>
      </c>
      <c r="C204" s="4">
        <f>IF($A204="","",ROUND(SUMIFS(الإدخالات!$D$2:$D$501,الإدخالات!$C$2:$C$501,$A204)+SUMIFS('تعديل الجرد'!$F$2:$F$501,'تعديل الجرد'!$C$2:$C$501,$A204)-SUMIFS('الصرف المباشر'!$D$2:$D$501,'الصرف المباشر'!$C$2:$C$501,$A204)-SUMPRODUCT((الطبخات!$B$2:$B$900=$A204)*الطبخات!$C$2:$C$900*COUNTIF('سجل الإنتاج'!$C$2:$C$501,الطبخات!$A$2:$A$900)),3))</f>
        <v>0</v>
      </c>
      <c r="D204" s="4">
        <f>IF($A204="","",ROUND(SUMIFS('الصرف المباشر'!$D$2:$D$501,'الصرف المباشر'!$C$2:$C$501,$A204)+SUMPRODUCT((الطبخات!$B$2:$B$900=$A204)*الطبخات!$C$2:$C$900*COUNTIF('سجل الإنتاج'!$C$2:$C$501,الطبخات!$A$2:$A$900)),3))</f>
        <v>0</v>
      </c>
      <c r="E204" s="5" t="str">
        <f t="shared" si="3"/>
        <v>✔ طبيعي</v>
      </c>
      <c r="F204" s="5" t="str">
        <f>IF(AND($A204&lt;&gt;"",$E204&lt;&gt;"✔ طبيعي"),SUMPRODUCT(('الرصيد الحالي'!$E$2:$E204&lt;&gt;"✔ طبيعي")*('الرصيد الحالي'!$E$2:$E204&lt;&gt;"")*('الرصيد الحالي'!$A$2:$A204&lt;&gt;"")),"")</f>
        <v/>
      </c>
    </row>
    <row r="205" spans="1:6" ht="24" customHeight="1">
      <c r="A205" s="3">
        <f>المواد!A204</f>
        <v>0</v>
      </c>
      <c r="B205" s="5">
        <f>المواد!B204</f>
        <v>0</v>
      </c>
      <c r="C205" s="4">
        <f>IF($A205="","",ROUND(SUMIFS(الإدخالات!$D$2:$D$501,الإدخالات!$C$2:$C$501,$A205)+SUMIFS('تعديل الجرد'!$F$2:$F$501,'تعديل الجرد'!$C$2:$C$501,$A205)-SUMIFS('الصرف المباشر'!$D$2:$D$501,'الصرف المباشر'!$C$2:$C$501,$A205)-SUMPRODUCT((الطبخات!$B$2:$B$900=$A205)*الطبخات!$C$2:$C$900*COUNTIF('سجل الإنتاج'!$C$2:$C$501,الطبخات!$A$2:$A$900)),3))</f>
        <v>0</v>
      </c>
      <c r="D205" s="4">
        <f>IF($A205="","",ROUND(SUMIFS('الصرف المباشر'!$D$2:$D$501,'الصرف المباشر'!$C$2:$C$501,$A205)+SUMPRODUCT((الطبخات!$B$2:$B$900=$A205)*الطبخات!$C$2:$C$900*COUNTIF('سجل الإنتاج'!$C$2:$C$501,الطبخات!$A$2:$A$900)),3))</f>
        <v>0</v>
      </c>
      <c r="E205" s="5" t="str">
        <f t="shared" si="3"/>
        <v>✔ طبيعي</v>
      </c>
      <c r="F205" s="5" t="str">
        <f>IF(AND($A205&lt;&gt;"",$E205&lt;&gt;"✔ طبيعي"),SUMPRODUCT(('الرصيد الحالي'!$E$2:$E205&lt;&gt;"✔ طبيعي")*('الرصيد الحالي'!$E$2:$E205&lt;&gt;"")*('الرصيد الحالي'!$A$2:$A205&lt;&gt;"")),"")</f>
        <v/>
      </c>
    </row>
    <row r="206" spans="1:6" ht="24" customHeight="1">
      <c r="A206" s="3">
        <f>المواد!A205</f>
        <v>0</v>
      </c>
      <c r="B206" s="5">
        <f>المواد!B205</f>
        <v>0</v>
      </c>
      <c r="C206" s="4">
        <f>IF($A206="","",ROUND(SUMIFS(الإدخالات!$D$2:$D$501,الإدخالات!$C$2:$C$501,$A206)+SUMIFS('تعديل الجرد'!$F$2:$F$501,'تعديل الجرد'!$C$2:$C$501,$A206)-SUMIFS('الصرف المباشر'!$D$2:$D$501,'الصرف المباشر'!$C$2:$C$501,$A206)-SUMPRODUCT((الطبخات!$B$2:$B$900=$A206)*الطبخات!$C$2:$C$900*COUNTIF('سجل الإنتاج'!$C$2:$C$501,الطبخات!$A$2:$A$900)),3))</f>
        <v>0</v>
      </c>
      <c r="D206" s="4">
        <f>IF($A206="","",ROUND(SUMIFS('الصرف المباشر'!$D$2:$D$501,'الصرف المباشر'!$C$2:$C$501,$A206)+SUMPRODUCT((الطبخات!$B$2:$B$900=$A206)*الطبخات!$C$2:$C$900*COUNTIF('سجل الإنتاج'!$C$2:$C$501,الطبخات!$A$2:$A$900)),3))</f>
        <v>0</v>
      </c>
      <c r="E206" s="5" t="str">
        <f t="shared" si="3"/>
        <v>✔ طبيعي</v>
      </c>
      <c r="F206" s="5" t="str">
        <f>IF(AND($A206&lt;&gt;"",$E206&lt;&gt;"✔ طبيعي"),SUMPRODUCT(('الرصيد الحالي'!$E$2:$E206&lt;&gt;"✔ طبيعي")*('الرصيد الحالي'!$E$2:$E206&lt;&gt;"")*('الرصيد الحالي'!$A$2:$A206&lt;&gt;"")),"")</f>
        <v/>
      </c>
    </row>
    <row r="207" spans="1:6" ht="24" customHeight="1">
      <c r="A207" s="3">
        <f>المواد!A206</f>
        <v>0</v>
      </c>
      <c r="B207" s="5">
        <f>المواد!B206</f>
        <v>0</v>
      </c>
      <c r="C207" s="4">
        <f>IF($A207="","",ROUND(SUMIFS(الإدخالات!$D$2:$D$501,الإدخالات!$C$2:$C$501,$A207)+SUMIFS('تعديل الجرد'!$F$2:$F$501,'تعديل الجرد'!$C$2:$C$501,$A207)-SUMIFS('الصرف المباشر'!$D$2:$D$501,'الصرف المباشر'!$C$2:$C$501,$A207)-SUMPRODUCT((الطبخات!$B$2:$B$900=$A207)*الطبخات!$C$2:$C$900*COUNTIF('سجل الإنتاج'!$C$2:$C$501,الطبخات!$A$2:$A$900)),3))</f>
        <v>0</v>
      </c>
      <c r="D207" s="4">
        <f>IF($A207="","",ROUND(SUMIFS('الصرف المباشر'!$D$2:$D$501,'الصرف المباشر'!$C$2:$C$501,$A207)+SUMPRODUCT((الطبخات!$B$2:$B$900=$A207)*الطبخات!$C$2:$C$900*COUNTIF('سجل الإنتاج'!$C$2:$C$501,الطبخات!$A$2:$A$900)),3))</f>
        <v>0</v>
      </c>
      <c r="E207" s="5" t="str">
        <f t="shared" si="3"/>
        <v>✔ طبيعي</v>
      </c>
      <c r="F207" s="5" t="str">
        <f>IF(AND($A207&lt;&gt;"",$E207&lt;&gt;"✔ طبيعي"),SUMPRODUCT(('الرصيد الحالي'!$E$2:$E207&lt;&gt;"✔ طبيعي")*('الرصيد الحالي'!$E$2:$E207&lt;&gt;"")*('الرصيد الحالي'!$A$2:$A207&lt;&gt;"")),"")</f>
        <v/>
      </c>
    </row>
    <row r="208" spans="1:6" ht="24" customHeight="1">
      <c r="A208" s="3">
        <f>المواد!A207</f>
        <v>0</v>
      </c>
      <c r="B208" s="5">
        <f>المواد!B207</f>
        <v>0</v>
      </c>
      <c r="C208" s="4">
        <f>IF($A208="","",ROUND(SUMIFS(الإدخالات!$D$2:$D$501,الإدخالات!$C$2:$C$501,$A208)+SUMIFS('تعديل الجرد'!$F$2:$F$501,'تعديل الجرد'!$C$2:$C$501,$A208)-SUMIFS('الصرف المباشر'!$D$2:$D$501,'الصرف المباشر'!$C$2:$C$501,$A208)-SUMPRODUCT((الطبخات!$B$2:$B$900=$A208)*الطبخات!$C$2:$C$900*COUNTIF('سجل الإنتاج'!$C$2:$C$501,الطبخات!$A$2:$A$900)),3))</f>
        <v>0</v>
      </c>
      <c r="D208" s="4">
        <f>IF($A208="","",ROUND(SUMIFS('الصرف المباشر'!$D$2:$D$501,'الصرف المباشر'!$C$2:$C$501,$A208)+SUMPRODUCT((الطبخات!$B$2:$B$900=$A208)*الطبخات!$C$2:$C$900*COUNTIF('سجل الإنتاج'!$C$2:$C$501,الطبخات!$A$2:$A$900)),3))</f>
        <v>0</v>
      </c>
      <c r="E208" s="5" t="str">
        <f t="shared" si="3"/>
        <v>✔ طبيعي</v>
      </c>
      <c r="F208" s="5" t="str">
        <f>IF(AND($A208&lt;&gt;"",$E208&lt;&gt;"✔ طبيعي"),SUMPRODUCT(('الرصيد الحالي'!$E$2:$E208&lt;&gt;"✔ طبيعي")*('الرصيد الحالي'!$E$2:$E208&lt;&gt;"")*('الرصيد الحالي'!$A$2:$A208&lt;&gt;"")),"")</f>
        <v/>
      </c>
    </row>
    <row r="209" spans="1:6" ht="24" customHeight="1">
      <c r="A209" s="3">
        <f>المواد!A208</f>
        <v>0</v>
      </c>
      <c r="B209" s="5">
        <f>المواد!B208</f>
        <v>0</v>
      </c>
      <c r="C209" s="4">
        <f>IF($A209="","",ROUND(SUMIFS(الإدخالات!$D$2:$D$501,الإدخالات!$C$2:$C$501,$A209)+SUMIFS('تعديل الجرد'!$F$2:$F$501,'تعديل الجرد'!$C$2:$C$501,$A209)-SUMIFS('الصرف المباشر'!$D$2:$D$501,'الصرف المباشر'!$C$2:$C$501,$A209)-SUMPRODUCT((الطبخات!$B$2:$B$900=$A209)*الطبخات!$C$2:$C$900*COUNTIF('سجل الإنتاج'!$C$2:$C$501,الطبخات!$A$2:$A$900)),3))</f>
        <v>0</v>
      </c>
      <c r="D209" s="4">
        <f>IF($A209="","",ROUND(SUMIFS('الصرف المباشر'!$D$2:$D$501,'الصرف المباشر'!$C$2:$C$501,$A209)+SUMPRODUCT((الطبخات!$B$2:$B$900=$A209)*الطبخات!$C$2:$C$900*COUNTIF('سجل الإنتاج'!$C$2:$C$501,الطبخات!$A$2:$A$900)),3))</f>
        <v>0</v>
      </c>
      <c r="E209" s="5" t="str">
        <f t="shared" si="3"/>
        <v>✔ طبيعي</v>
      </c>
      <c r="F209" s="5" t="str">
        <f>IF(AND($A209&lt;&gt;"",$E209&lt;&gt;"✔ طبيعي"),SUMPRODUCT(('الرصيد الحالي'!$E$2:$E209&lt;&gt;"✔ طبيعي")*('الرصيد الحالي'!$E$2:$E209&lt;&gt;"")*('الرصيد الحالي'!$A$2:$A209&lt;&gt;"")),"")</f>
        <v/>
      </c>
    </row>
    <row r="210" spans="1:6" ht="24" customHeight="1">
      <c r="A210" s="3">
        <f>المواد!A209</f>
        <v>0</v>
      </c>
      <c r="B210" s="5">
        <f>المواد!B209</f>
        <v>0</v>
      </c>
      <c r="C210" s="4">
        <f>IF($A210="","",ROUND(SUMIFS(الإدخالات!$D$2:$D$501,الإدخالات!$C$2:$C$501,$A210)+SUMIFS('تعديل الجرد'!$F$2:$F$501,'تعديل الجرد'!$C$2:$C$501,$A210)-SUMIFS('الصرف المباشر'!$D$2:$D$501,'الصرف المباشر'!$C$2:$C$501,$A210)-SUMPRODUCT((الطبخات!$B$2:$B$900=$A210)*الطبخات!$C$2:$C$900*COUNTIF('سجل الإنتاج'!$C$2:$C$501,الطبخات!$A$2:$A$900)),3))</f>
        <v>0</v>
      </c>
      <c r="D210" s="4">
        <f>IF($A210="","",ROUND(SUMIFS('الصرف المباشر'!$D$2:$D$501,'الصرف المباشر'!$C$2:$C$501,$A210)+SUMPRODUCT((الطبخات!$B$2:$B$900=$A210)*الطبخات!$C$2:$C$900*COUNTIF('سجل الإنتاج'!$C$2:$C$501,الطبخات!$A$2:$A$900)),3))</f>
        <v>0</v>
      </c>
      <c r="E210" s="5" t="str">
        <f t="shared" si="3"/>
        <v>✔ طبيعي</v>
      </c>
      <c r="F210" s="5" t="str">
        <f>IF(AND($A210&lt;&gt;"",$E210&lt;&gt;"✔ طبيعي"),SUMPRODUCT(('الرصيد الحالي'!$E$2:$E210&lt;&gt;"✔ طبيعي")*('الرصيد الحالي'!$E$2:$E210&lt;&gt;"")*('الرصيد الحالي'!$A$2:$A210&lt;&gt;"")),"")</f>
        <v/>
      </c>
    </row>
    <row r="211" spans="1:6" ht="24" customHeight="1">
      <c r="A211" s="3">
        <f>المواد!A210</f>
        <v>0</v>
      </c>
      <c r="B211" s="5">
        <f>المواد!B210</f>
        <v>0</v>
      </c>
      <c r="C211" s="4">
        <f>IF($A211="","",ROUND(SUMIFS(الإدخالات!$D$2:$D$501,الإدخالات!$C$2:$C$501,$A211)+SUMIFS('تعديل الجرد'!$F$2:$F$501,'تعديل الجرد'!$C$2:$C$501,$A211)-SUMIFS('الصرف المباشر'!$D$2:$D$501,'الصرف المباشر'!$C$2:$C$501,$A211)-SUMPRODUCT((الطبخات!$B$2:$B$900=$A211)*الطبخات!$C$2:$C$900*COUNTIF('سجل الإنتاج'!$C$2:$C$501,الطبخات!$A$2:$A$900)),3))</f>
        <v>0</v>
      </c>
      <c r="D211" s="4">
        <f>IF($A211="","",ROUND(SUMIFS('الصرف المباشر'!$D$2:$D$501,'الصرف المباشر'!$C$2:$C$501,$A211)+SUMPRODUCT((الطبخات!$B$2:$B$900=$A211)*الطبخات!$C$2:$C$900*COUNTIF('سجل الإنتاج'!$C$2:$C$501,الطبخات!$A$2:$A$900)),3))</f>
        <v>0</v>
      </c>
      <c r="E211" s="5" t="str">
        <f t="shared" si="3"/>
        <v>✔ طبيعي</v>
      </c>
      <c r="F211" s="5" t="str">
        <f>IF(AND($A211&lt;&gt;"",$E211&lt;&gt;"✔ طبيعي"),SUMPRODUCT(('الرصيد الحالي'!$E$2:$E211&lt;&gt;"✔ طبيعي")*('الرصيد الحالي'!$E$2:$E211&lt;&gt;"")*('الرصيد الحالي'!$A$2:$A211&lt;&gt;"")),"")</f>
        <v/>
      </c>
    </row>
    <row r="212" spans="1:6" ht="24" customHeight="1">
      <c r="A212" s="3">
        <f>المواد!A211</f>
        <v>0</v>
      </c>
      <c r="B212" s="5">
        <f>المواد!B211</f>
        <v>0</v>
      </c>
      <c r="C212" s="4">
        <f>IF($A212="","",ROUND(SUMIFS(الإدخالات!$D$2:$D$501,الإدخالات!$C$2:$C$501,$A212)+SUMIFS('تعديل الجرد'!$F$2:$F$501,'تعديل الجرد'!$C$2:$C$501,$A212)-SUMIFS('الصرف المباشر'!$D$2:$D$501,'الصرف المباشر'!$C$2:$C$501,$A212)-SUMPRODUCT((الطبخات!$B$2:$B$900=$A212)*الطبخات!$C$2:$C$900*COUNTIF('سجل الإنتاج'!$C$2:$C$501,الطبخات!$A$2:$A$900)),3))</f>
        <v>0</v>
      </c>
      <c r="D212" s="4">
        <f>IF($A212="","",ROUND(SUMIFS('الصرف المباشر'!$D$2:$D$501,'الصرف المباشر'!$C$2:$C$501,$A212)+SUMPRODUCT((الطبخات!$B$2:$B$900=$A212)*الطبخات!$C$2:$C$900*COUNTIF('سجل الإنتاج'!$C$2:$C$501,الطبخات!$A$2:$A$900)),3))</f>
        <v>0</v>
      </c>
      <c r="E212" s="5" t="str">
        <f t="shared" si="3"/>
        <v>✔ طبيعي</v>
      </c>
      <c r="F212" s="5" t="str">
        <f>IF(AND($A212&lt;&gt;"",$E212&lt;&gt;"✔ طبيعي"),SUMPRODUCT(('الرصيد الحالي'!$E$2:$E212&lt;&gt;"✔ طبيعي")*('الرصيد الحالي'!$E$2:$E212&lt;&gt;"")*('الرصيد الحالي'!$A$2:$A212&lt;&gt;"")),"")</f>
        <v/>
      </c>
    </row>
    <row r="213" spans="1:6" ht="24" customHeight="1">
      <c r="A213" s="3">
        <f>المواد!A212</f>
        <v>0</v>
      </c>
      <c r="B213" s="5">
        <f>المواد!B212</f>
        <v>0</v>
      </c>
      <c r="C213" s="4">
        <f>IF($A213="","",ROUND(SUMIFS(الإدخالات!$D$2:$D$501,الإدخالات!$C$2:$C$501,$A213)+SUMIFS('تعديل الجرد'!$F$2:$F$501,'تعديل الجرد'!$C$2:$C$501,$A213)-SUMIFS('الصرف المباشر'!$D$2:$D$501,'الصرف المباشر'!$C$2:$C$501,$A213)-SUMPRODUCT((الطبخات!$B$2:$B$900=$A213)*الطبخات!$C$2:$C$900*COUNTIF('سجل الإنتاج'!$C$2:$C$501,الطبخات!$A$2:$A$900)),3))</f>
        <v>0</v>
      </c>
      <c r="D213" s="4">
        <f>IF($A213="","",ROUND(SUMIFS('الصرف المباشر'!$D$2:$D$501,'الصرف المباشر'!$C$2:$C$501,$A213)+SUMPRODUCT((الطبخات!$B$2:$B$900=$A213)*الطبخات!$C$2:$C$900*COUNTIF('سجل الإنتاج'!$C$2:$C$501,الطبخات!$A$2:$A$900)),3))</f>
        <v>0</v>
      </c>
      <c r="E213" s="5" t="str">
        <f t="shared" si="3"/>
        <v>✔ طبيعي</v>
      </c>
      <c r="F213" s="5" t="str">
        <f>IF(AND($A213&lt;&gt;"",$E213&lt;&gt;"✔ طبيعي"),SUMPRODUCT(('الرصيد الحالي'!$E$2:$E213&lt;&gt;"✔ طبيعي")*('الرصيد الحالي'!$E$2:$E213&lt;&gt;"")*('الرصيد الحالي'!$A$2:$A213&lt;&gt;"")),"")</f>
        <v/>
      </c>
    </row>
    <row r="214" spans="1:6" ht="24" customHeight="1">
      <c r="A214" s="3">
        <f>المواد!A213</f>
        <v>0</v>
      </c>
      <c r="B214" s="5">
        <f>المواد!B213</f>
        <v>0</v>
      </c>
      <c r="C214" s="4">
        <f>IF($A214="","",ROUND(SUMIFS(الإدخالات!$D$2:$D$501,الإدخالات!$C$2:$C$501,$A214)+SUMIFS('تعديل الجرد'!$F$2:$F$501,'تعديل الجرد'!$C$2:$C$501,$A214)-SUMIFS('الصرف المباشر'!$D$2:$D$501,'الصرف المباشر'!$C$2:$C$501,$A214)-SUMPRODUCT((الطبخات!$B$2:$B$900=$A214)*الطبخات!$C$2:$C$900*COUNTIF('سجل الإنتاج'!$C$2:$C$501,الطبخات!$A$2:$A$900)),3))</f>
        <v>0</v>
      </c>
      <c r="D214" s="4">
        <f>IF($A214="","",ROUND(SUMIFS('الصرف المباشر'!$D$2:$D$501,'الصرف المباشر'!$C$2:$C$501,$A214)+SUMPRODUCT((الطبخات!$B$2:$B$900=$A214)*الطبخات!$C$2:$C$900*COUNTIF('سجل الإنتاج'!$C$2:$C$501,الطبخات!$A$2:$A$900)),3))</f>
        <v>0</v>
      </c>
      <c r="E214" s="5" t="str">
        <f t="shared" si="3"/>
        <v>✔ طبيعي</v>
      </c>
      <c r="F214" s="5" t="str">
        <f>IF(AND($A214&lt;&gt;"",$E214&lt;&gt;"✔ طبيعي"),SUMPRODUCT(('الرصيد الحالي'!$E$2:$E214&lt;&gt;"✔ طبيعي")*('الرصيد الحالي'!$E$2:$E214&lt;&gt;"")*('الرصيد الحالي'!$A$2:$A214&lt;&gt;"")),"")</f>
        <v/>
      </c>
    </row>
    <row r="215" spans="1:6" ht="24" customHeight="1">
      <c r="A215" s="3">
        <f>المواد!A214</f>
        <v>0</v>
      </c>
      <c r="B215" s="5">
        <f>المواد!B214</f>
        <v>0</v>
      </c>
      <c r="C215" s="4">
        <f>IF($A215="","",ROUND(SUMIFS(الإدخالات!$D$2:$D$501,الإدخالات!$C$2:$C$501,$A215)+SUMIFS('تعديل الجرد'!$F$2:$F$501,'تعديل الجرد'!$C$2:$C$501,$A215)-SUMIFS('الصرف المباشر'!$D$2:$D$501,'الصرف المباشر'!$C$2:$C$501,$A215)-SUMPRODUCT((الطبخات!$B$2:$B$900=$A215)*الطبخات!$C$2:$C$900*COUNTIF('سجل الإنتاج'!$C$2:$C$501,الطبخات!$A$2:$A$900)),3))</f>
        <v>0</v>
      </c>
      <c r="D215" s="4">
        <f>IF($A215="","",ROUND(SUMIFS('الصرف المباشر'!$D$2:$D$501,'الصرف المباشر'!$C$2:$C$501,$A215)+SUMPRODUCT((الطبخات!$B$2:$B$900=$A215)*الطبخات!$C$2:$C$900*COUNTIF('سجل الإنتاج'!$C$2:$C$501,الطبخات!$A$2:$A$900)),3))</f>
        <v>0</v>
      </c>
      <c r="E215" s="5" t="str">
        <f t="shared" si="3"/>
        <v>✔ طبيعي</v>
      </c>
      <c r="F215" s="5" t="str">
        <f>IF(AND($A215&lt;&gt;"",$E215&lt;&gt;"✔ طبيعي"),SUMPRODUCT(('الرصيد الحالي'!$E$2:$E215&lt;&gt;"✔ طبيعي")*('الرصيد الحالي'!$E$2:$E215&lt;&gt;"")*('الرصيد الحالي'!$A$2:$A215&lt;&gt;"")),"")</f>
        <v/>
      </c>
    </row>
    <row r="216" spans="1:6" ht="24" customHeight="1">
      <c r="A216" s="3">
        <f>المواد!A215</f>
        <v>0</v>
      </c>
      <c r="B216" s="5">
        <f>المواد!B215</f>
        <v>0</v>
      </c>
      <c r="C216" s="4">
        <f>IF($A216="","",ROUND(SUMIFS(الإدخالات!$D$2:$D$501,الإدخالات!$C$2:$C$501,$A216)+SUMIFS('تعديل الجرد'!$F$2:$F$501,'تعديل الجرد'!$C$2:$C$501,$A216)-SUMIFS('الصرف المباشر'!$D$2:$D$501,'الصرف المباشر'!$C$2:$C$501,$A216)-SUMPRODUCT((الطبخات!$B$2:$B$900=$A216)*الطبخات!$C$2:$C$900*COUNTIF('سجل الإنتاج'!$C$2:$C$501,الطبخات!$A$2:$A$900)),3))</f>
        <v>0</v>
      </c>
      <c r="D216" s="4">
        <f>IF($A216="","",ROUND(SUMIFS('الصرف المباشر'!$D$2:$D$501,'الصرف المباشر'!$C$2:$C$501,$A216)+SUMPRODUCT((الطبخات!$B$2:$B$900=$A216)*الطبخات!$C$2:$C$900*COUNTIF('سجل الإنتاج'!$C$2:$C$501,الطبخات!$A$2:$A$900)),3))</f>
        <v>0</v>
      </c>
      <c r="E216" s="5" t="str">
        <f t="shared" si="3"/>
        <v>✔ طبيعي</v>
      </c>
      <c r="F216" s="5" t="str">
        <f>IF(AND($A216&lt;&gt;"",$E216&lt;&gt;"✔ طبيعي"),SUMPRODUCT(('الرصيد الحالي'!$E$2:$E216&lt;&gt;"✔ طبيعي")*('الرصيد الحالي'!$E$2:$E216&lt;&gt;"")*('الرصيد الحالي'!$A$2:$A216&lt;&gt;"")),"")</f>
        <v/>
      </c>
    </row>
    <row r="217" spans="1:6" ht="24" customHeight="1">
      <c r="A217" s="3">
        <f>المواد!A216</f>
        <v>0</v>
      </c>
      <c r="B217" s="5">
        <f>المواد!B216</f>
        <v>0</v>
      </c>
      <c r="C217" s="4">
        <f>IF($A217="","",ROUND(SUMIFS(الإدخالات!$D$2:$D$501,الإدخالات!$C$2:$C$501,$A217)+SUMIFS('تعديل الجرد'!$F$2:$F$501,'تعديل الجرد'!$C$2:$C$501,$A217)-SUMIFS('الصرف المباشر'!$D$2:$D$501,'الصرف المباشر'!$C$2:$C$501,$A217)-SUMPRODUCT((الطبخات!$B$2:$B$900=$A217)*الطبخات!$C$2:$C$900*COUNTIF('سجل الإنتاج'!$C$2:$C$501,الطبخات!$A$2:$A$900)),3))</f>
        <v>0</v>
      </c>
      <c r="D217" s="4">
        <f>IF($A217="","",ROUND(SUMIFS('الصرف المباشر'!$D$2:$D$501,'الصرف المباشر'!$C$2:$C$501,$A217)+SUMPRODUCT((الطبخات!$B$2:$B$900=$A217)*الطبخات!$C$2:$C$900*COUNTIF('سجل الإنتاج'!$C$2:$C$501,الطبخات!$A$2:$A$900)),3))</f>
        <v>0</v>
      </c>
      <c r="E217" s="5" t="str">
        <f t="shared" si="3"/>
        <v>✔ طبيعي</v>
      </c>
      <c r="F217" s="5" t="str">
        <f>IF(AND($A217&lt;&gt;"",$E217&lt;&gt;"✔ طبيعي"),SUMPRODUCT(('الرصيد الحالي'!$E$2:$E217&lt;&gt;"✔ طبيعي")*('الرصيد الحالي'!$E$2:$E217&lt;&gt;"")*('الرصيد الحالي'!$A$2:$A217&lt;&gt;"")),"")</f>
        <v/>
      </c>
    </row>
    <row r="218" spans="1:6" ht="24" customHeight="1">
      <c r="A218" s="3">
        <f>المواد!A217</f>
        <v>0</v>
      </c>
      <c r="B218" s="5">
        <f>المواد!B217</f>
        <v>0</v>
      </c>
      <c r="C218" s="4">
        <f>IF($A218="","",ROUND(SUMIFS(الإدخالات!$D$2:$D$501,الإدخالات!$C$2:$C$501,$A218)+SUMIFS('تعديل الجرد'!$F$2:$F$501,'تعديل الجرد'!$C$2:$C$501,$A218)-SUMIFS('الصرف المباشر'!$D$2:$D$501,'الصرف المباشر'!$C$2:$C$501,$A218)-SUMPRODUCT((الطبخات!$B$2:$B$900=$A218)*الطبخات!$C$2:$C$900*COUNTIF('سجل الإنتاج'!$C$2:$C$501,الطبخات!$A$2:$A$900)),3))</f>
        <v>0</v>
      </c>
      <c r="D218" s="4">
        <f>IF($A218="","",ROUND(SUMIFS('الصرف المباشر'!$D$2:$D$501,'الصرف المباشر'!$C$2:$C$501,$A218)+SUMPRODUCT((الطبخات!$B$2:$B$900=$A218)*الطبخات!$C$2:$C$900*COUNTIF('سجل الإنتاج'!$C$2:$C$501,الطبخات!$A$2:$A$900)),3))</f>
        <v>0</v>
      </c>
      <c r="E218" s="5" t="str">
        <f t="shared" si="3"/>
        <v>✔ طبيعي</v>
      </c>
      <c r="F218" s="5" t="str">
        <f>IF(AND($A218&lt;&gt;"",$E218&lt;&gt;"✔ طبيعي"),SUMPRODUCT(('الرصيد الحالي'!$E$2:$E218&lt;&gt;"✔ طبيعي")*('الرصيد الحالي'!$E$2:$E218&lt;&gt;"")*('الرصيد الحالي'!$A$2:$A218&lt;&gt;"")),"")</f>
        <v/>
      </c>
    </row>
    <row r="219" spans="1:6" ht="24" customHeight="1">
      <c r="A219" s="3">
        <f>المواد!A218</f>
        <v>0</v>
      </c>
      <c r="B219" s="5">
        <f>المواد!B218</f>
        <v>0</v>
      </c>
      <c r="C219" s="4">
        <f>IF($A219="","",ROUND(SUMIFS(الإدخالات!$D$2:$D$501,الإدخالات!$C$2:$C$501,$A219)+SUMIFS('تعديل الجرد'!$F$2:$F$501,'تعديل الجرد'!$C$2:$C$501,$A219)-SUMIFS('الصرف المباشر'!$D$2:$D$501,'الصرف المباشر'!$C$2:$C$501,$A219)-SUMPRODUCT((الطبخات!$B$2:$B$900=$A219)*الطبخات!$C$2:$C$900*COUNTIF('سجل الإنتاج'!$C$2:$C$501,الطبخات!$A$2:$A$900)),3))</f>
        <v>0</v>
      </c>
      <c r="D219" s="4">
        <f>IF($A219="","",ROUND(SUMIFS('الصرف المباشر'!$D$2:$D$501,'الصرف المباشر'!$C$2:$C$501,$A219)+SUMPRODUCT((الطبخات!$B$2:$B$900=$A219)*الطبخات!$C$2:$C$900*COUNTIF('سجل الإنتاج'!$C$2:$C$501,الطبخات!$A$2:$A$900)),3))</f>
        <v>0</v>
      </c>
      <c r="E219" s="5" t="str">
        <f t="shared" si="3"/>
        <v>✔ طبيعي</v>
      </c>
      <c r="F219" s="5" t="str">
        <f>IF(AND($A219&lt;&gt;"",$E219&lt;&gt;"✔ طبيعي"),SUMPRODUCT(('الرصيد الحالي'!$E$2:$E219&lt;&gt;"✔ طبيعي")*('الرصيد الحالي'!$E$2:$E219&lt;&gt;"")*('الرصيد الحالي'!$A$2:$A219&lt;&gt;"")),"")</f>
        <v/>
      </c>
    </row>
    <row r="220" spans="1:6" ht="24" customHeight="1">
      <c r="A220" s="3">
        <f>المواد!A219</f>
        <v>0</v>
      </c>
      <c r="B220" s="5">
        <f>المواد!B219</f>
        <v>0</v>
      </c>
      <c r="C220" s="4">
        <f>IF($A220="","",ROUND(SUMIFS(الإدخالات!$D$2:$D$501,الإدخالات!$C$2:$C$501,$A220)+SUMIFS('تعديل الجرد'!$F$2:$F$501,'تعديل الجرد'!$C$2:$C$501,$A220)-SUMIFS('الصرف المباشر'!$D$2:$D$501,'الصرف المباشر'!$C$2:$C$501,$A220)-SUMPRODUCT((الطبخات!$B$2:$B$900=$A220)*الطبخات!$C$2:$C$900*COUNTIF('سجل الإنتاج'!$C$2:$C$501,الطبخات!$A$2:$A$900)),3))</f>
        <v>0</v>
      </c>
      <c r="D220" s="4">
        <f>IF($A220="","",ROUND(SUMIFS('الصرف المباشر'!$D$2:$D$501,'الصرف المباشر'!$C$2:$C$501,$A220)+SUMPRODUCT((الطبخات!$B$2:$B$900=$A220)*الطبخات!$C$2:$C$900*COUNTIF('سجل الإنتاج'!$C$2:$C$501,الطبخات!$A$2:$A$900)),3))</f>
        <v>0</v>
      </c>
      <c r="E220" s="5" t="str">
        <f t="shared" si="3"/>
        <v>✔ طبيعي</v>
      </c>
      <c r="F220" s="5" t="str">
        <f>IF(AND($A220&lt;&gt;"",$E220&lt;&gt;"✔ طبيعي"),SUMPRODUCT(('الرصيد الحالي'!$E$2:$E220&lt;&gt;"✔ طبيعي")*('الرصيد الحالي'!$E$2:$E220&lt;&gt;"")*('الرصيد الحالي'!$A$2:$A220&lt;&gt;"")),"")</f>
        <v/>
      </c>
    </row>
    <row r="221" spans="1:6" ht="24" customHeight="1">
      <c r="A221" s="3">
        <f>المواد!A220</f>
        <v>0</v>
      </c>
      <c r="B221" s="5">
        <f>المواد!B220</f>
        <v>0</v>
      </c>
      <c r="C221" s="4">
        <f>IF($A221="","",ROUND(SUMIFS(الإدخالات!$D$2:$D$501,الإدخالات!$C$2:$C$501,$A221)+SUMIFS('تعديل الجرد'!$F$2:$F$501,'تعديل الجرد'!$C$2:$C$501,$A221)-SUMIFS('الصرف المباشر'!$D$2:$D$501,'الصرف المباشر'!$C$2:$C$501,$A221)-SUMPRODUCT((الطبخات!$B$2:$B$900=$A221)*الطبخات!$C$2:$C$900*COUNTIF('سجل الإنتاج'!$C$2:$C$501,الطبخات!$A$2:$A$900)),3))</f>
        <v>0</v>
      </c>
      <c r="D221" s="4">
        <f>IF($A221="","",ROUND(SUMIFS('الصرف المباشر'!$D$2:$D$501,'الصرف المباشر'!$C$2:$C$501,$A221)+SUMPRODUCT((الطبخات!$B$2:$B$900=$A221)*الطبخات!$C$2:$C$900*COUNTIF('سجل الإنتاج'!$C$2:$C$501,الطبخات!$A$2:$A$900)),3))</f>
        <v>0</v>
      </c>
      <c r="E221" s="5" t="str">
        <f t="shared" si="3"/>
        <v>✔ طبيعي</v>
      </c>
      <c r="F221" s="5" t="str">
        <f>IF(AND($A221&lt;&gt;"",$E221&lt;&gt;"✔ طبيعي"),SUMPRODUCT(('الرصيد الحالي'!$E$2:$E221&lt;&gt;"✔ طبيعي")*('الرصيد الحالي'!$E$2:$E221&lt;&gt;"")*('الرصيد الحالي'!$A$2:$A221&lt;&gt;"")),"")</f>
        <v/>
      </c>
    </row>
    <row r="222" spans="1:6" ht="24" customHeight="1">
      <c r="A222" s="3">
        <f>المواد!A221</f>
        <v>0</v>
      </c>
      <c r="B222" s="5" t="str">
        <f>المواد!B221</f>
        <v>كوستيك-قطرونة</v>
      </c>
      <c r="C222" s="4">
        <f>IF($A222="","",ROUND(SUMIFS(الإدخالات!$D$2:$D$501,الإدخالات!$C$2:$C$501,$A222)+SUMIFS('تعديل الجرد'!$F$2:$F$501,'تعديل الجرد'!$C$2:$C$501,$A222)-SUMIFS('الصرف المباشر'!$D$2:$D$501,'الصرف المباشر'!$C$2:$C$501,$A222)-SUMPRODUCT((الطبخات!$B$2:$B$900=$A222)*الطبخات!$C$2:$C$900*COUNTIF('سجل الإنتاج'!$C$2:$C$501,الطبخات!$A$2:$A$900)),3))</f>
        <v>0</v>
      </c>
      <c r="D222" s="4">
        <f>IF($A222="","",ROUND(SUMIFS('الصرف المباشر'!$D$2:$D$501,'الصرف المباشر'!$C$2:$C$501,$A222)+SUMPRODUCT((الطبخات!$B$2:$B$900=$A222)*الطبخات!$C$2:$C$900*COUNTIF('سجل الإنتاج'!$C$2:$C$501,الطبخات!$A$2:$A$900)),3))</f>
        <v>0</v>
      </c>
      <c r="E222" s="5" t="str">
        <f t="shared" si="3"/>
        <v>✔ طبيعي</v>
      </c>
      <c r="F222" s="5" t="str">
        <f>IF(AND($A222&lt;&gt;"",$E222&lt;&gt;"✔ طبيعي"),SUMPRODUCT(('الرصيد الحالي'!$E$2:$E222&lt;&gt;"✔ طبيعي")*('الرصيد الحالي'!$E$2:$E222&lt;&gt;"")*('الرصيد الحالي'!$A$2:$A222&lt;&gt;"")),"")</f>
        <v/>
      </c>
    </row>
    <row r="223" spans="1:6" ht="24" customHeight="1">
      <c r="A223" s="3">
        <f>المواد!A222</f>
        <v>0</v>
      </c>
      <c r="B223" s="5">
        <f>المواد!B222</f>
        <v>0</v>
      </c>
      <c r="C223" s="4">
        <f>IF($A223="","",ROUND(SUMIFS(الإدخالات!$D$2:$D$501,الإدخالات!$C$2:$C$501,$A223)+SUMIFS('تعديل الجرد'!$F$2:$F$501,'تعديل الجرد'!$C$2:$C$501,$A223)-SUMIFS('الصرف المباشر'!$D$2:$D$501,'الصرف المباشر'!$C$2:$C$501,$A223)-SUMPRODUCT((الطبخات!$B$2:$B$900=$A223)*الطبخات!$C$2:$C$900*COUNTIF('سجل الإنتاج'!$C$2:$C$501,الطبخات!$A$2:$A$900)),3))</f>
        <v>0</v>
      </c>
      <c r="D223" s="4">
        <f>IF($A223="","",ROUND(SUMIFS('الصرف المباشر'!$D$2:$D$501,'الصرف المباشر'!$C$2:$C$501,$A223)+SUMPRODUCT((الطبخات!$B$2:$B$900=$A223)*الطبخات!$C$2:$C$900*COUNTIF('سجل الإنتاج'!$C$2:$C$501,الطبخات!$A$2:$A$900)),3))</f>
        <v>0</v>
      </c>
      <c r="E223" s="5" t="str">
        <f t="shared" si="3"/>
        <v>✔ طبيعي</v>
      </c>
      <c r="F223" s="5" t="str">
        <f>IF(AND($A223&lt;&gt;"",$E223&lt;&gt;"✔ طبيعي"),SUMPRODUCT(('الرصيد الحالي'!$E$2:$E223&lt;&gt;"✔ طبيعي")*('الرصيد الحالي'!$E$2:$E223&lt;&gt;"")*('الرصيد الحالي'!$A$2:$A223&lt;&gt;"")),"")</f>
        <v/>
      </c>
    </row>
    <row r="224" spans="1:6" ht="24" customHeight="1">
      <c r="A224" s="3">
        <f>المواد!A223</f>
        <v>0</v>
      </c>
      <c r="B224" s="5">
        <f>المواد!B223</f>
        <v>0</v>
      </c>
      <c r="C224" s="4">
        <f>IF($A224="","",ROUND(SUMIFS(الإدخالات!$D$2:$D$501,الإدخالات!$C$2:$C$501,$A224)+SUMIFS('تعديل الجرد'!$F$2:$F$501,'تعديل الجرد'!$C$2:$C$501,$A224)-SUMIFS('الصرف المباشر'!$D$2:$D$501,'الصرف المباشر'!$C$2:$C$501,$A224)-SUMPRODUCT((الطبخات!$B$2:$B$900=$A224)*الطبخات!$C$2:$C$900*COUNTIF('سجل الإنتاج'!$C$2:$C$501,الطبخات!$A$2:$A$900)),3))</f>
        <v>0</v>
      </c>
      <c r="D224" s="4">
        <f>IF($A224="","",ROUND(SUMIFS('الصرف المباشر'!$D$2:$D$501,'الصرف المباشر'!$C$2:$C$501,$A224)+SUMPRODUCT((الطبخات!$B$2:$B$900=$A224)*الطبخات!$C$2:$C$900*COUNTIF('سجل الإنتاج'!$C$2:$C$501,الطبخات!$A$2:$A$900)),3))</f>
        <v>0</v>
      </c>
      <c r="E224" s="5" t="str">
        <f t="shared" si="3"/>
        <v>✔ طبيعي</v>
      </c>
      <c r="F224" s="5" t="str">
        <f>IF(AND($A224&lt;&gt;"",$E224&lt;&gt;"✔ طبيعي"),SUMPRODUCT(('الرصيد الحالي'!$E$2:$E224&lt;&gt;"✔ طبيعي")*('الرصيد الحالي'!$E$2:$E224&lt;&gt;"")*('الرصيد الحالي'!$A$2:$A224&lt;&gt;"")),"")</f>
        <v/>
      </c>
    </row>
    <row r="225" spans="1:6" ht="24" customHeight="1">
      <c r="A225" s="3">
        <f>المواد!A224</f>
        <v>0</v>
      </c>
      <c r="B225" s="5">
        <f>المواد!B224</f>
        <v>0</v>
      </c>
      <c r="C225" s="4">
        <f>IF($A225="","",ROUND(SUMIFS(الإدخالات!$D$2:$D$501,الإدخالات!$C$2:$C$501,$A225)+SUMIFS('تعديل الجرد'!$F$2:$F$501,'تعديل الجرد'!$C$2:$C$501,$A225)-SUMIFS('الصرف المباشر'!$D$2:$D$501,'الصرف المباشر'!$C$2:$C$501,$A225)-SUMPRODUCT((الطبخات!$B$2:$B$900=$A225)*الطبخات!$C$2:$C$900*COUNTIF('سجل الإنتاج'!$C$2:$C$501,الطبخات!$A$2:$A$900)),3))</f>
        <v>0</v>
      </c>
      <c r="D225" s="4">
        <f>IF($A225="","",ROUND(SUMIFS('الصرف المباشر'!$D$2:$D$501,'الصرف المباشر'!$C$2:$C$501,$A225)+SUMPRODUCT((الطبخات!$B$2:$B$900=$A225)*الطبخات!$C$2:$C$900*COUNTIF('سجل الإنتاج'!$C$2:$C$501,الطبخات!$A$2:$A$900)),3))</f>
        <v>0</v>
      </c>
      <c r="E225" s="5" t="str">
        <f t="shared" si="3"/>
        <v>✔ طبيعي</v>
      </c>
      <c r="F225" s="5" t="str">
        <f>IF(AND($A225&lt;&gt;"",$E225&lt;&gt;"✔ طبيعي"),SUMPRODUCT(('الرصيد الحالي'!$E$2:$E225&lt;&gt;"✔ طبيعي")*('الرصيد الحالي'!$E$2:$E225&lt;&gt;"")*('الرصيد الحالي'!$A$2:$A225&lt;&gt;"")),"")</f>
        <v/>
      </c>
    </row>
    <row r="226" spans="1:6" ht="24" customHeight="1">
      <c r="A226" s="3">
        <f>المواد!A225</f>
        <v>0</v>
      </c>
      <c r="B226" s="5">
        <f>المواد!B225</f>
        <v>0</v>
      </c>
      <c r="C226" s="4">
        <f>IF($A226="","",ROUND(SUMIFS(الإدخالات!$D$2:$D$501,الإدخالات!$C$2:$C$501,$A226)+SUMIFS('تعديل الجرد'!$F$2:$F$501,'تعديل الجرد'!$C$2:$C$501,$A226)-SUMIFS('الصرف المباشر'!$D$2:$D$501,'الصرف المباشر'!$C$2:$C$501,$A226)-SUMPRODUCT((الطبخات!$B$2:$B$900=$A226)*الطبخات!$C$2:$C$900*COUNTIF('سجل الإنتاج'!$C$2:$C$501,الطبخات!$A$2:$A$900)),3))</f>
        <v>0</v>
      </c>
      <c r="D226" s="4">
        <f>IF($A226="","",ROUND(SUMIFS('الصرف المباشر'!$D$2:$D$501,'الصرف المباشر'!$C$2:$C$501,$A226)+SUMPRODUCT((الطبخات!$B$2:$B$900=$A226)*الطبخات!$C$2:$C$900*COUNTIF('سجل الإنتاج'!$C$2:$C$501,الطبخات!$A$2:$A$900)),3))</f>
        <v>0</v>
      </c>
      <c r="E226" s="5" t="str">
        <f t="shared" si="3"/>
        <v>✔ طبيعي</v>
      </c>
      <c r="F226" s="5" t="str">
        <f>IF(AND($A226&lt;&gt;"",$E226&lt;&gt;"✔ طبيعي"),SUMPRODUCT(('الرصيد الحالي'!$E$2:$E226&lt;&gt;"✔ طبيعي")*('الرصيد الحالي'!$E$2:$E226&lt;&gt;"")*('الرصيد الحالي'!$A$2:$A226&lt;&gt;"")),"")</f>
        <v/>
      </c>
    </row>
    <row r="227" spans="1:6" ht="24" customHeight="1">
      <c r="A227" s="3">
        <f>المواد!A226</f>
        <v>0</v>
      </c>
      <c r="B227" s="5">
        <f>المواد!B226</f>
        <v>0</v>
      </c>
      <c r="C227" s="4">
        <f>IF($A227="","",ROUND(SUMIFS(الإدخالات!$D$2:$D$501,الإدخالات!$C$2:$C$501,$A227)+SUMIFS('تعديل الجرد'!$F$2:$F$501,'تعديل الجرد'!$C$2:$C$501,$A227)-SUMIFS('الصرف المباشر'!$D$2:$D$501,'الصرف المباشر'!$C$2:$C$501,$A227)-SUMPRODUCT((الطبخات!$B$2:$B$900=$A227)*الطبخات!$C$2:$C$900*COUNTIF('سجل الإنتاج'!$C$2:$C$501,الطبخات!$A$2:$A$900)),3))</f>
        <v>0</v>
      </c>
      <c r="D227" s="4">
        <f>IF($A227="","",ROUND(SUMIFS('الصرف المباشر'!$D$2:$D$501,'الصرف المباشر'!$C$2:$C$501,$A227)+SUMPRODUCT((الطبخات!$B$2:$B$900=$A227)*الطبخات!$C$2:$C$900*COUNTIF('سجل الإنتاج'!$C$2:$C$501,الطبخات!$A$2:$A$900)),3))</f>
        <v>0</v>
      </c>
      <c r="E227" s="5" t="str">
        <f t="shared" si="3"/>
        <v>✔ طبيعي</v>
      </c>
      <c r="F227" s="5" t="str">
        <f>IF(AND($A227&lt;&gt;"",$E227&lt;&gt;"✔ طبيعي"),SUMPRODUCT(('الرصيد الحالي'!$E$2:$E227&lt;&gt;"✔ طبيعي")*('الرصيد الحالي'!$E$2:$E227&lt;&gt;"")*('الرصيد الحالي'!$A$2:$A227&lt;&gt;"")),"")</f>
        <v/>
      </c>
    </row>
    <row r="228" spans="1:6" ht="24" customHeight="1">
      <c r="A228" s="3">
        <f>المواد!A227</f>
        <v>0</v>
      </c>
      <c r="B228" s="5">
        <f>المواد!B227</f>
        <v>0</v>
      </c>
      <c r="C228" s="4">
        <f>IF($A228="","",ROUND(SUMIFS(الإدخالات!$D$2:$D$501,الإدخالات!$C$2:$C$501,$A228)+SUMIFS('تعديل الجرد'!$F$2:$F$501,'تعديل الجرد'!$C$2:$C$501,$A228)-SUMIFS('الصرف المباشر'!$D$2:$D$501,'الصرف المباشر'!$C$2:$C$501,$A228)-SUMPRODUCT((الطبخات!$B$2:$B$900=$A228)*الطبخات!$C$2:$C$900*COUNTIF('سجل الإنتاج'!$C$2:$C$501,الطبخات!$A$2:$A$900)),3))</f>
        <v>0</v>
      </c>
      <c r="D228" s="4">
        <f>IF($A228="","",ROUND(SUMIFS('الصرف المباشر'!$D$2:$D$501,'الصرف المباشر'!$C$2:$C$501,$A228)+SUMPRODUCT((الطبخات!$B$2:$B$900=$A228)*الطبخات!$C$2:$C$900*COUNTIF('سجل الإنتاج'!$C$2:$C$501,الطبخات!$A$2:$A$900)),3))</f>
        <v>0</v>
      </c>
      <c r="E228" s="5" t="str">
        <f t="shared" si="3"/>
        <v>✔ طبيعي</v>
      </c>
      <c r="F228" s="5" t="str">
        <f>IF(AND($A228&lt;&gt;"",$E228&lt;&gt;"✔ طبيعي"),SUMPRODUCT(('الرصيد الحالي'!$E$2:$E228&lt;&gt;"✔ طبيعي")*('الرصيد الحالي'!$E$2:$E228&lt;&gt;"")*('الرصيد الحالي'!$A$2:$A228&lt;&gt;"")),"")</f>
        <v/>
      </c>
    </row>
    <row r="229" spans="1:6" ht="24" customHeight="1">
      <c r="A229" s="3">
        <f>المواد!A228</f>
        <v>0</v>
      </c>
      <c r="B229" s="5">
        <f>المواد!B228</f>
        <v>0</v>
      </c>
      <c r="C229" s="4">
        <f>IF($A229="","",ROUND(SUMIFS(الإدخالات!$D$2:$D$501,الإدخالات!$C$2:$C$501,$A229)+SUMIFS('تعديل الجرد'!$F$2:$F$501,'تعديل الجرد'!$C$2:$C$501,$A229)-SUMIFS('الصرف المباشر'!$D$2:$D$501,'الصرف المباشر'!$C$2:$C$501,$A229)-SUMPRODUCT((الطبخات!$B$2:$B$900=$A229)*الطبخات!$C$2:$C$900*COUNTIF('سجل الإنتاج'!$C$2:$C$501,الطبخات!$A$2:$A$900)),3))</f>
        <v>0</v>
      </c>
      <c r="D229" s="4">
        <f>IF($A229="","",ROUND(SUMIFS('الصرف المباشر'!$D$2:$D$501,'الصرف المباشر'!$C$2:$C$501,$A229)+SUMPRODUCT((الطبخات!$B$2:$B$900=$A229)*الطبخات!$C$2:$C$900*COUNTIF('سجل الإنتاج'!$C$2:$C$501,الطبخات!$A$2:$A$900)),3))</f>
        <v>0</v>
      </c>
      <c r="E229" s="5" t="str">
        <f t="shared" si="3"/>
        <v>✔ طبيعي</v>
      </c>
      <c r="F229" s="5" t="str">
        <f>IF(AND($A229&lt;&gt;"",$E229&lt;&gt;"✔ طبيعي"),SUMPRODUCT(('الرصيد الحالي'!$E$2:$E229&lt;&gt;"✔ طبيعي")*('الرصيد الحالي'!$E$2:$E229&lt;&gt;"")*('الرصيد الحالي'!$A$2:$A229&lt;&gt;"")),"")</f>
        <v/>
      </c>
    </row>
    <row r="230" spans="1:6" ht="24" customHeight="1">
      <c r="A230" s="3">
        <f>المواد!A229</f>
        <v>0</v>
      </c>
      <c r="B230" s="5">
        <f>المواد!B229</f>
        <v>0</v>
      </c>
      <c r="C230" s="4">
        <f>IF($A230="","",ROUND(SUMIFS(الإدخالات!$D$2:$D$501,الإدخالات!$C$2:$C$501,$A230)+SUMIFS('تعديل الجرد'!$F$2:$F$501,'تعديل الجرد'!$C$2:$C$501,$A230)-SUMIFS('الصرف المباشر'!$D$2:$D$501,'الصرف المباشر'!$C$2:$C$501,$A230)-SUMPRODUCT((الطبخات!$B$2:$B$900=$A230)*الطبخات!$C$2:$C$900*COUNTIF('سجل الإنتاج'!$C$2:$C$501,الطبخات!$A$2:$A$900)),3))</f>
        <v>0</v>
      </c>
      <c r="D230" s="4">
        <f>IF($A230="","",ROUND(SUMIFS('الصرف المباشر'!$D$2:$D$501,'الصرف المباشر'!$C$2:$C$501,$A230)+SUMPRODUCT((الطبخات!$B$2:$B$900=$A230)*الطبخات!$C$2:$C$900*COUNTIF('سجل الإنتاج'!$C$2:$C$501,الطبخات!$A$2:$A$900)),3))</f>
        <v>0</v>
      </c>
      <c r="E230" s="5" t="str">
        <f t="shared" si="3"/>
        <v>✔ طبيعي</v>
      </c>
      <c r="F230" s="5" t="str">
        <f>IF(AND($A230&lt;&gt;"",$E230&lt;&gt;"✔ طبيعي"),SUMPRODUCT(('الرصيد الحالي'!$E$2:$E230&lt;&gt;"✔ طبيعي")*('الرصيد الحالي'!$E$2:$E230&lt;&gt;"")*('الرصيد الحالي'!$A$2:$A230&lt;&gt;"")),"")</f>
        <v/>
      </c>
    </row>
    <row r="231" spans="1:6" ht="24" customHeight="1">
      <c r="A231" s="3">
        <f>المواد!A230</f>
        <v>0</v>
      </c>
      <c r="B231" s="5">
        <f>المواد!B230</f>
        <v>0</v>
      </c>
      <c r="C231" s="4">
        <f>IF($A231="","",ROUND(SUMIFS(الإدخالات!$D$2:$D$501,الإدخالات!$C$2:$C$501,$A231)+SUMIFS('تعديل الجرد'!$F$2:$F$501,'تعديل الجرد'!$C$2:$C$501,$A231)-SUMIFS('الصرف المباشر'!$D$2:$D$501,'الصرف المباشر'!$C$2:$C$501,$A231)-SUMPRODUCT((الطبخات!$B$2:$B$900=$A231)*الطبخات!$C$2:$C$900*COUNTIF('سجل الإنتاج'!$C$2:$C$501,الطبخات!$A$2:$A$900)),3))</f>
        <v>0</v>
      </c>
      <c r="D231" s="4">
        <f>IF($A231="","",ROUND(SUMIFS('الصرف المباشر'!$D$2:$D$501,'الصرف المباشر'!$C$2:$C$501,$A231)+SUMPRODUCT((الطبخات!$B$2:$B$900=$A231)*الطبخات!$C$2:$C$900*COUNTIF('سجل الإنتاج'!$C$2:$C$501,الطبخات!$A$2:$A$900)),3))</f>
        <v>0</v>
      </c>
      <c r="E231" s="5" t="str">
        <f t="shared" si="3"/>
        <v>✔ طبيعي</v>
      </c>
      <c r="F231" s="5" t="str">
        <f>IF(AND($A231&lt;&gt;"",$E231&lt;&gt;"✔ طبيعي"),SUMPRODUCT(('الرصيد الحالي'!$E$2:$E231&lt;&gt;"✔ طبيعي")*('الرصيد الحالي'!$E$2:$E231&lt;&gt;"")*('الرصيد الحالي'!$A$2:$A231&lt;&gt;"")),"")</f>
        <v/>
      </c>
    </row>
    <row r="232" spans="1:6" ht="24" customHeight="1">
      <c r="A232" s="3">
        <f>المواد!A231</f>
        <v>0</v>
      </c>
      <c r="B232" s="5">
        <f>المواد!B231</f>
        <v>0</v>
      </c>
      <c r="C232" s="4">
        <f>IF($A232="","",ROUND(SUMIFS(الإدخالات!$D$2:$D$501,الإدخالات!$C$2:$C$501,$A232)+SUMIFS('تعديل الجرد'!$F$2:$F$501,'تعديل الجرد'!$C$2:$C$501,$A232)-SUMIFS('الصرف المباشر'!$D$2:$D$501,'الصرف المباشر'!$C$2:$C$501,$A232)-SUMPRODUCT((الطبخات!$B$2:$B$900=$A232)*الطبخات!$C$2:$C$900*COUNTIF('سجل الإنتاج'!$C$2:$C$501,الطبخات!$A$2:$A$900)),3))</f>
        <v>0</v>
      </c>
      <c r="D232" s="4">
        <f>IF($A232="","",ROUND(SUMIFS('الصرف المباشر'!$D$2:$D$501,'الصرف المباشر'!$C$2:$C$501,$A232)+SUMPRODUCT((الطبخات!$B$2:$B$900=$A232)*الطبخات!$C$2:$C$900*COUNTIF('سجل الإنتاج'!$C$2:$C$501,الطبخات!$A$2:$A$900)),3))</f>
        <v>0</v>
      </c>
      <c r="E232" s="5" t="str">
        <f t="shared" si="3"/>
        <v>✔ طبيعي</v>
      </c>
      <c r="F232" s="5" t="str">
        <f>IF(AND($A232&lt;&gt;"",$E232&lt;&gt;"✔ طبيعي"),SUMPRODUCT(('الرصيد الحالي'!$E$2:$E232&lt;&gt;"✔ طبيعي")*('الرصيد الحالي'!$E$2:$E232&lt;&gt;"")*('الرصيد الحالي'!$A$2:$A232&lt;&gt;"")),"")</f>
        <v/>
      </c>
    </row>
    <row r="233" spans="1:6" ht="24" customHeight="1">
      <c r="A233" s="3">
        <f>المواد!A232</f>
        <v>0</v>
      </c>
      <c r="B233" s="5" t="str">
        <f>المواد!B232</f>
        <v>كوستيك-قطرونة</v>
      </c>
      <c r="C233" s="4">
        <f>IF($A233="","",ROUND(SUMIFS(الإدخالات!$D$2:$D$501,الإدخالات!$C$2:$C$501,$A233)+SUMIFS('تعديل الجرد'!$F$2:$F$501,'تعديل الجرد'!$C$2:$C$501,$A233)-SUMIFS('الصرف المباشر'!$D$2:$D$501,'الصرف المباشر'!$C$2:$C$501,$A233)-SUMPRODUCT((الطبخات!$B$2:$B$900=$A233)*الطبخات!$C$2:$C$900*COUNTIF('سجل الإنتاج'!$C$2:$C$501,الطبخات!$A$2:$A$900)),3))</f>
        <v>0</v>
      </c>
      <c r="D233" s="4">
        <f>IF($A233="","",ROUND(SUMIFS('الصرف المباشر'!$D$2:$D$501,'الصرف المباشر'!$C$2:$C$501,$A233)+SUMPRODUCT((الطبخات!$B$2:$B$900=$A233)*الطبخات!$C$2:$C$900*COUNTIF('سجل الإنتاج'!$C$2:$C$501,الطبخات!$A$2:$A$900)),3))</f>
        <v>0</v>
      </c>
      <c r="E233" s="5" t="str">
        <f t="shared" si="3"/>
        <v>✔ طبيعي</v>
      </c>
      <c r="F233" s="5" t="str">
        <f>IF(AND($A233&lt;&gt;"",$E233&lt;&gt;"✔ طبيعي"),SUMPRODUCT(('الرصيد الحالي'!$E$2:$E233&lt;&gt;"✔ طبيعي")*('الرصيد الحالي'!$E$2:$E233&lt;&gt;"")*('الرصيد الحالي'!$A$2:$A233&lt;&gt;"")),"")</f>
        <v/>
      </c>
    </row>
    <row r="234" spans="1:6" ht="24" customHeight="1">
      <c r="A234" s="3">
        <f>المواد!A233</f>
        <v>0</v>
      </c>
      <c r="B234" s="5">
        <f>المواد!B233</f>
        <v>0</v>
      </c>
      <c r="C234" s="4">
        <f>IF($A234="","",ROUND(SUMIFS(الإدخالات!$D$2:$D$501,الإدخالات!$C$2:$C$501,$A234)+SUMIFS('تعديل الجرد'!$F$2:$F$501,'تعديل الجرد'!$C$2:$C$501,$A234)-SUMIFS('الصرف المباشر'!$D$2:$D$501,'الصرف المباشر'!$C$2:$C$501,$A234)-SUMPRODUCT((الطبخات!$B$2:$B$900=$A234)*الطبخات!$C$2:$C$900*COUNTIF('سجل الإنتاج'!$C$2:$C$501,الطبخات!$A$2:$A$900)),3))</f>
        <v>0</v>
      </c>
      <c r="D234" s="4">
        <f>IF($A234="","",ROUND(SUMIFS('الصرف المباشر'!$D$2:$D$501,'الصرف المباشر'!$C$2:$C$501,$A234)+SUMPRODUCT((الطبخات!$B$2:$B$900=$A234)*الطبخات!$C$2:$C$900*COUNTIF('سجل الإنتاج'!$C$2:$C$501,الطبخات!$A$2:$A$900)),3))</f>
        <v>0</v>
      </c>
      <c r="E234" s="5" t="str">
        <f t="shared" si="3"/>
        <v>✔ طبيعي</v>
      </c>
      <c r="F234" s="5" t="str">
        <f>IF(AND($A234&lt;&gt;"",$E234&lt;&gt;"✔ طبيعي"),SUMPRODUCT(('الرصيد الحالي'!$E$2:$E234&lt;&gt;"✔ طبيعي")*('الرصيد الحالي'!$E$2:$E234&lt;&gt;"")*('الرصيد الحالي'!$A$2:$A234&lt;&gt;"")),"")</f>
        <v/>
      </c>
    </row>
    <row r="235" spans="1:6" ht="24" customHeight="1">
      <c r="A235" s="3">
        <f>المواد!A234</f>
        <v>0</v>
      </c>
      <c r="B235" s="5">
        <f>المواد!B234</f>
        <v>0</v>
      </c>
      <c r="C235" s="4">
        <f>IF($A235="","",ROUND(SUMIFS(الإدخالات!$D$2:$D$501,الإدخالات!$C$2:$C$501,$A235)+SUMIFS('تعديل الجرد'!$F$2:$F$501,'تعديل الجرد'!$C$2:$C$501,$A235)-SUMIFS('الصرف المباشر'!$D$2:$D$501,'الصرف المباشر'!$C$2:$C$501,$A235)-SUMPRODUCT((الطبخات!$B$2:$B$900=$A235)*الطبخات!$C$2:$C$900*COUNTIF('سجل الإنتاج'!$C$2:$C$501,الطبخات!$A$2:$A$900)),3))</f>
        <v>0</v>
      </c>
      <c r="D235" s="4">
        <f>IF($A235="","",ROUND(SUMIFS('الصرف المباشر'!$D$2:$D$501,'الصرف المباشر'!$C$2:$C$501,$A235)+SUMPRODUCT((الطبخات!$B$2:$B$900=$A235)*الطبخات!$C$2:$C$900*COUNTIF('سجل الإنتاج'!$C$2:$C$501,الطبخات!$A$2:$A$900)),3))</f>
        <v>0</v>
      </c>
      <c r="E235" s="5" t="str">
        <f t="shared" si="3"/>
        <v>✔ طبيعي</v>
      </c>
      <c r="F235" s="5" t="str">
        <f>IF(AND($A235&lt;&gt;"",$E235&lt;&gt;"✔ طبيعي"),SUMPRODUCT(('الرصيد الحالي'!$E$2:$E235&lt;&gt;"✔ طبيعي")*('الرصيد الحالي'!$E$2:$E235&lt;&gt;"")*('الرصيد الحالي'!$A$2:$A235&lt;&gt;"")),"")</f>
        <v/>
      </c>
    </row>
    <row r="236" spans="1:6" ht="24" customHeight="1">
      <c r="A236" s="3">
        <f>المواد!A235</f>
        <v>0</v>
      </c>
      <c r="B236" s="5">
        <f>المواد!B235</f>
        <v>0</v>
      </c>
      <c r="C236" s="4">
        <f>IF($A236="","",ROUND(SUMIFS(الإدخالات!$D$2:$D$501,الإدخالات!$C$2:$C$501,$A236)+SUMIFS('تعديل الجرد'!$F$2:$F$501,'تعديل الجرد'!$C$2:$C$501,$A236)-SUMIFS('الصرف المباشر'!$D$2:$D$501,'الصرف المباشر'!$C$2:$C$501,$A236)-SUMPRODUCT((الطبخات!$B$2:$B$900=$A236)*الطبخات!$C$2:$C$900*COUNTIF('سجل الإنتاج'!$C$2:$C$501,الطبخات!$A$2:$A$900)),3))</f>
        <v>0</v>
      </c>
      <c r="D236" s="4">
        <f>IF($A236="","",ROUND(SUMIFS('الصرف المباشر'!$D$2:$D$501,'الصرف المباشر'!$C$2:$C$501,$A236)+SUMPRODUCT((الطبخات!$B$2:$B$900=$A236)*الطبخات!$C$2:$C$900*COUNTIF('سجل الإنتاج'!$C$2:$C$501,الطبخات!$A$2:$A$900)),3))</f>
        <v>0</v>
      </c>
      <c r="E236" s="5" t="str">
        <f t="shared" si="3"/>
        <v>✔ طبيعي</v>
      </c>
      <c r="F236" s="5" t="str">
        <f>IF(AND($A236&lt;&gt;"",$E236&lt;&gt;"✔ طبيعي"),SUMPRODUCT(('الرصيد الحالي'!$E$2:$E236&lt;&gt;"✔ طبيعي")*('الرصيد الحالي'!$E$2:$E236&lt;&gt;"")*('الرصيد الحالي'!$A$2:$A236&lt;&gt;"")),"")</f>
        <v/>
      </c>
    </row>
    <row r="237" spans="1:6" ht="24" customHeight="1">
      <c r="A237" s="3">
        <f>المواد!A236</f>
        <v>0</v>
      </c>
      <c r="B237" s="5">
        <f>المواد!B236</f>
        <v>0</v>
      </c>
      <c r="C237" s="4">
        <f>IF($A237="","",ROUND(SUMIFS(الإدخالات!$D$2:$D$501,الإدخالات!$C$2:$C$501,$A237)+SUMIFS('تعديل الجرد'!$F$2:$F$501,'تعديل الجرد'!$C$2:$C$501,$A237)-SUMIFS('الصرف المباشر'!$D$2:$D$501,'الصرف المباشر'!$C$2:$C$501,$A237)-SUMPRODUCT((الطبخات!$B$2:$B$900=$A237)*الطبخات!$C$2:$C$900*COUNTIF('سجل الإنتاج'!$C$2:$C$501,الطبخات!$A$2:$A$900)),3))</f>
        <v>0</v>
      </c>
      <c r="D237" s="4">
        <f>IF($A237="","",ROUND(SUMIFS('الصرف المباشر'!$D$2:$D$501,'الصرف المباشر'!$C$2:$C$501,$A237)+SUMPRODUCT((الطبخات!$B$2:$B$900=$A237)*الطبخات!$C$2:$C$900*COUNTIF('سجل الإنتاج'!$C$2:$C$501,الطبخات!$A$2:$A$900)),3))</f>
        <v>0</v>
      </c>
      <c r="E237" s="5" t="str">
        <f t="shared" si="3"/>
        <v>✔ طبيعي</v>
      </c>
      <c r="F237" s="5" t="str">
        <f>IF(AND($A237&lt;&gt;"",$E237&lt;&gt;"✔ طبيعي"),SUMPRODUCT(('الرصيد الحالي'!$E$2:$E237&lt;&gt;"✔ طبيعي")*('الرصيد الحالي'!$E$2:$E237&lt;&gt;"")*('الرصيد الحالي'!$A$2:$A237&lt;&gt;"")),"")</f>
        <v/>
      </c>
    </row>
    <row r="238" spans="1:6" ht="24" customHeight="1">
      <c r="A238" s="3">
        <f>المواد!A237</f>
        <v>0</v>
      </c>
      <c r="B238" s="5">
        <f>المواد!B237</f>
        <v>0</v>
      </c>
      <c r="C238" s="4">
        <f>IF($A238="","",ROUND(SUMIFS(الإدخالات!$D$2:$D$501,الإدخالات!$C$2:$C$501,$A238)+SUMIFS('تعديل الجرد'!$F$2:$F$501,'تعديل الجرد'!$C$2:$C$501,$A238)-SUMIFS('الصرف المباشر'!$D$2:$D$501,'الصرف المباشر'!$C$2:$C$501,$A238)-SUMPRODUCT((الطبخات!$B$2:$B$900=$A238)*الطبخات!$C$2:$C$900*COUNTIF('سجل الإنتاج'!$C$2:$C$501,الطبخات!$A$2:$A$900)),3))</f>
        <v>0</v>
      </c>
      <c r="D238" s="4">
        <f>IF($A238="","",ROUND(SUMIFS('الصرف المباشر'!$D$2:$D$501,'الصرف المباشر'!$C$2:$C$501,$A238)+SUMPRODUCT((الطبخات!$B$2:$B$900=$A238)*الطبخات!$C$2:$C$900*COUNTIF('سجل الإنتاج'!$C$2:$C$501,الطبخات!$A$2:$A$900)),3))</f>
        <v>0</v>
      </c>
      <c r="E238" s="5" t="str">
        <f t="shared" si="3"/>
        <v>✔ طبيعي</v>
      </c>
      <c r="F238" s="5" t="str">
        <f>IF(AND($A238&lt;&gt;"",$E238&lt;&gt;"✔ طبيعي"),SUMPRODUCT(('الرصيد الحالي'!$E$2:$E238&lt;&gt;"✔ طبيعي")*('الرصيد الحالي'!$E$2:$E238&lt;&gt;"")*('الرصيد الحالي'!$A$2:$A238&lt;&gt;"")),"")</f>
        <v/>
      </c>
    </row>
    <row r="239" spans="1:6" ht="24" customHeight="1">
      <c r="A239" s="3">
        <f>المواد!A238</f>
        <v>0</v>
      </c>
      <c r="B239" s="5">
        <f>المواد!B238</f>
        <v>0</v>
      </c>
      <c r="C239" s="4">
        <f>IF($A239="","",ROUND(SUMIFS(الإدخالات!$D$2:$D$501,الإدخالات!$C$2:$C$501,$A239)+SUMIFS('تعديل الجرد'!$F$2:$F$501,'تعديل الجرد'!$C$2:$C$501,$A239)-SUMIFS('الصرف المباشر'!$D$2:$D$501,'الصرف المباشر'!$C$2:$C$501,$A239)-SUMPRODUCT((الطبخات!$B$2:$B$900=$A239)*الطبخات!$C$2:$C$900*COUNTIF('سجل الإنتاج'!$C$2:$C$501,الطبخات!$A$2:$A$900)),3))</f>
        <v>0</v>
      </c>
      <c r="D239" s="4">
        <f>IF($A239="","",ROUND(SUMIFS('الصرف المباشر'!$D$2:$D$501,'الصرف المباشر'!$C$2:$C$501,$A239)+SUMPRODUCT((الطبخات!$B$2:$B$900=$A239)*الطبخات!$C$2:$C$900*COUNTIF('سجل الإنتاج'!$C$2:$C$501,الطبخات!$A$2:$A$900)),3))</f>
        <v>0</v>
      </c>
      <c r="E239" s="5" t="str">
        <f t="shared" si="3"/>
        <v>✔ طبيعي</v>
      </c>
      <c r="F239" s="5" t="str">
        <f>IF(AND($A239&lt;&gt;"",$E239&lt;&gt;"✔ طبيعي"),SUMPRODUCT(('الرصيد الحالي'!$E$2:$E239&lt;&gt;"✔ طبيعي")*('الرصيد الحالي'!$E$2:$E239&lt;&gt;"")*('الرصيد الحالي'!$A$2:$A239&lt;&gt;"")),"")</f>
        <v/>
      </c>
    </row>
    <row r="240" spans="1:6" ht="24" customHeight="1">
      <c r="A240" s="3">
        <f>المواد!A239</f>
        <v>0</v>
      </c>
      <c r="B240" s="5">
        <f>المواد!B239</f>
        <v>0</v>
      </c>
      <c r="C240" s="4">
        <f>IF($A240="","",ROUND(SUMIFS(الإدخالات!$D$2:$D$501,الإدخالات!$C$2:$C$501,$A240)+SUMIFS('تعديل الجرد'!$F$2:$F$501,'تعديل الجرد'!$C$2:$C$501,$A240)-SUMIFS('الصرف المباشر'!$D$2:$D$501,'الصرف المباشر'!$C$2:$C$501,$A240)-SUMPRODUCT((الطبخات!$B$2:$B$900=$A240)*الطبخات!$C$2:$C$900*COUNTIF('سجل الإنتاج'!$C$2:$C$501,الطبخات!$A$2:$A$900)),3))</f>
        <v>0</v>
      </c>
      <c r="D240" s="4">
        <f>IF($A240="","",ROUND(SUMIFS('الصرف المباشر'!$D$2:$D$501,'الصرف المباشر'!$C$2:$C$501,$A240)+SUMPRODUCT((الطبخات!$B$2:$B$900=$A240)*الطبخات!$C$2:$C$900*COUNTIF('سجل الإنتاج'!$C$2:$C$501,الطبخات!$A$2:$A$900)),3))</f>
        <v>0</v>
      </c>
      <c r="E240" s="5" t="str">
        <f t="shared" si="3"/>
        <v>✔ طبيعي</v>
      </c>
      <c r="F240" s="5" t="str">
        <f>IF(AND($A240&lt;&gt;"",$E240&lt;&gt;"✔ طبيعي"),SUMPRODUCT(('الرصيد الحالي'!$E$2:$E240&lt;&gt;"✔ طبيعي")*('الرصيد الحالي'!$E$2:$E240&lt;&gt;"")*('الرصيد الحالي'!$A$2:$A240&lt;&gt;"")),"")</f>
        <v/>
      </c>
    </row>
    <row r="241" spans="1:6" ht="24" customHeight="1">
      <c r="A241" s="3">
        <f>المواد!A240</f>
        <v>0</v>
      </c>
      <c r="B241" s="5">
        <f>المواد!B240</f>
        <v>0</v>
      </c>
      <c r="C241" s="4">
        <f>IF($A241="","",ROUND(SUMIFS(الإدخالات!$D$2:$D$501,الإدخالات!$C$2:$C$501,$A241)+SUMIFS('تعديل الجرد'!$F$2:$F$501,'تعديل الجرد'!$C$2:$C$501,$A241)-SUMIFS('الصرف المباشر'!$D$2:$D$501,'الصرف المباشر'!$C$2:$C$501,$A241)-SUMPRODUCT((الطبخات!$B$2:$B$900=$A241)*الطبخات!$C$2:$C$900*COUNTIF('سجل الإنتاج'!$C$2:$C$501,الطبخات!$A$2:$A$900)),3))</f>
        <v>0</v>
      </c>
      <c r="D241" s="4">
        <f>IF($A241="","",ROUND(SUMIFS('الصرف المباشر'!$D$2:$D$501,'الصرف المباشر'!$C$2:$C$501,$A241)+SUMPRODUCT((الطبخات!$B$2:$B$900=$A241)*الطبخات!$C$2:$C$900*COUNTIF('سجل الإنتاج'!$C$2:$C$501,الطبخات!$A$2:$A$900)),3))</f>
        <v>0</v>
      </c>
      <c r="E241" s="5" t="str">
        <f t="shared" si="3"/>
        <v>✔ طبيعي</v>
      </c>
      <c r="F241" s="5" t="str">
        <f>IF(AND($A241&lt;&gt;"",$E241&lt;&gt;"✔ طبيعي"),SUMPRODUCT(('الرصيد الحالي'!$E$2:$E241&lt;&gt;"✔ طبيعي")*('الرصيد الحالي'!$E$2:$E241&lt;&gt;"")*('الرصيد الحالي'!$A$2:$A241&lt;&gt;"")),"")</f>
        <v/>
      </c>
    </row>
    <row r="242" spans="1:6" ht="24" customHeight="1">
      <c r="A242" s="3">
        <f>المواد!A241</f>
        <v>0</v>
      </c>
      <c r="B242" s="5">
        <f>المواد!B241</f>
        <v>0</v>
      </c>
      <c r="C242" s="4">
        <f>IF($A242="","",ROUND(SUMIFS(الإدخالات!$D$2:$D$501,الإدخالات!$C$2:$C$501,$A242)+SUMIFS('تعديل الجرد'!$F$2:$F$501,'تعديل الجرد'!$C$2:$C$501,$A242)-SUMIFS('الصرف المباشر'!$D$2:$D$501,'الصرف المباشر'!$C$2:$C$501,$A242)-SUMPRODUCT((الطبخات!$B$2:$B$900=$A242)*الطبخات!$C$2:$C$900*COUNTIF('سجل الإنتاج'!$C$2:$C$501,الطبخات!$A$2:$A$900)),3))</f>
        <v>0</v>
      </c>
      <c r="D242" s="4">
        <f>IF($A242="","",ROUND(SUMIFS('الصرف المباشر'!$D$2:$D$501,'الصرف المباشر'!$C$2:$C$501,$A242)+SUMPRODUCT((الطبخات!$B$2:$B$900=$A242)*الطبخات!$C$2:$C$900*COUNTIF('سجل الإنتاج'!$C$2:$C$501,الطبخات!$A$2:$A$900)),3))</f>
        <v>0</v>
      </c>
      <c r="E242" s="5" t="str">
        <f t="shared" si="3"/>
        <v>✔ طبيعي</v>
      </c>
      <c r="F242" s="5" t="str">
        <f>IF(AND($A242&lt;&gt;"",$E242&lt;&gt;"✔ طبيعي"),SUMPRODUCT(('الرصيد الحالي'!$E$2:$E242&lt;&gt;"✔ طبيعي")*('الرصيد الحالي'!$E$2:$E242&lt;&gt;"")*('الرصيد الحالي'!$A$2:$A242&lt;&gt;"")),"")</f>
        <v/>
      </c>
    </row>
    <row r="243" spans="1:6" ht="24" customHeight="1">
      <c r="A243" s="3">
        <f>المواد!A242</f>
        <v>0</v>
      </c>
      <c r="B243" s="5">
        <f>المواد!B242</f>
        <v>0</v>
      </c>
      <c r="C243" s="4">
        <f>IF($A243="","",ROUND(SUMIFS(الإدخالات!$D$2:$D$501,الإدخالات!$C$2:$C$501,$A243)+SUMIFS('تعديل الجرد'!$F$2:$F$501,'تعديل الجرد'!$C$2:$C$501,$A243)-SUMIFS('الصرف المباشر'!$D$2:$D$501,'الصرف المباشر'!$C$2:$C$501,$A243)-SUMPRODUCT((الطبخات!$B$2:$B$900=$A243)*الطبخات!$C$2:$C$900*COUNTIF('سجل الإنتاج'!$C$2:$C$501,الطبخات!$A$2:$A$900)),3))</f>
        <v>0</v>
      </c>
      <c r="D243" s="4">
        <f>IF($A243="","",ROUND(SUMIFS('الصرف المباشر'!$D$2:$D$501,'الصرف المباشر'!$C$2:$C$501,$A243)+SUMPRODUCT((الطبخات!$B$2:$B$900=$A243)*الطبخات!$C$2:$C$900*COUNTIF('سجل الإنتاج'!$C$2:$C$501,الطبخات!$A$2:$A$900)),3))</f>
        <v>0</v>
      </c>
      <c r="E243" s="5" t="str">
        <f t="shared" si="3"/>
        <v>✔ طبيعي</v>
      </c>
      <c r="F243" s="5" t="str">
        <f>IF(AND($A243&lt;&gt;"",$E243&lt;&gt;"✔ طبيعي"),SUMPRODUCT(('الرصيد الحالي'!$E$2:$E243&lt;&gt;"✔ طبيعي")*('الرصيد الحالي'!$E$2:$E243&lt;&gt;"")*('الرصيد الحالي'!$A$2:$A243&lt;&gt;"")),"")</f>
        <v/>
      </c>
    </row>
    <row r="244" spans="1:6" ht="24" customHeight="1">
      <c r="A244" s="3">
        <f>المواد!A243</f>
        <v>0</v>
      </c>
      <c r="B244" s="5">
        <f>المواد!B243</f>
        <v>0</v>
      </c>
      <c r="C244" s="4">
        <f>IF($A244="","",ROUND(SUMIFS(الإدخالات!$D$2:$D$501,الإدخالات!$C$2:$C$501,$A244)+SUMIFS('تعديل الجرد'!$F$2:$F$501,'تعديل الجرد'!$C$2:$C$501,$A244)-SUMIFS('الصرف المباشر'!$D$2:$D$501,'الصرف المباشر'!$C$2:$C$501,$A244)-SUMPRODUCT((الطبخات!$B$2:$B$900=$A244)*الطبخات!$C$2:$C$900*COUNTIF('سجل الإنتاج'!$C$2:$C$501,الطبخات!$A$2:$A$900)),3))</f>
        <v>0</v>
      </c>
      <c r="D244" s="4">
        <f>IF($A244="","",ROUND(SUMIFS('الصرف المباشر'!$D$2:$D$501,'الصرف المباشر'!$C$2:$C$501,$A244)+SUMPRODUCT((الطبخات!$B$2:$B$900=$A244)*الطبخات!$C$2:$C$900*COUNTIF('سجل الإنتاج'!$C$2:$C$501,الطبخات!$A$2:$A$900)),3))</f>
        <v>0</v>
      </c>
      <c r="E244" s="5" t="str">
        <f t="shared" si="3"/>
        <v>✔ طبيعي</v>
      </c>
      <c r="F244" s="5" t="str">
        <f>IF(AND($A244&lt;&gt;"",$E244&lt;&gt;"✔ طبيعي"),SUMPRODUCT(('الرصيد الحالي'!$E$2:$E244&lt;&gt;"✔ طبيعي")*('الرصيد الحالي'!$E$2:$E244&lt;&gt;"")*('الرصيد الحالي'!$A$2:$A244&lt;&gt;"")),"")</f>
        <v/>
      </c>
    </row>
    <row r="245" spans="1:6" ht="24" customHeight="1">
      <c r="A245" s="3">
        <f>المواد!A244</f>
        <v>0</v>
      </c>
      <c r="B245" s="5">
        <f>المواد!B244</f>
        <v>0</v>
      </c>
      <c r="C245" s="4">
        <f>IF($A245="","",ROUND(SUMIFS(الإدخالات!$D$2:$D$501,الإدخالات!$C$2:$C$501,$A245)+SUMIFS('تعديل الجرد'!$F$2:$F$501,'تعديل الجرد'!$C$2:$C$501,$A245)-SUMIFS('الصرف المباشر'!$D$2:$D$501,'الصرف المباشر'!$C$2:$C$501,$A245)-SUMPRODUCT((الطبخات!$B$2:$B$900=$A245)*الطبخات!$C$2:$C$900*COUNTIF('سجل الإنتاج'!$C$2:$C$501,الطبخات!$A$2:$A$900)),3))</f>
        <v>0</v>
      </c>
      <c r="D245" s="4">
        <f>IF($A245="","",ROUND(SUMIFS('الصرف المباشر'!$D$2:$D$501,'الصرف المباشر'!$C$2:$C$501,$A245)+SUMPRODUCT((الطبخات!$B$2:$B$900=$A245)*الطبخات!$C$2:$C$900*COUNTIF('سجل الإنتاج'!$C$2:$C$501,الطبخات!$A$2:$A$900)),3))</f>
        <v>0</v>
      </c>
      <c r="E245" s="5" t="str">
        <f t="shared" si="3"/>
        <v>✔ طبيعي</v>
      </c>
      <c r="F245" s="5" t="str">
        <f>IF(AND($A245&lt;&gt;"",$E245&lt;&gt;"✔ طبيعي"),SUMPRODUCT(('الرصيد الحالي'!$E$2:$E245&lt;&gt;"✔ طبيعي")*('الرصيد الحالي'!$E$2:$E245&lt;&gt;"")*('الرصيد الحالي'!$A$2:$A245&lt;&gt;"")),"")</f>
        <v/>
      </c>
    </row>
    <row r="246" spans="1:6" ht="24" customHeight="1">
      <c r="A246" s="3">
        <f>المواد!A245</f>
        <v>0</v>
      </c>
      <c r="B246" s="5">
        <f>المواد!B245</f>
        <v>0</v>
      </c>
      <c r="C246" s="4">
        <f>IF($A246="","",ROUND(SUMIFS(الإدخالات!$D$2:$D$501,الإدخالات!$C$2:$C$501,$A246)+SUMIFS('تعديل الجرد'!$F$2:$F$501,'تعديل الجرد'!$C$2:$C$501,$A246)-SUMIFS('الصرف المباشر'!$D$2:$D$501,'الصرف المباشر'!$C$2:$C$501,$A246)-SUMPRODUCT((الطبخات!$B$2:$B$900=$A246)*الطبخات!$C$2:$C$900*COUNTIF('سجل الإنتاج'!$C$2:$C$501,الطبخات!$A$2:$A$900)),3))</f>
        <v>0</v>
      </c>
      <c r="D246" s="4">
        <f>IF($A246="","",ROUND(SUMIFS('الصرف المباشر'!$D$2:$D$501,'الصرف المباشر'!$C$2:$C$501,$A246)+SUMPRODUCT((الطبخات!$B$2:$B$900=$A246)*الطبخات!$C$2:$C$900*COUNTIF('سجل الإنتاج'!$C$2:$C$501,الطبخات!$A$2:$A$900)),3))</f>
        <v>0</v>
      </c>
      <c r="E246" s="5" t="str">
        <f t="shared" si="3"/>
        <v>✔ طبيعي</v>
      </c>
      <c r="F246" s="5" t="str">
        <f>IF(AND($A246&lt;&gt;"",$E246&lt;&gt;"✔ طبيعي"),SUMPRODUCT(('الرصيد الحالي'!$E$2:$E246&lt;&gt;"✔ طبيعي")*('الرصيد الحالي'!$E$2:$E246&lt;&gt;"")*('الرصيد الحالي'!$A$2:$A246&lt;&gt;"")),"")</f>
        <v/>
      </c>
    </row>
    <row r="247" spans="1:6" ht="24" customHeight="1">
      <c r="A247" s="3">
        <f>المواد!A246</f>
        <v>0</v>
      </c>
      <c r="B247" s="5">
        <f>المواد!B246</f>
        <v>0</v>
      </c>
      <c r="C247" s="4">
        <f>IF($A247="","",ROUND(SUMIFS(الإدخالات!$D$2:$D$501,الإدخالات!$C$2:$C$501,$A247)+SUMIFS('تعديل الجرد'!$F$2:$F$501,'تعديل الجرد'!$C$2:$C$501,$A247)-SUMIFS('الصرف المباشر'!$D$2:$D$501,'الصرف المباشر'!$C$2:$C$501,$A247)-SUMPRODUCT((الطبخات!$B$2:$B$900=$A247)*الطبخات!$C$2:$C$900*COUNTIF('سجل الإنتاج'!$C$2:$C$501,الطبخات!$A$2:$A$900)),3))</f>
        <v>0</v>
      </c>
      <c r="D247" s="4">
        <f>IF($A247="","",ROUND(SUMIFS('الصرف المباشر'!$D$2:$D$501,'الصرف المباشر'!$C$2:$C$501,$A247)+SUMPRODUCT((الطبخات!$B$2:$B$900=$A247)*الطبخات!$C$2:$C$900*COUNTIF('سجل الإنتاج'!$C$2:$C$501,الطبخات!$A$2:$A$900)),3))</f>
        <v>0</v>
      </c>
      <c r="E247" s="5" t="str">
        <f t="shared" si="3"/>
        <v>✔ طبيعي</v>
      </c>
      <c r="F247" s="5" t="str">
        <f>IF(AND($A247&lt;&gt;"",$E247&lt;&gt;"✔ طبيعي"),SUMPRODUCT(('الرصيد الحالي'!$E$2:$E247&lt;&gt;"✔ طبيعي")*('الرصيد الحالي'!$E$2:$E247&lt;&gt;"")*('الرصيد الحالي'!$A$2:$A247&lt;&gt;"")),"")</f>
        <v/>
      </c>
    </row>
    <row r="248" spans="1:6" ht="24" customHeight="1">
      <c r="A248" s="3">
        <f>المواد!A247</f>
        <v>0</v>
      </c>
      <c r="B248" s="5">
        <f>المواد!B247</f>
        <v>0</v>
      </c>
      <c r="C248" s="4">
        <f>IF($A248="","",ROUND(SUMIFS(الإدخالات!$D$2:$D$501,الإدخالات!$C$2:$C$501,$A248)+SUMIFS('تعديل الجرد'!$F$2:$F$501,'تعديل الجرد'!$C$2:$C$501,$A248)-SUMIFS('الصرف المباشر'!$D$2:$D$501,'الصرف المباشر'!$C$2:$C$501,$A248)-SUMPRODUCT((الطبخات!$B$2:$B$900=$A248)*الطبخات!$C$2:$C$900*COUNTIF('سجل الإنتاج'!$C$2:$C$501,الطبخات!$A$2:$A$900)),3))</f>
        <v>0</v>
      </c>
      <c r="D248" s="4">
        <f>IF($A248="","",ROUND(SUMIFS('الصرف المباشر'!$D$2:$D$501,'الصرف المباشر'!$C$2:$C$501,$A248)+SUMPRODUCT((الطبخات!$B$2:$B$900=$A248)*الطبخات!$C$2:$C$900*COUNTIF('سجل الإنتاج'!$C$2:$C$501,الطبخات!$A$2:$A$900)),3))</f>
        <v>0</v>
      </c>
      <c r="E248" s="5" t="str">
        <f t="shared" si="3"/>
        <v>✔ طبيعي</v>
      </c>
      <c r="F248" s="5" t="str">
        <f>IF(AND($A248&lt;&gt;"",$E248&lt;&gt;"✔ طبيعي"),SUMPRODUCT(('الرصيد الحالي'!$E$2:$E248&lt;&gt;"✔ طبيعي")*('الرصيد الحالي'!$E$2:$E248&lt;&gt;"")*('الرصيد الحالي'!$A$2:$A248&lt;&gt;"")),"")</f>
        <v/>
      </c>
    </row>
    <row r="249" spans="1:6" ht="24" customHeight="1">
      <c r="A249" s="3">
        <f>المواد!A248</f>
        <v>0</v>
      </c>
      <c r="B249" s="5">
        <f>المواد!B248</f>
        <v>0</v>
      </c>
      <c r="C249" s="4">
        <f>IF($A249="","",ROUND(SUMIFS(الإدخالات!$D$2:$D$501,الإدخالات!$C$2:$C$501,$A249)+SUMIFS('تعديل الجرد'!$F$2:$F$501,'تعديل الجرد'!$C$2:$C$501,$A249)-SUMIFS('الصرف المباشر'!$D$2:$D$501,'الصرف المباشر'!$C$2:$C$501,$A249)-SUMPRODUCT((الطبخات!$B$2:$B$900=$A249)*الطبخات!$C$2:$C$900*COUNTIF('سجل الإنتاج'!$C$2:$C$501,الطبخات!$A$2:$A$900)),3))</f>
        <v>0</v>
      </c>
      <c r="D249" s="4">
        <f>IF($A249="","",ROUND(SUMIFS('الصرف المباشر'!$D$2:$D$501,'الصرف المباشر'!$C$2:$C$501,$A249)+SUMPRODUCT((الطبخات!$B$2:$B$900=$A249)*الطبخات!$C$2:$C$900*COUNTIF('سجل الإنتاج'!$C$2:$C$501,الطبخات!$A$2:$A$900)),3))</f>
        <v>0</v>
      </c>
      <c r="E249" s="5" t="str">
        <f t="shared" si="3"/>
        <v>✔ طبيعي</v>
      </c>
      <c r="F249" s="5" t="str">
        <f>IF(AND($A249&lt;&gt;"",$E249&lt;&gt;"✔ طبيعي"),SUMPRODUCT(('الرصيد الحالي'!$E$2:$E249&lt;&gt;"✔ طبيعي")*('الرصيد الحالي'!$E$2:$E249&lt;&gt;"")*('الرصيد الحالي'!$A$2:$A249&lt;&gt;"")),"")</f>
        <v/>
      </c>
    </row>
    <row r="250" spans="1:6" ht="24" customHeight="1">
      <c r="A250" s="3">
        <f>المواد!A249</f>
        <v>0</v>
      </c>
      <c r="B250" s="5">
        <f>المواد!B249</f>
        <v>0</v>
      </c>
      <c r="C250" s="4">
        <f>IF($A250="","",ROUND(SUMIFS(الإدخالات!$D$2:$D$501,الإدخالات!$C$2:$C$501,$A250)+SUMIFS('تعديل الجرد'!$F$2:$F$501,'تعديل الجرد'!$C$2:$C$501,$A250)-SUMIFS('الصرف المباشر'!$D$2:$D$501,'الصرف المباشر'!$C$2:$C$501,$A250)-SUMPRODUCT((الطبخات!$B$2:$B$900=$A250)*الطبخات!$C$2:$C$900*COUNTIF('سجل الإنتاج'!$C$2:$C$501,الطبخات!$A$2:$A$900)),3))</f>
        <v>0</v>
      </c>
      <c r="D250" s="4">
        <f>IF($A250="","",ROUND(SUMIFS('الصرف المباشر'!$D$2:$D$501,'الصرف المباشر'!$C$2:$C$501,$A250)+SUMPRODUCT((الطبخات!$B$2:$B$900=$A250)*الطبخات!$C$2:$C$900*COUNTIF('سجل الإنتاج'!$C$2:$C$501,الطبخات!$A$2:$A$900)),3))</f>
        <v>0</v>
      </c>
      <c r="E250" s="5" t="str">
        <f t="shared" si="3"/>
        <v>✔ طبيعي</v>
      </c>
      <c r="F250" s="5" t="str">
        <f>IF(AND($A250&lt;&gt;"",$E250&lt;&gt;"✔ طبيعي"),SUMPRODUCT(('الرصيد الحالي'!$E$2:$E250&lt;&gt;"✔ طبيعي")*('الرصيد الحالي'!$E$2:$E250&lt;&gt;"")*('الرصيد الحالي'!$A$2:$A250&lt;&gt;"")),"")</f>
        <v/>
      </c>
    </row>
    <row r="251" spans="1:6" ht="24" customHeight="1">
      <c r="A251" s="3">
        <f>المواد!A250</f>
        <v>0</v>
      </c>
      <c r="B251" s="5">
        <f>المواد!B250</f>
        <v>0</v>
      </c>
      <c r="C251" s="4">
        <f>IF($A251="","",ROUND(SUMIFS(الإدخالات!$D$2:$D$501,الإدخالات!$C$2:$C$501,$A251)+SUMIFS('تعديل الجرد'!$F$2:$F$501,'تعديل الجرد'!$C$2:$C$501,$A251)-SUMIFS('الصرف المباشر'!$D$2:$D$501,'الصرف المباشر'!$C$2:$C$501,$A251)-SUMPRODUCT((الطبخات!$B$2:$B$900=$A251)*الطبخات!$C$2:$C$900*COUNTIF('سجل الإنتاج'!$C$2:$C$501,الطبخات!$A$2:$A$900)),3))</f>
        <v>0</v>
      </c>
      <c r="D251" s="4">
        <f>IF($A251="","",ROUND(SUMIFS('الصرف المباشر'!$D$2:$D$501,'الصرف المباشر'!$C$2:$C$501,$A251)+SUMPRODUCT((الطبخات!$B$2:$B$900=$A251)*الطبخات!$C$2:$C$900*COUNTIF('سجل الإنتاج'!$C$2:$C$501,الطبخات!$A$2:$A$900)),3))</f>
        <v>0</v>
      </c>
      <c r="E251" s="5" t="str">
        <f t="shared" si="3"/>
        <v>✔ طبيعي</v>
      </c>
      <c r="F251" s="5" t="str">
        <f>IF(AND($A251&lt;&gt;"",$E251&lt;&gt;"✔ طبيعي"),SUMPRODUCT(('الرصيد الحالي'!$E$2:$E251&lt;&gt;"✔ طبيعي")*('الرصيد الحالي'!$E$2:$E251&lt;&gt;"")*('الرصيد الحالي'!$A$2:$A251&lt;&gt;"")),"")</f>
        <v/>
      </c>
    </row>
    <row r="252" spans="1:6" ht="24" customHeight="1">
      <c r="A252" s="3">
        <f>المواد!A251</f>
        <v>0</v>
      </c>
      <c r="B252" s="5">
        <f>المواد!B251</f>
        <v>0</v>
      </c>
      <c r="C252" s="4">
        <f>IF($A252="","",ROUND(SUMIFS(الإدخالات!$D$2:$D$501,الإدخالات!$C$2:$C$501,$A252)+SUMIFS('تعديل الجرد'!$F$2:$F$501,'تعديل الجرد'!$C$2:$C$501,$A252)-SUMIFS('الصرف المباشر'!$D$2:$D$501,'الصرف المباشر'!$C$2:$C$501,$A252)-SUMPRODUCT((الطبخات!$B$2:$B$900=$A252)*الطبخات!$C$2:$C$900*COUNTIF('سجل الإنتاج'!$C$2:$C$501,الطبخات!$A$2:$A$900)),3))</f>
        <v>0</v>
      </c>
      <c r="D252" s="4">
        <f>IF($A252="","",ROUND(SUMIFS('الصرف المباشر'!$D$2:$D$501,'الصرف المباشر'!$C$2:$C$501,$A252)+SUMPRODUCT((الطبخات!$B$2:$B$900=$A252)*الطبخات!$C$2:$C$900*COUNTIF('سجل الإنتاج'!$C$2:$C$501,الطبخات!$A$2:$A$900)),3))</f>
        <v>0</v>
      </c>
      <c r="E252" s="5" t="str">
        <f t="shared" si="3"/>
        <v>✔ طبيعي</v>
      </c>
      <c r="F252" s="5" t="str">
        <f>IF(AND($A252&lt;&gt;"",$E252&lt;&gt;"✔ طبيعي"),SUMPRODUCT(('الرصيد الحالي'!$E$2:$E252&lt;&gt;"✔ طبيعي")*('الرصيد الحالي'!$E$2:$E252&lt;&gt;"")*('الرصيد الحالي'!$A$2:$A252&lt;&gt;"")),"")</f>
        <v/>
      </c>
    </row>
    <row r="253" spans="1:6" ht="24" customHeight="1">
      <c r="A253" s="3">
        <f>المواد!A252</f>
        <v>0</v>
      </c>
      <c r="B253" s="5">
        <f>المواد!B252</f>
        <v>0</v>
      </c>
      <c r="C253" s="4">
        <f>IF($A253="","",ROUND(SUMIFS(الإدخالات!$D$2:$D$501,الإدخالات!$C$2:$C$501,$A253)+SUMIFS('تعديل الجرد'!$F$2:$F$501,'تعديل الجرد'!$C$2:$C$501,$A253)-SUMIFS('الصرف المباشر'!$D$2:$D$501,'الصرف المباشر'!$C$2:$C$501,$A253)-SUMPRODUCT((الطبخات!$B$2:$B$900=$A253)*الطبخات!$C$2:$C$900*COUNTIF('سجل الإنتاج'!$C$2:$C$501,الطبخات!$A$2:$A$900)),3))</f>
        <v>0</v>
      </c>
      <c r="D253" s="4">
        <f>IF($A253="","",ROUND(SUMIFS('الصرف المباشر'!$D$2:$D$501,'الصرف المباشر'!$C$2:$C$501,$A253)+SUMPRODUCT((الطبخات!$B$2:$B$900=$A253)*الطبخات!$C$2:$C$900*COUNTIF('سجل الإنتاج'!$C$2:$C$501,الطبخات!$A$2:$A$900)),3))</f>
        <v>0</v>
      </c>
      <c r="E253" s="5" t="str">
        <f t="shared" si="3"/>
        <v>✔ طبيعي</v>
      </c>
      <c r="F253" s="5" t="str">
        <f>IF(AND($A253&lt;&gt;"",$E253&lt;&gt;"✔ طبيعي"),SUMPRODUCT(('الرصيد الحالي'!$E$2:$E253&lt;&gt;"✔ طبيعي")*('الرصيد الحالي'!$E$2:$E253&lt;&gt;"")*('الرصيد الحالي'!$A$2:$A253&lt;&gt;"")),"")</f>
        <v/>
      </c>
    </row>
    <row r="254" spans="1:6" ht="24" customHeight="1">
      <c r="A254" s="3">
        <f>المواد!A253</f>
        <v>0</v>
      </c>
      <c r="B254" s="5">
        <f>المواد!B253</f>
        <v>0</v>
      </c>
      <c r="C254" s="4">
        <f>IF($A254="","",ROUND(SUMIFS(الإدخالات!$D$2:$D$501,الإدخالات!$C$2:$C$501,$A254)+SUMIFS('تعديل الجرد'!$F$2:$F$501,'تعديل الجرد'!$C$2:$C$501,$A254)-SUMIFS('الصرف المباشر'!$D$2:$D$501,'الصرف المباشر'!$C$2:$C$501,$A254)-SUMPRODUCT((الطبخات!$B$2:$B$900=$A254)*الطبخات!$C$2:$C$900*COUNTIF('سجل الإنتاج'!$C$2:$C$501,الطبخات!$A$2:$A$900)),3))</f>
        <v>0</v>
      </c>
      <c r="D254" s="4">
        <f>IF($A254="","",ROUND(SUMIFS('الصرف المباشر'!$D$2:$D$501,'الصرف المباشر'!$C$2:$C$501,$A254)+SUMPRODUCT((الطبخات!$B$2:$B$900=$A254)*الطبخات!$C$2:$C$900*COUNTIF('سجل الإنتاج'!$C$2:$C$501,الطبخات!$A$2:$A$900)),3))</f>
        <v>0</v>
      </c>
      <c r="E254" s="5" t="str">
        <f t="shared" si="3"/>
        <v>✔ طبيعي</v>
      </c>
      <c r="F254" s="5" t="str">
        <f>IF(AND($A254&lt;&gt;"",$E254&lt;&gt;"✔ طبيعي"),SUMPRODUCT(('الرصيد الحالي'!$E$2:$E254&lt;&gt;"✔ طبيعي")*('الرصيد الحالي'!$E$2:$E254&lt;&gt;"")*('الرصيد الحالي'!$A$2:$A254&lt;&gt;"")),"")</f>
        <v/>
      </c>
    </row>
    <row r="255" spans="1:6" ht="24" customHeight="1">
      <c r="A255" s="3">
        <f>المواد!A254</f>
        <v>0</v>
      </c>
      <c r="B255" s="5">
        <f>المواد!B254</f>
        <v>0</v>
      </c>
      <c r="C255" s="4">
        <f>IF($A255="","",ROUND(SUMIFS(الإدخالات!$D$2:$D$501,الإدخالات!$C$2:$C$501,$A255)+SUMIFS('تعديل الجرد'!$F$2:$F$501,'تعديل الجرد'!$C$2:$C$501,$A255)-SUMIFS('الصرف المباشر'!$D$2:$D$501,'الصرف المباشر'!$C$2:$C$501,$A255)-SUMPRODUCT((الطبخات!$B$2:$B$900=$A255)*الطبخات!$C$2:$C$900*COUNTIF('سجل الإنتاج'!$C$2:$C$501,الطبخات!$A$2:$A$900)),3))</f>
        <v>0</v>
      </c>
      <c r="D255" s="4">
        <f>IF($A255="","",ROUND(SUMIFS('الصرف المباشر'!$D$2:$D$501,'الصرف المباشر'!$C$2:$C$501,$A255)+SUMPRODUCT((الطبخات!$B$2:$B$900=$A255)*الطبخات!$C$2:$C$900*COUNTIF('سجل الإنتاج'!$C$2:$C$501,الطبخات!$A$2:$A$900)),3))</f>
        <v>0</v>
      </c>
      <c r="E255" s="5" t="str">
        <f t="shared" si="3"/>
        <v>✔ طبيعي</v>
      </c>
      <c r="F255" s="5" t="str">
        <f>IF(AND($A255&lt;&gt;"",$E255&lt;&gt;"✔ طبيعي"),SUMPRODUCT(('الرصيد الحالي'!$E$2:$E255&lt;&gt;"✔ طبيعي")*('الرصيد الحالي'!$E$2:$E255&lt;&gt;"")*('الرصيد الحالي'!$A$2:$A255&lt;&gt;"")),"")</f>
        <v/>
      </c>
    </row>
    <row r="256" spans="1:6" ht="24" customHeight="1">
      <c r="A256" s="3">
        <f>المواد!A255</f>
        <v>0</v>
      </c>
      <c r="B256" s="5">
        <f>المواد!B255</f>
        <v>0</v>
      </c>
      <c r="C256" s="4">
        <f>IF($A256="","",ROUND(SUMIFS(الإدخالات!$D$2:$D$501,الإدخالات!$C$2:$C$501,$A256)+SUMIFS('تعديل الجرد'!$F$2:$F$501,'تعديل الجرد'!$C$2:$C$501,$A256)-SUMIFS('الصرف المباشر'!$D$2:$D$501,'الصرف المباشر'!$C$2:$C$501,$A256)-SUMPRODUCT((الطبخات!$B$2:$B$900=$A256)*الطبخات!$C$2:$C$900*COUNTIF('سجل الإنتاج'!$C$2:$C$501,الطبخات!$A$2:$A$900)),3))</f>
        <v>0</v>
      </c>
      <c r="D256" s="4">
        <f>IF($A256="","",ROUND(SUMIFS('الصرف المباشر'!$D$2:$D$501,'الصرف المباشر'!$C$2:$C$501,$A256)+SUMPRODUCT((الطبخات!$B$2:$B$900=$A256)*الطبخات!$C$2:$C$900*COUNTIF('سجل الإنتاج'!$C$2:$C$501,الطبخات!$A$2:$A$900)),3))</f>
        <v>0</v>
      </c>
      <c r="E256" s="5" t="str">
        <f t="shared" si="3"/>
        <v>✔ طبيعي</v>
      </c>
      <c r="F256" s="5" t="str">
        <f>IF(AND($A256&lt;&gt;"",$E256&lt;&gt;"✔ طبيعي"),SUMPRODUCT(('الرصيد الحالي'!$E$2:$E256&lt;&gt;"✔ طبيعي")*('الرصيد الحالي'!$E$2:$E256&lt;&gt;"")*('الرصيد الحالي'!$A$2:$A256&lt;&gt;"")),"")</f>
        <v/>
      </c>
    </row>
    <row r="257" spans="1:6" ht="24" customHeight="1">
      <c r="A257" s="3">
        <f>المواد!A256</f>
        <v>0</v>
      </c>
      <c r="B257" s="5">
        <f>المواد!B256</f>
        <v>0</v>
      </c>
      <c r="C257" s="4">
        <f>IF($A257="","",ROUND(SUMIFS(الإدخالات!$D$2:$D$501,الإدخالات!$C$2:$C$501,$A257)+SUMIFS('تعديل الجرد'!$F$2:$F$501,'تعديل الجرد'!$C$2:$C$501,$A257)-SUMIFS('الصرف المباشر'!$D$2:$D$501,'الصرف المباشر'!$C$2:$C$501,$A257)-SUMPRODUCT((الطبخات!$B$2:$B$900=$A257)*الطبخات!$C$2:$C$900*COUNTIF('سجل الإنتاج'!$C$2:$C$501,الطبخات!$A$2:$A$900)),3))</f>
        <v>0</v>
      </c>
      <c r="D257" s="4">
        <f>IF($A257="","",ROUND(SUMIFS('الصرف المباشر'!$D$2:$D$501,'الصرف المباشر'!$C$2:$C$501,$A257)+SUMPRODUCT((الطبخات!$B$2:$B$900=$A257)*الطبخات!$C$2:$C$900*COUNTIF('سجل الإنتاج'!$C$2:$C$501,الطبخات!$A$2:$A$900)),3))</f>
        <v>0</v>
      </c>
      <c r="E257" s="5" t="str">
        <f t="shared" si="3"/>
        <v>✔ طبيعي</v>
      </c>
      <c r="F257" s="5" t="str">
        <f>IF(AND($A257&lt;&gt;"",$E257&lt;&gt;"✔ طبيعي"),SUMPRODUCT(('الرصيد الحالي'!$E$2:$E257&lt;&gt;"✔ طبيعي")*('الرصيد الحالي'!$E$2:$E257&lt;&gt;"")*('الرصيد الحالي'!$A$2:$A257&lt;&gt;"")),"")</f>
        <v/>
      </c>
    </row>
    <row r="258" spans="1:6" ht="24" customHeight="1">
      <c r="A258" s="3">
        <f>المواد!A257</f>
        <v>0</v>
      </c>
      <c r="B258" s="5">
        <f>المواد!B257</f>
        <v>0</v>
      </c>
      <c r="C258" s="4">
        <f>IF($A258="","",ROUND(SUMIFS(الإدخالات!$D$2:$D$501,الإدخالات!$C$2:$C$501,$A258)+SUMIFS('تعديل الجرد'!$F$2:$F$501,'تعديل الجرد'!$C$2:$C$501,$A258)-SUMIFS('الصرف المباشر'!$D$2:$D$501,'الصرف المباشر'!$C$2:$C$501,$A258)-SUMPRODUCT((الطبخات!$B$2:$B$900=$A258)*الطبخات!$C$2:$C$900*COUNTIF('سجل الإنتاج'!$C$2:$C$501,الطبخات!$A$2:$A$900)),3))</f>
        <v>0</v>
      </c>
      <c r="D258" s="4">
        <f>IF($A258="","",ROUND(SUMIFS('الصرف المباشر'!$D$2:$D$501,'الصرف المباشر'!$C$2:$C$501,$A258)+SUMPRODUCT((الطبخات!$B$2:$B$900=$A258)*الطبخات!$C$2:$C$900*COUNTIF('سجل الإنتاج'!$C$2:$C$501,الطبخات!$A$2:$A$900)),3))</f>
        <v>0</v>
      </c>
      <c r="E258" s="5" t="str">
        <f t="shared" ref="E258:E320" si="4">IF($A258="","",IF($C258&lt;0,"❌ رصيد سالب - يحتاج مراجعة","✔ طبيعي"))</f>
        <v>✔ طبيعي</v>
      </c>
      <c r="F258" s="5" t="str">
        <f>IF(AND($A258&lt;&gt;"",$E258&lt;&gt;"✔ طبيعي"),SUMPRODUCT(('الرصيد الحالي'!$E$2:$E258&lt;&gt;"✔ طبيعي")*('الرصيد الحالي'!$E$2:$E258&lt;&gt;"")*('الرصيد الحالي'!$A$2:$A258&lt;&gt;"")),"")</f>
        <v/>
      </c>
    </row>
    <row r="259" spans="1:6" ht="24" customHeight="1">
      <c r="A259" s="3">
        <f>المواد!A258</f>
        <v>0</v>
      </c>
      <c r="B259" s="5">
        <f>المواد!B258</f>
        <v>0</v>
      </c>
      <c r="C259" s="4">
        <f>IF($A259="","",ROUND(SUMIFS(الإدخالات!$D$2:$D$501,الإدخالات!$C$2:$C$501,$A259)+SUMIFS('تعديل الجرد'!$F$2:$F$501,'تعديل الجرد'!$C$2:$C$501,$A259)-SUMIFS('الصرف المباشر'!$D$2:$D$501,'الصرف المباشر'!$C$2:$C$501,$A259)-SUMPRODUCT((الطبخات!$B$2:$B$900=$A259)*الطبخات!$C$2:$C$900*COUNTIF('سجل الإنتاج'!$C$2:$C$501,الطبخات!$A$2:$A$900)),3))</f>
        <v>0</v>
      </c>
      <c r="D259" s="4">
        <f>IF($A259="","",ROUND(SUMIFS('الصرف المباشر'!$D$2:$D$501,'الصرف المباشر'!$C$2:$C$501,$A259)+SUMPRODUCT((الطبخات!$B$2:$B$900=$A259)*الطبخات!$C$2:$C$900*COUNTIF('سجل الإنتاج'!$C$2:$C$501,الطبخات!$A$2:$A$900)),3))</f>
        <v>0</v>
      </c>
      <c r="E259" s="5" t="str">
        <f t="shared" si="4"/>
        <v>✔ طبيعي</v>
      </c>
      <c r="F259" s="5" t="str">
        <f>IF(AND($A259&lt;&gt;"",$E259&lt;&gt;"✔ طبيعي"),SUMPRODUCT(('الرصيد الحالي'!$E$2:$E259&lt;&gt;"✔ طبيعي")*('الرصيد الحالي'!$E$2:$E259&lt;&gt;"")*('الرصيد الحالي'!$A$2:$A259&lt;&gt;"")),"")</f>
        <v/>
      </c>
    </row>
    <row r="260" spans="1:6" ht="24" customHeight="1">
      <c r="A260" s="3">
        <f>المواد!A259</f>
        <v>0</v>
      </c>
      <c r="B260" s="5">
        <f>المواد!B259</f>
        <v>0</v>
      </c>
      <c r="C260" s="4">
        <f>IF($A260="","",ROUND(SUMIFS(الإدخالات!$D$2:$D$501,الإدخالات!$C$2:$C$501,$A260)+SUMIFS('تعديل الجرد'!$F$2:$F$501,'تعديل الجرد'!$C$2:$C$501,$A260)-SUMIFS('الصرف المباشر'!$D$2:$D$501,'الصرف المباشر'!$C$2:$C$501,$A260)-SUMPRODUCT((الطبخات!$B$2:$B$900=$A260)*الطبخات!$C$2:$C$900*COUNTIF('سجل الإنتاج'!$C$2:$C$501,الطبخات!$A$2:$A$900)),3))</f>
        <v>0</v>
      </c>
      <c r="D260" s="4">
        <f>IF($A260="","",ROUND(SUMIFS('الصرف المباشر'!$D$2:$D$501,'الصرف المباشر'!$C$2:$C$501,$A260)+SUMPRODUCT((الطبخات!$B$2:$B$900=$A260)*الطبخات!$C$2:$C$900*COUNTIF('سجل الإنتاج'!$C$2:$C$501,الطبخات!$A$2:$A$900)),3))</f>
        <v>0</v>
      </c>
      <c r="E260" s="5" t="str">
        <f t="shared" si="4"/>
        <v>✔ طبيعي</v>
      </c>
      <c r="F260" s="5" t="str">
        <f>IF(AND($A260&lt;&gt;"",$E260&lt;&gt;"✔ طبيعي"),SUMPRODUCT(('الرصيد الحالي'!$E$2:$E260&lt;&gt;"✔ طبيعي")*('الرصيد الحالي'!$E$2:$E260&lt;&gt;"")*('الرصيد الحالي'!$A$2:$A260&lt;&gt;"")),"")</f>
        <v/>
      </c>
    </row>
    <row r="261" spans="1:6" ht="24" customHeight="1">
      <c r="A261" s="3">
        <f>المواد!A260</f>
        <v>0</v>
      </c>
      <c r="B261" s="5">
        <f>المواد!B260</f>
        <v>0</v>
      </c>
      <c r="C261" s="4">
        <f>IF($A261="","",ROUND(SUMIFS(الإدخالات!$D$2:$D$501,الإدخالات!$C$2:$C$501,$A261)+SUMIFS('تعديل الجرد'!$F$2:$F$501,'تعديل الجرد'!$C$2:$C$501,$A261)-SUMIFS('الصرف المباشر'!$D$2:$D$501,'الصرف المباشر'!$C$2:$C$501,$A261)-SUMPRODUCT((الطبخات!$B$2:$B$900=$A261)*الطبخات!$C$2:$C$900*COUNTIF('سجل الإنتاج'!$C$2:$C$501,الطبخات!$A$2:$A$900)),3))</f>
        <v>0</v>
      </c>
      <c r="D261" s="4">
        <f>IF($A261="","",ROUND(SUMIFS('الصرف المباشر'!$D$2:$D$501,'الصرف المباشر'!$C$2:$C$501,$A261)+SUMPRODUCT((الطبخات!$B$2:$B$900=$A261)*الطبخات!$C$2:$C$900*COUNTIF('سجل الإنتاج'!$C$2:$C$501,الطبخات!$A$2:$A$900)),3))</f>
        <v>0</v>
      </c>
      <c r="E261" s="5" t="str">
        <f t="shared" si="4"/>
        <v>✔ طبيعي</v>
      </c>
      <c r="F261" s="5" t="str">
        <f>IF(AND($A261&lt;&gt;"",$E261&lt;&gt;"✔ طبيعي"),SUMPRODUCT(('الرصيد الحالي'!$E$2:$E261&lt;&gt;"✔ طبيعي")*('الرصيد الحالي'!$E$2:$E261&lt;&gt;"")*('الرصيد الحالي'!$A$2:$A261&lt;&gt;"")),"")</f>
        <v/>
      </c>
    </row>
    <row r="262" spans="1:6" ht="24" customHeight="1">
      <c r="A262" s="3">
        <f>المواد!A261</f>
        <v>0</v>
      </c>
      <c r="B262" s="5">
        <f>المواد!B261</f>
        <v>0</v>
      </c>
      <c r="C262" s="4">
        <f>IF($A262="","",ROUND(SUMIFS(الإدخالات!$D$2:$D$501,الإدخالات!$C$2:$C$501,$A262)+SUMIFS('تعديل الجرد'!$F$2:$F$501,'تعديل الجرد'!$C$2:$C$501,$A262)-SUMIFS('الصرف المباشر'!$D$2:$D$501,'الصرف المباشر'!$C$2:$C$501,$A262)-SUMPRODUCT((الطبخات!$B$2:$B$900=$A262)*الطبخات!$C$2:$C$900*COUNTIF('سجل الإنتاج'!$C$2:$C$501,الطبخات!$A$2:$A$900)),3))</f>
        <v>0</v>
      </c>
      <c r="D262" s="4">
        <f>IF($A262="","",ROUND(SUMIFS('الصرف المباشر'!$D$2:$D$501,'الصرف المباشر'!$C$2:$C$501,$A262)+SUMPRODUCT((الطبخات!$B$2:$B$900=$A262)*الطبخات!$C$2:$C$900*COUNTIF('سجل الإنتاج'!$C$2:$C$501,الطبخات!$A$2:$A$900)),3))</f>
        <v>0</v>
      </c>
      <c r="E262" s="5" t="str">
        <f t="shared" si="4"/>
        <v>✔ طبيعي</v>
      </c>
      <c r="F262" s="5" t="str">
        <f>IF(AND($A262&lt;&gt;"",$E262&lt;&gt;"✔ طبيعي"),SUMPRODUCT(('الرصيد الحالي'!$E$2:$E262&lt;&gt;"✔ طبيعي")*('الرصيد الحالي'!$E$2:$E262&lt;&gt;"")*('الرصيد الحالي'!$A$2:$A262&lt;&gt;"")),"")</f>
        <v/>
      </c>
    </row>
    <row r="263" spans="1:6" ht="24" customHeight="1">
      <c r="A263" s="3">
        <f>المواد!A262</f>
        <v>0</v>
      </c>
      <c r="B263" s="5">
        <f>المواد!B262</f>
        <v>0</v>
      </c>
      <c r="C263" s="4">
        <f>IF($A263="","",ROUND(SUMIFS(الإدخالات!$D$2:$D$501,الإدخالات!$C$2:$C$501,$A263)+SUMIFS('تعديل الجرد'!$F$2:$F$501,'تعديل الجرد'!$C$2:$C$501,$A263)-SUMIFS('الصرف المباشر'!$D$2:$D$501,'الصرف المباشر'!$C$2:$C$501,$A263)-SUMPRODUCT((الطبخات!$B$2:$B$900=$A263)*الطبخات!$C$2:$C$900*COUNTIF('سجل الإنتاج'!$C$2:$C$501,الطبخات!$A$2:$A$900)),3))</f>
        <v>0</v>
      </c>
      <c r="D263" s="4">
        <f>IF($A263="","",ROUND(SUMIFS('الصرف المباشر'!$D$2:$D$501,'الصرف المباشر'!$C$2:$C$501,$A263)+SUMPRODUCT((الطبخات!$B$2:$B$900=$A263)*الطبخات!$C$2:$C$900*COUNTIF('سجل الإنتاج'!$C$2:$C$501,الطبخات!$A$2:$A$900)),3))</f>
        <v>0</v>
      </c>
      <c r="E263" s="5" t="str">
        <f t="shared" si="4"/>
        <v>✔ طبيعي</v>
      </c>
      <c r="F263" s="5" t="str">
        <f>IF(AND($A263&lt;&gt;"",$E263&lt;&gt;"✔ طبيعي"),SUMPRODUCT(('الرصيد الحالي'!$E$2:$E263&lt;&gt;"✔ طبيعي")*('الرصيد الحالي'!$E$2:$E263&lt;&gt;"")*('الرصيد الحالي'!$A$2:$A263&lt;&gt;"")),"")</f>
        <v/>
      </c>
    </row>
    <row r="264" spans="1:6" ht="24" customHeight="1">
      <c r="A264" s="3">
        <f>المواد!A263</f>
        <v>0</v>
      </c>
      <c r="B264" s="5">
        <f>المواد!B263</f>
        <v>0</v>
      </c>
      <c r="C264" s="4">
        <f>IF($A264="","",ROUND(SUMIFS(الإدخالات!$D$2:$D$501,الإدخالات!$C$2:$C$501,$A264)+SUMIFS('تعديل الجرد'!$F$2:$F$501,'تعديل الجرد'!$C$2:$C$501,$A264)-SUMIFS('الصرف المباشر'!$D$2:$D$501,'الصرف المباشر'!$C$2:$C$501,$A264)-SUMPRODUCT((الطبخات!$B$2:$B$900=$A264)*الطبخات!$C$2:$C$900*COUNTIF('سجل الإنتاج'!$C$2:$C$501,الطبخات!$A$2:$A$900)),3))</f>
        <v>0</v>
      </c>
      <c r="D264" s="4">
        <f>IF($A264="","",ROUND(SUMIFS('الصرف المباشر'!$D$2:$D$501,'الصرف المباشر'!$C$2:$C$501,$A264)+SUMPRODUCT((الطبخات!$B$2:$B$900=$A264)*الطبخات!$C$2:$C$900*COUNTIF('سجل الإنتاج'!$C$2:$C$501,الطبخات!$A$2:$A$900)),3))</f>
        <v>0</v>
      </c>
      <c r="E264" s="5" t="str">
        <f t="shared" si="4"/>
        <v>✔ طبيعي</v>
      </c>
      <c r="F264" s="5" t="str">
        <f>IF(AND($A264&lt;&gt;"",$E264&lt;&gt;"✔ طبيعي"),SUMPRODUCT(('الرصيد الحالي'!$E$2:$E264&lt;&gt;"✔ طبيعي")*('الرصيد الحالي'!$E$2:$E264&lt;&gt;"")*('الرصيد الحالي'!$A$2:$A264&lt;&gt;"")),"")</f>
        <v/>
      </c>
    </row>
    <row r="265" spans="1:6" ht="24" customHeight="1">
      <c r="A265" s="3">
        <f>المواد!A264</f>
        <v>0</v>
      </c>
      <c r="B265" s="5">
        <f>المواد!B264</f>
        <v>0</v>
      </c>
      <c r="C265" s="4">
        <f>IF($A265="","",ROUND(SUMIFS(الإدخالات!$D$2:$D$501,الإدخالات!$C$2:$C$501,$A265)+SUMIFS('تعديل الجرد'!$F$2:$F$501,'تعديل الجرد'!$C$2:$C$501,$A265)-SUMIFS('الصرف المباشر'!$D$2:$D$501,'الصرف المباشر'!$C$2:$C$501,$A265)-SUMPRODUCT((الطبخات!$B$2:$B$900=$A265)*الطبخات!$C$2:$C$900*COUNTIF('سجل الإنتاج'!$C$2:$C$501,الطبخات!$A$2:$A$900)),3))</f>
        <v>0</v>
      </c>
      <c r="D265" s="4">
        <f>IF($A265="","",ROUND(SUMIFS('الصرف المباشر'!$D$2:$D$501,'الصرف المباشر'!$C$2:$C$501,$A265)+SUMPRODUCT((الطبخات!$B$2:$B$900=$A265)*الطبخات!$C$2:$C$900*COUNTIF('سجل الإنتاج'!$C$2:$C$501,الطبخات!$A$2:$A$900)),3))</f>
        <v>0</v>
      </c>
      <c r="E265" s="5" t="str">
        <f t="shared" si="4"/>
        <v>✔ طبيعي</v>
      </c>
      <c r="F265" s="5" t="str">
        <f>IF(AND($A265&lt;&gt;"",$E265&lt;&gt;"✔ طبيعي"),SUMPRODUCT(('الرصيد الحالي'!$E$2:$E265&lt;&gt;"✔ طبيعي")*('الرصيد الحالي'!$E$2:$E265&lt;&gt;"")*('الرصيد الحالي'!$A$2:$A265&lt;&gt;"")),"")</f>
        <v/>
      </c>
    </row>
    <row r="266" spans="1:6" ht="24" customHeight="1">
      <c r="A266" s="3">
        <f>المواد!A265</f>
        <v>0</v>
      </c>
      <c r="B266" s="5">
        <f>المواد!B265</f>
        <v>0</v>
      </c>
      <c r="C266" s="4">
        <f>IF($A266="","",ROUND(SUMIFS(الإدخالات!$D$2:$D$501,الإدخالات!$C$2:$C$501,$A266)+SUMIFS('تعديل الجرد'!$F$2:$F$501,'تعديل الجرد'!$C$2:$C$501,$A266)-SUMIFS('الصرف المباشر'!$D$2:$D$501,'الصرف المباشر'!$C$2:$C$501,$A266)-SUMPRODUCT((الطبخات!$B$2:$B$900=$A266)*الطبخات!$C$2:$C$900*COUNTIF('سجل الإنتاج'!$C$2:$C$501,الطبخات!$A$2:$A$900)),3))</f>
        <v>0</v>
      </c>
      <c r="D266" s="4">
        <f>IF($A266="","",ROUND(SUMIFS('الصرف المباشر'!$D$2:$D$501,'الصرف المباشر'!$C$2:$C$501,$A266)+SUMPRODUCT((الطبخات!$B$2:$B$900=$A266)*الطبخات!$C$2:$C$900*COUNTIF('سجل الإنتاج'!$C$2:$C$501,الطبخات!$A$2:$A$900)),3))</f>
        <v>0</v>
      </c>
      <c r="E266" s="5" t="str">
        <f t="shared" si="4"/>
        <v>✔ طبيعي</v>
      </c>
      <c r="F266" s="5" t="str">
        <f>IF(AND($A266&lt;&gt;"",$E266&lt;&gt;"✔ طبيعي"),SUMPRODUCT(('الرصيد الحالي'!$E$2:$E266&lt;&gt;"✔ طبيعي")*('الرصيد الحالي'!$E$2:$E266&lt;&gt;"")*('الرصيد الحالي'!$A$2:$A266&lt;&gt;"")),"")</f>
        <v/>
      </c>
    </row>
    <row r="267" spans="1:6" ht="24" customHeight="1">
      <c r="A267" s="3">
        <f>المواد!A266</f>
        <v>0</v>
      </c>
      <c r="B267" s="5">
        <f>المواد!B266</f>
        <v>0</v>
      </c>
      <c r="C267" s="4">
        <f>IF($A267="","",ROUND(SUMIFS(الإدخالات!$D$2:$D$501,الإدخالات!$C$2:$C$501,$A267)+SUMIFS('تعديل الجرد'!$F$2:$F$501,'تعديل الجرد'!$C$2:$C$501,$A267)-SUMIFS('الصرف المباشر'!$D$2:$D$501,'الصرف المباشر'!$C$2:$C$501,$A267)-SUMPRODUCT((الطبخات!$B$2:$B$900=$A267)*الطبخات!$C$2:$C$900*COUNTIF('سجل الإنتاج'!$C$2:$C$501,الطبخات!$A$2:$A$900)),3))</f>
        <v>0</v>
      </c>
      <c r="D267" s="4">
        <f>IF($A267="","",ROUND(SUMIFS('الصرف المباشر'!$D$2:$D$501,'الصرف المباشر'!$C$2:$C$501,$A267)+SUMPRODUCT((الطبخات!$B$2:$B$900=$A267)*الطبخات!$C$2:$C$900*COUNTIF('سجل الإنتاج'!$C$2:$C$501,الطبخات!$A$2:$A$900)),3))</f>
        <v>0</v>
      </c>
      <c r="E267" s="5" t="str">
        <f t="shared" si="4"/>
        <v>✔ طبيعي</v>
      </c>
      <c r="F267" s="5" t="str">
        <f>IF(AND($A267&lt;&gt;"",$E267&lt;&gt;"✔ طبيعي"),SUMPRODUCT(('الرصيد الحالي'!$E$2:$E267&lt;&gt;"✔ طبيعي")*('الرصيد الحالي'!$E$2:$E267&lt;&gt;"")*('الرصيد الحالي'!$A$2:$A267&lt;&gt;"")),"")</f>
        <v/>
      </c>
    </row>
    <row r="268" spans="1:6" ht="24" customHeight="1">
      <c r="A268" s="3">
        <f>المواد!A267</f>
        <v>0</v>
      </c>
      <c r="B268" s="5">
        <f>المواد!B267</f>
        <v>0</v>
      </c>
      <c r="C268" s="4">
        <f>IF($A268="","",ROUND(SUMIFS(الإدخالات!$D$2:$D$501,الإدخالات!$C$2:$C$501,$A268)+SUMIFS('تعديل الجرد'!$F$2:$F$501,'تعديل الجرد'!$C$2:$C$501,$A268)-SUMIFS('الصرف المباشر'!$D$2:$D$501,'الصرف المباشر'!$C$2:$C$501,$A268)-SUMPRODUCT((الطبخات!$B$2:$B$900=$A268)*الطبخات!$C$2:$C$900*COUNTIF('سجل الإنتاج'!$C$2:$C$501,الطبخات!$A$2:$A$900)),3))</f>
        <v>0</v>
      </c>
      <c r="D268" s="4">
        <f>IF($A268="","",ROUND(SUMIFS('الصرف المباشر'!$D$2:$D$501,'الصرف المباشر'!$C$2:$C$501,$A268)+SUMPRODUCT((الطبخات!$B$2:$B$900=$A268)*الطبخات!$C$2:$C$900*COUNTIF('سجل الإنتاج'!$C$2:$C$501,الطبخات!$A$2:$A$900)),3))</f>
        <v>0</v>
      </c>
      <c r="E268" s="5" t="str">
        <f t="shared" si="4"/>
        <v>✔ طبيعي</v>
      </c>
      <c r="F268" s="5" t="str">
        <f>IF(AND($A268&lt;&gt;"",$E268&lt;&gt;"✔ طبيعي"),SUMPRODUCT(('الرصيد الحالي'!$E$2:$E268&lt;&gt;"✔ طبيعي")*('الرصيد الحالي'!$E$2:$E268&lt;&gt;"")*('الرصيد الحالي'!$A$2:$A268&lt;&gt;"")),"")</f>
        <v/>
      </c>
    </row>
    <row r="269" spans="1:6" ht="24" customHeight="1">
      <c r="A269" s="3">
        <f>المواد!A268</f>
        <v>0</v>
      </c>
      <c r="B269" s="5">
        <f>المواد!B268</f>
        <v>0</v>
      </c>
      <c r="C269" s="4">
        <f>IF($A269="","",ROUND(SUMIFS(الإدخالات!$D$2:$D$501,الإدخالات!$C$2:$C$501,$A269)+SUMIFS('تعديل الجرد'!$F$2:$F$501,'تعديل الجرد'!$C$2:$C$501,$A269)-SUMIFS('الصرف المباشر'!$D$2:$D$501,'الصرف المباشر'!$C$2:$C$501,$A269)-SUMPRODUCT((الطبخات!$B$2:$B$900=$A269)*الطبخات!$C$2:$C$900*COUNTIF('سجل الإنتاج'!$C$2:$C$501,الطبخات!$A$2:$A$900)),3))</f>
        <v>0</v>
      </c>
      <c r="D269" s="4">
        <f>IF($A269="","",ROUND(SUMIFS('الصرف المباشر'!$D$2:$D$501,'الصرف المباشر'!$C$2:$C$501,$A269)+SUMPRODUCT((الطبخات!$B$2:$B$900=$A269)*الطبخات!$C$2:$C$900*COUNTIF('سجل الإنتاج'!$C$2:$C$501,الطبخات!$A$2:$A$900)),3))</f>
        <v>0</v>
      </c>
      <c r="E269" s="5" t="str">
        <f t="shared" si="4"/>
        <v>✔ طبيعي</v>
      </c>
      <c r="F269" s="5" t="str">
        <f>IF(AND($A269&lt;&gt;"",$E269&lt;&gt;"✔ طبيعي"),SUMPRODUCT(('الرصيد الحالي'!$E$2:$E269&lt;&gt;"✔ طبيعي")*('الرصيد الحالي'!$E$2:$E269&lt;&gt;"")*('الرصيد الحالي'!$A$2:$A269&lt;&gt;"")),"")</f>
        <v/>
      </c>
    </row>
    <row r="270" spans="1:6" ht="24" customHeight="1">
      <c r="A270" s="3">
        <f>المواد!A269</f>
        <v>0</v>
      </c>
      <c r="B270" s="5">
        <f>المواد!B269</f>
        <v>0</v>
      </c>
      <c r="C270" s="4">
        <f>IF($A270="","",ROUND(SUMIFS(الإدخالات!$D$2:$D$501,الإدخالات!$C$2:$C$501,$A270)+SUMIFS('تعديل الجرد'!$F$2:$F$501,'تعديل الجرد'!$C$2:$C$501,$A270)-SUMIFS('الصرف المباشر'!$D$2:$D$501,'الصرف المباشر'!$C$2:$C$501,$A270)-SUMPRODUCT((الطبخات!$B$2:$B$900=$A270)*الطبخات!$C$2:$C$900*COUNTIF('سجل الإنتاج'!$C$2:$C$501,الطبخات!$A$2:$A$900)),3))</f>
        <v>0</v>
      </c>
      <c r="D270" s="4">
        <f>IF($A270="","",ROUND(SUMIFS('الصرف المباشر'!$D$2:$D$501,'الصرف المباشر'!$C$2:$C$501,$A270)+SUMPRODUCT((الطبخات!$B$2:$B$900=$A270)*الطبخات!$C$2:$C$900*COUNTIF('سجل الإنتاج'!$C$2:$C$501,الطبخات!$A$2:$A$900)),3))</f>
        <v>0</v>
      </c>
      <c r="E270" s="5" t="str">
        <f t="shared" si="4"/>
        <v>✔ طبيعي</v>
      </c>
      <c r="F270" s="5" t="str">
        <f>IF(AND($A270&lt;&gt;"",$E270&lt;&gt;"✔ طبيعي"),SUMPRODUCT(('الرصيد الحالي'!$E$2:$E270&lt;&gt;"✔ طبيعي")*('الرصيد الحالي'!$E$2:$E270&lt;&gt;"")*('الرصيد الحالي'!$A$2:$A270&lt;&gt;"")),"")</f>
        <v/>
      </c>
    </row>
    <row r="271" spans="1:6" ht="24" customHeight="1">
      <c r="A271" s="3">
        <f>المواد!A270</f>
        <v>0</v>
      </c>
      <c r="B271" s="5">
        <f>المواد!B270</f>
        <v>0</v>
      </c>
      <c r="C271" s="4">
        <f>IF($A271="","",ROUND(SUMIFS(الإدخالات!$D$2:$D$501,الإدخالات!$C$2:$C$501,$A271)+SUMIFS('تعديل الجرد'!$F$2:$F$501,'تعديل الجرد'!$C$2:$C$501,$A271)-SUMIFS('الصرف المباشر'!$D$2:$D$501,'الصرف المباشر'!$C$2:$C$501,$A271)-SUMPRODUCT((الطبخات!$B$2:$B$900=$A271)*الطبخات!$C$2:$C$900*COUNTIF('سجل الإنتاج'!$C$2:$C$501,الطبخات!$A$2:$A$900)),3))</f>
        <v>0</v>
      </c>
      <c r="D271" s="4">
        <f>IF($A271="","",ROUND(SUMIFS('الصرف المباشر'!$D$2:$D$501,'الصرف المباشر'!$C$2:$C$501,$A271)+SUMPRODUCT((الطبخات!$B$2:$B$900=$A271)*الطبخات!$C$2:$C$900*COUNTIF('سجل الإنتاج'!$C$2:$C$501,الطبخات!$A$2:$A$900)),3))</f>
        <v>0</v>
      </c>
      <c r="E271" s="5" t="str">
        <f t="shared" si="4"/>
        <v>✔ طبيعي</v>
      </c>
      <c r="F271" s="5" t="str">
        <f>IF(AND($A271&lt;&gt;"",$E271&lt;&gt;"✔ طبيعي"),SUMPRODUCT(('الرصيد الحالي'!$E$2:$E271&lt;&gt;"✔ طبيعي")*('الرصيد الحالي'!$E$2:$E271&lt;&gt;"")*('الرصيد الحالي'!$A$2:$A271&lt;&gt;"")),"")</f>
        <v/>
      </c>
    </row>
    <row r="272" spans="1:6" ht="24" customHeight="1">
      <c r="A272" s="3">
        <f>المواد!A271</f>
        <v>0</v>
      </c>
      <c r="B272" s="5">
        <f>المواد!B271</f>
        <v>0</v>
      </c>
      <c r="C272" s="4">
        <f>IF($A272="","",ROUND(SUMIFS(الإدخالات!$D$2:$D$501,الإدخالات!$C$2:$C$501,$A272)+SUMIFS('تعديل الجرد'!$F$2:$F$501,'تعديل الجرد'!$C$2:$C$501,$A272)-SUMIFS('الصرف المباشر'!$D$2:$D$501,'الصرف المباشر'!$C$2:$C$501,$A272)-SUMPRODUCT((الطبخات!$B$2:$B$900=$A272)*الطبخات!$C$2:$C$900*COUNTIF('سجل الإنتاج'!$C$2:$C$501,الطبخات!$A$2:$A$900)),3))</f>
        <v>0</v>
      </c>
      <c r="D272" s="4">
        <f>IF($A272="","",ROUND(SUMIFS('الصرف المباشر'!$D$2:$D$501,'الصرف المباشر'!$C$2:$C$501,$A272)+SUMPRODUCT((الطبخات!$B$2:$B$900=$A272)*الطبخات!$C$2:$C$900*COUNTIF('سجل الإنتاج'!$C$2:$C$501,الطبخات!$A$2:$A$900)),3))</f>
        <v>0</v>
      </c>
      <c r="E272" s="5" t="str">
        <f t="shared" si="4"/>
        <v>✔ طبيعي</v>
      </c>
      <c r="F272" s="5" t="str">
        <f>IF(AND($A272&lt;&gt;"",$E272&lt;&gt;"✔ طبيعي"),SUMPRODUCT(('الرصيد الحالي'!$E$2:$E272&lt;&gt;"✔ طبيعي")*('الرصيد الحالي'!$E$2:$E272&lt;&gt;"")*('الرصيد الحالي'!$A$2:$A272&lt;&gt;"")),"")</f>
        <v/>
      </c>
    </row>
    <row r="273" spans="1:6" ht="24" customHeight="1">
      <c r="A273" s="3">
        <f>المواد!A272</f>
        <v>0</v>
      </c>
      <c r="B273" s="5">
        <f>المواد!B272</f>
        <v>0</v>
      </c>
      <c r="C273" s="4">
        <f>IF($A273="","",ROUND(SUMIFS(الإدخالات!$D$2:$D$501,الإدخالات!$C$2:$C$501,$A273)+SUMIFS('تعديل الجرد'!$F$2:$F$501,'تعديل الجرد'!$C$2:$C$501,$A273)-SUMIFS('الصرف المباشر'!$D$2:$D$501,'الصرف المباشر'!$C$2:$C$501,$A273)-SUMPRODUCT((الطبخات!$B$2:$B$900=$A273)*الطبخات!$C$2:$C$900*COUNTIF('سجل الإنتاج'!$C$2:$C$501,الطبخات!$A$2:$A$900)),3))</f>
        <v>0</v>
      </c>
      <c r="D273" s="4">
        <f>IF($A273="","",ROUND(SUMIFS('الصرف المباشر'!$D$2:$D$501,'الصرف المباشر'!$C$2:$C$501,$A273)+SUMPRODUCT((الطبخات!$B$2:$B$900=$A273)*الطبخات!$C$2:$C$900*COUNTIF('سجل الإنتاج'!$C$2:$C$501,الطبخات!$A$2:$A$900)),3))</f>
        <v>0</v>
      </c>
      <c r="E273" s="5" t="str">
        <f t="shared" si="4"/>
        <v>✔ طبيعي</v>
      </c>
      <c r="F273" s="5" t="str">
        <f>IF(AND($A273&lt;&gt;"",$E273&lt;&gt;"✔ طبيعي"),SUMPRODUCT(('الرصيد الحالي'!$E$2:$E273&lt;&gt;"✔ طبيعي")*('الرصيد الحالي'!$E$2:$E273&lt;&gt;"")*('الرصيد الحالي'!$A$2:$A273&lt;&gt;"")),"")</f>
        <v/>
      </c>
    </row>
    <row r="274" spans="1:6" ht="24" customHeight="1">
      <c r="A274" s="3">
        <f>المواد!A273</f>
        <v>0</v>
      </c>
      <c r="B274" s="5">
        <f>المواد!B273</f>
        <v>0</v>
      </c>
      <c r="C274" s="4">
        <f>IF($A274="","",ROUND(SUMIFS(الإدخالات!$D$2:$D$501,الإدخالات!$C$2:$C$501,$A274)+SUMIFS('تعديل الجرد'!$F$2:$F$501,'تعديل الجرد'!$C$2:$C$501,$A274)-SUMIFS('الصرف المباشر'!$D$2:$D$501,'الصرف المباشر'!$C$2:$C$501,$A274)-SUMPRODUCT((الطبخات!$B$2:$B$900=$A274)*الطبخات!$C$2:$C$900*COUNTIF('سجل الإنتاج'!$C$2:$C$501,الطبخات!$A$2:$A$900)),3))</f>
        <v>0</v>
      </c>
      <c r="D274" s="4">
        <f>IF($A274="","",ROUND(SUMIFS('الصرف المباشر'!$D$2:$D$501,'الصرف المباشر'!$C$2:$C$501,$A274)+SUMPRODUCT((الطبخات!$B$2:$B$900=$A274)*الطبخات!$C$2:$C$900*COUNTIF('سجل الإنتاج'!$C$2:$C$501,الطبخات!$A$2:$A$900)),3))</f>
        <v>0</v>
      </c>
      <c r="E274" s="5" t="str">
        <f t="shared" si="4"/>
        <v>✔ طبيعي</v>
      </c>
      <c r="F274" s="5" t="str">
        <f>IF(AND($A274&lt;&gt;"",$E274&lt;&gt;"✔ طبيعي"),SUMPRODUCT(('الرصيد الحالي'!$E$2:$E274&lt;&gt;"✔ طبيعي")*('الرصيد الحالي'!$E$2:$E274&lt;&gt;"")*('الرصيد الحالي'!$A$2:$A274&lt;&gt;"")),"")</f>
        <v/>
      </c>
    </row>
    <row r="275" spans="1:6" ht="24" customHeight="1">
      <c r="A275" s="3">
        <f>المواد!A274</f>
        <v>0</v>
      </c>
      <c r="B275" s="5">
        <f>المواد!B274</f>
        <v>0</v>
      </c>
      <c r="C275" s="4">
        <f>IF($A275="","",ROUND(SUMIFS(الإدخالات!$D$2:$D$501,الإدخالات!$C$2:$C$501,$A275)+SUMIFS('تعديل الجرد'!$F$2:$F$501,'تعديل الجرد'!$C$2:$C$501,$A275)-SUMIFS('الصرف المباشر'!$D$2:$D$501,'الصرف المباشر'!$C$2:$C$501,$A275)-SUMPRODUCT((الطبخات!$B$2:$B$900=$A275)*الطبخات!$C$2:$C$900*COUNTIF('سجل الإنتاج'!$C$2:$C$501,الطبخات!$A$2:$A$900)),3))</f>
        <v>0</v>
      </c>
      <c r="D275" s="4">
        <f>IF($A275="","",ROUND(SUMIFS('الصرف المباشر'!$D$2:$D$501,'الصرف المباشر'!$C$2:$C$501,$A275)+SUMPRODUCT((الطبخات!$B$2:$B$900=$A275)*الطبخات!$C$2:$C$900*COUNTIF('سجل الإنتاج'!$C$2:$C$501,الطبخات!$A$2:$A$900)),3))</f>
        <v>0</v>
      </c>
      <c r="E275" s="5" t="str">
        <f t="shared" si="4"/>
        <v>✔ طبيعي</v>
      </c>
      <c r="F275" s="5" t="str">
        <f>IF(AND($A275&lt;&gt;"",$E275&lt;&gt;"✔ طبيعي"),SUMPRODUCT(('الرصيد الحالي'!$E$2:$E275&lt;&gt;"✔ طبيعي")*('الرصيد الحالي'!$E$2:$E275&lt;&gt;"")*('الرصيد الحالي'!$A$2:$A275&lt;&gt;"")),"")</f>
        <v/>
      </c>
    </row>
    <row r="276" spans="1:6" ht="24" customHeight="1">
      <c r="A276" s="3">
        <f>المواد!A275</f>
        <v>0</v>
      </c>
      <c r="B276" s="5">
        <f>المواد!B275</f>
        <v>0</v>
      </c>
      <c r="C276" s="4">
        <f>IF($A276="","",ROUND(SUMIFS(الإدخالات!$D$2:$D$501,الإدخالات!$C$2:$C$501,$A276)+SUMIFS('تعديل الجرد'!$F$2:$F$501,'تعديل الجرد'!$C$2:$C$501,$A276)-SUMIFS('الصرف المباشر'!$D$2:$D$501,'الصرف المباشر'!$C$2:$C$501,$A276)-SUMPRODUCT((الطبخات!$B$2:$B$900=$A276)*الطبخات!$C$2:$C$900*COUNTIF('سجل الإنتاج'!$C$2:$C$501,الطبخات!$A$2:$A$900)),3))</f>
        <v>0</v>
      </c>
      <c r="D276" s="4">
        <f>IF($A276="","",ROUND(SUMIFS('الصرف المباشر'!$D$2:$D$501,'الصرف المباشر'!$C$2:$C$501,$A276)+SUMPRODUCT((الطبخات!$B$2:$B$900=$A276)*الطبخات!$C$2:$C$900*COUNTIF('سجل الإنتاج'!$C$2:$C$501,الطبخات!$A$2:$A$900)),3))</f>
        <v>0</v>
      </c>
      <c r="E276" s="5" t="str">
        <f t="shared" si="4"/>
        <v>✔ طبيعي</v>
      </c>
      <c r="F276" s="5" t="str">
        <f>IF(AND($A276&lt;&gt;"",$E276&lt;&gt;"✔ طبيعي"),SUMPRODUCT(('الرصيد الحالي'!$E$2:$E276&lt;&gt;"✔ طبيعي")*('الرصيد الحالي'!$E$2:$E276&lt;&gt;"")*('الرصيد الحالي'!$A$2:$A276&lt;&gt;"")),"")</f>
        <v/>
      </c>
    </row>
    <row r="277" spans="1:6" ht="24" customHeight="1">
      <c r="A277" s="3">
        <f>المواد!A276</f>
        <v>0</v>
      </c>
      <c r="B277" s="5">
        <f>المواد!B276</f>
        <v>0</v>
      </c>
      <c r="C277" s="4">
        <f>IF($A277="","",ROUND(SUMIFS(الإدخالات!$D$2:$D$501,الإدخالات!$C$2:$C$501,$A277)+SUMIFS('تعديل الجرد'!$F$2:$F$501,'تعديل الجرد'!$C$2:$C$501,$A277)-SUMIFS('الصرف المباشر'!$D$2:$D$501,'الصرف المباشر'!$C$2:$C$501,$A277)-SUMPRODUCT((الطبخات!$B$2:$B$900=$A277)*الطبخات!$C$2:$C$900*COUNTIF('سجل الإنتاج'!$C$2:$C$501,الطبخات!$A$2:$A$900)),3))</f>
        <v>0</v>
      </c>
      <c r="D277" s="4">
        <f>IF($A277="","",ROUND(SUMIFS('الصرف المباشر'!$D$2:$D$501,'الصرف المباشر'!$C$2:$C$501,$A277)+SUMPRODUCT((الطبخات!$B$2:$B$900=$A277)*الطبخات!$C$2:$C$900*COUNTIF('سجل الإنتاج'!$C$2:$C$501,الطبخات!$A$2:$A$900)),3))</f>
        <v>0</v>
      </c>
      <c r="E277" s="5" t="str">
        <f t="shared" si="4"/>
        <v>✔ طبيعي</v>
      </c>
      <c r="F277" s="5" t="str">
        <f>IF(AND($A277&lt;&gt;"",$E277&lt;&gt;"✔ طبيعي"),SUMPRODUCT(('الرصيد الحالي'!$E$2:$E277&lt;&gt;"✔ طبيعي")*('الرصيد الحالي'!$E$2:$E277&lt;&gt;"")*('الرصيد الحالي'!$A$2:$A277&lt;&gt;"")),"")</f>
        <v/>
      </c>
    </row>
    <row r="278" spans="1:6" ht="24" customHeight="1">
      <c r="A278" s="3">
        <f>المواد!A277</f>
        <v>0</v>
      </c>
      <c r="B278" s="5">
        <f>المواد!B277</f>
        <v>0</v>
      </c>
      <c r="C278" s="4">
        <f>IF($A278="","",ROUND(SUMIFS(الإدخالات!$D$2:$D$501,الإدخالات!$C$2:$C$501,$A278)+SUMIFS('تعديل الجرد'!$F$2:$F$501,'تعديل الجرد'!$C$2:$C$501,$A278)-SUMIFS('الصرف المباشر'!$D$2:$D$501,'الصرف المباشر'!$C$2:$C$501,$A278)-SUMPRODUCT((الطبخات!$B$2:$B$900=$A278)*الطبخات!$C$2:$C$900*COUNTIF('سجل الإنتاج'!$C$2:$C$501,الطبخات!$A$2:$A$900)),3))</f>
        <v>0</v>
      </c>
      <c r="D278" s="4">
        <f>IF($A278="","",ROUND(SUMIFS('الصرف المباشر'!$D$2:$D$501,'الصرف المباشر'!$C$2:$C$501,$A278)+SUMPRODUCT((الطبخات!$B$2:$B$900=$A278)*الطبخات!$C$2:$C$900*COUNTIF('سجل الإنتاج'!$C$2:$C$501,الطبخات!$A$2:$A$900)),3))</f>
        <v>0</v>
      </c>
      <c r="E278" s="5" t="str">
        <f t="shared" si="4"/>
        <v>✔ طبيعي</v>
      </c>
      <c r="F278" s="5" t="str">
        <f>IF(AND($A278&lt;&gt;"",$E278&lt;&gt;"✔ طبيعي"),SUMPRODUCT(('الرصيد الحالي'!$E$2:$E278&lt;&gt;"✔ طبيعي")*('الرصيد الحالي'!$E$2:$E278&lt;&gt;"")*('الرصيد الحالي'!$A$2:$A278&lt;&gt;"")),"")</f>
        <v/>
      </c>
    </row>
    <row r="279" spans="1:6" ht="24" customHeight="1">
      <c r="A279" s="3">
        <f>المواد!A278</f>
        <v>0</v>
      </c>
      <c r="B279" s="5">
        <f>المواد!B278</f>
        <v>0</v>
      </c>
      <c r="C279" s="4">
        <f>IF($A279="","",ROUND(SUMIFS(الإدخالات!$D$2:$D$501,الإدخالات!$C$2:$C$501,$A279)+SUMIFS('تعديل الجرد'!$F$2:$F$501,'تعديل الجرد'!$C$2:$C$501,$A279)-SUMIFS('الصرف المباشر'!$D$2:$D$501,'الصرف المباشر'!$C$2:$C$501,$A279)-SUMPRODUCT((الطبخات!$B$2:$B$900=$A279)*الطبخات!$C$2:$C$900*COUNTIF('سجل الإنتاج'!$C$2:$C$501,الطبخات!$A$2:$A$900)),3))</f>
        <v>0</v>
      </c>
      <c r="D279" s="4">
        <f>IF($A279="","",ROUND(SUMIFS('الصرف المباشر'!$D$2:$D$501,'الصرف المباشر'!$C$2:$C$501,$A279)+SUMPRODUCT((الطبخات!$B$2:$B$900=$A279)*الطبخات!$C$2:$C$900*COUNTIF('سجل الإنتاج'!$C$2:$C$501,الطبخات!$A$2:$A$900)),3))</f>
        <v>0</v>
      </c>
      <c r="E279" s="5" t="str">
        <f t="shared" si="4"/>
        <v>✔ طبيعي</v>
      </c>
      <c r="F279" s="5" t="str">
        <f>IF(AND($A279&lt;&gt;"",$E279&lt;&gt;"✔ طبيعي"),SUMPRODUCT(('الرصيد الحالي'!$E$2:$E279&lt;&gt;"✔ طبيعي")*('الرصيد الحالي'!$E$2:$E279&lt;&gt;"")*('الرصيد الحالي'!$A$2:$A279&lt;&gt;"")),"")</f>
        <v/>
      </c>
    </row>
    <row r="280" spans="1:6" ht="24" customHeight="1">
      <c r="A280" s="3">
        <f>المواد!A279</f>
        <v>0</v>
      </c>
      <c r="B280" s="5">
        <f>المواد!B279</f>
        <v>0</v>
      </c>
      <c r="C280" s="4">
        <f>IF($A280="","",ROUND(SUMIFS(الإدخالات!$D$2:$D$501,الإدخالات!$C$2:$C$501,$A280)+SUMIFS('تعديل الجرد'!$F$2:$F$501,'تعديل الجرد'!$C$2:$C$501,$A280)-SUMIFS('الصرف المباشر'!$D$2:$D$501,'الصرف المباشر'!$C$2:$C$501,$A280)-SUMPRODUCT((الطبخات!$B$2:$B$900=$A280)*الطبخات!$C$2:$C$900*COUNTIF('سجل الإنتاج'!$C$2:$C$501,الطبخات!$A$2:$A$900)),3))</f>
        <v>0</v>
      </c>
      <c r="D280" s="4">
        <f>IF($A280="","",ROUND(SUMIFS('الصرف المباشر'!$D$2:$D$501,'الصرف المباشر'!$C$2:$C$501,$A280)+SUMPRODUCT((الطبخات!$B$2:$B$900=$A280)*الطبخات!$C$2:$C$900*COUNTIF('سجل الإنتاج'!$C$2:$C$501,الطبخات!$A$2:$A$900)),3))</f>
        <v>0</v>
      </c>
      <c r="E280" s="5" t="str">
        <f t="shared" si="4"/>
        <v>✔ طبيعي</v>
      </c>
      <c r="F280" s="5" t="str">
        <f>IF(AND($A280&lt;&gt;"",$E280&lt;&gt;"✔ طبيعي"),SUMPRODUCT(('الرصيد الحالي'!$E$2:$E280&lt;&gt;"✔ طبيعي")*('الرصيد الحالي'!$E$2:$E280&lt;&gt;"")*('الرصيد الحالي'!$A$2:$A280&lt;&gt;"")),"")</f>
        <v/>
      </c>
    </row>
    <row r="281" spans="1:6" ht="24" customHeight="1">
      <c r="A281" s="3">
        <f>المواد!A280</f>
        <v>0</v>
      </c>
      <c r="B281" s="5">
        <f>المواد!B280</f>
        <v>0</v>
      </c>
      <c r="C281" s="4">
        <f>IF($A281="","",ROUND(SUMIFS(الإدخالات!$D$2:$D$501,الإدخالات!$C$2:$C$501,$A281)+SUMIFS('تعديل الجرد'!$F$2:$F$501,'تعديل الجرد'!$C$2:$C$501,$A281)-SUMIFS('الصرف المباشر'!$D$2:$D$501,'الصرف المباشر'!$C$2:$C$501,$A281)-SUMPRODUCT((الطبخات!$B$2:$B$900=$A281)*الطبخات!$C$2:$C$900*COUNTIF('سجل الإنتاج'!$C$2:$C$501,الطبخات!$A$2:$A$900)),3))</f>
        <v>0</v>
      </c>
      <c r="D281" s="4">
        <f>IF($A281="","",ROUND(SUMIFS('الصرف المباشر'!$D$2:$D$501,'الصرف المباشر'!$C$2:$C$501,$A281)+SUMPRODUCT((الطبخات!$B$2:$B$900=$A281)*الطبخات!$C$2:$C$900*COUNTIF('سجل الإنتاج'!$C$2:$C$501,الطبخات!$A$2:$A$900)),3))</f>
        <v>0</v>
      </c>
      <c r="E281" s="5" t="str">
        <f t="shared" si="4"/>
        <v>✔ طبيعي</v>
      </c>
      <c r="F281" s="5" t="str">
        <f>IF(AND($A281&lt;&gt;"",$E281&lt;&gt;"✔ طبيعي"),SUMPRODUCT(('الرصيد الحالي'!$E$2:$E281&lt;&gt;"✔ طبيعي")*('الرصيد الحالي'!$E$2:$E281&lt;&gt;"")*('الرصيد الحالي'!$A$2:$A281&lt;&gt;"")),"")</f>
        <v/>
      </c>
    </row>
    <row r="282" spans="1:6" ht="24" customHeight="1">
      <c r="A282" s="3">
        <f>المواد!A281</f>
        <v>0</v>
      </c>
      <c r="B282" s="5">
        <f>المواد!B281</f>
        <v>0</v>
      </c>
      <c r="C282" s="4">
        <f>IF($A282="","",ROUND(SUMIFS(الإدخالات!$D$2:$D$501,الإدخالات!$C$2:$C$501,$A282)+SUMIFS('تعديل الجرد'!$F$2:$F$501,'تعديل الجرد'!$C$2:$C$501,$A282)-SUMIFS('الصرف المباشر'!$D$2:$D$501,'الصرف المباشر'!$C$2:$C$501,$A282)-SUMPRODUCT((الطبخات!$B$2:$B$900=$A282)*الطبخات!$C$2:$C$900*COUNTIF('سجل الإنتاج'!$C$2:$C$501,الطبخات!$A$2:$A$900)),3))</f>
        <v>0</v>
      </c>
      <c r="D282" s="4">
        <f>IF($A282="","",ROUND(SUMIFS('الصرف المباشر'!$D$2:$D$501,'الصرف المباشر'!$C$2:$C$501,$A282)+SUMPRODUCT((الطبخات!$B$2:$B$900=$A282)*الطبخات!$C$2:$C$900*COUNTIF('سجل الإنتاج'!$C$2:$C$501,الطبخات!$A$2:$A$900)),3))</f>
        <v>0</v>
      </c>
      <c r="E282" s="5" t="str">
        <f t="shared" si="4"/>
        <v>✔ طبيعي</v>
      </c>
      <c r="F282" s="5" t="str">
        <f>IF(AND($A282&lt;&gt;"",$E282&lt;&gt;"✔ طبيعي"),SUMPRODUCT(('الرصيد الحالي'!$E$2:$E282&lt;&gt;"✔ طبيعي")*('الرصيد الحالي'!$E$2:$E282&lt;&gt;"")*('الرصيد الحالي'!$A$2:$A282&lt;&gt;"")),"")</f>
        <v/>
      </c>
    </row>
    <row r="283" spans="1:6" ht="24" customHeight="1">
      <c r="A283" s="3">
        <f>المواد!A282</f>
        <v>0</v>
      </c>
      <c r="B283" s="5">
        <f>المواد!B282</f>
        <v>0</v>
      </c>
      <c r="C283" s="4">
        <f>IF($A283="","",ROUND(SUMIFS(الإدخالات!$D$2:$D$501,الإدخالات!$C$2:$C$501,$A283)+SUMIFS('تعديل الجرد'!$F$2:$F$501,'تعديل الجرد'!$C$2:$C$501,$A283)-SUMIFS('الصرف المباشر'!$D$2:$D$501,'الصرف المباشر'!$C$2:$C$501,$A283)-SUMPRODUCT((الطبخات!$B$2:$B$900=$A283)*الطبخات!$C$2:$C$900*COUNTIF('سجل الإنتاج'!$C$2:$C$501,الطبخات!$A$2:$A$900)),3))</f>
        <v>0</v>
      </c>
      <c r="D283" s="4">
        <f>IF($A283="","",ROUND(SUMIFS('الصرف المباشر'!$D$2:$D$501,'الصرف المباشر'!$C$2:$C$501,$A283)+SUMPRODUCT((الطبخات!$B$2:$B$900=$A283)*الطبخات!$C$2:$C$900*COUNTIF('سجل الإنتاج'!$C$2:$C$501,الطبخات!$A$2:$A$900)),3))</f>
        <v>0</v>
      </c>
      <c r="E283" s="5" t="str">
        <f t="shared" si="4"/>
        <v>✔ طبيعي</v>
      </c>
      <c r="F283" s="5" t="str">
        <f>IF(AND($A283&lt;&gt;"",$E283&lt;&gt;"✔ طبيعي"),SUMPRODUCT(('الرصيد الحالي'!$E$2:$E283&lt;&gt;"✔ طبيعي")*('الرصيد الحالي'!$E$2:$E283&lt;&gt;"")*('الرصيد الحالي'!$A$2:$A283&lt;&gt;"")),"")</f>
        <v/>
      </c>
    </row>
    <row r="284" spans="1:6" ht="24" customHeight="1">
      <c r="A284" s="3">
        <f>المواد!A283</f>
        <v>0</v>
      </c>
      <c r="B284" s="5">
        <f>المواد!B283</f>
        <v>0</v>
      </c>
      <c r="C284" s="4">
        <f>IF($A284="","",ROUND(SUMIFS(الإدخالات!$D$2:$D$501,الإدخالات!$C$2:$C$501,$A284)+SUMIFS('تعديل الجرد'!$F$2:$F$501,'تعديل الجرد'!$C$2:$C$501,$A284)-SUMIFS('الصرف المباشر'!$D$2:$D$501,'الصرف المباشر'!$C$2:$C$501,$A284)-SUMPRODUCT((الطبخات!$B$2:$B$900=$A284)*الطبخات!$C$2:$C$900*COUNTIF('سجل الإنتاج'!$C$2:$C$501,الطبخات!$A$2:$A$900)),3))</f>
        <v>0</v>
      </c>
      <c r="D284" s="4">
        <f>IF($A284="","",ROUND(SUMIFS('الصرف المباشر'!$D$2:$D$501,'الصرف المباشر'!$C$2:$C$501,$A284)+SUMPRODUCT((الطبخات!$B$2:$B$900=$A284)*الطبخات!$C$2:$C$900*COUNTIF('سجل الإنتاج'!$C$2:$C$501,الطبخات!$A$2:$A$900)),3))</f>
        <v>0</v>
      </c>
      <c r="E284" s="5" t="str">
        <f t="shared" si="4"/>
        <v>✔ طبيعي</v>
      </c>
      <c r="F284" s="5" t="str">
        <f>IF(AND($A284&lt;&gt;"",$E284&lt;&gt;"✔ طبيعي"),SUMPRODUCT(('الرصيد الحالي'!$E$2:$E284&lt;&gt;"✔ طبيعي")*('الرصيد الحالي'!$E$2:$E284&lt;&gt;"")*('الرصيد الحالي'!$A$2:$A284&lt;&gt;"")),"")</f>
        <v/>
      </c>
    </row>
    <row r="285" spans="1:6" ht="24" customHeight="1">
      <c r="A285" s="3">
        <f>المواد!A284</f>
        <v>0</v>
      </c>
      <c r="B285" s="5">
        <f>المواد!B284</f>
        <v>0</v>
      </c>
      <c r="C285" s="4">
        <f>IF($A285="","",ROUND(SUMIFS(الإدخالات!$D$2:$D$501,الإدخالات!$C$2:$C$501,$A285)+SUMIFS('تعديل الجرد'!$F$2:$F$501,'تعديل الجرد'!$C$2:$C$501,$A285)-SUMIFS('الصرف المباشر'!$D$2:$D$501,'الصرف المباشر'!$C$2:$C$501,$A285)-SUMPRODUCT((الطبخات!$B$2:$B$900=$A285)*الطبخات!$C$2:$C$900*COUNTIF('سجل الإنتاج'!$C$2:$C$501,الطبخات!$A$2:$A$900)),3))</f>
        <v>0</v>
      </c>
      <c r="D285" s="4">
        <f>IF($A285="","",ROUND(SUMIFS('الصرف المباشر'!$D$2:$D$501,'الصرف المباشر'!$C$2:$C$501,$A285)+SUMPRODUCT((الطبخات!$B$2:$B$900=$A285)*الطبخات!$C$2:$C$900*COUNTIF('سجل الإنتاج'!$C$2:$C$501,الطبخات!$A$2:$A$900)),3))</f>
        <v>0</v>
      </c>
      <c r="E285" s="5" t="str">
        <f t="shared" si="4"/>
        <v>✔ طبيعي</v>
      </c>
      <c r="F285" s="5" t="str">
        <f>IF(AND($A285&lt;&gt;"",$E285&lt;&gt;"✔ طبيعي"),SUMPRODUCT(('الرصيد الحالي'!$E$2:$E285&lt;&gt;"✔ طبيعي")*('الرصيد الحالي'!$E$2:$E285&lt;&gt;"")*('الرصيد الحالي'!$A$2:$A285&lt;&gt;"")),"")</f>
        <v/>
      </c>
    </row>
    <row r="286" spans="1:6" ht="24" customHeight="1">
      <c r="A286" s="3">
        <f>المواد!A285</f>
        <v>0</v>
      </c>
      <c r="B286" s="5">
        <f>المواد!B285</f>
        <v>0</v>
      </c>
      <c r="C286" s="4">
        <f>IF($A286="","",ROUND(SUMIFS(الإدخالات!$D$2:$D$501,الإدخالات!$C$2:$C$501,$A286)+SUMIFS('تعديل الجرد'!$F$2:$F$501,'تعديل الجرد'!$C$2:$C$501,$A286)-SUMIFS('الصرف المباشر'!$D$2:$D$501,'الصرف المباشر'!$C$2:$C$501,$A286)-SUMPRODUCT((الطبخات!$B$2:$B$900=$A286)*الطبخات!$C$2:$C$900*COUNTIF('سجل الإنتاج'!$C$2:$C$501,الطبخات!$A$2:$A$900)),3))</f>
        <v>0</v>
      </c>
      <c r="D286" s="4">
        <f>IF($A286="","",ROUND(SUMIFS('الصرف المباشر'!$D$2:$D$501,'الصرف المباشر'!$C$2:$C$501,$A286)+SUMPRODUCT((الطبخات!$B$2:$B$900=$A286)*الطبخات!$C$2:$C$900*COUNTIF('سجل الإنتاج'!$C$2:$C$501,الطبخات!$A$2:$A$900)),3))</f>
        <v>0</v>
      </c>
      <c r="E286" s="5" t="str">
        <f t="shared" si="4"/>
        <v>✔ طبيعي</v>
      </c>
      <c r="F286" s="5" t="str">
        <f>IF(AND($A286&lt;&gt;"",$E286&lt;&gt;"✔ طبيعي"),SUMPRODUCT(('الرصيد الحالي'!$E$2:$E286&lt;&gt;"✔ طبيعي")*('الرصيد الحالي'!$E$2:$E286&lt;&gt;"")*('الرصيد الحالي'!$A$2:$A286&lt;&gt;"")),"")</f>
        <v/>
      </c>
    </row>
    <row r="287" spans="1:6" ht="24" customHeight="1">
      <c r="A287" s="3">
        <f>المواد!A286</f>
        <v>0</v>
      </c>
      <c r="B287" s="5">
        <f>المواد!B286</f>
        <v>0</v>
      </c>
      <c r="C287" s="4">
        <f>IF($A287="","",ROUND(SUMIFS(الإدخالات!$D$2:$D$501,الإدخالات!$C$2:$C$501,$A287)+SUMIFS('تعديل الجرد'!$F$2:$F$501,'تعديل الجرد'!$C$2:$C$501,$A287)-SUMIFS('الصرف المباشر'!$D$2:$D$501,'الصرف المباشر'!$C$2:$C$501,$A287)-SUMPRODUCT((الطبخات!$B$2:$B$900=$A287)*الطبخات!$C$2:$C$900*COUNTIF('سجل الإنتاج'!$C$2:$C$501,الطبخات!$A$2:$A$900)),3))</f>
        <v>0</v>
      </c>
      <c r="D287" s="4">
        <f>IF($A287="","",ROUND(SUMIFS('الصرف المباشر'!$D$2:$D$501,'الصرف المباشر'!$C$2:$C$501,$A287)+SUMPRODUCT((الطبخات!$B$2:$B$900=$A287)*الطبخات!$C$2:$C$900*COUNTIF('سجل الإنتاج'!$C$2:$C$501,الطبخات!$A$2:$A$900)),3))</f>
        <v>0</v>
      </c>
      <c r="E287" s="5" t="str">
        <f t="shared" si="4"/>
        <v>✔ طبيعي</v>
      </c>
      <c r="F287" s="5" t="str">
        <f>IF(AND($A287&lt;&gt;"",$E287&lt;&gt;"✔ طبيعي"),SUMPRODUCT(('الرصيد الحالي'!$E$2:$E287&lt;&gt;"✔ طبيعي")*('الرصيد الحالي'!$E$2:$E287&lt;&gt;"")*('الرصيد الحالي'!$A$2:$A287&lt;&gt;"")),"")</f>
        <v/>
      </c>
    </row>
    <row r="288" spans="1:6" ht="24" customHeight="1">
      <c r="A288" s="3">
        <f>المواد!A287</f>
        <v>0</v>
      </c>
      <c r="B288" s="5">
        <f>المواد!B287</f>
        <v>0</v>
      </c>
      <c r="C288" s="4">
        <f>IF($A288="","",ROUND(SUMIFS(الإدخالات!$D$2:$D$501,الإدخالات!$C$2:$C$501,$A288)+SUMIFS('تعديل الجرد'!$F$2:$F$501,'تعديل الجرد'!$C$2:$C$501,$A288)-SUMIFS('الصرف المباشر'!$D$2:$D$501,'الصرف المباشر'!$C$2:$C$501,$A288)-SUMPRODUCT((الطبخات!$B$2:$B$900=$A288)*الطبخات!$C$2:$C$900*COUNTIF('سجل الإنتاج'!$C$2:$C$501,الطبخات!$A$2:$A$900)),3))</f>
        <v>0</v>
      </c>
      <c r="D288" s="4">
        <f>IF($A288="","",ROUND(SUMIFS('الصرف المباشر'!$D$2:$D$501,'الصرف المباشر'!$C$2:$C$501,$A288)+SUMPRODUCT((الطبخات!$B$2:$B$900=$A288)*الطبخات!$C$2:$C$900*COUNTIF('سجل الإنتاج'!$C$2:$C$501,الطبخات!$A$2:$A$900)),3))</f>
        <v>0</v>
      </c>
      <c r="E288" s="5" t="str">
        <f t="shared" si="4"/>
        <v>✔ طبيعي</v>
      </c>
      <c r="F288" s="5" t="str">
        <f>IF(AND($A288&lt;&gt;"",$E288&lt;&gt;"✔ طبيعي"),SUMPRODUCT(('الرصيد الحالي'!$E$2:$E288&lt;&gt;"✔ طبيعي")*('الرصيد الحالي'!$E$2:$E288&lt;&gt;"")*('الرصيد الحالي'!$A$2:$A288&lt;&gt;"")),"")</f>
        <v/>
      </c>
    </row>
    <row r="289" spans="1:6" ht="24" customHeight="1">
      <c r="A289" s="3">
        <f>المواد!A288</f>
        <v>0</v>
      </c>
      <c r="B289" s="5">
        <f>المواد!B288</f>
        <v>0</v>
      </c>
      <c r="C289" s="4">
        <f>IF($A289="","",ROUND(SUMIFS(الإدخالات!$D$2:$D$501,الإدخالات!$C$2:$C$501,$A289)+SUMIFS('تعديل الجرد'!$F$2:$F$501,'تعديل الجرد'!$C$2:$C$501,$A289)-SUMIFS('الصرف المباشر'!$D$2:$D$501,'الصرف المباشر'!$C$2:$C$501,$A289)-SUMPRODUCT((الطبخات!$B$2:$B$900=$A289)*الطبخات!$C$2:$C$900*COUNTIF('سجل الإنتاج'!$C$2:$C$501,الطبخات!$A$2:$A$900)),3))</f>
        <v>0</v>
      </c>
      <c r="D289" s="4">
        <f>IF($A289="","",ROUND(SUMIFS('الصرف المباشر'!$D$2:$D$501,'الصرف المباشر'!$C$2:$C$501,$A289)+SUMPRODUCT((الطبخات!$B$2:$B$900=$A289)*الطبخات!$C$2:$C$900*COUNTIF('سجل الإنتاج'!$C$2:$C$501,الطبخات!$A$2:$A$900)),3))</f>
        <v>0</v>
      </c>
      <c r="E289" s="5" t="str">
        <f t="shared" si="4"/>
        <v>✔ طبيعي</v>
      </c>
      <c r="F289" s="5" t="str">
        <f>IF(AND($A289&lt;&gt;"",$E289&lt;&gt;"✔ طبيعي"),SUMPRODUCT(('الرصيد الحالي'!$E$2:$E289&lt;&gt;"✔ طبيعي")*('الرصيد الحالي'!$E$2:$E289&lt;&gt;"")*('الرصيد الحالي'!$A$2:$A289&lt;&gt;"")),"")</f>
        <v/>
      </c>
    </row>
    <row r="290" spans="1:6" ht="24" customHeight="1">
      <c r="A290" s="3">
        <f>المواد!A289</f>
        <v>0</v>
      </c>
      <c r="B290" s="5">
        <f>المواد!B289</f>
        <v>0</v>
      </c>
      <c r="C290" s="4">
        <f>IF($A290="","",ROUND(SUMIFS(الإدخالات!$D$2:$D$501,الإدخالات!$C$2:$C$501,$A290)+SUMIFS('تعديل الجرد'!$F$2:$F$501,'تعديل الجرد'!$C$2:$C$501,$A290)-SUMIFS('الصرف المباشر'!$D$2:$D$501,'الصرف المباشر'!$C$2:$C$501,$A290)-SUMPRODUCT((الطبخات!$B$2:$B$900=$A290)*الطبخات!$C$2:$C$900*COUNTIF('سجل الإنتاج'!$C$2:$C$501,الطبخات!$A$2:$A$900)),3))</f>
        <v>0</v>
      </c>
      <c r="D290" s="4">
        <f>IF($A290="","",ROUND(SUMIFS('الصرف المباشر'!$D$2:$D$501,'الصرف المباشر'!$C$2:$C$501,$A290)+SUMPRODUCT((الطبخات!$B$2:$B$900=$A290)*الطبخات!$C$2:$C$900*COUNTIF('سجل الإنتاج'!$C$2:$C$501,الطبخات!$A$2:$A$900)),3))</f>
        <v>0</v>
      </c>
      <c r="E290" s="5" t="str">
        <f t="shared" si="4"/>
        <v>✔ طبيعي</v>
      </c>
      <c r="F290" s="5" t="str">
        <f>IF(AND($A290&lt;&gt;"",$E290&lt;&gt;"✔ طبيعي"),SUMPRODUCT(('الرصيد الحالي'!$E$2:$E290&lt;&gt;"✔ طبيعي")*('الرصيد الحالي'!$E$2:$E290&lt;&gt;"")*('الرصيد الحالي'!$A$2:$A290&lt;&gt;"")),"")</f>
        <v/>
      </c>
    </row>
    <row r="291" spans="1:6" ht="24" customHeight="1">
      <c r="A291" s="3">
        <f>المواد!A290</f>
        <v>0</v>
      </c>
      <c r="B291" s="5">
        <f>المواد!B290</f>
        <v>0</v>
      </c>
      <c r="C291" s="4">
        <f>IF($A291="","",ROUND(SUMIFS(الإدخالات!$D$2:$D$501,الإدخالات!$C$2:$C$501,$A291)+SUMIFS('تعديل الجرد'!$F$2:$F$501,'تعديل الجرد'!$C$2:$C$501,$A291)-SUMIFS('الصرف المباشر'!$D$2:$D$501,'الصرف المباشر'!$C$2:$C$501,$A291)-SUMPRODUCT((الطبخات!$B$2:$B$900=$A291)*الطبخات!$C$2:$C$900*COUNTIF('سجل الإنتاج'!$C$2:$C$501,الطبخات!$A$2:$A$900)),3))</f>
        <v>0</v>
      </c>
      <c r="D291" s="4">
        <f>IF($A291="","",ROUND(SUMIFS('الصرف المباشر'!$D$2:$D$501,'الصرف المباشر'!$C$2:$C$501,$A291)+SUMPRODUCT((الطبخات!$B$2:$B$900=$A291)*الطبخات!$C$2:$C$900*COUNTIF('سجل الإنتاج'!$C$2:$C$501,الطبخات!$A$2:$A$900)),3))</f>
        <v>0</v>
      </c>
      <c r="E291" s="5" t="str">
        <f t="shared" si="4"/>
        <v>✔ طبيعي</v>
      </c>
      <c r="F291" s="5" t="str">
        <f>IF(AND($A291&lt;&gt;"",$E291&lt;&gt;"✔ طبيعي"),SUMPRODUCT(('الرصيد الحالي'!$E$2:$E291&lt;&gt;"✔ طبيعي")*('الرصيد الحالي'!$E$2:$E291&lt;&gt;"")*('الرصيد الحالي'!$A$2:$A291&lt;&gt;"")),"")</f>
        <v/>
      </c>
    </row>
    <row r="292" spans="1:6" ht="24" customHeight="1">
      <c r="A292" s="3">
        <f>المواد!A291</f>
        <v>0</v>
      </c>
      <c r="B292" s="5">
        <f>المواد!B291</f>
        <v>0</v>
      </c>
      <c r="C292" s="4">
        <f>IF($A292="","",ROUND(SUMIFS(الإدخالات!$D$2:$D$501,الإدخالات!$C$2:$C$501,$A292)+SUMIFS('تعديل الجرد'!$F$2:$F$501,'تعديل الجرد'!$C$2:$C$501,$A292)-SUMIFS('الصرف المباشر'!$D$2:$D$501,'الصرف المباشر'!$C$2:$C$501,$A292)-SUMPRODUCT((الطبخات!$B$2:$B$900=$A292)*الطبخات!$C$2:$C$900*COUNTIF('سجل الإنتاج'!$C$2:$C$501,الطبخات!$A$2:$A$900)),3))</f>
        <v>0</v>
      </c>
      <c r="D292" s="4">
        <f>IF($A292="","",ROUND(SUMIFS('الصرف المباشر'!$D$2:$D$501,'الصرف المباشر'!$C$2:$C$501,$A292)+SUMPRODUCT((الطبخات!$B$2:$B$900=$A292)*الطبخات!$C$2:$C$900*COUNTIF('سجل الإنتاج'!$C$2:$C$501,الطبخات!$A$2:$A$900)),3))</f>
        <v>0</v>
      </c>
      <c r="E292" s="5" t="str">
        <f t="shared" si="4"/>
        <v>✔ طبيعي</v>
      </c>
      <c r="F292" s="5" t="str">
        <f>IF(AND($A292&lt;&gt;"",$E292&lt;&gt;"✔ طبيعي"),SUMPRODUCT(('الرصيد الحالي'!$E$2:$E292&lt;&gt;"✔ طبيعي")*('الرصيد الحالي'!$E$2:$E292&lt;&gt;"")*('الرصيد الحالي'!$A$2:$A292&lt;&gt;"")),"")</f>
        <v/>
      </c>
    </row>
    <row r="293" spans="1:6" ht="24" customHeight="1">
      <c r="A293" s="3">
        <f>المواد!A292</f>
        <v>0</v>
      </c>
      <c r="B293" s="5">
        <f>المواد!B292</f>
        <v>0</v>
      </c>
      <c r="C293" s="4">
        <f>IF($A293="","",ROUND(SUMIFS(الإدخالات!$D$2:$D$501,الإدخالات!$C$2:$C$501,$A293)+SUMIFS('تعديل الجرد'!$F$2:$F$501,'تعديل الجرد'!$C$2:$C$501,$A293)-SUMIFS('الصرف المباشر'!$D$2:$D$501,'الصرف المباشر'!$C$2:$C$501,$A293)-SUMPRODUCT((الطبخات!$B$2:$B$900=$A293)*الطبخات!$C$2:$C$900*COUNTIF('سجل الإنتاج'!$C$2:$C$501,الطبخات!$A$2:$A$900)),3))</f>
        <v>0</v>
      </c>
      <c r="D293" s="4">
        <f>IF($A293="","",ROUND(SUMIFS('الصرف المباشر'!$D$2:$D$501,'الصرف المباشر'!$C$2:$C$501,$A293)+SUMPRODUCT((الطبخات!$B$2:$B$900=$A293)*الطبخات!$C$2:$C$900*COUNTIF('سجل الإنتاج'!$C$2:$C$501,الطبخات!$A$2:$A$900)),3))</f>
        <v>0</v>
      </c>
      <c r="E293" s="5" t="str">
        <f t="shared" si="4"/>
        <v>✔ طبيعي</v>
      </c>
      <c r="F293" s="5" t="str">
        <f>IF(AND($A293&lt;&gt;"",$E293&lt;&gt;"✔ طبيعي"),SUMPRODUCT(('الرصيد الحالي'!$E$2:$E293&lt;&gt;"✔ طبيعي")*('الرصيد الحالي'!$E$2:$E293&lt;&gt;"")*('الرصيد الحالي'!$A$2:$A293&lt;&gt;"")),"")</f>
        <v/>
      </c>
    </row>
    <row r="294" spans="1:6" ht="24" customHeight="1">
      <c r="A294" s="3">
        <f>المواد!A293</f>
        <v>0</v>
      </c>
      <c r="B294" s="5">
        <f>المواد!B293</f>
        <v>0</v>
      </c>
      <c r="C294" s="4">
        <f>IF($A294="","",ROUND(SUMIFS(الإدخالات!$D$2:$D$501,الإدخالات!$C$2:$C$501,$A294)+SUMIFS('تعديل الجرد'!$F$2:$F$501,'تعديل الجرد'!$C$2:$C$501,$A294)-SUMIFS('الصرف المباشر'!$D$2:$D$501,'الصرف المباشر'!$C$2:$C$501,$A294)-SUMPRODUCT((الطبخات!$B$2:$B$900=$A294)*الطبخات!$C$2:$C$900*COUNTIF('سجل الإنتاج'!$C$2:$C$501,الطبخات!$A$2:$A$900)),3))</f>
        <v>0</v>
      </c>
      <c r="D294" s="4">
        <f>IF($A294="","",ROUND(SUMIFS('الصرف المباشر'!$D$2:$D$501,'الصرف المباشر'!$C$2:$C$501,$A294)+SUMPRODUCT((الطبخات!$B$2:$B$900=$A294)*الطبخات!$C$2:$C$900*COUNTIF('سجل الإنتاج'!$C$2:$C$501,الطبخات!$A$2:$A$900)),3))</f>
        <v>0</v>
      </c>
      <c r="E294" s="5" t="str">
        <f t="shared" si="4"/>
        <v>✔ طبيعي</v>
      </c>
      <c r="F294" s="5" t="str">
        <f>IF(AND($A294&lt;&gt;"",$E294&lt;&gt;"✔ طبيعي"),SUMPRODUCT(('الرصيد الحالي'!$E$2:$E294&lt;&gt;"✔ طبيعي")*('الرصيد الحالي'!$E$2:$E294&lt;&gt;"")*('الرصيد الحالي'!$A$2:$A294&lt;&gt;"")),"")</f>
        <v/>
      </c>
    </row>
    <row r="295" spans="1:6" ht="24" customHeight="1">
      <c r="A295" s="3">
        <f>المواد!A294</f>
        <v>0</v>
      </c>
      <c r="B295" s="5">
        <f>المواد!B294</f>
        <v>0</v>
      </c>
      <c r="C295" s="4">
        <f>IF($A295="","",ROUND(SUMIFS(الإدخالات!$D$2:$D$501,الإدخالات!$C$2:$C$501,$A295)+SUMIFS('تعديل الجرد'!$F$2:$F$501,'تعديل الجرد'!$C$2:$C$501,$A295)-SUMIFS('الصرف المباشر'!$D$2:$D$501,'الصرف المباشر'!$C$2:$C$501,$A295)-SUMPRODUCT((الطبخات!$B$2:$B$900=$A295)*الطبخات!$C$2:$C$900*COUNTIF('سجل الإنتاج'!$C$2:$C$501,الطبخات!$A$2:$A$900)),3))</f>
        <v>0</v>
      </c>
      <c r="D295" s="4">
        <f>IF($A295="","",ROUND(SUMIFS('الصرف المباشر'!$D$2:$D$501,'الصرف المباشر'!$C$2:$C$501,$A295)+SUMPRODUCT((الطبخات!$B$2:$B$900=$A295)*الطبخات!$C$2:$C$900*COUNTIF('سجل الإنتاج'!$C$2:$C$501,الطبخات!$A$2:$A$900)),3))</f>
        <v>0</v>
      </c>
      <c r="E295" s="5" t="str">
        <f t="shared" si="4"/>
        <v>✔ طبيعي</v>
      </c>
      <c r="F295" s="5" t="str">
        <f>IF(AND($A295&lt;&gt;"",$E295&lt;&gt;"✔ طبيعي"),SUMPRODUCT(('الرصيد الحالي'!$E$2:$E295&lt;&gt;"✔ طبيعي")*('الرصيد الحالي'!$E$2:$E295&lt;&gt;"")*('الرصيد الحالي'!$A$2:$A295&lt;&gt;"")),"")</f>
        <v/>
      </c>
    </row>
    <row r="296" spans="1:6" ht="24" customHeight="1">
      <c r="A296" s="3">
        <f>المواد!A295</f>
        <v>0</v>
      </c>
      <c r="B296" s="5">
        <f>المواد!B295</f>
        <v>0</v>
      </c>
      <c r="C296" s="4">
        <f>IF($A296="","",ROUND(SUMIFS(الإدخالات!$D$2:$D$501,الإدخالات!$C$2:$C$501,$A296)+SUMIFS('تعديل الجرد'!$F$2:$F$501,'تعديل الجرد'!$C$2:$C$501,$A296)-SUMIFS('الصرف المباشر'!$D$2:$D$501,'الصرف المباشر'!$C$2:$C$501,$A296)-SUMPRODUCT((الطبخات!$B$2:$B$900=$A296)*الطبخات!$C$2:$C$900*COUNTIF('سجل الإنتاج'!$C$2:$C$501,الطبخات!$A$2:$A$900)),3))</f>
        <v>0</v>
      </c>
      <c r="D296" s="4">
        <f>IF($A296="","",ROUND(SUMIFS('الصرف المباشر'!$D$2:$D$501,'الصرف المباشر'!$C$2:$C$501,$A296)+SUMPRODUCT((الطبخات!$B$2:$B$900=$A296)*الطبخات!$C$2:$C$900*COUNTIF('سجل الإنتاج'!$C$2:$C$501,الطبخات!$A$2:$A$900)),3))</f>
        <v>0</v>
      </c>
      <c r="E296" s="5" t="str">
        <f t="shared" si="4"/>
        <v>✔ طبيعي</v>
      </c>
      <c r="F296" s="5" t="str">
        <f>IF(AND($A296&lt;&gt;"",$E296&lt;&gt;"✔ طبيعي"),SUMPRODUCT(('الرصيد الحالي'!$E$2:$E296&lt;&gt;"✔ طبيعي")*('الرصيد الحالي'!$E$2:$E296&lt;&gt;"")*('الرصيد الحالي'!$A$2:$A296&lt;&gt;"")),"")</f>
        <v/>
      </c>
    </row>
    <row r="297" spans="1:6" ht="24" customHeight="1">
      <c r="A297" s="3">
        <f>المواد!A296</f>
        <v>0</v>
      </c>
      <c r="B297" s="5">
        <f>المواد!B296</f>
        <v>0</v>
      </c>
      <c r="C297" s="4">
        <f>IF($A297="","",ROUND(SUMIFS(الإدخالات!$D$2:$D$501,الإدخالات!$C$2:$C$501,$A297)+SUMIFS('تعديل الجرد'!$F$2:$F$501,'تعديل الجرد'!$C$2:$C$501,$A297)-SUMIFS('الصرف المباشر'!$D$2:$D$501,'الصرف المباشر'!$C$2:$C$501,$A297)-SUMPRODUCT((الطبخات!$B$2:$B$900=$A297)*الطبخات!$C$2:$C$900*COUNTIF('سجل الإنتاج'!$C$2:$C$501,الطبخات!$A$2:$A$900)),3))</f>
        <v>0</v>
      </c>
      <c r="D297" s="4">
        <f>IF($A297="","",ROUND(SUMIFS('الصرف المباشر'!$D$2:$D$501,'الصرف المباشر'!$C$2:$C$501,$A297)+SUMPRODUCT((الطبخات!$B$2:$B$900=$A297)*الطبخات!$C$2:$C$900*COUNTIF('سجل الإنتاج'!$C$2:$C$501,الطبخات!$A$2:$A$900)),3))</f>
        <v>0</v>
      </c>
      <c r="E297" s="5" t="str">
        <f t="shared" si="4"/>
        <v>✔ طبيعي</v>
      </c>
      <c r="F297" s="5" t="str">
        <f>IF(AND($A297&lt;&gt;"",$E297&lt;&gt;"✔ طبيعي"),SUMPRODUCT(('الرصيد الحالي'!$E$2:$E297&lt;&gt;"✔ طبيعي")*('الرصيد الحالي'!$E$2:$E297&lt;&gt;"")*('الرصيد الحالي'!$A$2:$A297&lt;&gt;"")),"")</f>
        <v/>
      </c>
    </row>
    <row r="298" spans="1:6" ht="24" customHeight="1">
      <c r="A298" s="3">
        <f>المواد!A297</f>
        <v>0</v>
      </c>
      <c r="B298" s="5">
        <f>المواد!B297</f>
        <v>0</v>
      </c>
      <c r="C298" s="4">
        <f>IF($A298="","",ROUND(SUMIFS(الإدخالات!$D$2:$D$501,الإدخالات!$C$2:$C$501,$A298)+SUMIFS('تعديل الجرد'!$F$2:$F$501,'تعديل الجرد'!$C$2:$C$501,$A298)-SUMIFS('الصرف المباشر'!$D$2:$D$501,'الصرف المباشر'!$C$2:$C$501,$A298)-SUMPRODUCT((الطبخات!$B$2:$B$900=$A298)*الطبخات!$C$2:$C$900*COUNTIF('سجل الإنتاج'!$C$2:$C$501,الطبخات!$A$2:$A$900)),3))</f>
        <v>0</v>
      </c>
      <c r="D298" s="4">
        <f>IF($A298="","",ROUND(SUMIFS('الصرف المباشر'!$D$2:$D$501,'الصرف المباشر'!$C$2:$C$501,$A298)+SUMPRODUCT((الطبخات!$B$2:$B$900=$A298)*الطبخات!$C$2:$C$900*COUNTIF('سجل الإنتاج'!$C$2:$C$501,الطبخات!$A$2:$A$900)),3))</f>
        <v>0</v>
      </c>
      <c r="E298" s="5" t="str">
        <f t="shared" si="4"/>
        <v>✔ طبيعي</v>
      </c>
      <c r="F298" s="5" t="str">
        <f>IF(AND($A298&lt;&gt;"",$E298&lt;&gt;"✔ طبيعي"),SUMPRODUCT(('الرصيد الحالي'!$E$2:$E298&lt;&gt;"✔ طبيعي")*('الرصيد الحالي'!$E$2:$E298&lt;&gt;"")*('الرصيد الحالي'!$A$2:$A298&lt;&gt;"")),"")</f>
        <v/>
      </c>
    </row>
    <row r="299" spans="1:6" ht="24" customHeight="1">
      <c r="A299" s="3">
        <f>المواد!A298</f>
        <v>0</v>
      </c>
      <c r="B299" s="5">
        <f>المواد!B298</f>
        <v>0</v>
      </c>
      <c r="C299" s="4">
        <f>IF($A299="","",ROUND(SUMIFS(الإدخالات!$D$2:$D$501,الإدخالات!$C$2:$C$501,$A299)+SUMIFS('تعديل الجرد'!$F$2:$F$501,'تعديل الجرد'!$C$2:$C$501,$A299)-SUMIFS('الصرف المباشر'!$D$2:$D$501,'الصرف المباشر'!$C$2:$C$501,$A299)-SUMPRODUCT((الطبخات!$B$2:$B$900=$A299)*الطبخات!$C$2:$C$900*COUNTIF('سجل الإنتاج'!$C$2:$C$501,الطبخات!$A$2:$A$900)),3))</f>
        <v>0</v>
      </c>
      <c r="D299" s="4">
        <f>IF($A299="","",ROUND(SUMIFS('الصرف المباشر'!$D$2:$D$501,'الصرف المباشر'!$C$2:$C$501,$A299)+SUMPRODUCT((الطبخات!$B$2:$B$900=$A299)*الطبخات!$C$2:$C$900*COUNTIF('سجل الإنتاج'!$C$2:$C$501,الطبخات!$A$2:$A$900)),3))</f>
        <v>0</v>
      </c>
      <c r="E299" s="5" t="str">
        <f t="shared" si="4"/>
        <v>✔ طبيعي</v>
      </c>
      <c r="F299" s="5" t="str">
        <f>IF(AND($A299&lt;&gt;"",$E299&lt;&gt;"✔ طبيعي"),SUMPRODUCT(('الرصيد الحالي'!$E$2:$E299&lt;&gt;"✔ طبيعي")*('الرصيد الحالي'!$E$2:$E299&lt;&gt;"")*('الرصيد الحالي'!$A$2:$A299&lt;&gt;"")),"")</f>
        <v/>
      </c>
    </row>
    <row r="300" spans="1:6" ht="24" customHeight="1">
      <c r="A300" s="3">
        <f>المواد!A299</f>
        <v>0</v>
      </c>
      <c r="B300" s="5">
        <f>المواد!B299</f>
        <v>0</v>
      </c>
      <c r="C300" s="4">
        <f>IF($A300="","",ROUND(SUMIFS(الإدخالات!$D$2:$D$501,الإدخالات!$C$2:$C$501,$A300)+SUMIFS('تعديل الجرد'!$F$2:$F$501,'تعديل الجرد'!$C$2:$C$501,$A300)-SUMIFS('الصرف المباشر'!$D$2:$D$501,'الصرف المباشر'!$C$2:$C$501,$A300)-SUMPRODUCT((الطبخات!$B$2:$B$900=$A300)*الطبخات!$C$2:$C$900*COUNTIF('سجل الإنتاج'!$C$2:$C$501,الطبخات!$A$2:$A$900)),3))</f>
        <v>0</v>
      </c>
      <c r="D300" s="4">
        <f>IF($A300="","",ROUND(SUMIFS('الصرف المباشر'!$D$2:$D$501,'الصرف المباشر'!$C$2:$C$501,$A300)+SUMPRODUCT((الطبخات!$B$2:$B$900=$A300)*الطبخات!$C$2:$C$900*COUNTIF('سجل الإنتاج'!$C$2:$C$501,الطبخات!$A$2:$A$900)),3))</f>
        <v>0</v>
      </c>
      <c r="E300" s="5" t="str">
        <f t="shared" si="4"/>
        <v>✔ طبيعي</v>
      </c>
      <c r="F300" s="5" t="str">
        <f>IF(AND($A300&lt;&gt;"",$E300&lt;&gt;"✔ طبيعي"),SUMPRODUCT(('الرصيد الحالي'!$E$2:$E300&lt;&gt;"✔ طبيعي")*('الرصيد الحالي'!$E$2:$E300&lt;&gt;"")*('الرصيد الحالي'!$A$2:$A300&lt;&gt;"")),"")</f>
        <v/>
      </c>
    </row>
    <row r="301" spans="1:6" ht="24" customHeight="1">
      <c r="A301" s="3">
        <f>المواد!A300</f>
        <v>0</v>
      </c>
      <c r="B301" s="5">
        <f>المواد!B300</f>
        <v>0</v>
      </c>
      <c r="C301" s="4">
        <f>IF($A301="","",ROUND(SUMIFS(الإدخالات!$D$2:$D$501,الإدخالات!$C$2:$C$501,$A301)+SUMIFS('تعديل الجرد'!$F$2:$F$501,'تعديل الجرد'!$C$2:$C$501,$A301)-SUMIFS('الصرف المباشر'!$D$2:$D$501,'الصرف المباشر'!$C$2:$C$501,$A301)-SUMPRODUCT((الطبخات!$B$2:$B$900=$A301)*الطبخات!$C$2:$C$900*COUNTIF('سجل الإنتاج'!$C$2:$C$501,الطبخات!$A$2:$A$900)),3))</f>
        <v>0</v>
      </c>
      <c r="D301" s="4">
        <f>IF($A301="","",ROUND(SUMIFS('الصرف المباشر'!$D$2:$D$501,'الصرف المباشر'!$C$2:$C$501,$A301)+SUMPRODUCT((الطبخات!$B$2:$B$900=$A301)*الطبخات!$C$2:$C$900*COUNTIF('سجل الإنتاج'!$C$2:$C$501,الطبخات!$A$2:$A$900)),3))</f>
        <v>0</v>
      </c>
      <c r="E301" s="5" t="str">
        <f t="shared" si="4"/>
        <v>✔ طبيعي</v>
      </c>
      <c r="F301" s="5" t="str">
        <f>IF(AND($A301&lt;&gt;"",$E301&lt;&gt;"✔ طبيعي"),SUMPRODUCT(('الرصيد الحالي'!$E$2:$E301&lt;&gt;"✔ طبيعي")*('الرصيد الحالي'!$E$2:$E301&lt;&gt;"")*('الرصيد الحالي'!$A$2:$A301&lt;&gt;"")),"")</f>
        <v/>
      </c>
    </row>
    <row r="302" spans="1:6" ht="24" customHeight="1">
      <c r="A302" s="3">
        <f>المواد!A301</f>
        <v>0</v>
      </c>
      <c r="B302" s="5">
        <f>المواد!B301</f>
        <v>0</v>
      </c>
      <c r="C302" s="4">
        <f>IF($A302="","",ROUND(SUMIFS(الإدخالات!$D$2:$D$501,الإدخالات!$C$2:$C$501,$A302)+SUMIFS('تعديل الجرد'!$F$2:$F$501,'تعديل الجرد'!$C$2:$C$501,$A302)-SUMIFS('الصرف المباشر'!$D$2:$D$501,'الصرف المباشر'!$C$2:$C$501,$A302)-SUMPRODUCT((الطبخات!$B$2:$B$900=$A302)*الطبخات!$C$2:$C$900*COUNTIF('سجل الإنتاج'!$C$2:$C$501,الطبخات!$A$2:$A$900)),3))</f>
        <v>0</v>
      </c>
      <c r="D302" s="4">
        <f>IF($A302="","",ROUND(SUMIFS('الصرف المباشر'!$D$2:$D$501,'الصرف المباشر'!$C$2:$C$501,$A302)+SUMPRODUCT((الطبخات!$B$2:$B$900=$A302)*الطبخات!$C$2:$C$900*COUNTIF('سجل الإنتاج'!$C$2:$C$501,الطبخات!$A$2:$A$900)),3))</f>
        <v>0</v>
      </c>
      <c r="E302" s="5" t="str">
        <f t="shared" si="4"/>
        <v>✔ طبيعي</v>
      </c>
      <c r="F302" s="5" t="str">
        <f>IF(AND($A302&lt;&gt;"",$E302&lt;&gt;"✔ طبيعي"),SUMPRODUCT(('الرصيد الحالي'!$E$2:$E302&lt;&gt;"✔ طبيعي")*('الرصيد الحالي'!$E$2:$E302&lt;&gt;"")*('الرصيد الحالي'!$A$2:$A302&lt;&gt;"")),"")</f>
        <v/>
      </c>
    </row>
    <row r="303" spans="1:6" ht="24" customHeight="1">
      <c r="A303" s="3">
        <f>المواد!A302</f>
        <v>0</v>
      </c>
      <c r="B303" s="5">
        <f>المواد!B302</f>
        <v>0</v>
      </c>
      <c r="C303" s="4">
        <f>IF($A303="","",ROUND(SUMIFS(الإدخالات!$D$2:$D$501,الإدخالات!$C$2:$C$501,$A303)+SUMIFS('تعديل الجرد'!$F$2:$F$501,'تعديل الجرد'!$C$2:$C$501,$A303)-SUMIFS('الصرف المباشر'!$D$2:$D$501,'الصرف المباشر'!$C$2:$C$501,$A303)-SUMPRODUCT((الطبخات!$B$2:$B$900=$A303)*الطبخات!$C$2:$C$900*COUNTIF('سجل الإنتاج'!$C$2:$C$501,الطبخات!$A$2:$A$900)),3))</f>
        <v>0</v>
      </c>
      <c r="D303" s="4">
        <f>IF($A303="","",ROUND(SUMIFS('الصرف المباشر'!$D$2:$D$501,'الصرف المباشر'!$C$2:$C$501,$A303)+SUMPRODUCT((الطبخات!$B$2:$B$900=$A303)*الطبخات!$C$2:$C$900*COUNTIF('سجل الإنتاج'!$C$2:$C$501,الطبخات!$A$2:$A$900)),3))</f>
        <v>0</v>
      </c>
      <c r="E303" s="5" t="str">
        <f t="shared" si="4"/>
        <v>✔ طبيعي</v>
      </c>
      <c r="F303" s="5" t="str">
        <f>IF(AND($A303&lt;&gt;"",$E303&lt;&gt;"✔ طبيعي"),SUMPRODUCT(('الرصيد الحالي'!$E$2:$E303&lt;&gt;"✔ طبيعي")*('الرصيد الحالي'!$E$2:$E303&lt;&gt;"")*('الرصيد الحالي'!$A$2:$A303&lt;&gt;"")),"")</f>
        <v/>
      </c>
    </row>
    <row r="304" spans="1:6" ht="24" customHeight="1">
      <c r="A304" s="3">
        <f>المواد!A303</f>
        <v>0</v>
      </c>
      <c r="B304" s="5">
        <f>المواد!B303</f>
        <v>0</v>
      </c>
      <c r="C304" s="4">
        <f>IF($A304="","",ROUND(SUMIFS(الإدخالات!$D$2:$D$501,الإدخالات!$C$2:$C$501,$A304)+SUMIFS('تعديل الجرد'!$F$2:$F$501,'تعديل الجرد'!$C$2:$C$501,$A304)-SUMIFS('الصرف المباشر'!$D$2:$D$501,'الصرف المباشر'!$C$2:$C$501,$A304)-SUMPRODUCT((الطبخات!$B$2:$B$900=$A304)*الطبخات!$C$2:$C$900*COUNTIF('سجل الإنتاج'!$C$2:$C$501,الطبخات!$A$2:$A$900)),3))</f>
        <v>0</v>
      </c>
      <c r="D304" s="4">
        <f>IF($A304="","",ROUND(SUMIFS('الصرف المباشر'!$D$2:$D$501,'الصرف المباشر'!$C$2:$C$501,$A304)+SUMPRODUCT((الطبخات!$B$2:$B$900=$A304)*الطبخات!$C$2:$C$900*COUNTIF('سجل الإنتاج'!$C$2:$C$501,الطبخات!$A$2:$A$900)),3))</f>
        <v>0</v>
      </c>
      <c r="E304" s="5" t="str">
        <f t="shared" si="4"/>
        <v>✔ طبيعي</v>
      </c>
      <c r="F304" s="5" t="str">
        <f>IF(AND($A304&lt;&gt;"",$E304&lt;&gt;"✔ طبيعي"),SUMPRODUCT(('الرصيد الحالي'!$E$2:$E304&lt;&gt;"✔ طبيعي")*('الرصيد الحالي'!$E$2:$E304&lt;&gt;"")*('الرصيد الحالي'!$A$2:$A304&lt;&gt;"")),"")</f>
        <v/>
      </c>
    </row>
    <row r="305" spans="1:6" ht="24" customHeight="1">
      <c r="A305" s="3">
        <f>المواد!A304</f>
        <v>0</v>
      </c>
      <c r="B305" s="5">
        <f>المواد!B304</f>
        <v>0</v>
      </c>
      <c r="C305" s="4">
        <f>IF($A305="","",ROUND(SUMIFS(الإدخالات!$D$2:$D$501,الإدخالات!$C$2:$C$501,$A305)+SUMIFS('تعديل الجرد'!$F$2:$F$501,'تعديل الجرد'!$C$2:$C$501,$A305)-SUMIFS('الصرف المباشر'!$D$2:$D$501,'الصرف المباشر'!$C$2:$C$501,$A305)-SUMPRODUCT((الطبخات!$B$2:$B$900=$A305)*الطبخات!$C$2:$C$900*COUNTIF('سجل الإنتاج'!$C$2:$C$501,الطبخات!$A$2:$A$900)),3))</f>
        <v>0</v>
      </c>
      <c r="D305" s="4">
        <f>IF($A305="","",ROUND(SUMIFS('الصرف المباشر'!$D$2:$D$501,'الصرف المباشر'!$C$2:$C$501,$A305)+SUMPRODUCT((الطبخات!$B$2:$B$900=$A305)*الطبخات!$C$2:$C$900*COUNTIF('سجل الإنتاج'!$C$2:$C$501,الطبخات!$A$2:$A$900)),3))</f>
        <v>0</v>
      </c>
      <c r="E305" s="5" t="str">
        <f t="shared" si="4"/>
        <v>✔ طبيعي</v>
      </c>
      <c r="F305" s="5" t="str">
        <f>IF(AND($A305&lt;&gt;"",$E305&lt;&gt;"✔ طبيعي"),SUMPRODUCT(('الرصيد الحالي'!$E$2:$E305&lt;&gt;"✔ طبيعي")*('الرصيد الحالي'!$E$2:$E305&lt;&gt;"")*('الرصيد الحالي'!$A$2:$A305&lt;&gt;"")),"")</f>
        <v/>
      </c>
    </row>
    <row r="306" spans="1:6" ht="24" customHeight="1">
      <c r="A306" s="3">
        <f>المواد!A305</f>
        <v>0</v>
      </c>
      <c r="B306" s="5">
        <f>المواد!B305</f>
        <v>0</v>
      </c>
      <c r="C306" s="4">
        <f>IF($A306="","",ROUND(SUMIFS(الإدخالات!$D$2:$D$501,الإدخالات!$C$2:$C$501,$A306)+SUMIFS('تعديل الجرد'!$F$2:$F$501,'تعديل الجرد'!$C$2:$C$501,$A306)-SUMIFS('الصرف المباشر'!$D$2:$D$501,'الصرف المباشر'!$C$2:$C$501,$A306)-SUMPRODUCT((الطبخات!$B$2:$B$900=$A306)*الطبخات!$C$2:$C$900*COUNTIF('سجل الإنتاج'!$C$2:$C$501,الطبخات!$A$2:$A$900)),3))</f>
        <v>0</v>
      </c>
      <c r="D306" s="4">
        <f>IF($A306="","",ROUND(SUMIFS('الصرف المباشر'!$D$2:$D$501,'الصرف المباشر'!$C$2:$C$501,$A306)+SUMPRODUCT((الطبخات!$B$2:$B$900=$A306)*الطبخات!$C$2:$C$900*COUNTIF('سجل الإنتاج'!$C$2:$C$501,الطبخات!$A$2:$A$900)),3))</f>
        <v>0</v>
      </c>
      <c r="E306" s="5" t="str">
        <f t="shared" si="4"/>
        <v>✔ طبيعي</v>
      </c>
      <c r="F306" s="5" t="str">
        <f>IF(AND($A306&lt;&gt;"",$E306&lt;&gt;"✔ طبيعي"),SUMPRODUCT(('الرصيد الحالي'!$E$2:$E306&lt;&gt;"✔ طبيعي")*('الرصيد الحالي'!$E$2:$E306&lt;&gt;"")*('الرصيد الحالي'!$A$2:$A306&lt;&gt;"")),"")</f>
        <v/>
      </c>
    </row>
    <row r="307" spans="1:6" ht="24" customHeight="1">
      <c r="A307" s="3">
        <f>المواد!A306</f>
        <v>0</v>
      </c>
      <c r="B307" s="5">
        <f>المواد!B306</f>
        <v>0</v>
      </c>
      <c r="C307" s="4">
        <f>IF($A307="","",ROUND(SUMIFS(الإدخالات!$D$2:$D$501,الإدخالات!$C$2:$C$501,$A307)+SUMIFS('تعديل الجرد'!$F$2:$F$501,'تعديل الجرد'!$C$2:$C$501,$A307)-SUMIFS('الصرف المباشر'!$D$2:$D$501,'الصرف المباشر'!$C$2:$C$501,$A307)-SUMPRODUCT((الطبخات!$B$2:$B$900=$A307)*الطبخات!$C$2:$C$900*COUNTIF('سجل الإنتاج'!$C$2:$C$501,الطبخات!$A$2:$A$900)),3))</f>
        <v>0</v>
      </c>
      <c r="D307" s="4">
        <f>IF($A307="","",ROUND(SUMIFS('الصرف المباشر'!$D$2:$D$501,'الصرف المباشر'!$C$2:$C$501,$A307)+SUMPRODUCT((الطبخات!$B$2:$B$900=$A307)*الطبخات!$C$2:$C$900*COUNTIF('سجل الإنتاج'!$C$2:$C$501,الطبخات!$A$2:$A$900)),3))</f>
        <v>0</v>
      </c>
      <c r="E307" s="5" t="str">
        <f t="shared" si="4"/>
        <v>✔ طبيعي</v>
      </c>
      <c r="F307" s="5" t="str">
        <f>IF(AND($A307&lt;&gt;"",$E307&lt;&gt;"✔ طبيعي"),SUMPRODUCT(('الرصيد الحالي'!$E$2:$E307&lt;&gt;"✔ طبيعي")*('الرصيد الحالي'!$E$2:$E307&lt;&gt;"")*('الرصيد الحالي'!$A$2:$A307&lt;&gt;"")),"")</f>
        <v/>
      </c>
    </row>
    <row r="308" spans="1:6" ht="24" customHeight="1">
      <c r="A308" s="3">
        <f>المواد!A307</f>
        <v>0</v>
      </c>
      <c r="B308" s="5">
        <f>المواد!B307</f>
        <v>0</v>
      </c>
      <c r="C308" s="4">
        <f>IF($A308="","",ROUND(SUMIFS(الإدخالات!$D$2:$D$501,الإدخالات!$C$2:$C$501,$A308)+SUMIFS('تعديل الجرد'!$F$2:$F$501,'تعديل الجرد'!$C$2:$C$501,$A308)-SUMIFS('الصرف المباشر'!$D$2:$D$501,'الصرف المباشر'!$C$2:$C$501,$A308)-SUMPRODUCT((الطبخات!$B$2:$B$900=$A308)*الطبخات!$C$2:$C$900*COUNTIF('سجل الإنتاج'!$C$2:$C$501,الطبخات!$A$2:$A$900)),3))</f>
        <v>0</v>
      </c>
      <c r="D308" s="4">
        <f>IF($A308="","",ROUND(SUMIFS('الصرف المباشر'!$D$2:$D$501,'الصرف المباشر'!$C$2:$C$501,$A308)+SUMPRODUCT((الطبخات!$B$2:$B$900=$A308)*الطبخات!$C$2:$C$900*COUNTIF('سجل الإنتاج'!$C$2:$C$501,الطبخات!$A$2:$A$900)),3))</f>
        <v>0</v>
      </c>
      <c r="E308" s="5" t="str">
        <f t="shared" si="4"/>
        <v>✔ طبيعي</v>
      </c>
      <c r="F308" s="5" t="str">
        <f>IF(AND($A308&lt;&gt;"",$E308&lt;&gt;"✔ طبيعي"),SUMPRODUCT(('الرصيد الحالي'!$E$2:$E308&lt;&gt;"✔ طبيعي")*('الرصيد الحالي'!$E$2:$E308&lt;&gt;"")*('الرصيد الحالي'!$A$2:$A308&lt;&gt;"")),"")</f>
        <v/>
      </c>
    </row>
    <row r="309" spans="1:6" ht="24" customHeight="1">
      <c r="A309" s="3">
        <f>المواد!A308</f>
        <v>0</v>
      </c>
      <c r="B309" s="5">
        <f>المواد!B308</f>
        <v>0</v>
      </c>
      <c r="C309" s="4">
        <f>IF($A309="","",ROUND(SUMIFS(الإدخالات!$D$2:$D$501,الإدخالات!$C$2:$C$501,$A309)+SUMIFS('تعديل الجرد'!$F$2:$F$501,'تعديل الجرد'!$C$2:$C$501,$A309)-SUMIFS('الصرف المباشر'!$D$2:$D$501,'الصرف المباشر'!$C$2:$C$501,$A309)-SUMPRODUCT((الطبخات!$B$2:$B$900=$A309)*الطبخات!$C$2:$C$900*COUNTIF('سجل الإنتاج'!$C$2:$C$501,الطبخات!$A$2:$A$900)),3))</f>
        <v>0</v>
      </c>
      <c r="D309" s="4">
        <f>IF($A309="","",ROUND(SUMIFS('الصرف المباشر'!$D$2:$D$501,'الصرف المباشر'!$C$2:$C$501,$A309)+SUMPRODUCT((الطبخات!$B$2:$B$900=$A309)*الطبخات!$C$2:$C$900*COUNTIF('سجل الإنتاج'!$C$2:$C$501,الطبخات!$A$2:$A$900)),3))</f>
        <v>0</v>
      </c>
      <c r="E309" s="5" t="str">
        <f t="shared" si="4"/>
        <v>✔ طبيعي</v>
      </c>
      <c r="F309" s="5" t="str">
        <f>IF(AND($A309&lt;&gt;"",$E309&lt;&gt;"✔ طبيعي"),SUMPRODUCT(('الرصيد الحالي'!$E$2:$E309&lt;&gt;"✔ طبيعي")*('الرصيد الحالي'!$E$2:$E309&lt;&gt;"")*('الرصيد الحالي'!$A$2:$A309&lt;&gt;"")),"")</f>
        <v/>
      </c>
    </row>
    <row r="310" spans="1:6" ht="24" customHeight="1">
      <c r="A310" s="3">
        <f>المواد!A309</f>
        <v>0</v>
      </c>
      <c r="B310" s="5">
        <f>المواد!B309</f>
        <v>0</v>
      </c>
      <c r="C310" s="4">
        <f>IF($A310="","",ROUND(SUMIFS(الإدخالات!$D$2:$D$501,الإدخالات!$C$2:$C$501,$A310)+SUMIFS('تعديل الجرد'!$F$2:$F$501,'تعديل الجرد'!$C$2:$C$501,$A310)-SUMIFS('الصرف المباشر'!$D$2:$D$501,'الصرف المباشر'!$C$2:$C$501,$A310)-SUMPRODUCT((الطبخات!$B$2:$B$900=$A310)*الطبخات!$C$2:$C$900*COUNTIF('سجل الإنتاج'!$C$2:$C$501,الطبخات!$A$2:$A$900)),3))</f>
        <v>0</v>
      </c>
      <c r="D310" s="4">
        <f>IF($A310="","",ROUND(SUMIFS('الصرف المباشر'!$D$2:$D$501,'الصرف المباشر'!$C$2:$C$501,$A310)+SUMPRODUCT((الطبخات!$B$2:$B$900=$A310)*الطبخات!$C$2:$C$900*COUNTIF('سجل الإنتاج'!$C$2:$C$501,الطبخات!$A$2:$A$900)),3))</f>
        <v>0</v>
      </c>
      <c r="E310" s="5" t="str">
        <f t="shared" si="4"/>
        <v>✔ طبيعي</v>
      </c>
      <c r="F310" s="5" t="str">
        <f>IF(AND($A310&lt;&gt;"",$E310&lt;&gt;"✔ طبيعي"),SUMPRODUCT(('الرصيد الحالي'!$E$2:$E310&lt;&gt;"✔ طبيعي")*('الرصيد الحالي'!$E$2:$E310&lt;&gt;"")*('الرصيد الحالي'!$A$2:$A310&lt;&gt;"")),"")</f>
        <v/>
      </c>
    </row>
    <row r="311" spans="1:6" ht="24" customHeight="1">
      <c r="A311" s="3">
        <f>المواد!A310</f>
        <v>0</v>
      </c>
      <c r="B311" s="5">
        <f>المواد!B310</f>
        <v>0</v>
      </c>
      <c r="C311" s="4">
        <f>IF($A311="","",ROUND(SUMIFS(الإدخالات!$D$2:$D$501,الإدخالات!$C$2:$C$501,$A311)+SUMIFS('تعديل الجرد'!$F$2:$F$501,'تعديل الجرد'!$C$2:$C$501,$A311)-SUMIFS('الصرف المباشر'!$D$2:$D$501,'الصرف المباشر'!$C$2:$C$501,$A311)-SUMPRODUCT((الطبخات!$B$2:$B$900=$A311)*الطبخات!$C$2:$C$900*COUNTIF('سجل الإنتاج'!$C$2:$C$501,الطبخات!$A$2:$A$900)),3))</f>
        <v>0</v>
      </c>
      <c r="D311" s="4">
        <f>IF($A311="","",ROUND(SUMIFS('الصرف المباشر'!$D$2:$D$501,'الصرف المباشر'!$C$2:$C$501,$A311)+SUMPRODUCT((الطبخات!$B$2:$B$900=$A311)*الطبخات!$C$2:$C$900*COUNTIF('سجل الإنتاج'!$C$2:$C$501,الطبخات!$A$2:$A$900)),3))</f>
        <v>0</v>
      </c>
      <c r="E311" s="5" t="str">
        <f t="shared" si="4"/>
        <v>✔ طبيعي</v>
      </c>
      <c r="F311" s="5" t="str">
        <f>IF(AND($A311&lt;&gt;"",$E311&lt;&gt;"✔ طبيعي"),SUMPRODUCT(('الرصيد الحالي'!$E$2:$E311&lt;&gt;"✔ طبيعي")*('الرصيد الحالي'!$E$2:$E311&lt;&gt;"")*('الرصيد الحالي'!$A$2:$A311&lt;&gt;"")),"")</f>
        <v/>
      </c>
    </row>
    <row r="312" spans="1:6" ht="24" customHeight="1">
      <c r="A312" s="3">
        <f>المواد!A311</f>
        <v>0</v>
      </c>
      <c r="B312" s="5">
        <f>المواد!B311</f>
        <v>0</v>
      </c>
      <c r="C312" s="4">
        <f>IF($A312="","",ROUND(SUMIFS(الإدخالات!$D$2:$D$501,الإدخالات!$C$2:$C$501,$A312)+SUMIFS('تعديل الجرد'!$F$2:$F$501,'تعديل الجرد'!$C$2:$C$501,$A312)-SUMIFS('الصرف المباشر'!$D$2:$D$501,'الصرف المباشر'!$C$2:$C$501,$A312)-SUMPRODUCT((الطبخات!$B$2:$B$900=$A312)*الطبخات!$C$2:$C$900*COUNTIF('سجل الإنتاج'!$C$2:$C$501,الطبخات!$A$2:$A$900)),3))</f>
        <v>0</v>
      </c>
      <c r="D312" s="4">
        <f>IF($A312="","",ROUND(SUMIFS('الصرف المباشر'!$D$2:$D$501,'الصرف المباشر'!$C$2:$C$501,$A312)+SUMPRODUCT((الطبخات!$B$2:$B$900=$A312)*الطبخات!$C$2:$C$900*COUNTIF('سجل الإنتاج'!$C$2:$C$501,الطبخات!$A$2:$A$900)),3))</f>
        <v>0</v>
      </c>
      <c r="E312" s="5" t="str">
        <f t="shared" si="4"/>
        <v>✔ طبيعي</v>
      </c>
      <c r="F312" s="5" t="str">
        <f>IF(AND($A312&lt;&gt;"",$E312&lt;&gt;"✔ طبيعي"),SUMPRODUCT(('الرصيد الحالي'!$E$2:$E312&lt;&gt;"✔ طبيعي")*('الرصيد الحالي'!$E$2:$E312&lt;&gt;"")*('الرصيد الحالي'!$A$2:$A312&lt;&gt;"")),"")</f>
        <v/>
      </c>
    </row>
    <row r="313" spans="1:6" ht="24" customHeight="1">
      <c r="A313" s="3">
        <f>المواد!A312</f>
        <v>0</v>
      </c>
      <c r="B313" s="5">
        <f>المواد!B312</f>
        <v>0</v>
      </c>
      <c r="C313" s="4">
        <f>IF($A313="","",ROUND(SUMIFS(الإدخالات!$D$2:$D$501,الإدخالات!$C$2:$C$501,$A313)+SUMIFS('تعديل الجرد'!$F$2:$F$501,'تعديل الجرد'!$C$2:$C$501,$A313)-SUMIFS('الصرف المباشر'!$D$2:$D$501,'الصرف المباشر'!$C$2:$C$501,$A313)-SUMPRODUCT((الطبخات!$B$2:$B$900=$A313)*الطبخات!$C$2:$C$900*COUNTIF('سجل الإنتاج'!$C$2:$C$501,الطبخات!$A$2:$A$900)),3))</f>
        <v>0</v>
      </c>
      <c r="D313" s="4">
        <f>IF($A313="","",ROUND(SUMIFS('الصرف المباشر'!$D$2:$D$501,'الصرف المباشر'!$C$2:$C$501,$A313)+SUMPRODUCT((الطبخات!$B$2:$B$900=$A313)*الطبخات!$C$2:$C$900*COUNTIF('سجل الإنتاج'!$C$2:$C$501,الطبخات!$A$2:$A$900)),3))</f>
        <v>0</v>
      </c>
      <c r="E313" s="5" t="str">
        <f t="shared" si="4"/>
        <v>✔ طبيعي</v>
      </c>
      <c r="F313" s="5" t="str">
        <f>IF(AND($A313&lt;&gt;"",$E313&lt;&gt;"✔ طبيعي"),SUMPRODUCT(('الرصيد الحالي'!$E$2:$E313&lt;&gt;"✔ طبيعي")*('الرصيد الحالي'!$E$2:$E313&lt;&gt;"")*('الرصيد الحالي'!$A$2:$A313&lt;&gt;"")),"")</f>
        <v/>
      </c>
    </row>
    <row r="314" spans="1:6" ht="24" customHeight="1">
      <c r="A314" s="3">
        <f>المواد!A313</f>
        <v>0</v>
      </c>
      <c r="B314" s="5">
        <f>المواد!B313</f>
        <v>0</v>
      </c>
      <c r="C314" s="4">
        <f>IF($A314="","",ROUND(SUMIFS(الإدخالات!$D$2:$D$501,الإدخالات!$C$2:$C$501,$A314)+SUMIFS('تعديل الجرد'!$F$2:$F$501,'تعديل الجرد'!$C$2:$C$501,$A314)-SUMIFS('الصرف المباشر'!$D$2:$D$501,'الصرف المباشر'!$C$2:$C$501,$A314)-SUMPRODUCT((الطبخات!$B$2:$B$900=$A314)*الطبخات!$C$2:$C$900*COUNTIF('سجل الإنتاج'!$C$2:$C$501,الطبخات!$A$2:$A$900)),3))</f>
        <v>0</v>
      </c>
      <c r="D314" s="4">
        <f>IF($A314="","",ROUND(SUMIFS('الصرف المباشر'!$D$2:$D$501,'الصرف المباشر'!$C$2:$C$501,$A314)+SUMPRODUCT((الطبخات!$B$2:$B$900=$A314)*الطبخات!$C$2:$C$900*COUNTIF('سجل الإنتاج'!$C$2:$C$501,الطبخات!$A$2:$A$900)),3))</f>
        <v>0</v>
      </c>
      <c r="E314" s="5" t="str">
        <f t="shared" si="4"/>
        <v>✔ طبيعي</v>
      </c>
      <c r="F314" s="5" t="str">
        <f>IF(AND($A314&lt;&gt;"",$E314&lt;&gt;"✔ طبيعي"),SUMPRODUCT(('الرصيد الحالي'!$E$2:$E314&lt;&gt;"✔ طبيعي")*('الرصيد الحالي'!$E$2:$E314&lt;&gt;"")*('الرصيد الحالي'!$A$2:$A314&lt;&gt;"")),"")</f>
        <v/>
      </c>
    </row>
    <row r="315" spans="1:6" ht="24" customHeight="1">
      <c r="A315" s="3">
        <f>المواد!A314</f>
        <v>0</v>
      </c>
      <c r="B315" s="5">
        <f>المواد!B314</f>
        <v>0</v>
      </c>
      <c r="C315" s="4">
        <f>IF($A315="","",ROUND(SUMIFS(الإدخالات!$D$2:$D$501,الإدخالات!$C$2:$C$501,$A315)+SUMIFS('تعديل الجرد'!$F$2:$F$501,'تعديل الجرد'!$C$2:$C$501,$A315)-SUMIFS('الصرف المباشر'!$D$2:$D$501,'الصرف المباشر'!$C$2:$C$501,$A315)-SUMPRODUCT((الطبخات!$B$2:$B$900=$A315)*الطبخات!$C$2:$C$900*COUNTIF('سجل الإنتاج'!$C$2:$C$501,الطبخات!$A$2:$A$900)),3))</f>
        <v>0</v>
      </c>
      <c r="D315" s="4">
        <f>IF($A315="","",ROUND(SUMIFS('الصرف المباشر'!$D$2:$D$501,'الصرف المباشر'!$C$2:$C$501,$A315)+SUMPRODUCT((الطبخات!$B$2:$B$900=$A315)*الطبخات!$C$2:$C$900*COUNTIF('سجل الإنتاج'!$C$2:$C$501,الطبخات!$A$2:$A$900)),3))</f>
        <v>0</v>
      </c>
      <c r="E315" s="5" t="str">
        <f t="shared" si="4"/>
        <v>✔ طبيعي</v>
      </c>
      <c r="F315" s="5" t="str">
        <f>IF(AND($A315&lt;&gt;"",$E315&lt;&gt;"✔ طبيعي"),SUMPRODUCT(('الرصيد الحالي'!$E$2:$E315&lt;&gt;"✔ طبيعي")*('الرصيد الحالي'!$E$2:$E315&lt;&gt;"")*('الرصيد الحالي'!$A$2:$A315&lt;&gt;"")),"")</f>
        <v/>
      </c>
    </row>
    <row r="316" spans="1:6" ht="24" customHeight="1">
      <c r="A316" s="3">
        <f>المواد!A315</f>
        <v>0</v>
      </c>
      <c r="B316" s="5">
        <f>المواد!B315</f>
        <v>0</v>
      </c>
      <c r="C316" s="4">
        <f>IF($A316="","",ROUND(SUMIFS(الإدخالات!$D$2:$D$501,الإدخالات!$C$2:$C$501,$A316)+SUMIFS('تعديل الجرد'!$F$2:$F$501,'تعديل الجرد'!$C$2:$C$501,$A316)-SUMIFS('الصرف المباشر'!$D$2:$D$501,'الصرف المباشر'!$C$2:$C$501,$A316)-SUMPRODUCT((الطبخات!$B$2:$B$900=$A316)*الطبخات!$C$2:$C$900*COUNTIF('سجل الإنتاج'!$C$2:$C$501,الطبخات!$A$2:$A$900)),3))</f>
        <v>0</v>
      </c>
      <c r="D316" s="4">
        <f>IF($A316="","",ROUND(SUMIFS('الصرف المباشر'!$D$2:$D$501,'الصرف المباشر'!$C$2:$C$501,$A316)+SUMPRODUCT((الطبخات!$B$2:$B$900=$A316)*الطبخات!$C$2:$C$900*COUNTIF('سجل الإنتاج'!$C$2:$C$501,الطبخات!$A$2:$A$900)),3))</f>
        <v>0</v>
      </c>
      <c r="E316" s="5" t="str">
        <f t="shared" si="4"/>
        <v>✔ طبيعي</v>
      </c>
      <c r="F316" s="5" t="str">
        <f>IF(AND($A316&lt;&gt;"",$E316&lt;&gt;"✔ طبيعي"),SUMPRODUCT(('الرصيد الحالي'!$E$2:$E316&lt;&gt;"✔ طبيعي")*('الرصيد الحالي'!$E$2:$E316&lt;&gt;"")*('الرصيد الحالي'!$A$2:$A316&lt;&gt;"")),"")</f>
        <v/>
      </c>
    </row>
    <row r="317" spans="1:6" ht="24" customHeight="1">
      <c r="A317" s="3">
        <f>المواد!A316</f>
        <v>0</v>
      </c>
      <c r="B317" s="5">
        <f>المواد!B316</f>
        <v>0</v>
      </c>
      <c r="C317" s="4">
        <f>IF($A317="","",ROUND(SUMIFS(الإدخالات!$D$2:$D$501,الإدخالات!$C$2:$C$501,$A317)+SUMIFS('تعديل الجرد'!$F$2:$F$501,'تعديل الجرد'!$C$2:$C$501,$A317)-SUMIFS('الصرف المباشر'!$D$2:$D$501,'الصرف المباشر'!$C$2:$C$501,$A317)-SUMPRODUCT((الطبخات!$B$2:$B$900=$A317)*الطبخات!$C$2:$C$900*COUNTIF('سجل الإنتاج'!$C$2:$C$501,الطبخات!$A$2:$A$900)),3))</f>
        <v>0</v>
      </c>
      <c r="D317" s="4">
        <f>IF($A317="","",ROUND(SUMIFS('الصرف المباشر'!$D$2:$D$501,'الصرف المباشر'!$C$2:$C$501,$A317)+SUMPRODUCT((الطبخات!$B$2:$B$900=$A317)*الطبخات!$C$2:$C$900*COUNTIF('سجل الإنتاج'!$C$2:$C$501,الطبخات!$A$2:$A$900)),3))</f>
        <v>0</v>
      </c>
      <c r="E317" s="5" t="str">
        <f t="shared" si="4"/>
        <v>✔ طبيعي</v>
      </c>
      <c r="F317" s="5" t="str">
        <f>IF(AND($A317&lt;&gt;"",$E317&lt;&gt;"✔ طبيعي"),SUMPRODUCT(('الرصيد الحالي'!$E$2:$E317&lt;&gt;"✔ طبيعي")*('الرصيد الحالي'!$E$2:$E317&lt;&gt;"")*('الرصيد الحالي'!$A$2:$A317&lt;&gt;"")),"")</f>
        <v/>
      </c>
    </row>
    <row r="318" spans="1:6" ht="24" customHeight="1">
      <c r="A318" s="3">
        <f>المواد!A317</f>
        <v>0</v>
      </c>
      <c r="B318" s="5">
        <f>المواد!B317</f>
        <v>0</v>
      </c>
      <c r="C318" s="4">
        <f>IF($A318="","",ROUND(SUMIFS(الإدخالات!$D$2:$D$501,الإدخالات!$C$2:$C$501,$A318)+SUMIFS('تعديل الجرد'!$F$2:$F$501,'تعديل الجرد'!$C$2:$C$501,$A318)-SUMIFS('الصرف المباشر'!$D$2:$D$501,'الصرف المباشر'!$C$2:$C$501,$A318)-SUMPRODUCT((الطبخات!$B$2:$B$900=$A318)*الطبخات!$C$2:$C$900*COUNTIF('سجل الإنتاج'!$C$2:$C$501,الطبخات!$A$2:$A$900)),3))</f>
        <v>0</v>
      </c>
      <c r="D318" s="4">
        <f>IF($A318="","",ROUND(SUMIFS('الصرف المباشر'!$D$2:$D$501,'الصرف المباشر'!$C$2:$C$501,$A318)+SUMPRODUCT((الطبخات!$B$2:$B$900=$A318)*الطبخات!$C$2:$C$900*COUNTIF('سجل الإنتاج'!$C$2:$C$501,الطبخات!$A$2:$A$900)),3))</f>
        <v>0</v>
      </c>
      <c r="E318" s="5" t="str">
        <f t="shared" si="4"/>
        <v>✔ طبيعي</v>
      </c>
      <c r="F318" s="5" t="str">
        <f>IF(AND($A318&lt;&gt;"",$E318&lt;&gt;"✔ طبيعي"),SUMPRODUCT(('الرصيد الحالي'!$E$2:$E318&lt;&gt;"✔ طبيعي")*('الرصيد الحالي'!$E$2:$E318&lt;&gt;"")*('الرصيد الحالي'!$A$2:$A318&lt;&gt;"")),"")</f>
        <v/>
      </c>
    </row>
    <row r="319" spans="1:6" ht="24" customHeight="1">
      <c r="A319" s="3">
        <f>المواد!A318</f>
        <v>0</v>
      </c>
      <c r="B319" s="5">
        <f>المواد!B318</f>
        <v>0</v>
      </c>
      <c r="C319" s="4">
        <f>IF($A319="","",ROUND(SUMIFS(الإدخالات!$D$2:$D$501,الإدخالات!$C$2:$C$501,$A319)+SUMIFS('تعديل الجرد'!$F$2:$F$501,'تعديل الجرد'!$C$2:$C$501,$A319)-SUMIFS('الصرف المباشر'!$D$2:$D$501,'الصرف المباشر'!$C$2:$C$501,$A319)-SUMPRODUCT((الطبخات!$B$2:$B$900=$A319)*الطبخات!$C$2:$C$900*COUNTIF('سجل الإنتاج'!$C$2:$C$501,الطبخات!$A$2:$A$900)),3))</f>
        <v>0</v>
      </c>
      <c r="D319" s="4">
        <f>IF($A319="","",ROUND(SUMIFS('الصرف المباشر'!$D$2:$D$501,'الصرف المباشر'!$C$2:$C$501,$A319)+SUMPRODUCT((الطبخات!$B$2:$B$900=$A319)*الطبخات!$C$2:$C$900*COUNTIF('سجل الإنتاج'!$C$2:$C$501,الطبخات!$A$2:$A$900)),3))</f>
        <v>0</v>
      </c>
      <c r="E319" s="5" t="str">
        <f t="shared" si="4"/>
        <v>✔ طبيعي</v>
      </c>
      <c r="F319" s="5" t="str">
        <f>IF(AND($A319&lt;&gt;"",$E319&lt;&gt;"✔ طبيعي"),SUMPRODUCT(('الرصيد الحالي'!$E$2:$E319&lt;&gt;"✔ طبيعي")*('الرصيد الحالي'!$E$2:$E319&lt;&gt;"")*('الرصيد الحالي'!$A$2:$A319&lt;&gt;"")),"")</f>
        <v/>
      </c>
    </row>
    <row r="320" spans="1:6" ht="24" customHeight="1">
      <c r="A320" s="3">
        <f>المواد!A319</f>
        <v>0</v>
      </c>
      <c r="B320" s="5">
        <f>المواد!B319</f>
        <v>0</v>
      </c>
      <c r="C320" s="4">
        <f>IF($A320="","",ROUND(SUMIFS(الإدخالات!$D$2:$D$501,الإدخالات!$C$2:$C$501,$A320)+SUMIFS('تعديل الجرد'!$F$2:$F$501,'تعديل الجرد'!$C$2:$C$501,$A320)-SUMIFS('الصرف المباشر'!$D$2:$D$501,'الصرف المباشر'!$C$2:$C$501,$A320)-SUMPRODUCT((الطبخات!$B$2:$B$900=$A320)*الطبخات!$C$2:$C$900*COUNTIF('سجل الإنتاج'!$C$2:$C$501,الطبخات!$A$2:$A$900)),3))</f>
        <v>0</v>
      </c>
      <c r="D320" s="4">
        <f>IF($A320="","",ROUND(SUMIFS('الصرف المباشر'!$D$2:$D$501,'الصرف المباشر'!$C$2:$C$501,$A320)+SUMPRODUCT((الطبخات!$B$2:$B$900=$A320)*الطبخات!$C$2:$C$900*COUNTIF('سجل الإنتاج'!$C$2:$C$501,الطبخات!$A$2:$A$900)),3))</f>
        <v>0</v>
      </c>
      <c r="E320" s="5" t="str">
        <f t="shared" si="4"/>
        <v>✔ طبيعي</v>
      </c>
      <c r="F320" s="5" t="str">
        <f>IF(AND($A320&lt;&gt;"",$E320&lt;&gt;"✔ طبيعي"),SUMPRODUCT(('الرصيد الحالي'!$E$2:$E320&lt;&gt;"✔ طبيعي")*('الرصيد الحالي'!$E$2:$E320&lt;&gt;"")*('الرصيد الحالي'!$A$2:$A320&lt;&gt;"")),"")</f>
        <v/>
      </c>
    </row>
  </sheetData>
  <sheetProtection sheet="1" formatCells="0" formatColumns="0" formatRows="0" insertColumns="0" insertRows="0" deleteColumns="0" deleteRows="0" autoFilter="0"/>
  <autoFilter ref="A1:F320" xr:uid="{00000000-0009-0000-0000-000007000000}"/>
  <conditionalFormatting sqref="A2:F320">
    <cfRule type="expression" dxfId="9" priority="1">
      <formula>$E2="❌ رصيد سالب - يحتاج مراجعة"</formula>
    </cfRule>
    <cfRule type="expression" dxfId="8" priority="2">
      <formula>$E2="✔ طبيعي"</formula>
    </cfRule>
  </conditionalFormatting>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3864"/>
  </sheetPr>
  <dimension ref="A1:H2001"/>
  <sheetViews>
    <sheetView rightToLeft="1" workbookViewId="0">
      <pane ySplit="1" topLeftCell="A172" activePane="bottomLeft" state="frozen"/>
      <selection pane="bottomLeft"/>
    </sheetView>
  </sheetViews>
  <sheetFormatPr defaultRowHeight="14.25"/>
  <cols>
    <col min="1" max="1" width="14" customWidth="1"/>
    <col min="2" max="2" width="16" customWidth="1"/>
    <col min="3" max="3" width="28" customWidth="1"/>
    <col min="4" max="4" width="34.75" customWidth="1"/>
    <col min="5" max="5" width="24" customWidth="1"/>
    <col min="6" max="6" width="34" customWidth="1"/>
  </cols>
  <sheetData>
    <row r="1" spans="1:8" ht="26.1" customHeight="1">
      <c r="A1" s="2" t="s">
        <v>20</v>
      </c>
      <c r="B1" s="2" t="s">
        <v>163</v>
      </c>
      <c r="C1" s="2" t="s">
        <v>164</v>
      </c>
      <c r="D1" s="2" t="s">
        <v>21</v>
      </c>
      <c r="E1" s="2" t="s">
        <v>165</v>
      </c>
      <c r="F1" s="2" t="s">
        <v>26</v>
      </c>
      <c r="H1" s="20" t="s">
        <v>166</v>
      </c>
    </row>
    <row r="2" spans="1:8" ht="21.95" customHeight="1">
      <c r="A2" s="8">
        <f>IFERROR(INDEX('بيانات الحركات'!A:A,MATCH(1,'بيانات الحركات'!$G:$G,0)),"")</f>
        <v>46218</v>
      </c>
      <c r="B2" s="5" t="str">
        <f>IFERROR(INDEX('بيانات الحركات'!B:B,MATCH(1,'بيانات الحركات'!$G:$G,0)),"")</f>
        <v>شراء</v>
      </c>
      <c r="C2" s="3" t="str">
        <f>IFERROR(INDEX('بيانات الحركات'!C:C,MATCH(1,'بيانات الحركات'!$G:$G,0)),"")</f>
        <v>امين</v>
      </c>
      <c r="D2" s="3" t="str">
        <f>IFERROR(INDEX('بيانات الحركات'!D:D,MATCH(1,'بيانات الحركات'!$G:$G,0)),"")</f>
        <v>ملح</v>
      </c>
      <c r="E2" s="21">
        <f>IF($B2="إنتاج طبخة","",IFERROR(INDEX('بيانات الحركات'!E:E,MATCH(1,'بيانات الحركات'!$G:$G,0)),""))</f>
        <v>138.04</v>
      </c>
      <c r="F2" s="3" t="str">
        <f>IFERROR(INDEX('بيانات الحركات'!F:F,MATCH(1,'بيانات الحركات'!$G:$G,0)),"")</f>
        <v>تنزيل البيانات لأول مرة</v>
      </c>
    </row>
    <row r="3" spans="1:8" ht="21.95" customHeight="1">
      <c r="A3" s="8">
        <f>IFERROR(INDEX('بيانات الحركات'!A:A,MATCH(2,'بيانات الحركات'!$G:$G,0)),"")</f>
        <v>46218</v>
      </c>
      <c r="B3" s="5" t="str">
        <f>IFERROR(INDEX('بيانات الحركات'!B:B,MATCH(2,'بيانات الحركات'!$G:$G,0)),"")</f>
        <v>شراء</v>
      </c>
      <c r="C3" s="3" t="str">
        <f>IFERROR(INDEX('بيانات الحركات'!C:C,MATCH(2,'بيانات الحركات'!$G:$G,0)),"")</f>
        <v>امين</v>
      </c>
      <c r="D3" s="3" t="str">
        <f>IFERROR(INDEX('بيانات الحركات'!D:D,MATCH(2,'بيانات الحركات'!$G:$G,0)),"")</f>
        <v>مقصب</v>
      </c>
      <c r="E3" s="21">
        <f>IF($B3="إنتاج طبخة","",IFERROR(INDEX('بيانات الحركات'!E:E,MATCH(2,'بيانات الحركات'!$G:$G,0)),""))</f>
        <v>2</v>
      </c>
      <c r="F3" s="3" t="str">
        <f>IFERROR(INDEX('بيانات الحركات'!F:F,MATCH(2,'بيانات الحركات'!$G:$G,0)),"")</f>
        <v>تنزيل البيانات لأول مرة</v>
      </c>
    </row>
    <row r="4" spans="1:8" ht="21.95" customHeight="1">
      <c r="A4" s="8">
        <f>IFERROR(INDEX('بيانات الحركات'!A:A,MATCH(3,'بيانات الحركات'!$G:$G,0)),"")</f>
        <v>46218</v>
      </c>
      <c r="B4" s="5" t="str">
        <f>IFERROR(INDEX('بيانات الحركات'!B:B,MATCH(3,'بيانات الحركات'!$G:$G,0)),"")</f>
        <v>شراء</v>
      </c>
      <c r="C4" s="3" t="str">
        <f>IFERROR(INDEX('بيانات الحركات'!C:C,MATCH(3,'بيانات الحركات'!$G:$G,0)),"")</f>
        <v>امين</v>
      </c>
      <c r="D4" s="3" t="str">
        <f>IFERROR(INDEX('بيانات الحركات'!D:D,MATCH(3,'بيانات الحركات'!$G:$G,0)),"")</f>
        <v>مجمد</v>
      </c>
      <c r="E4" s="21">
        <f>IF($B4="إنتاج طبخة","",IFERROR(INDEX('بيانات الحركات'!E:E,MATCH(3,'بيانات الحركات'!$G:$G,0)),""))</f>
        <v>63.5</v>
      </c>
      <c r="F4" s="3" t="str">
        <f>IFERROR(INDEX('بيانات الحركات'!F:F,MATCH(3,'بيانات الحركات'!$G:$G,0)),"")</f>
        <v>تنزيل البيانات لأول مرة</v>
      </c>
    </row>
    <row r="5" spans="1:8" ht="21.95" customHeight="1">
      <c r="A5" s="8">
        <f>IFERROR(INDEX('بيانات الحركات'!A:A,MATCH(4,'بيانات الحركات'!$G:$G,0)),"")</f>
        <v>46218</v>
      </c>
      <c r="B5" s="5" t="str">
        <f>IFERROR(INDEX('بيانات الحركات'!B:B,MATCH(4,'بيانات الحركات'!$G:$G,0)),"")</f>
        <v>شراء</v>
      </c>
      <c r="C5" s="3" t="str">
        <f>IFERROR(INDEX('بيانات الحركات'!C:C,MATCH(4,'بيانات الحركات'!$G:$G,0)),"")</f>
        <v>امين</v>
      </c>
      <c r="D5" s="3" t="str">
        <f>IFERROR(INDEX('بيانات الحركات'!D:D,MATCH(4,'بيانات الحركات'!$G:$G,0)),"")</f>
        <v>مانع رغوة مائي</v>
      </c>
      <c r="E5" s="21">
        <f>IF($B5="إنتاج طبخة","",IFERROR(INDEX('بيانات الحركات'!E:E,MATCH(4,'بيانات الحركات'!$G:$G,0)),""))</f>
        <v>0</v>
      </c>
      <c r="F5" s="3" t="str">
        <f>IFERROR(INDEX('بيانات الحركات'!F:F,MATCH(4,'بيانات الحركات'!$G:$G,0)),"")</f>
        <v>تنزيل البيانات لأول مرة</v>
      </c>
    </row>
    <row r="6" spans="1:8" ht="21.95" customHeight="1">
      <c r="A6" s="8">
        <f>IFERROR(INDEX('بيانات الحركات'!A:A,MATCH(5,'بيانات الحركات'!$G:$G,0)),"")</f>
        <v>46218</v>
      </c>
      <c r="B6" s="5" t="str">
        <f>IFERROR(INDEX('بيانات الحركات'!B:B,MATCH(5,'بيانات الحركات'!$G:$G,0)),"")</f>
        <v>شراء</v>
      </c>
      <c r="C6" s="3" t="str">
        <f>IFERROR(INDEX('بيانات الحركات'!C:C,MATCH(5,'بيانات الحركات'!$G:$G,0)),"")</f>
        <v>امين</v>
      </c>
      <c r="D6" s="3" t="str">
        <f>IFERROR(INDEX('بيانات الحركات'!D:D,MATCH(5,'بيانات الحركات'!$G:$G,0)),"")</f>
        <v>مانع رغوة سيليكون</v>
      </c>
      <c r="E6" s="21">
        <f>IF($B6="إنتاج طبخة","",IFERROR(INDEX('بيانات الحركات'!E:E,MATCH(5,'بيانات الحركات'!$G:$G,0)),""))</f>
        <v>0</v>
      </c>
      <c r="F6" s="3" t="str">
        <f>IFERROR(INDEX('بيانات الحركات'!F:F,MATCH(5,'بيانات الحركات'!$G:$G,0)),"")</f>
        <v>تنزيل البيانات لأول مرة</v>
      </c>
    </row>
    <row r="7" spans="1:8" ht="21.95" customHeight="1">
      <c r="A7" s="8">
        <f>IFERROR(INDEX('بيانات الحركات'!A:A,MATCH(6,'بيانات الحركات'!$G:$G,0)),"")</f>
        <v>46218</v>
      </c>
      <c r="B7" s="5" t="str">
        <f>IFERROR(INDEX('بيانات الحركات'!B:B,MATCH(6,'بيانات الحركات'!$G:$G,0)),"")</f>
        <v>شراء</v>
      </c>
      <c r="C7" s="3" t="str">
        <f>IFERROR(INDEX('بيانات الحركات'!C:C,MATCH(6,'بيانات الحركات'!$G:$G,0)),"")</f>
        <v>امين</v>
      </c>
      <c r="D7" s="3" t="str">
        <f>IFERROR(INDEX('بيانات الحركات'!D:D,MATCH(6,'بيانات الحركات'!$G:$G,0)),"")</f>
        <v>ماء مقطرة</v>
      </c>
      <c r="E7" s="21">
        <f>IF($B7="إنتاج طبخة","",IFERROR(INDEX('بيانات الحركات'!E:E,MATCH(6,'بيانات الحركات'!$G:$G,0)),""))</f>
        <v>28622</v>
      </c>
      <c r="F7" s="3" t="str">
        <f>IFERROR(INDEX('بيانات الحركات'!F:F,MATCH(6,'بيانات الحركات'!$G:$G,0)),"")</f>
        <v>تنزيل البيانات لأول مرة</v>
      </c>
    </row>
    <row r="8" spans="1:8" ht="21.95" customHeight="1">
      <c r="A8" s="8">
        <f>IFERROR(INDEX('بيانات الحركات'!A:A,MATCH(7,'بيانات الحركات'!$G:$G,0)),"")</f>
        <v>46218</v>
      </c>
      <c r="B8" s="5" t="str">
        <f>IFERROR(INDEX('بيانات الحركات'!B:B,MATCH(7,'بيانات الحركات'!$G:$G,0)),"")</f>
        <v>شراء</v>
      </c>
      <c r="C8" s="3" t="str">
        <f>IFERROR(INDEX('بيانات الحركات'!C:C,MATCH(7,'بيانات الحركات'!$G:$G,0)),"")</f>
        <v>امين</v>
      </c>
      <c r="D8" s="3" t="str">
        <f>IFERROR(INDEX('بيانات الحركات'!D:D,MATCH(7,'بيانات الحركات'!$G:$G,0)),"")</f>
        <v xml:space="preserve">ماء بلسم </v>
      </c>
      <c r="E8" s="21">
        <f>IF($B8="إنتاج طبخة","",IFERROR(INDEX('بيانات الحركات'!E:E,MATCH(7,'بيانات الحركات'!$G:$G,0)),""))</f>
        <v>3</v>
      </c>
      <c r="F8" s="3" t="str">
        <f>IFERROR(INDEX('بيانات الحركات'!F:F,MATCH(7,'بيانات الحركات'!$G:$G,0)),"")</f>
        <v>تنزيل البيانات لأول مرة</v>
      </c>
    </row>
    <row r="9" spans="1:8" ht="21.95" customHeight="1">
      <c r="A9" s="8">
        <f>IFERROR(INDEX('بيانات الحركات'!A:A,MATCH(8,'بيانات الحركات'!$G:$G,0)),"")</f>
        <v>46218</v>
      </c>
      <c r="B9" s="5" t="str">
        <f>IFERROR(INDEX('بيانات الحركات'!B:B,MATCH(8,'بيانات الحركات'!$G:$G,0)),"")</f>
        <v>شراء</v>
      </c>
      <c r="C9" s="3" t="str">
        <f>IFERROR(INDEX('بيانات الحركات'!C:C,MATCH(8,'بيانات الحركات'!$G:$G,0)),"")</f>
        <v>امين</v>
      </c>
      <c r="D9" s="3" t="str">
        <f>IFERROR(INDEX('بيانات الحركات'!D:D,MATCH(8,'بيانات الحركات'!$G:$G,0)),"")</f>
        <v>لانيت 16 ماليزي</v>
      </c>
      <c r="E9" s="21">
        <f>IF($B9="إنتاج طبخة","",IFERROR(INDEX('بيانات الحركات'!E:E,MATCH(8,'بيانات الحركات'!$G:$G,0)),""))</f>
        <v>0</v>
      </c>
      <c r="F9" s="3" t="str">
        <f>IFERROR(INDEX('بيانات الحركات'!F:F,MATCH(8,'بيانات الحركات'!$G:$G,0)),"")</f>
        <v>تنزيل البيانات لأول مرة</v>
      </c>
    </row>
    <row r="10" spans="1:8" ht="21.95" customHeight="1">
      <c r="A10" s="8">
        <f>IFERROR(INDEX('بيانات الحركات'!A:A,MATCH(9,'بيانات الحركات'!$G:$G,0)),"")</f>
        <v>46218</v>
      </c>
      <c r="B10" s="5" t="str">
        <f>IFERROR(INDEX('بيانات الحركات'!B:B,MATCH(9,'بيانات الحركات'!$G:$G,0)),"")</f>
        <v>شراء</v>
      </c>
      <c r="C10" s="3" t="str">
        <f>IFERROR(INDEX('بيانات الحركات'!C:C,MATCH(9,'بيانات الحركات'!$G:$G,0)),"")</f>
        <v>امين</v>
      </c>
      <c r="D10" s="3" t="str">
        <f>IFERROR(INDEX('بيانات الحركات'!D:D,MATCH(9,'بيانات الحركات'!$G:$G,0)),"")</f>
        <v>كوستيك-قطرونة</v>
      </c>
      <c r="E10" s="21">
        <f>IF($B10="إنتاج طبخة","",IFERROR(INDEX('بيانات الحركات'!E:E,MATCH(9,'بيانات الحركات'!$G:$G,0)),""))</f>
        <v>27.71</v>
      </c>
      <c r="F10" s="3" t="str">
        <f>IFERROR(INDEX('بيانات الحركات'!F:F,MATCH(9,'بيانات الحركات'!$G:$G,0)),"")</f>
        <v>تنزيل البيانات لأول مرة</v>
      </c>
    </row>
    <row r="11" spans="1:8" ht="21.95" customHeight="1">
      <c r="A11" s="8">
        <f>IFERROR(INDEX('بيانات الحركات'!A:A,MATCH(10,'بيانات الحركات'!$G:$G,0)),"")</f>
        <v>46218</v>
      </c>
      <c r="B11" s="5" t="str">
        <f>IFERROR(INDEX('بيانات الحركات'!B:B,MATCH(10,'بيانات الحركات'!$G:$G,0)),"")</f>
        <v>شراء</v>
      </c>
      <c r="C11" s="3" t="str">
        <f>IFERROR(INDEX('بيانات الحركات'!C:C,MATCH(10,'بيانات الحركات'!$G:$G,0)),"")</f>
        <v>امين</v>
      </c>
      <c r="D11" s="3" t="str">
        <f>IFERROR(INDEX('بيانات الحركات'!D:D,MATCH(10,'بيانات الحركات'!$G:$G,0)),"")</f>
        <v>كمبرلان</v>
      </c>
      <c r="E11" s="21">
        <f>IF($B11="إنتاج طبخة","",IFERROR(INDEX('بيانات الحركات'!E:E,MATCH(10,'بيانات الحركات'!$G:$G,0)),""))</f>
        <v>0</v>
      </c>
      <c r="F11" s="3" t="str">
        <f>IFERROR(INDEX('بيانات الحركات'!F:F,MATCH(10,'بيانات الحركات'!$G:$G,0)),"")</f>
        <v>تنزيل البيانات لأول مرة</v>
      </c>
    </row>
    <row r="12" spans="1:8" ht="21.95" customHeight="1">
      <c r="A12" s="8">
        <f>IFERROR(INDEX('بيانات الحركات'!A:A,MATCH(11,'بيانات الحركات'!$G:$G,0)),"")</f>
        <v>46218</v>
      </c>
      <c r="B12" s="5" t="str">
        <f>IFERROR(INDEX('بيانات الحركات'!B:B,MATCH(11,'بيانات الحركات'!$G:$G,0)),"")</f>
        <v>شراء</v>
      </c>
      <c r="C12" s="3" t="str">
        <f>IFERROR(INDEX('بيانات الحركات'!C:C,MATCH(11,'بيانات الحركات'!$G:$G,0)),"")</f>
        <v>امين</v>
      </c>
      <c r="D12" s="3" t="str">
        <f>IFERROR(INDEX('بيانات الحركات'!D:D,MATCH(11,'بيانات الحركات'!$G:$G,0)),"")</f>
        <v>كليمازول</v>
      </c>
      <c r="E12" s="21">
        <f>IF($B12="إنتاج طبخة","",IFERROR(INDEX('بيانات الحركات'!E:E,MATCH(11,'بيانات الحركات'!$G:$G,0)),""))</f>
        <v>0</v>
      </c>
      <c r="F12" s="3" t="str">
        <f>IFERROR(INDEX('بيانات الحركات'!F:F,MATCH(11,'بيانات الحركات'!$G:$G,0)),"")</f>
        <v>تنزيل البيانات لأول مرة</v>
      </c>
    </row>
    <row r="13" spans="1:8" ht="21.95" customHeight="1">
      <c r="A13" s="8">
        <f>IFERROR(INDEX('بيانات الحركات'!A:A,MATCH(12,'بيانات الحركات'!$G:$G,0)),"")</f>
        <v>46218</v>
      </c>
      <c r="B13" s="5" t="str">
        <f>IFERROR(INDEX('بيانات الحركات'!B:B,MATCH(12,'بيانات الحركات'!$G:$G,0)),"")</f>
        <v>شراء</v>
      </c>
      <c r="C13" s="3" t="str">
        <f>IFERROR(INDEX('بيانات الحركات'!C:C,MATCH(12,'بيانات الحركات'!$G:$G,0)),"")</f>
        <v>امين</v>
      </c>
      <c r="D13" s="3" t="str">
        <f>IFERROR(INDEX('بيانات الحركات'!D:D,MATCH(12,'بيانات الحركات'!$G:$G,0)),"")</f>
        <v>كلور خام</v>
      </c>
      <c r="E13" s="21">
        <f>IF($B13="إنتاج طبخة","",IFERROR(INDEX('بيانات الحركات'!E:E,MATCH(12,'بيانات الحركات'!$G:$G,0)),""))</f>
        <v>272</v>
      </c>
      <c r="F13" s="3" t="str">
        <f>IFERROR(INDEX('بيانات الحركات'!F:F,MATCH(12,'بيانات الحركات'!$G:$G,0)),"")</f>
        <v>تنزيل البيانات لأول مرة</v>
      </c>
    </row>
    <row r="14" spans="1:8" ht="21.95" customHeight="1">
      <c r="A14" s="8">
        <f>IFERROR(INDEX('بيانات الحركات'!A:A,MATCH(13,'بيانات الحركات'!$G:$G,0)),"")</f>
        <v>46218</v>
      </c>
      <c r="B14" s="5" t="str">
        <f>IFERROR(INDEX('بيانات الحركات'!B:B,MATCH(13,'بيانات الحركات'!$G:$G,0)),"")</f>
        <v>شراء</v>
      </c>
      <c r="C14" s="3" t="str">
        <f>IFERROR(INDEX('بيانات الحركات'!C:C,MATCH(13,'بيانات الحركات'!$G:$G,0)),"")</f>
        <v>امين</v>
      </c>
      <c r="D14" s="3" t="str">
        <f>IFERROR(INDEX('بيانات الحركات'!D:D,MATCH(13,'بيانات الحركات'!$G:$G,0)),"")</f>
        <v>كحول (ايثانول)</v>
      </c>
      <c r="E14" s="21">
        <f>IF($B14="إنتاج طبخة","",IFERROR(INDEX('بيانات الحركات'!E:E,MATCH(13,'بيانات الحركات'!$G:$G,0)),""))</f>
        <v>25</v>
      </c>
      <c r="F14" s="3" t="str">
        <f>IFERROR(INDEX('بيانات الحركات'!F:F,MATCH(13,'بيانات الحركات'!$G:$G,0)),"")</f>
        <v>تنزيل البيانات لأول مرة</v>
      </c>
    </row>
    <row r="15" spans="1:8" ht="21.95" customHeight="1">
      <c r="A15" s="8">
        <f>IFERROR(INDEX('بيانات الحركات'!A:A,MATCH(14,'بيانات الحركات'!$G:$G,0)),"")</f>
        <v>46218</v>
      </c>
      <c r="B15" s="5" t="str">
        <f>IFERROR(INDEX('بيانات الحركات'!B:B,MATCH(14,'بيانات الحركات'!$G:$G,0)),"")</f>
        <v>شراء</v>
      </c>
      <c r="C15" s="3" t="str">
        <f>IFERROR(INDEX('بيانات الحركات'!C:C,MATCH(14,'بيانات الحركات'!$G:$G,0)),"")</f>
        <v>امين</v>
      </c>
      <c r="D15" s="3" t="str">
        <f>IFERROR(INDEX('بيانات الحركات'!D:D,MATCH(14,'بيانات الحركات'!$G:$G,0)),"")</f>
        <v>فورمول ( سم )</v>
      </c>
      <c r="E15" s="21">
        <f>IF($B15="إنتاج طبخة","",IFERROR(INDEX('بيانات الحركات'!E:E,MATCH(14,'بيانات الحركات'!$G:$G,0)),""))</f>
        <v>1.64</v>
      </c>
      <c r="F15" s="3" t="str">
        <f>IFERROR(INDEX('بيانات الحركات'!F:F,MATCH(14,'بيانات الحركات'!$G:$G,0)),"")</f>
        <v>تنزيل البيانات لأول مرة</v>
      </c>
    </row>
    <row r="16" spans="1:8" ht="21.95" customHeight="1">
      <c r="A16" s="8">
        <f>IFERROR(INDEX('بيانات الحركات'!A:A,MATCH(15,'بيانات الحركات'!$G:$G,0)),"")</f>
        <v>46218</v>
      </c>
      <c r="B16" s="5" t="str">
        <f>IFERROR(INDEX('بيانات الحركات'!B:B,MATCH(15,'بيانات الحركات'!$G:$G,0)),"")</f>
        <v>شراء</v>
      </c>
      <c r="C16" s="3" t="str">
        <f>IFERROR(INDEX('بيانات الحركات'!C:C,MATCH(15,'بيانات الحركات'!$G:$G,0)),"")</f>
        <v>امين</v>
      </c>
      <c r="D16" s="3" t="str">
        <f>IFERROR(INDEX('بيانات الحركات'!D:D,MATCH(15,'بيانات الحركات'!$G:$G,0)),"")</f>
        <v>فاتي كحول</v>
      </c>
      <c r="E16" s="21">
        <f>IF($B16="إنتاج طبخة","",IFERROR(INDEX('بيانات الحركات'!E:E,MATCH(15,'بيانات الحركات'!$G:$G,0)),""))</f>
        <v>251.4</v>
      </c>
      <c r="F16" s="3" t="str">
        <f>IFERROR(INDEX('بيانات الحركات'!F:F,MATCH(15,'بيانات الحركات'!$G:$G,0)),"")</f>
        <v>تنزيل البيانات لأول مرة</v>
      </c>
    </row>
    <row r="17" spans="1:6" ht="21.95" customHeight="1">
      <c r="A17" s="8">
        <f>IFERROR(INDEX('بيانات الحركات'!A:A,MATCH(16,'بيانات الحركات'!$G:$G,0)),"")</f>
        <v>46218</v>
      </c>
      <c r="B17" s="5" t="str">
        <f>IFERROR(INDEX('بيانات الحركات'!B:B,MATCH(16,'بيانات الحركات'!$G:$G,0)),"")</f>
        <v>شراء</v>
      </c>
      <c r="C17" s="3" t="str">
        <f>IFERROR(INDEX('بيانات الحركات'!C:C,MATCH(16,'بيانات الحركات'!$G:$G,0)),"")</f>
        <v>امين</v>
      </c>
      <c r="D17" s="3" t="str">
        <f>IFERROR(INDEX('بيانات الحركات'!D:D,MATCH(16,'بيانات الحركات'!$G:$G,0)),"")</f>
        <v>غليسيرين</v>
      </c>
      <c r="E17" s="21">
        <f>IF($B17="إنتاج طبخة","",IFERROR(INDEX('بيانات الحركات'!E:E,MATCH(16,'بيانات الحركات'!$G:$G,0)),""))</f>
        <v>0</v>
      </c>
      <c r="F17" s="3" t="str">
        <f>IFERROR(INDEX('بيانات الحركات'!F:F,MATCH(16,'بيانات الحركات'!$G:$G,0)),"")</f>
        <v>تنزيل البيانات لأول مرة</v>
      </c>
    </row>
    <row r="18" spans="1:6" ht="21.95" customHeight="1">
      <c r="A18" s="8">
        <f>IFERROR(INDEX('بيانات الحركات'!A:A,MATCH(17,'بيانات الحركات'!$G:$G,0)),"")</f>
        <v>46218</v>
      </c>
      <c r="B18" s="5" t="str">
        <f>IFERROR(INDEX('بيانات الحركات'!B:B,MATCH(17,'بيانات الحركات'!$G:$G,0)),"")</f>
        <v>شراء</v>
      </c>
      <c r="C18" s="3" t="str">
        <f>IFERROR(INDEX('بيانات الحركات'!C:C,MATCH(17,'بيانات الحركات'!$G:$G,0)),"")</f>
        <v>امين</v>
      </c>
      <c r="D18" s="3" t="str">
        <f>IFERROR(INDEX('بيانات الحركات'!D:D,MATCH(17,'بيانات الحركات'!$G:$G,0)),"")</f>
        <v xml:space="preserve">عطر-نسيم-المحيط ocean-breeze - 327993 </v>
      </c>
      <c r="E18" s="21">
        <f>IF($B18="إنتاج طبخة","",IFERROR(INDEX('بيانات الحركات'!E:E,MATCH(17,'بيانات الحركات'!$G:$G,0)),""))</f>
        <v>0.59</v>
      </c>
      <c r="F18" s="3" t="str">
        <f>IFERROR(INDEX('بيانات الحركات'!F:F,MATCH(17,'بيانات الحركات'!$G:$G,0)),"")</f>
        <v>تنزيل البيانات لأول مرة</v>
      </c>
    </row>
    <row r="19" spans="1:6" ht="21.95" customHeight="1">
      <c r="A19" s="8">
        <f>IFERROR(INDEX('بيانات الحركات'!A:A,MATCH(18,'بيانات الحركات'!$G:$G,0)),"")</f>
        <v>46218</v>
      </c>
      <c r="B19" s="5" t="str">
        <f>IFERROR(INDEX('بيانات الحركات'!B:B,MATCH(18,'بيانات الحركات'!$G:$G,0)),"")</f>
        <v>شراء</v>
      </c>
      <c r="C19" s="3" t="str">
        <f>IFERROR(INDEX('بيانات الحركات'!C:C,MATCH(18,'بيانات الحركات'!$G:$G,0)),"")</f>
        <v>امين</v>
      </c>
      <c r="D19" s="3" t="str">
        <f>IFERROR(INDEX('بيانات الحركات'!D:D,MATCH(18,'بيانات الحركات'!$G:$G,0)),"")</f>
        <v>عطر-ليمون shiny-star - 485764</v>
      </c>
      <c r="E19" s="21">
        <f>IF($B19="إنتاج طبخة","",IFERROR(INDEX('بيانات الحركات'!E:E,MATCH(18,'بيانات الحركات'!$G:$G,0)),""))</f>
        <v>0.52</v>
      </c>
      <c r="F19" s="3" t="str">
        <f>IFERROR(INDEX('بيانات الحركات'!F:F,MATCH(18,'بيانات الحركات'!$G:$G,0)),"")</f>
        <v>تنزيل البيانات لأول مرة</v>
      </c>
    </row>
    <row r="20" spans="1:6" ht="21.95" customHeight="1">
      <c r="A20" s="8">
        <f>IFERROR(INDEX('بيانات الحركات'!A:A,MATCH(19,'بيانات الحركات'!$G:$G,0)),"")</f>
        <v>46218</v>
      </c>
      <c r="B20" s="5" t="str">
        <f>IFERROR(INDEX('بيانات الحركات'!B:B,MATCH(19,'بيانات الحركات'!$G:$G,0)),"")</f>
        <v>شراء</v>
      </c>
      <c r="C20" s="3" t="str">
        <f>IFERROR(INDEX('بيانات الحركات'!C:C,MATCH(19,'بيانات الحركات'!$G:$G,0)),"")</f>
        <v>امين</v>
      </c>
      <c r="D20" s="3" t="str">
        <f>IFERROR(INDEX('بيانات الحركات'!D:D,MATCH(19,'بيانات الحركات'!$G:$G,0)),"")</f>
        <v>عطر-ليمون citrus lemon new - 321639</v>
      </c>
      <c r="E20" s="21">
        <f>IF($B20="إنتاج طبخة","",IFERROR(INDEX('بيانات الحركات'!E:E,MATCH(19,'بيانات الحركات'!$G:$G,0)),""))</f>
        <v>0.36</v>
      </c>
      <c r="F20" s="3" t="str">
        <f>IFERROR(INDEX('بيانات الحركات'!F:F,MATCH(19,'بيانات الحركات'!$G:$G,0)),"")</f>
        <v>تنزيل البيانات لأول مرة</v>
      </c>
    </row>
    <row r="21" spans="1:6" ht="21.95" customHeight="1">
      <c r="A21" s="8">
        <f>IFERROR(INDEX('بيانات الحركات'!A:A,MATCH(20,'بيانات الحركات'!$G:$G,0)),"")</f>
        <v>46218</v>
      </c>
      <c r="B21" s="5" t="str">
        <f>IFERROR(INDEX('بيانات الحركات'!B:B,MATCH(20,'بيانات الحركات'!$G:$G,0)),"")</f>
        <v>شراء</v>
      </c>
      <c r="C21" s="3" t="str">
        <f>IFERROR(INDEX('بيانات الحركات'!C:C,MATCH(20,'بيانات الحركات'!$G:$G,0)),"")</f>
        <v>امين</v>
      </c>
      <c r="D21" s="3" t="str">
        <f>IFERROR(INDEX('بيانات الحركات'!D:D,MATCH(20,'بيانات الحركات'!$G:$G,0)),"")</f>
        <v>عطر-ليلك ariel-sensation - 318728</v>
      </c>
      <c r="E21" s="21">
        <f>IF($B21="إنتاج طبخة","",IFERROR(INDEX('بيانات الحركات'!E:E,MATCH(20,'بيانات الحركات'!$G:$G,0)),""))</f>
        <v>0.74</v>
      </c>
      <c r="F21" s="3" t="str">
        <f>IFERROR(INDEX('بيانات الحركات'!F:F,MATCH(20,'بيانات الحركات'!$G:$G,0)),"")</f>
        <v>تنزيل البيانات لأول مرة</v>
      </c>
    </row>
    <row r="22" spans="1:6" ht="21.95" customHeight="1">
      <c r="A22" s="8">
        <f>IFERROR(INDEX('بيانات الحركات'!A:A,MATCH(21,'بيانات الحركات'!$G:$G,0)),"")</f>
        <v>46218</v>
      </c>
      <c r="B22" s="5" t="str">
        <f>IFERROR(INDEX('بيانات الحركات'!B:B,MATCH(21,'بيانات الحركات'!$G:$G,0)),"")</f>
        <v>شراء</v>
      </c>
      <c r="C22" s="3" t="str">
        <f>IFERROR(INDEX('بيانات الحركات'!C:C,MATCH(21,'بيانات الحركات'!$G:$G,0)),"")</f>
        <v>امين</v>
      </c>
      <c r="D22" s="3" t="str">
        <f>IFERROR(INDEX('بيانات الحركات'!D:D,MATCH(21,'بيانات الحركات'!$G:$G,0)),"")</f>
        <v xml:space="preserve">عطر-سلطان </v>
      </c>
      <c r="E22" s="21">
        <f>IF($B22="إنتاج طبخة","",IFERROR(INDEX('بيانات الحركات'!E:E,MATCH(21,'بيانات الحركات'!$G:$G,0)),""))</f>
        <v>2.59</v>
      </c>
      <c r="F22" s="3" t="str">
        <f>IFERROR(INDEX('بيانات الحركات'!F:F,MATCH(21,'بيانات الحركات'!$G:$G,0)),"")</f>
        <v>تنزيل البيانات لأول مرة</v>
      </c>
    </row>
    <row r="23" spans="1:6" ht="21.95" customHeight="1">
      <c r="A23" s="8">
        <f>IFERROR(INDEX('بيانات الحركات'!A:A,MATCH(22,'بيانات الحركات'!$G:$G,0)),"")</f>
        <v>46218</v>
      </c>
      <c r="B23" s="5" t="str">
        <f>IFERROR(INDEX('بيانات الحركات'!B:B,MATCH(22,'بيانات الحركات'!$G:$G,0)),"")</f>
        <v>شراء</v>
      </c>
      <c r="C23" s="3" t="str">
        <f>IFERROR(INDEX('بيانات الحركات'!C:C,MATCH(22,'بيانات الحركات'!$G:$G,0)),"")</f>
        <v>امين</v>
      </c>
      <c r="D23" s="3" t="str">
        <f>IFERROR(INDEX('بيانات الحركات'!D:D,MATCH(22,'بيانات الحركات'!$G:$G,0)),"")</f>
        <v>عطر-زهور lovely-petals - 485718</v>
      </c>
      <c r="E23" s="21">
        <f>IF($B23="إنتاج طبخة","",IFERROR(INDEX('بيانات الحركات'!E:E,MATCH(22,'بيانات الحركات'!$G:$G,0)),""))</f>
        <v>0.53</v>
      </c>
      <c r="F23" s="3" t="str">
        <f>IFERROR(INDEX('بيانات الحركات'!F:F,MATCH(22,'بيانات الحركات'!$G:$G,0)),"")</f>
        <v>تنزيل البيانات لأول مرة</v>
      </c>
    </row>
    <row r="24" spans="1:6" ht="21.95" customHeight="1">
      <c r="A24" s="8">
        <f>IFERROR(INDEX('بيانات الحركات'!A:A,MATCH(23,'بيانات الحركات'!$G:$G,0)),"")</f>
        <v>46218</v>
      </c>
      <c r="B24" s="5" t="str">
        <f>IFERROR(INDEX('بيانات الحركات'!B:B,MATCH(23,'بيانات الحركات'!$G:$G,0)),"")</f>
        <v>شراء</v>
      </c>
      <c r="C24" s="3" t="str">
        <f>IFERROR(INDEX('بيانات الحركات'!C:C,MATCH(23,'بيانات الحركات'!$G:$G,0)),"")</f>
        <v>امين</v>
      </c>
      <c r="D24" s="3" t="str">
        <f>IFERROR(INDEX('بيانات الحركات'!D:D,MATCH(23,'بيانات الحركات'!$G:$G,0)),"")</f>
        <v>عطر-رمان apple grandada - 322730</v>
      </c>
      <c r="E24" s="21">
        <f>IF($B24="إنتاج طبخة","",IFERROR(INDEX('بيانات الحركات'!E:E,MATCH(23,'بيانات الحركات'!$G:$G,0)),""))</f>
        <v>0.66</v>
      </c>
      <c r="F24" s="3" t="str">
        <f>IFERROR(INDEX('بيانات الحركات'!F:F,MATCH(23,'بيانات الحركات'!$G:$G,0)),"")</f>
        <v>تنزيل البيانات لأول مرة</v>
      </c>
    </row>
    <row r="25" spans="1:6" ht="21.95" customHeight="1">
      <c r="A25" s="8">
        <f>IFERROR(INDEX('بيانات الحركات'!A:A,MATCH(24,'بيانات الحركات'!$G:$G,0)),"")</f>
        <v>46218</v>
      </c>
      <c r="B25" s="5" t="str">
        <f>IFERROR(INDEX('بيانات الحركات'!B:B,MATCH(24,'بيانات الحركات'!$G:$G,0)),"")</f>
        <v>شراء</v>
      </c>
      <c r="C25" s="3" t="str">
        <f>IFERROR(INDEX('بيانات الحركات'!C:C,MATCH(24,'بيانات الحركات'!$G:$G,0)),"")</f>
        <v>امين</v>
      </c>
      <c r="D25" s="3" t="str">
        <f>IFERROR(INDEX('بيانات الحركات'!D:D,MATCH(24,'بيانات الحركات'!$G:$G,0)),"")</f>
        <v>عطر-توليب fresh-scent-amour - 485833</v>
      </c>
      <c r="E25" s="21">
        <f>IF($B25="إنتاج طبخة","",IFERROR(INDEX('بيانات الحركات'!E:E,MATCH(24,'بيانات الحركات'!$G:$G,0)),""))</f>
        <v>0.6</v>
      </c>
      <c r="F25" s="3" t="str">
        <f>IFERROR(INDEX('بيانات الحركات'!F:F,MATCH(24,'بيانات الحركات'!$G:$G,0)),"")</f>
        <v>تنزيل البيانات لأول مرة</v>
      </c>
    </row>
    <row r="26" spans="1:6" ht="21.95" customHeight="1">
      <c r="A26" s="8">
        <f>IFERROR(INDEX('بيانات الحركات'!A:A,MATCH(25,'بيانات الحركات'!$G:$G,0)),"")</f>
        <v>46218</v>
      </c>
      <c r="B26" s="5" t="str">
        <f>IFERROR(INDEX('بيانات الحركات'!B:B,MATCH(25,'بيانات الحركات'!$G:$G,0)),"")</f>
        <v>شراء</v>
      </c>
      <c r="C26" s="3" t="str">
        <f>IFERROR(INDEX('بيانات الحركات'!C:C,MATCH(25,'بيانات الحركات'!$G:$G,0)),"")</f>
        <v>امين</v>
      </c>
      <c r="D26" s="3" t="str">
        <f>IFERROR(INDEX('بيانات الحركات'!D:D,MATCH(25,'بيانات الحركات'!$G:$G,0)),"")</f>
        <v xml:space="preserve">عطر-تفاح apple - 317691 </v>
      </c>
      <c r="E26" s="21">
        <f>IF($B26="إنتاج طبخة","",IFERROR(INDEX('بيانات الحركات'!E:E,MATCH(25,'بيانات الحركات'!$G:$G,0)),""))</f>
        <v>0.47</v>
      </c>
      <c r="F26" s="3" t="str">
        <f>IFERROR(INDEX('بيانات الحركات'!F:F,MATCH(25,'بيانات الحركات'!$G:$G,0)),"")</f>
        <v>تنزيل البيانات لأول مرة</v>
      </c>
    </row>
    <row r="27" spans="1:6" ht="21.95" customHeight="1">
      <c r="A27" s="8">
        <f>IFERROR(INDEX('بيانات الحركات'!A:A,MATCH(26,'بيانات الحركات'!$G:$G,0)),"")</f>
        <v>46218</v>
      </c>
      <c r="B27" s="5" t="str">
        <f>IFERROR(INDEX('بيانات الحركات'!B:B,MATCH(26,'بيانات الحركات'!$G:$G,0)),"")</f>
        <v>شراء</v>
      </c>
      <c r="C27" s="3" t="str">
        <f>IFERROR(INDEX('بيانات الحركات'!C:C,MATCH(26,'بيانات الحركات'!$G:$G,0)),"")</f>
        <v>امين</v>
      </c>
      <c r="D27" s="3" t="str">
        <f>IFERROR(INDEX('بيانات الحركات'!D:D,MATCH(26,'بيانات الحركات'!$G:$G,0)),"")</f>
        <v>عطر-برنس</v>
      </c>
      <c r="E27" s="21">
        <f>IF($B27="إنتاج طبخة","",IFERROR(INDEX('بيانات الحركات'!E:E,MATCH(26,'بيانات الحركات'!$G:$G,0)),""))</f>
        <v>0</v>
      </c>
      <c r="F27" s="3" t="str">
        <f>IFERROR(INDEX('بيانات الحركات'!F:F,MATCH(26,'بيانات الحركات'!$G:$G,0)),"")</f>
        <v>تنزيل البيانات لأول مرة</v>
      </c>
    </row>
    <row r="28" spans="1:6" ht="21.95" customHeight="1">
      <c r="A28" s="8">
        <f>IFERROR(INDEX('بيانات الحركات'!A:A,MATCH(27,'بيانات الحركات'!$G:$G,0)),"")</f>
        <v>46218</v>
      </c>
      <c r="B28" s="5" t="str">
        <f>IFERROR(INDEX('بيانات الحركات'!B:B,MATCH(27,'بيانات الحركات'!$G:$G,0)),"")</f>
        <v>شراء</v>
      </c>
      <c r="C28" s="3" t="str">
        <f>IFERROR(INDEX('بيانات الحركات'!C:C,MATCH(27,'بيانات الحركات'!$G:$G,0)),"")</f>
        <v>امين</v>
      </c>
      <c r="D28" s="3" t="str">
        <f>IFERROR(INDEX('بيانات الحركات'!D:D,MATCH(27,'بيانات الحركات'!$G:$G,0)),"")</f>
        <v>عطر-ببوري ultimate-mixture - 485797</v>
      </c>
      <c r="E28" s="21">
        <f>IF($B28="إنتاج طبخة","",IFERROR(INDEX('بيانات الحركات'!E:E,MATCH(27,'بيانات الحركات'!$G:$G,0)),""))</f>
        <v>20</v>
      </c>
      <c r="F28" s="3" t="str">
        <f>IFERROR(INDEX('بيانات الحركات'!F:F,MATCH(27,'بيانات الحركات'!$G:$G,0)),"")</f>
        <v>تنزيل البيانات لأول مرة</v>
      </c>
    </row>
    <row r="29" spans="1:6" ht="21.95" customHeight="1">
      <c r="A29" s="8">
        <f>IFERROR(INDEX('بيانات الحركات'!A:A,MATCH(28,'بيانات الحركات'!$G:$G,0)),"")</f>
        <v>46218</v>
      </c>
      <c r="B29" s="5" t="str">
        <f>IFERROR(INDEX('بيانات الحركات'!B:B,MATCH(28,'بيانات الحركات'!$G:$G,0)),"")</f>
        <v>شراء</v>
      </c>
      <c r="C29" s="3" t="str">
        <f>IFERROR(INDEX('بيانات الحركات'!C:C,MATCH(28,'بيانات الحركات'!$G:$G,0)),"")</f>
        <v>امين</v>
      </c>
      <c r="D29" s="3" t="str">
        <f>IFERROR(INDEX('بيانات الحركات'!D:D,MATCH(28,'بيانات الحركات'!$G:$G,0)),"")</f>
        <v>عطر-ازهار-الربيع spring - 318643</v>
      </c>
      <c r="E29" s="21">
        <f>IF($B29="إنتاج طبخة","",IFERROR(INDEX('بيانات الحركات'!E:E,MATCH(28,'بيانات الحركات'!$G:$G,0)),""))</f>
        <v>21.4</v>
      </c>
      <c r="F29" s="3" t="str">
        <f>IFERROR(INDEX('بيانات الحركات'!F:F,MATCH(28,'بيانات الحركات'!$G:$G,0)),"")</f>
        <v>تنزيل البيانات لأول مرة</v>
      </c>
    </row>
    <row r="30" spans="1:6" ht="21.95" customHeight="1">
      <c r="A30" s="8">
        <f>IFERROR(INDEX('بيانات الحركات'!A:A,MATCH(29,'بيانات الحركات'!$G:$G,0)),"")</f>
        <v>46218</v>
      </c>
      <c r="B30" s="5" t="str">
        <f>IFERROR(INDEX('بيانات الحركات'!B:B,MATCH(29,'بيانات الحركات'!$G:$G,0)),"")</f>
        <v>شراء</v>
      </c>
      <c r="C30" s="3" t="str">
        <f>IFERROR(INDEX('بيانات الحركات'!C:C,MATCH(29,'بيانات الحركات'!$G:$G,0)),"")</f>
        <v>امين</v>
      </c>
      <c r="D30" s="3" t="str">
        <f>IFERROR(INDEX('بيانات الحركات'!D:D,MATCH(29,'بيانات الحركات'!$G:$G,0)),"")</f>
        <v>عطر هامول</v>
      </c>
      <c r="E30" s="21">
        <f>IF($B30="إنتاج طبخة","",IFERROR(INDEX('بيانات الحركات'!E:E,MATCH(29,'بيانات الحركات'!$G:$G,0)),""))</f>
        <v>0</v>
      </c>
      <c r="F30" s="3" t="str">
        <f>IFERROR(INDEX('بيانات الحركات'!F:F,MATCH(29,'بيانات الحركات'!$G:$G,0)),"")</f>
        <v>تنزيل البيانات لأول مرة</v>
      </c>
    </row>
    <row r="31" spans="1:6" ht="21.95" customHeight="1">
      <c r="A31" s="8">
        <f>IFERROR(INDEX('بيانات الحركات'!A:A,MATCH(30,'بيانات الحركات'!$G:$G,0)),"")</f>
        <v>46218</v>
      </c>
      <c r="B31" s="5" t="str">
        <f>IFERROR(INDEX('بيانات الحركات'!B:B,MATCH(30,'بيانات الحركات'!$G:$G,0)),"")</f>
        <v>شراء</v>
      </c>
      <c r="C31" s="3" t="str">
        <f>IFERROR(INDEX('بيانات الحركات'!C:C,MATCH(30,'بيانات الحركات'!$G:$G,0)),"")</f>
        <v>امين</v>
      </c>
      <c r="D31" s="3" t="str">
        <f>IFERROR(INDEX('بيانات الحركات'!D:D,MATCH(30,'بيانات الحركات'!$G:$G,0)),"")</f>
        <v>عطر مسك احمر</v>
      </c>
      <c r="E31" s="21">
        <f>IF($B31="إنتاج طبخة","",IFERROR(INDEX('بيانات الحركات'!E:E,MATCH(30,'بيانات الحركات'!$G:$G,0)),""))</f>
        <v>2</v>
      </c>
      <c r="F31" s="3" t="str">
        <f>IFERROR(INDEX('بيانات الحركات'!F:F,MATCH(30,'بيانات الحركات'!$G:$G,0)),"")</f>
        <v>تنزيل البيانات لأول مرة</v>
      </c>
    </row>
    <row r="32" spans="1:6" ht="21.95" customHeight="1">
      <c r="A32" s="8">
        <f>IFERROR(INDEX('بيانات الحركات'!A:A,MATCH(31,'بيانات الحركات'!$G:$G,0)),"")</f>
        <v>46218</v>
      </c>
      <c r="B32" s="5" t="str">
        <f>IFERROR(INDEX('بيانات الحركات'!B:B,MATCH(31,'بيانات الحركات'!$G:$G,0)),"")</f>
        <v>شراء</v>
      </c>
      <c r="C32" s="3" t="str">
        <f>IFERROR(INDEX('بيانات الحركات'!C:C,MATCH(31,'بيانات الحركات'!$G:$G,0)),"")</f>
        <v>امين</v>
      </c>
      <c r="D32" s="3" t="str">
        <f>IFERROR(INDEX('بيانات الحركات'!D:D,MATCH(31,'بيانات الحركات'!$G:$G,0)),"")</f>
        <v>عطر مسك</v>
      </c>
      <c r="E32" s="21">
        <f>IF($B32="إنتاج طبخة","",IFERROR(INDEX('بيانات الحركات'!E:E,MATCH(31,'بيانات الحركات'!$G:$G,0)),""))</f>
        <v>3</v>
      </c>
      <c r="F32" s="3" t="str">
        <f>IFERROR(INDEX('بيانات الحركات'!F:F,MATCH(31,'بيانات الحركات'!$G:$G,0)),"")</f>
        <v>تنزيل البيانات لأول مرة</v>
      </c>
    </row>
    <row r="33" spans="1:6" ht="21.95" customHeight="1">
      <c r="A33" s="8">
        <f>IFERROR(INDEX('بيانات الحركات'!A:A,MATCH(32,'بيانات الحركات'!$G:$G,0)),"")</f>
        <v>46218</v>
      </c>
      <c r="B33" s="5" t="str">
        <f>IFERROR(INDEX('بيانات الحركات'!B:B,MATCH(32,'بيانات الحركات'!$G:$G,0)),"")</f>
        <v>شراء</v>
      </c>
      <c r="C33" s="3" t="str">
        <f>IFERROR(INDEX('بيانات الحركات'!C:C,MATCH(32,'بيانات الحركات'!$G:$G,0)),"")</f>
        <v>امين</v>
      </c>
      <c r="D33" s="3" t="str">
        <f>IFERROR(INDEX('بيانات الحركات'!D:D,MATCH(32,'بيانات الحركات'!$G:$G,0)),"")</f>
        <v>عطر ليمون ماكسي</v>
      </c>
      <c r="E33" s="21">
        <f>IF($B33="إنتاج طبخة","",IFERROR(INDEX('بيانات الحركات'!E:E,MATCH(32,'بيانات الحركات'!$G:$G,0)),""))</f>
        <v>0.42</v>
      </c>
      <c r="F33" s="3" t="str">
        <f>IFERROR(INDEX('بيانات الحركات'!F:F,MATCH(32,'بيانات الحركات'!$G:$G,0)),"")</f>
        <v>تنزيل البيانات لأول مرة</v>
      </c>
    </row>
    <row r="34" spans="1:6" ht="21.95" customHeight="1">
      <c r="A34" s="8">
        <f>IFERROR(INDEX('بيانات الحركات'!A:A,MATCH(33,'بيانات الحركات'!$G:$G,0)),"")</f>
        <v>46218</v>
      </c>
      <c r="B34" s="5" t="str">
        <f>IFERROR(INDEX('بيانات الحركات'!B:B,MATCH(33,'بيانات الحركات'!$G:$G,0)),"")</f>
        <v>شراء</v>
      </c>
      <c r="C34" s="3" t="str">
        <f>IFERROR(INDEX('بيانات الحركات'!C:C,MATCH(33,'بيانات الحركات'!$G:$G,0)),"")</f>
        <v>امين</v>
      </c>
      <c r="D34" s="3" t="str">
        <f>IFERROR(INDEX('بيانات الحركات'!D:D,MATCH(33,'بيانات الحركات'!$G:$G,0)),"")</f>
        <v>عطر عسل</v>
      </c>
      <c r="E34" s="21">
        <f>IF($B34="إنتاج طبخة","",IFERROR(INDEX('بيانات الحركات'!E:E,MATCH(33,'بيانات الحركات'!$G:$G,0)),""))</f>
        <v>1</v>
      </c>
      <c r="F34" s="3" t="str">
        <f>IFERROR(INDEX('بيانات الحركات'!F:F,MATCH(33,'بيانات الحركات'!$G:$G,0)),"")</f>
        <v>تنزيل البيانات لأول مرة</v>
      </c>
    </row>
    <row r="35" spans="1:6" ht="21.95" customHeight="1">
      <c r="A35" s="8">
        <f>IFERROR(INDEX('بيانات الحركات'!A:A,MATCH(34,'بيانات الحركات'!$G:$G,0)),"")</f>
        <v>46218</v>
      </c>
      <c r="B35" s="5" t="str">
        <f>IFERROR(INDEX('بيانات الحركات'!B:B,MATCH(34,'بيانات الحركات'!$G:$G,0)),"")</f>
        <v>شراء</v>
      </c>
      <c r="C35" s="3" t="str">
        <f>IFERROR(INDEX('بيانات الحركات'!C:C,MATCH(34,'بيانات الحركات'!$G:$G,0)),"")</f>
        <v>امين</v>
      </c>
      <c r="D35" s="3" t="str">
        <f>IFERROR(INDEX('بيانات الحركات'!D:D,MATCH(34,'بيانات الحركات'!$G:$G,0)),"")</f>
        <v>عطر جوز الهند</v>
      </c>
      <c r="E35" s="21">
        <f>IF($B35="إنتاج طبخة","",IFERROR(INDEX('بيانات الحركات'!E:E,MATCH(34,'بيانات الحركات'!$G:$G,0)),""))</f>
        <v>0</v>
      </c>
      <c r="F35" s="3" t="str">
        <f>IFERROR(INDEX('بيانات الحركات'!F:F,MATCH(34,'بيانات الحركات'!$G:$G,0)),"")</f>
        <v>تنزيل البيانات لأول مرة</v>
      </c>
    </row>
    <row r="36" spans="1:6" ht="21.95" customHeight="1">
      <c r="A36" s="8">
        <f>IFERROR(INDEX('بيانات الحركات'!A:A,MATCH(35,'بيانات الحركات'!$G:$G,0)),"")</f>
        <v>46218</v>
      </c>
      <c r="B36" s="5" t="str">
        <f>IFERROR(INDEX('بيانات الحركات'!B:B,MATCH(35,'بيانات الحركات'!$G:$G,0)),"")</f>
        <v>شراء</v>
      </c>
      <c r="C36" s="3" t="str">
        <f>IFERROR(INDEX('بيانات الحركات'!C:C,MATCH(35,'بيانات الحركات'!$G:$G,0)),"")</f>
        <v>امين</v>
      </c>
      <c r="D36" s="3" t="str">
        <f>IFERROR(INDEX('بيانات الحركات'!D:D,MATCH(35,'بيانات الحركات'!$G:$G,0)),"")</f>
        <v>عطر بانتين</v>
      </c>
      <c r="E36" s="21">
        <f>IF($B36="إنتاج طبخة","",IFERROR(INDEX('بيانات الحركات'!E:E,MATCH(35,'بيانات الحركات'!$G:$G,0)),""))</f>
        <v>0</v>
      </c>
      <c r="F36" s="3" t="str">
        <f>IFERROR(INDEX('بيانات الحركات'!F:F,MATCH(35,'بيانات الحركات'!$G:$G,0)),"")</f>
        <v>تنزيل البيانات لأول مرة</v>
      </c>
    </row>
    <row r="37" spans="1:6" ht="21.95" customHeight="1">
      <c r="A37" s="8">
        <f>IFERROR(INDEX('بيانات الحركات'!A:A,MATCH(36,'بيانات الحركات'!$G:$G,0)),"")</f>
        <v>46218</v>
      </c>
      <c r="B37" s="5" t="str">
        <f>IFERROR(INDEX('بيانات الحركات'!B:B,MATCH(36,'بيانات الحركات'!$G:$G,0)),"")</f>
        <v>شراء</v>
      </c>
      <c r="C37" s="3" t="str">
        <f>IFERROR(INDEX('بيانات الحركات'!C:C,MATCH(36,'بيانات الحركات'!$G:$G,0)),"")</f>
        <v>امين</v>
      </c>
      <c r="D37" s="3" t="str">
        <f>IFERROR(INDEX('بيانات الحركات'!D:D,MATCH(36,'بيانات الحركات'!$G:$G,0)),"")</f>
        <v>عطر اوليفا</v>
      </c>
      <c r="E37" s="21">
        <f>IF($B37="إنتاج طبخة","",IFERROR(INDEX('بيانات الحركات'!E:E,MATCH(36,'بيانات الحركات'!$G:$G,0)),""))</f>
        <v>0</v>
      </c>
      <c r="F37" s="3" t="str">
        <f>IFERROR(INDEX('بيانات الحركات'!F:F,MATCH(36,'بيانات الحركات'!$G:$G,0)),"")</f>
        <v>تنزيل البيانات لأول مرة</v>
      </c>
    </row>
    <row r="38" spans="1:6" ht="21.95" customHeight="1">
      <c r="A38" s="8">
        <f>IFERROR(INDEX('بيانات الحركات'!A:A,MATCH(37,'بيانات الحركات'!$G:$G,0)),"")</f>
        <v>46218</v>
      </c>
      <c r="B38" s="5" t="str">
        <f>IFERROR(INDEX('بيانات الحركات'!B:B,MATCH(37,'بيانات الحركات'!$G:$G,0)),"")</f>
        <v>شراء</v>
      </c>
      <c r="C38" s="3" t="str">
        <f>IFERROR(INDEX('بيانات الحركات'!C:C,MATCH(37,'بيانات الحركات'!$G:$G,0)),"")</f>
        <v>امين</v>
      </c>
      <c r="D38" s="3" t="str">
        <f>IFERROR(INDEX('بيانات الحركات'!D:D,MATCH(37,'بيانات الحركات'!$G:$G,0)),"")</f>
        <v>عطر ramani-kodi-000110</v>
      </c>
      <c r="E38" s="21">
        <f>IF($B38="إنتاج طبخة","",IFERROR(INDEX('بيانات الحركات'!E:E,MATCH(37,'بيانات الحركات'!$G:$G,0)),""))</f>
        <v>2</v>
      </c>
      <c r="F38" s="3" t="str">
        <f>IFERROR(INDEX('بيانات الحركات'!F:F,MATCH(37,'بيانات الحركات'!$G:$G,0)),"")</f>
        <v>تنزيل البيانات لأول مرة</v>
      </c>
    </row>
    <row r="39" spans="1:6" ht="21.95" customHeight="1">
      <c r="A39" s="8">
        <f>IFERROR(INDEX('بيانات الحركات'!A:A,MATCH(38,'بيانات الحركات'!$G:$G,0)),"")</f>
        <v>46218</v>
      </c>
      <c r="B39" s="5" t="str">
        <f>IFERROR(INDEX('بيانات الحركات'!B:B,MATCH(38,'بيانات الحركات'!$G:$G,0)),"")</f>
        <v>شراء</v>
      </c>
      <c r="C39" s="3" t="str">
        <f>IFERROR(INDEX('بيانات الحركات'!C:C,MATCH(38,'بيانات الحركات'!$G:$G,0)),"")</f>
        <v>امين</v>
      </c>
      <c r="D39" s="3" t="str">
        <f>IFERROR(INDEX('بيانات الحركات'!D:D,MATCH(38,'بيانات الحركات'!$G:$G,0)),"")</f>
        <v>عطر magic sprel - 6168581</v>
      </c>
      <c r="E39" s="21">
        <f>IF($B39="إنتاج طبخة","",IFERROR(INDEX('بيانات الحركات'!E:E,MATCH(38,'بيانات الحركات'!$G:$G,0)),""))</f>
        <v>50</v>
      </c>
      <c r="F39" s="3" t="str">
        <f>IFERROR(INDEX('بيانات الحركات'!F:F,MATCH(38,'بيانات الحركات'!$G:$G,0)),"")</f>
        <v>تنزيل البيانات لأول مرة</v>
      </c>
    </row>
    <row r="40" spans="1:6" ht="21.95" customHeight="1">
      <c r="A40" s="8">
        <f>IFERROR(INDEX('بيانات الحركات'!A:A,MATCH(39,'بيانات الحركات'!$G:$G,0)),"")</f>
        <v>46218</v>
      </c>
      <c r="B40" s="5" t="str">
        <f>IFERROR(INDEX('بيانات الحركات'!B:B,MATCH(39,'بيانات الحركات'!$G:$G,0)),"")</f>
        <v>شراء</v>
      </c>
      <c r="C40" s="3" t="str">
        <f>IFERROR(INDEX('بيانات الحركات'!C:C,MATCH(39,'بيانات الحركات'!$G:$G,0)),"")</f>
        <v>امين</v>
      </c>
      <c r="D40" s="3" t="str">
        <f>IFERROR(INDEX('بيانات الحركات'!D:D,MATCH(39,'بيانات الحركات'!$G:$G,0)),"")</f>
        <v>عطر kavien-clein-eforia-000020</v>
      </c>
      <c r="E40" s="21">
        <f>IF($B40="إنتاج طبخة","",IFERROR(INDEX('بيانات الحركات'!E:E,MATCH(39,'بيانات الحركات'!$G:$G,0)),""))</f>
        <v>4</v>
      </c>
      <c r="F40" s="3" t="str">
        <f>IFERROR(INDEX('بيانات الحركات'!F:F,MATCH(39,'بيانات الحركات'!$G:$G,0)),"")</f>
        <v>تنزيل البيانات لأول مرة</v>
      </c>
    </row>
    <row r="41" spans="1:6" ht="21.95" customHeight="1">
      <c r="A41" s="8">
        <f>IFERROR(INDEX('بيانات الحركات'!A:A,MATCH(40,'بيانات الحركات'!$G:$G,0)),"")</f>
        <v>46218</v>
      </c>
      <c r="B41" s="5" t="str">
        <f>IFERROR(INDEX('بيانات الحركات'!B:B,MATCH(40,'بيانات الحركات'!$G:$G,0)),"")</f>
        <v>شراء</v>
      </c>
      <c r="C41" s="3" t="str">
        <f>IFERROR(INDEX('بيانات الحركات'!C:C,MATCH(40,'بيانات الحركات'!$G:$G,0)),"")</f>
        <v>امين</v>
      </c>
      <c r="D41" s="3" t="str">
        <f>IFERROR(INDEX('بيانات الحركات'!D:D,MATCH(40,'بيانات الحركات'!$G:$G,0)),"")</f>
        <v>عطر energy-000400</v>
      </c>
      <c r="E41" s="21">
        <f>IF($B41="إنتاج طبخة","",IFERROR(INDEX('بيانات الحركات'!E:E,MATCH(40,'بيانات الحركات'!$G:$G,0)),""))</f>
        <v>1.44</v>
      </c>
      <c r="F41" s="3" t="str">
        <f>IFERROR(INDEX('بيانات الحركات'!F:F,MATCH(40,'بيانات الحركات'!$G:$G,0)),"")</f>
        <v>تنزيل البيانات لأول مرة</v>
      </c>
    </row>
    <row r="42" spans="1:6" ht="21.95" customHeight="1">
      <c r="A42" s="8">
        <f>IFERROR(INDEX('بيانات الحركات'!A:A,MATCH(41,'بيانات الحركات'!$G:$G,0)),"")</f>
        <v>46218</v>
      </c>
      <c r="B42" s="5" t="str">
        <f>IFERROR(INDEX('بيانات الحركات'!B:B,MATCH(41,'بيانات الحركات'!$G:$G,0)),"")</f>
        <v>شراء</v>
      </c>
      <c r="C42" s="3" t="str">
        <f>IFERROR(INDEX('بيانات الحركات'!C:C,MATCH(41,'بيانات الحركات'!$G:$G,0)),"")</f>
        <v>امين</v>
      </c>
      <c r="D42" s="3" t="str">
        <f>IFERROR(INDEX('بيانات الحركات'!D:D,MATCH(41,'بيانات الحركات'!$G:$G,0)),"")</f>
        <v>عطر Blue APC - 0001198620</v>
      </c>
      <c r="E42" s="21">
        <f>IF($B42="إنتاج طبخة","",IFERROR(INDEX('بيانات الحركات'!E:E,MATCH(41,'بيانات الحركات'!$G:$G,0)),""))</f>
        <v>105</v>
      </c>
      <c r="F42" s="3" t="str">
        <f>IFERROR(INDEX('بيانات الحركات'!F:F,MATCH(41,'بيانات الحركات'!$G:$G,0)),"")</f>
        <v>تنزيل البيانات لأول مرة</v>
      </c>
    </row>
    <row r="43" spans="1:6" ht="21.95" customHeight="1">
      <c r="A43" s="8">
        <f>IFERROR(INDEX('بيانات الحركات'!A:A,MATCH(42,'بيانات الحركات'!$G:$G,0)),"")</f>
        <v>46218</v>
      </c>
      <c r="B43" s="5" t="str">
        <f>IFERROR(INDEX('بيانات الحركات'!B:B,MATCH(42,'بيانات الحركات'!$G:$G,0)),"")</f>
        <v>شراء</v>
      </c>
      <c r="C43" s="3" t="str">
        <f>IFERROR(INDEX('بيانات الحركات'!C:C,MATCH(42,'بيانات الحركات'!$G:$G,0)),"")</f>
        <v>امين</v>
      </c>
      <c r="D43" s="3" t="str">
        <f>IFERROR(INDEX('بيانات الحركات'!D:D,MATCH(42,'بيانات الحركات'!$G:$G,0)),"")</f>
        <v>عطر billionair-000250</v>
      </c>
      <c r="E43" s="21">
        <f>IF($B43="إنتاج طبخة","",IFERROR(INDEX('بيانات الحركات'!E:E,MATCH(42,'بيانات الحركات'!$G:$G,0)),""))</f>
        <v>4</v>
      </c>
      <c r="F43" s="3" t="str">
        <f>IFERROR(INDEX('بيانات الحركات'!F:F,MATCH(42,'بيانات الحركات'!$G:$G,0)),"")</f>
        <v>تنزيل البيانات لأول مرة</v>
      </c>
    </row>
    <row r="44" spans="1:6" ht="21.95" customHeight="1">
      <c r="A44" s="8">
        <f>IFERROR(INDEX('بيانات الحركات'!A:A,MATCH(43,'بيانات الحركات'!$G:$G,0)),"")</f>
        <v>46218</v>
      </c>
      <c r="B44" s="5" t="str">
        <f>IFERROR(INDEX('بيانات الحركات'!B:B,MATCH(43,'بيانات الحركات'!$G:$G,0)),"")</f>
        <v>شراء</v>
      </c>
      <c r="C44" s="3" t="str">
        <f>IFERROR(INDEX('بيانات الحركات'!C:C,MATCH(43,'بيانات الحركات'!$G:$G,0)),"")</f>
        <v>امين</v>
      </c>
      <c r="D44" s="3" t="str">
        <f>IFERROR(INDEX('بيانات الحركات'!D:D,MATCH(43,'بيانات الحركات'!$G:$G,0)),"")</f>
        <v>عطر be-apple-000320</v>
      </c>
      <c r="E44" s="21">
        <f>IF($B44="إنتاج طبخة","",IFERROR(INDEX('بيانات الحركات'!E:E,MATCH(43,'بيانات الحركات'!$G:$G,0)),""))</f>
        <v>2</v>
      </c>
      <c r="F44" s="3" t="str">
        <f>IFERROR(INDEX('بيانات الحركات'!F:F,MATCH(43,'بيانات الحركات'!$G:$G,0)),"")</f>
        <v>تنزيل البيانات لأول مرة</v>
      </c>
    </row>
    <row r="45" spans="1:6" ht="21.95" customHeight="1">
      <c r="A45" s="8">
        <f>IFERROR(INDEX('بيانات الحركات'!A:A,MATCH(44,'بيانات الحركات'!$G:$G,0)),"")</f>
        <v>46218</v>
      </c>
      <c r="B45" s="5" t="str">
        <f>IFERROR(INDEX('بيانات الحركات'!B:B,MATCH(44,'بيانات الحركات'!$G:$G,0)),"")</f>
        <v>شراء</v>
      </c>
      <c r="C45" s="3" t="str">
        <f>IFERROR(INDEX('بيانات الحركات'!C:C,MATCH(44,'بيانات الحركات'!$G:$G,0)),"")</f>
        <v>امين</v>
      </c>
      <c r="D45" s="3" t="str">
        <f>IFERROR(INDEX('بيانات الحركات'!D:D,MATCH(44,'بيانات الحركات'!$G:$G,0)),"")</f>
        <v xml:space="preserve">عبوة 1 لتر </v>
      </c>
      <c r="E45" s="21">
        <f>IF($B45="إنتاج طبخة","",IFERROR(INDEX('بيانات الحركات'!E:E,MATCH(44,'بيانات الحركات'!$G:$G,0)),""))</f>
        <v>0</v>
      </c>
      <c r="F45" s="3" t="str">
        <f>IFERROR(INDEX('بيانات الحركات'!F:F,MATCH(44,'بيانات الحركات'!$G:$G,0)),"")</f>
        <v>تنزيل البيانات لأول مرة</v>
      </c>
    </row>
    <row r="46" spans="1:6" ht="21.95" customHeight="1">
      <c r="A46" s="8">
        <f>IFERROR(INDEX('بيانات الحركات'!A:A,MATCH(45,'بيانات الحركات'!$G:$G,0)),"")</f>
        <v>46218</v>
      </c>
      <c r="B46" s="5" t="str">
        <f>IFERROR(INDEX('بيانات الحركات'!B:B,MATCH(45,'بيانات الحركات'!$G:$G,0)),"")</f>
        <v>شراء</v>
      </c>
      <c r="C46" s="3" t="str">
        <f>IFERROR(INDEX('بيانات الحركات'!C:C,MATCH(45,'بيانات الحركات'!$G:$G,0)),"")</f>
        <v>امين</v>
      </c>
      <c r="D46" s="3" t="str">
        <f>IFERROR(INDEX('بيانات الحركات'!D:D,MATCH(45,'بيانات الحركات'!$G:$G,0)),"")</f>
        <v>طبالي خشب</v>
      </c>
      <c r="E46" s="21">
        <f>IF($B46="إنتاج طبخة","",IFERROR(INDEX('بيانات الحركات'!E:E,MATCH(45,'بيانات الحركات'!$G:$G,0)),""))</f>
        <v>17</v>
      </c>
      <c r="F46" s="3" t="str">
        <f>IFERROR(INDEX('بيانات الحركات'!F:F,MATCH(45,'بيانات الحركات'!$G:$G,0)),"")</f>
        <v>تنزيل البيانات لأول مرة</v>
      </c>
    </row>
    <row r="47" spans="1:6" ht="21.95" customHeight="1">
      <c r="A47" s="8">
        <f>IFERROR(INDEX('بيانات الحركات'!A:A,MATCH(46,'بيانات الحركات'!$G:$G,0)),"")</f>
        <v>46218</v>
      </c>
      <c r="B47" s="5" t="str">
        <f>IFERROR(INDEX('بيانات الحركات'!B:B,MATCH(46,'بيانات الحركات'!$G:$G,0)),"")</f>
        <v>شراء</v>
      </c>
      <c r="C47" s="3" t="str">
        <f>IFERROR(INDEX('بيانات الحركات'!C:C,MATCH(46,'بيانات الحركات'!$G:$G,0)),"")</f>
        <v>امين</v>
      </c>
      <c r="D47" s="3" t="str">
        <f>IFERROR(INDEX('بيانات الحركات'!D:D,MATCH(46,'بيانات الحركات'!$G:$G,0)),"")</f>
        <v xml:space="preserve">صودا أش </v>
      </c>
      <c r="E47" s="21">
        <f>IF($B47="إنتاج طبخة","",IFERROR(INDEX('بيانات الحركات'!E:E,MATCH(46,'بيانات الحركات'!$G:$G,0)),""))</f>
        <v>0</v>
      </c>
      <c r="F47" s="3" t="str">
        <f>IFERROR(INDEX('بيانات الحركات'!F:F,MATCH(46,'بيانات الحركات'!$G:$G,0)),"")</f>
        <v>تنزيل البيانات لأول مرة</v>
      </c>
    </row>
    <row r="48" spans="1:6" ht="21.95" customHeight="1">
      <c r="A48" s="8">
        <f>IFERROR(INDEX('بيانات الحركات'!A:A,MATCH(47,'بيانات الحركات'!$G:$G,0)),"")</f>
        <v>46218</v>
      </c>
      <c r="B48" s="5" t="str">
        <f>IFERROR(INDEX('بيانات الحركات'!B:B,MATCH(47,'بيانات الحركات'!$G:$G,0)),"")</f>
        <v>شراء</v>
      </c>
      <c r="C48" s="3" t="str">
        <f>IFERROR(INDEX('بيانات الحركات'!C:C,MATCH(47,'بيانات الحركات'!$G:$G,0)),"")</f>
        <v>امين</v>
      </c>
      <c r="D48" s="3" t="str">
        <f>IFERROR(INDEX('بيانات الحركات'!D:D,MATCH(47,'بيانات الحركات'!$G:$G,0)),"")</f>
        <v xml:space="preserve">صبغة </v>
      </c>
      <c r="E48" s="21">
        <f>IF($B48="إنتاج طبخة","",IFERROR(INDEX('بيانات الحركات'!E:E,MATCH(47,'بيانات الحركات'!$G:$G,0)),""))</f>
        <v>1.42</v>
      </c>
      <c r="F48" s="3" t="str">
        <f>IFERROR(INDEX('بيانات الحركات'!F:F,MATCH(47,'بيانات الحركات'!$G:$G,0)),"")</f>
        <v>تنزيل البيانات لأول مرة</v>
      </c>
    </row>
    <row r="49" spans="1:6" ht="21.95" customHeight="1">
      <c r="A49" s="8">
        <f>IFERROR(INDEX('بيانات الحركات'!A:A,MATCH(48,'بيانات الحركات'!$G:$G,0)),"")</f>
        <v>46218</v>
      </c>
      <c r="B49" s="5" t="str">
        <f>IFERROR(INDEX('بيانات الحركات'!B:B,MATCH(48,'بيانات الحركات'!$G:$G,0)),"")</f>
        <v>شراء</v>
      </c>
      <c r="C49" s="3" t="str">
        <f>IFERROR(INDEX('بيانات الحركات'!C:C,MATCH(48,'بيانات الحركات'!$G:$G,0)),"")</f>
        <v>امين</v>
      </c>
      <c r="D49" s="3" t="str">
        <f>IFERROR(INDEX('بيانات الحركات'!D:D,MATCH(48,'بيانات الحركات'!$G:$G,0)),"")</f>
        <v xml:space="preserve">سيليكات سائلة </v>
      </c>
      <c r="E49" s="21">
        <f>IF($B49="إنتاج طبخة","",IFERROR(INDEX('بيانات الحركات'!E:E,MATCH(48,'بيانات الحركات'!$G:$G,0)),""))</f>
        <v>0</v>
      </c>
      <c r="F49" s="3" t="str">
        <f>IFERROR(INDEX('بيانات الحركات'!F:F,MATCH(48,'بيانات الحركات'!$G:$G,0)),"")</f>
        <v>تنزيل البيانات لأول مرة</v>
      </c>
    </row>
    <row r="50" spans="1:6" ht="21.95" customHeight="1">
      <c r="A50" s="8">
        <f>IFERROR(INDEX('بيانات الحركات'!A:A,MATCH(49,'بيانات الحركات'!$G:$G,0)),"")</f>
        <v>46218</v>
      </c>
      <c r="B50" s="5" t="str">
        <f>IFERROR(INDEX('بيانات الحركات'!B:B,MATCH(49,'بيانات الحركات'!$G:$G,0)),"")</f>
        <v>شراء</v>
      </c>
      <c r="C50" s="3" t="str">
        <f>IFERROR(INDEX('بيانات الحركات'!C:C,MATCH(49,'بيانات الحركات'!$G:$G,0)),"")</f>
        <v>امين</v>
      </c>
      <c r="D50" s="3" t="str">
        <f>IFERROR(INDEX('بيانات الحركات'!D:D,MATCH(49,'بيانات الحركات'!$G:$G,0)),"")</f>
        <v>زيت الصنوبر</v>
      </c>
      <c r="E50" s="21">
        <f>IF($B50="إنتاج طبخة","",IFERROR(INDEX('بيانات الحركات'!E:E,MATCH(49,'بيانات الحركات'!$G:$G,0)),""))</f>
        <v>24</v>
      </c>
      <c r="F50" s="3" t="str">
        <f>IFERROR(INDEX('بيانات الحركات'!F:F,MATCH(49,'بيانات الحركات'!$G:$G,0)),"")</f>
        <v>تنزيل البيانات لأول مرة</v>
      </c>
    </row>
    <row r="51" spans="1:6" ht="21.95" customHeight="1">
      <c r="A51" s="8">
        <f>IFERROR(INDEX('بيانات الحركات'!A:A,MATCH(50,'بيانات الحركات'!$G:$G,0)),"")</f>
        <v>46218</v>
      </c>
      <c r="B51" s="5" t="str">
        <f>IFERROR(INDEX('بيانات الحركات'!B:B,MATCH(50,'بيانات الحركات'!$G:$G,0)),"")</f>
        <v>شراء</v>
      </c>
      <c r="C51" s="3" t="str">
        <f>IFERROR(INDEX('بيانات الحركات'!C:C,MATCH(50,'بيانات الحركات'!$G:$G,0)),"")</f>
        <v>امين</v>
      </c>
      <c r="D51" s="3" t="str">
        <f>IFERROR(INDEX('بيانات الحركات'!D:D,MATCH(50,'بيانات الحركات'!$G:$G,0)),"")</f>
        <v>زفتة</v>
      </c>
      <c r="E51" s="21">
        <f>IF($B51="إنتاج طبخة","",IFERROR(INDEX('بيانات الحركات'!E:E,MATCH(50,'بيانات الحركات'!$G:$G,0)),""))</f>
        <v>536</v>
      </c>
      <c r="F51" s="3" t="str">
        <f>IFERROR(INDEX('بيانات الحركات'!F:F,MATCH(50,'بيانات الحركات'!$G:$G,0)),"")</f>
        <v>تنزيل البيانات لأول مرة</v>
      </c>
    </row>
    <row r="52" spans="1:6" ht="21.95" customHeight="1">
      <c r="A52" s="8">
        <f>IFERROR(INDEX('بيانات الحركات'!A:A,MATCH(51,'بيانات الحركات'!$G:$G,0)),"")</f>
        <v>46218</v>
      </c>
      <c r="B52" s="5" t="str">
        <f>IFERROR(INDEX('بيانات الحركات'!B:B,MATCH(51,'بيانات الحركات'!$G:$G,0)),"")</f>
        <v>شراء</v>
      </c>
      <c r="C52" s="3" t="str">
        <f>IFERROR(INDEX('بيانات الحركات'!C:C,MATCH(51,'بيانات الحركات'!$G:$G,0)),"")</f>
        <v>امين</v>
      </c>
      <c r="D52" s="3" t="str">
        <f>IFERROR(INDEX('بيانات الحركات'!D:D,MATCH(51,'بيانات الحركات'!$G:$G,0)),"")</f>
        <v>ديباتيول فينب</v>
      </c>
      <c r="E52" s="21">
        <f>IF($B52="إنتاج طبخة","",IFERROR(INDEX('بيانات الحركات'!E:E,MATCH(51,'بيانات الحركات'!$G:$G,0)),""))</f>
        <v>0</v>
      </c>
      <c r="F52" s="3" t="str">
        <f>IFERROR(INDEX('بيانات الحركات'!F:F,MATCH(51,'بيانات الحركات'!$G:$G,0)),"")</f>
        <v>تنزيل البيانات لأول مرة</v>
      </c>
    </row>
    <row r="53" spans="1:6" ht="21.95" customHeight="1">
      <c r="A53" s="8">
        <f>IFERROR(INDEX('بيانات الحركات'!A:A,MATCH(52,'بيانات الحركات'!$G:$G,0)),"")</f>
        <v>46218</v>
      </c>
      <c r="B53" s="5" t="str">
        <f>IFERROR(INDEX('بيانات الحركات'!B:B,MATCH(52,'بيانات الحركات'!$G:$G,0)),"")</f>
        <v>شراء</v>
      </c>
      <c r="C53" s="3" t="str">
        <f>IFERROR(INDEX('بيانات الحركات'!C:C,MATCH(52,'بيانات الحركات'!$G:$G,0)),"")</f>
        <v>امين</v>
      </c>
      <c r="D53" s="3" t="str">
        <f>IFERROR(INDEX('بيانات الحركات'!D:D,MATCH(52,'بيانات الحركات'!$G:$G,0)),"")</f>
        <v>دواء غسيل نصف مصنع</v>
      </c>
      <c r="E53" s="21">
        <f>IF($B53="إنتاج طبخة","",IFERROR(INDEX('بيانات الحركات'!E:E,MATCH(52,'بيانات الحركات'!$G:$G,0)),""))</f>
        <v>34</v>
      </c>
      <c r="F53" s="3" t="str">
        <f>IFERROR(INDEX('بيانات الحركات'!F:F,MATCH(52,'بيانات الحركات'!$G:$G,0)),"")</f>
        <v>تنزيل البيانات لأول مرة</v>
      </c>
    </row>
    <row r="54" spans="1:6" ht="21.95" customHeight="1">
      <c r="A54" s="8">
        <f>IFERROR(INDEX('بيانات الحركات'!A:A,MATCH(53,'بيانات الحركات'!$G:$G,0)),"")</f>
        <v>46218</v>
      </c>
      <c r="B54" s="5" t="str">
        <f>IFERROR(INDEX('بيانات الحركات'!B:B,MATCH(53,'بيانات الحركات'!$G:$G,0)),"")</f>
        <v>شراء</v>
      </c>
      <c r="C54" s="3" t="str">
        <f>IFERROR(INDEX('بيانات الحركات'!C:C,MATCH(53,'بيانات الحركات'!$G:$G,0)),"")</f>
        <v>امين</v>
      </c>
      <c r="D54" s="3" t="str">
        <f>IFERROR(INDEX('بيانات الحركات'!D:D,MATCH(53,'بيانات الحركات'!$G:$G,0)),"")</f>
        <v>حمض الليمون</v>
      </c>
      <c r="E54" s="21">
        <f>IF($B54="إنتاج طبخة","",IFERROR(INDEX('بيانات الحركات'!E:E,MATCH(53,'بيانات الحركات'!$G:$G,0)),""))</f>
        <v>1</v>
      </c>
      <c r="F54" s="3" t="str">
        <f>IFERROR(INDEX('بيانات الحركات'!F:F,MATCH(53,'بيانات الحركات'!$G:$G,0)),"")</f>
        <v>تنزيل البيانات لأول مرة</v>
      </c>
    </row>
    <row r="55" spans="1:6" ht="21.95" customHeight="1">
      <c r="A55" s="8">
        <f>IFERROR(INDEX('بيانات الحركات'!A:A,MATCH(54,'بيانات الحركات'!$G:$G,0)),"")</f>
        <v>46218</v>
      </c>
      <c r="B55" s="5" t="str">
        <f>IFERROR(INDEX('بيانات الحركات'!B:B,MATCH(54,'بيانات الحركات'!$G:$G,0)),"")</f>
        <v>شراء</v>
      </c>
      <c r="C55" s="3" t="str">
        <f>IFERROR(INDEX('بيانات الحركات'!C:C,MATCH(54,'بيانات الحركات'!$G:$G,0)),"")</f>
        <v>امين</v>
      </c>
      <c r="D55" s="3" t="str">
        <f>IFERROR(INDEX('بيانات الحركات'!D:D,MATCH(54,'بيانات الحركات'!$G:$G,0)),"")</f>
        <v>حمض الكبريت</v>
      </c>
      <c r="E55" s="21">
        <f>IF($B55="إنتاج طبخة","",IFERROR(INDEX('بيانات الحركات'!E:E,MATCH(54,'بيانات الحركات'!$G:$G,0)),""))</f>
        <v>0</v>
      </c>
      <c r="F55" s="3" t="str">
        <f>IFERROR(INDEX('بيانات الحركات'!F:F,MATCH(54,'بيانات الحركات'!$G:$G,0)),"")</f>
        <v>تنزيل البيانات لأول مرة</v>
      </c>
    </row>
    <row r="56" spans="1:6" ht="21.95" customHeight="1">
      <c r="A56" s="8">
        <f>IFERROR(INDEX('بيانات الحركات'!A:A,MATCH(55,'بيانات الحركات'!$G:$G,0)),"")</f>
        <v>46218</v>
      </c>
      <c r="B56" s="5" t="str">
        <f>IFERROR(INDEX('بيانات الحركات'!B:B,MATCH(55,'بيانات الحركات'!$G:$G,0)),"")</f>
        <v>شراء</v>
      </c>
      <c r="C56" s="3" t="str">
        <f>IFERROR(INDEX('بيانات الحركات'!C:C,MATCH(55,'بيانات الحركات'!$G:$G,0)),"")</f>
        <v>امين</v>
      </c>
      <c r="D56" s="3" t="str">
        <f>IFERROR(INDEX('بيانات الحركات'!D:D,MATCH(55,'بيانات الحركات'!$G:$G,0)),"")</f>
        <v>حمض الخل</v>
      </c>
      <c r="E56" s="21">
        <f>IF($B56="إنتاج طبخة","",IFERROR(INDEX('بيانات الحركات'!E:E,MATCH(55,'بيانات الحركات'!$G:$G,0)),""))</f>
        <v>1</v>
      </c>
      <c r="F56" s="3" t="str">
        <f>IFERROR(INDEX('بيانات الحركات'!F:F,MATCH(55,'بيانات الحركات'!$G:$G,0)),"")</f>
        <v>تنزيل البيانات لأول مرة</v>
      </c>
    </row>
    <row r="57" spans="1:6" ht="21.95" customHeight="1">
      <c r="A57" s="8">
        <f>IFERROR(INDEX('بيانات الحركات'!A:A,MATCH(56,'بيانات الحركات'!$G:$G,0)),"")</f>
        <v>46218</v>
      </c>
      <c r="B57" s="5" t="str">
        <f>IFERROR(INDEX('بيانات الحركات'!B:B,MATCH(56,'بيانات الحركات'!$G:$G,0)),"")</f>
        <v>شراء</v>
      </c>
      <c r="C57" s="3" t="str">
        <f>IFERROR(INDEX('بيانات الحركات'!C:C,MATCH(56,'بيانات الحركات'!$G:$G,0)),"")</f>
        <v>امين</v>
      </c>
      <c r="D57" s="3" t="str">
        <f>IFERROR(INDEX('بيانات الحركات'!D:D,MATCH(56,'بيانات الحركات'!$G:$G,0)),"")</f>
        <v>حليب التين</v>
      </c>
      <c r="E57" s="21">
        <f>IF($B57="إنتاج طبخة","",IFERROR(INDEX('بيانات الحركات'!E:E,MATCH(56,'بيانات الحركات'!$G:$G,0)),""))</f>
        <v>0.83</v>
      </c>
      <c r="F57" s="3" t="str">
        <f>IFERROR(INDEX('بيانات الحركات'!F:F,MATCH(56,'بيانات الحركات'!$G:$G,0)),"")</f>
        <v>تنزيل البيانات لأول مرة</v>
      </c>
    </row>
    <row r="58" spans="1:6" ht="21.95" customHeight="1">
      <c r="A58" s="8">
        <f>IFERROR(INDEX('بيانات الحركات'!A:A,MATCH(57,'بيانات الحركات'!$G:$G,0)),"")</f>
        <v>46218</v>
      </c>
      <c r="B58" s="5" t="str">
        <f>IFERROR(INDEX('بيانات الحركات'!B:B,MATCH(57,'بيانات الحركات'!$G:$G,0)),"")</f>
        <v>شراء</v>
      </c>
      <c r="C58" s="3" t="str">
        <f>IFERROR(INDEX('بيانات الحركات'!C:C,MATCH(57,'بيانات الحركات'!$G:$G,0)),"")</f>
        <v>امين</v>
      </c>
      <c r="D58" s="3" t="str">
        <f>IFERROR(INDEX('بيانات الحركات'!D:D,MATCH(57,'بيانات الحركات'!$G:$G,0)),"")</f>
        <v>حبيبات ملونة</v>
      </c>
      <c r="E58" s="21">
        <f>IF($B58="إنتاج طبخة","",IFERROR(INDEX('بيانات الحركات'!E:E,MATCH(57,'بيانات الحركات'!$G:$G,0)),""))</f>
        <v>0</v>
      </c>
      <c r="F58" s="3" t="str">
        <f>IFERROR(INDEX('بيانات الحركات'!F:F,MATCH(57,'بيانات الحركات'!$G:$G,0)),"")</f>
        <v>تنزيل البيانات لأول مرة</v>
      </c>
    </row>
    <row r="59" spans="1:6" ht="21.95" customHeight="1">
      <c r="A59" s="8">
        <f>IFERROR(INDEX('بيانات الحركات'!A:A,MATCH(58,'بيانات الحركات'!$G:$G,0)),"")</f>
        <v>46218</v>
      </c>
      <c r="B59" s="5" t="str">
        <f>IFERROR(INDEX('بيانات الحركات'!B:B,MATCH(58,'بيانات الحركات'!$G:$G,0)),"")</f>
        <v>شراء</v>
      </c>
      <c r="C59" s="3" t="str">
        <f>IFERROR(INDEX('بيانات الحركات'!C:C,MATCH(58,'بيانات الحركات'!$G:$G,0)),"")</f>
        <v>امين</v>
      </c>
      <c r="D59" s="3" t="str">
        <f>IFERROR(INDEX('بيانات الحركات'!D:D,MATCH(58,'بيانات الحركات'!$G:$G,0)),"")</f>
        <v>تكسبون</v>
      </c>
      <c r="E59" s="21">
        <f>IF($B59="إنتاج طبخة","",IFERROR(INDEX('بيانات الحركات'!E:E,MATCH(58,'بيانات الحركات'!$G:$G,0)),""))</f>
        <v>468</v>
      </c>
      <c r="F59" s="3" t="str">
        <f>IFERROR(INDEX('بيانات الحركات'!F:F,MATCH(58,'بيانات الحركات'!$G:$G,0)),"")</f>
        <v>تنزيل البيانات لأول مرة</v>
      </c>
    </row>
    <row r="60" spans="1:6" ht="21.95" customHeight="1">
      <c r="A60" s="8">
        <f>IFERROR(INDEX('بيانات الحركات'!A:A,MATCH(59,'بيانات الحركات'!$G:$G,0)),"")</f>
        <v>46218</v>
      </c>
      <c r="B60" s="5" t="str">
        <f>IFERROR(INDEX('بيانات الحركات'!B:B,MATCH(59,'بيانات الحركات'!$G:$G,0)),"")</f>
        <v>شراء</v>
      </c>
      <c r="C60" s="3" t="str">
        <f>IFERROR(INDEX('بيانات الحركات'!C:C,MATCH(59,'بيانات الحركات'!$G:$G,0)),"")</f>
        <v>امين</v>
      </c>
      <c r="D60" s="3" t="str">
        <f>IFERROR(INDEX('بيانات الحركات'!D:D,MATCH(59,'بيانات الحركات'!$G:$G,0)),"")</f>
        <v xml:space="preserve">بيدون 4 لتر </v>
      </c>
      <c r="E60" s="21">
        <f>IF($B60="إنتاج طبخة","",IFERROR(INDEX('بيانات الحركات'!E:E,MATCH(59,'بيانات الحركات'!$G:$G,0)),""))</f>
        <v>12</v>
      </c>
      <c r="F60" s="3" t="str">
        <f>IFERROR(INDEX('بيانات الحركات'!F:F,MATCH(59,'بيانات الحركات'!$G:$G,0)),"")</f>
        <v>تنزيل البيانات لأول مرة</v>
      </c>
    </row>
    <row r="61" spans="1:6" ht="21.95" customHeight="1">
      <c r="A61" s="8">
        <f>IFERROR(INDEX('بيانات الحركات'!A:A,MATCH(60,'بيانات الحركات'!$G:$G,0)),"")</f>
        <v>46218</v>
      </c>
      <c r="B61" s="5" t="str">
        <f>IFERROR(INDEX('بيانات الحركات'!B:B,MATCH(60,'بيانات الحركات'!$G:$G,0)),"")</f>
        <v>شراء</v>
      </c>
      <c r="C61" s="3" t="str">
        <f>IFERROR(INDEX('بيانات الحركات'!C:C,MATCH(60,'بيانات الحركات'!$G:$G,0)),"")</f>
        <v>امين</v>
      </c>
      <c r="D61" s="3" t="str">
        <f>IFERROR(INDEX('بيانات الحركات'!D:D,MATCH(60,'بيانات الحركات'!$G:$G,0)),"")</f>
        <v>بيتائين</v>
      </c>
      <c r="E61" s="21">
        <f>IF($B61="إنتاج طبخة","",IFERROR(INDEX('بيانات الحركات'!E:E,MATCH(60,'بيانات الحركات'!$G:$G,0)),""))</f>
        <v>307.5</v>
      </c>
      <c r="F61" s="3" t="str">
        <f>IFERROR(INDEX('بيانات الحركات'!F:F,MATCH(60,'بيانات الحركات'!$G:$G,0)),"")</f>
        <v>تنزيل البيانات لأول مرة</v>
      </c>
    </row>
    <row r="62" spans="1:6" ht="21.95" customHeight="1">
      <c r="A62" s="8">
        <f>IFERROR(INDEX('بيانات الحركات'!A:A,MATCH(61,'بيانات الحركات'!$G:$G,0)),"")</f>
        <v>46218</v>
      </c>
      <c r="B62" s="5" t="str">
        <f>IFERROR(INDEX('بيانات الحركات'!B:B,MATCH(61,'بيانات الحركات'!$G:$G,0)),"")</f>
        <v>شراء</v>
      </c>
      <c r="C62" s="3" t="str">
        <f>IFERROR(INDEX('بيانات الحركات'!C:C,MATCH(61,'بيانات الحركات'!$G:$G,0)),"")</f>
        <v>امين</v>
      </c>
      <c r="D62" s="3" t="str">
        <f>IFERROR(INDEX('بيانات الحركات'!D:D,MATCH(61,'بيانات الحركات'!$G:$G,0)),"")</f>
        <v>بوتيل غليكول</v>
      </c>
      <c r="E62" s="21">
        <f>IF($B62="إنتاج طبخة","",IFERROR(INDEX('بيانات الحركات'!E:E,MATCH(61,'بيانات الحركات'!$G:$G,0)),""))</f>
        <v>0</v>
      </c>
      <c r="F62" s="3" t="str">
        <f>IFERROR(INDEX('بيانات الحركات'!F:F,MATCH(61,'بيانات الحركات'!$G:$G,0)),"")</f>
        <v>تنزيل البيانات لأول مرة</v>
      </c>
    </row>
    <row r="63" spans="1:6" ht="21.95" customHeight="1">
      <c r="A63" s="8">
        <f>IFERROR(INDEX('بيانات الحركات'!A:A,MATCH(62,'بيانات الحركات'!$G:$G,0)),"")</f>
        <v>46218</v>
      </c>
      <c r="B63" s="5" t="str">
        <f>IFERROR(INDEX('بيانات الحركات'!B:B,MATCH(62,'بيانات الحركات'!$G:$G,0)),"")</f>
        <v>شراء</v>
      </c>
      <c r="C63" s="3" t="str">
        <f>IFERROR(INDEX('بيانات الحركات'!C:C,MATCH(62,'بيانات الحركات'!$G:$G,0)),"")</f>
        <v>امين</v>
      </c>
      <c r="D63" s="3" t="str">
        <f>IFERROR(INDEX('بيانات الحركات'!D:D,MATCH(62,'بيانات الحركات'!$G:$G,0)),"")</f>
        <v>بلسم جامد</v>
      </c>
      <c r="E63" s="21">
        <f>IF($B63="إنتاج طبخة","",IFERROR(INDEX('بيانات الحركات'!E:E,MATCH(62,'بيانات الحركات'!$G:$G,0)),""))</f>
        <v>3</v>
      </c>
      <c r="F63" s="3" t="str">
        <f>IFERROR(INDEX('بيانات الحركات'!F:F,MATCH(62,'بيانات الحركات'!$G:$G,0)),"")</f>
        <v>تنزيل البيانات لأول مرة</v>
      </c>
    </row>
    <row r="64" spans="1:6" ht="21.95" customHeight="1">
      <c r="A64" s="8">
        <f>IFERROR(INDEX('بيانات الحركات'!A:A,MATCH(63,'بيانات الحركات'!$G:$G,0)),"")</f>
        <v>46218</v>
      </c>
      <c r="B64" s="5" t="str">
        <f>IFERROR(INDEX('بيانات الحركات'!B:B,MATCH(63,'بيانات الحركات'!$G:$G,0)),"")</f>
        <v>شراء</v>
      </c>
      <c r="C64" s="3" t="str">
        <f>IFERROR(INDEX('بيانات الحركات'!C:C,MATCH(63,'بيانات الحركات'!$G:$G,0)),"")</f>
        <v>امين</v>
      </c>
      <c r="D64" s="3" t="str">
        <f>IFERROR(INDEX('بيانات الحركات'!D:D,MATCH(63,'بيانات الحركات'!$G:$G,0)),"")</f>
        <v>بروبلين - فينب</v>
      </c>
      <c r="E64" s="21">
        <f>IF($B64="إنتاج طبخة","",IFERROR(INDEX('بيانات الحركات'!E:E,MATCH(63,'بيانات الحركات'!$G:$G,0)),""))</f>
        <v>0</v>
      </c>
      <c r="F64" s="3" t="str">
        <f>IFERROR(INDEX('بيانات الحركات'!F:F,MATCH(63,'بيانات الحركات'!$G:$G,0)),"")</f>
        <v>تنزيل البيانات لأول مرة</v>
      </c>
    </row>
    <row r="65" spans="1:6" ht="21.95" customHeight="1">
      <c r="A65" s="8">
        <f>IFERROR(INDEX('بيانات الحركات'!A:A,MATCH(64,'بيانات الحركات'!$G:$G,0)),"")</f>
        <v>46218</v>
      </c>
      <c r="B65" s="5" t="str">
        <f>IFERROR(INDEX('بيانات الحركات'!B:B,MATCH(64,'بيانات الحركات'!$G:$G,0)),"")</f>
        <v>شراء</v>
      </c>
      <c r="C65" s="3" t="str">
        <f>IFERROR(INDEX('بيانات الحركات'!C:C,MATCH(64,'بيانات الحركات'!$G:$G,0)),"")</f>
        <v>امين</v>
      </c>
      <c r="D65" s="3" t="str">
        <f>IFERROR(INDEX('بيانات الحركات'!D:D,MATCH(64,'بيانات الحركات'!$G:$G,0)),"")</f>
        <v>ايمولجين</v>
      </c>
      <c r="E65" s="21">
        <f>IF($B65="إنتاج طبخة","",IFERROR(INDEX('بيانات الحركات'!E:E,MATCH(64,'بيانات الحركات'!$G:$G,0)),""))</f>
        <v>6</v>
      </c>
      <c r="F65" s="3" t="str">
        <f>IFERROR(INDEX('بيانات الحركات'!F:F,MATCH(64,'بيانات الحركات'!$G:$G,0)),"")</f>
        <v>تنزيل البيانات لأول مرة</v>
      </c>
    </row>
    <row r="66" spans="1:6" ht="21.95" customHeight="1">
      <c r="A66" s="8">
        <f>IFERROR(INDEX('بيانات الحركات'!A:A,MATCH(65,'بيانات الحركات'!$G:$G,0)),"")</f>
        <v>46218</v>
      </c>
      <c r="B66" s="5" t="str">
        <f>IFERROR(INDEX('بيانات الحركات'!B:B,MATCH(65,'بيانات الحركات'!$G:$G,0)),"")</f>
        <v>شراء</v>
      </c>
      <c r="C66" s="3" t="str">
        <f>IFERROR(INDEX('بيانات الحركات'!C:C,MATCH(65,'بيانات الحركات'!$G:$G,0)),"")</f>
        <v>امين</v>
      </c>
      <c r="D66" s="3" t="str">
        <f>IFERROR(INDEX('بيانات الحركات'!D:D,MATCH(65,'بيانات الحركات'!$G:$G,0)),"")</f>
        <v>ايديتا</v>
      </c>
      <c r="E66" s="21">
        <f>IF($B66="إنتاج طبخة","",IFERROR(INDEX('بيانات الحركات'!E:E,MATCH(65,'بيانات الحركات'!$G:$G,0)),""))</f>
        <v>16.5</v>
      </c>
      <c r="F66" s="3" t="str">
        <f>IFERROR(INDEX('بيانات الحركات'!F:F,MATCH(65,'بيانات الحركات'!$G:$G,0)),"")</f>
        <v>تنزيل البيانات لأول مرة</v>
      </c>
    </row>
    <row r="67" spans="1:6" ht="21.95" customHeight="1">
      <c r="A67" s="8">
        <f>IFERROR(INDEX('بيانات الحركات'!A:A,MATCH(66,'بيانات الحركات'!$G:$G,0)),"")</f>
        <v>46218</v>
      </c>
      <c r="B67" s="5" t="str">
        <f>IFERROR(INDEX('بيانات الحركات'!B:B,MATCH(66,'بيانات الحركات'!$G:$G,0)),"")</f>
        <v>شراء</v>
      </c>
      <c r="C67" s="3" t="str">
        <f>IFERROR(INDEX('بيانات الحركات'!C:C,MATCH(66,'بيانات الحركات'!$G:$G,0)),"")</f>
        <v>امين</v>
      </c>
      <c r="D67" s="3" t="str">
        <f>IFERROR(INDEX('بيانات الحركات'!D:D,MATCH(66,'بيانات الحركات'!$G:$G,0)),"")</f>
        <v>اسيد - روح الملح - حمض كلور الماء</v>
      </c>
      <c r="E67" s="21">
        <f>IF($B67="إنتاج طبخة","",IFERROR(INDEX('بيانات الحركات'!E:E,MATCH(66,'بيانات الحركات'!$G:$G,0)),""))</f>
        <v>57</v>
      </c>
      <c r="F67" s="3" t="str">
        <f>IFERROR(INDEX('بيانات الحركات'!F:F,MATCH(66,'بيانات الحركات'!$G:$G,0)),"")</f>
        <v>تنزيل البيانات لأول مرة</v>
      </c>
    </row>
    <row r="68" spans="1:6" ht="21.95" customHeight="1">
      <c r="A68" s="8">
        <f>IFERROR(INDEX('بيانات الحركات'!A:A,MATCH(67,'بيانات الحركات'!$G:$G,0)),"")</f>
        <v>46218</v>
      </c>
      <c r="B68" s="5" t="str">
        <f>IFERROR(INDEX('بيانات الحركات'!B:B,MATCH(67,'بيانات الحركات'!$G:$G,0)),"")</f>
        <v>شراء</v>
      </c>
      <c r="C68" s="3" t="str">
        <f>IFERROR(INDEX('بيانات الحركات'!C:C,MATCH(67,'بيانات الحركات'!$G:$G,0)),"")</f>
        <v>امين</v>
      </c>
      <c r="D68" s="3" t="str">
        <f>IFERROR(INDEX('بيانات الحركات'!D:D,MATCH(67,'بيانات الحركات'!$G:$G,0)),"")</f>
        <v>اسيتون</v>
      </c>
      <c r="E68" s="21">
        <f>IF($B68="إنتاج طبخة","",IFERROR(INDEX('بيانات الحركات'!E:E,MATCH(67,'بيانات الحركات'!$G:$G,0)),""))</f>
        <v>207.5</v>
      </c>
      <c r="F68" s="3" t="str">
        <f>IFERROR(INDEX('بيانات الحركات'!F:F,MATCH(67,'بيانات الحركات'!$G:$G,0)),"")</f>
        <v>تنزيل البيانات لأول مرة</v>
      </c>
    </row>
    <row r="69" spans="1:6" ht="21.95" customHeight="1">
      <c r="A69" s="8">
        <f>IFERROR(INDEX('بيانات الحركات'!A:A,MATCH(68,'بيانات الحركات'!$G:$G,0)),"")</f>
        <v>46218</v>
      </c>
      <c r="B69" s="5" t="str">
        <f>IFERROR(INDEX('بيانات الحركات'!B:B,MATCH(68,'بيانات الحركات'!$G:$G,0)),"")</f>
        <v>شراء</v>
      </c>
      <c r="C69" s="3" t="str">
        <f>IFERROR(INDEX('بيانات الحركات'!C:C,MATCH(68,'بيانات الحركات'!$G:$G,0)),"")</f>
        <v>امين</v>
      </c>
      <c r="D69" s="3" t="str">
        <f>IFERROR(INDEX('بيانات الحركات'!D:D,MATCH(68,'بيانات الحركات'!$G:$G,0)),"")</f>
        <v>لصاقة طابعة</v>
      </c>
      <c r="E69" s="21">
        <f>IF($B69="إنتاج طبخة","",IFERROR(INDEX('بيانات الحركات'!E:E,MATCH(68,'بيانات الحركات'!$G:$G,0)),""))</f>
        <v>0</v>
      </c>
      <c r="F69" s="3" t="str">
        <f>IFERROR(INDEX('بيانات الحركات'!F:F,MATCH(68,'بيانات الحركات'!$G:$G,0)),"")</f>
        <v>تنزيل البيانات لأول مرة</v>
      </c>
    </row>
    <row r="70" spans="1:6" ht="21.95" customHeight="1">
      <c r="A70" s="8">
        <f>IFERROR(INDEX('بيانات الحركات'!A:A,MATCH(69,'بيانات الحركات'!$G:$G,0)),"")</f>
        <v>46218</v>
      </c>
      <c r="B70" s="5" t="str">
        <f>IFERROR(INDEX('بيانات الحركات'!B:B,MATCH(69,'بيانات الحركات'!$G:$G,0)),"")</f>
        <v>شراء</v>
      </c>
      <c r="C70" s="3" t="str">
        <f>IFERROR(INDEX('بيانات الحركات'!C:C,MATCH(69,'بيانات الحركات'!$G:$G,0)),"")</f>
        <v>امين</v>
      </c>
      <c r="D70" s="3" t="str">
        <f>IFERROR(INDEX('بيانات الحركات'!D:D,MATCH(69,'بيانات الحركات'!$G:$G,0)),"")</f>
        <v>كريك بلاستيك</v>
      </c>
      <c r="E70" s="21">
        <f>IF($B70="إنتاج طبخة","",IFERROR(INDEX('بيانات الحركات'!E:E,MATCH(69,'بيانات الحركات'!$G:$G,0)),""))</f>
        <v>1</v>
      </c>
      <c r="F70" s="3" t="str">
        <f>IFERROR(INDEX('بيانات الحركات'!F:F,MATCH(69,'بيانات الحركات'!$G:$G,0)),"")</f>
        <v>تنزيل البيانات لأول مرة</v>
      </c>
    </row>
    <row r="71" spans="1:6" ht="21.95" customHeight="1">
      <c r="A71" s="8">
        <f>IFERROR(INDEX('بيانات الحركات'!A:A,MATCH(70,'بيانات الحركات'!$G:$G,0)),"")</f>
        <v>46218</v>
      </c>
      <c r="B71" s="5" t="str">
        <f>IFERROR(INDEX('بيانات الحركات'!B:B,MATCH(70,'بيانات الحركات'!$G:$G,0)),"")</f>
        <v>شراء</v>
      </c>
      <c r="C71" s="3" t="str">
        <f>IFERROR(INDEX('بيانات الحركات'!C:C,MATCH(70,'بيانات الحركات'!$G:$G,0)),"")</f>
        <v>امين</v>
      </c>
      <c r="D71" s="3" t="str">
        <f>IFERROR(INDEX('بيانات الحركات'!D:D,MATCH(70,'بيانات الحركات'!$G:$G,0)),"")</f>
        <v>فازلين</v>
      </c>
      <c r="E71" s="21">
        <f>IF($B71="إنتاج طبخة","",IFERROR(INDEX('بيانات الحركات'!E:E,MATCH(70,'بيانات الحركات'!$G:$G,0)),""))</f>
        <v>0</v>
      </c>
      <c r="F71" s="3" t="str">
        <f>IFERROR(INDEX('بيانات الحركات'!F:F,MATCH(70,'بيانات الحركات'!$G:$G,0)),"")</f>
        <v>تنزيل البيانات لأول مرة</v>
      </c>
    </row>
    <row r="72" spans="1:6" ht="21.95" customHeight="1">
      <c r="A72" s="8">
        <f>IFERROR(INDEX('بيانات الحركات'!A:A,MATCH(71,'بيانات الحركات'!$G:$G,0)),"")</f>
        <v>46218</v>
      </c>
      <c r="B72" s="5" t="str">
        <f>IFERROR(INDEX('بيانات الحركات'!B:B,MATCH(71,'بيانات الحركات'!$G:$G,0)),"")</f>
        <v>شراء</v>
      </c>
      <c r="C72" s="3" t="str">
        <f>IFERROR(INDEX('بيانات الحركات'!C:C,MATCH(71,'بيانات الحركات'!$G:$G,0)),"")</f>
        <v>امين</v>
      </c>
      <c r="D72" s="3" t="str">
        <f>IFERROR(INDEX('بيانات الحركات'!D:D,MATCH(71,'بيانات الحركات'!$G:$G,0)),"")</f>
        <v xml:space="preserve">عبوات كلور + فلاش فارغة </v>
      </c>
      <c r="E72" s="21">
        <f>IF($B72="إنتاج طبخة","",IFERROR(INDEX('بيانات الحركات'!E:E,MATCH(71,'بيانات الحركات'!$G:$G,0)),""))</f>
        <v>19.829999999999998</v>
      </c>
      <c r="F72" s="3" t="str">
        <f>IFERROR(INDEX('بيانات الحركات'!F:F,MATCH(71,'بيانات الحركات'!$G:$G,0)),"")</f>
        <v>تنزيل البيانات لأول مرة</v>
      </c>
    </row>
    <row r="73" spans="1:6" ht="21.95" customHeight="1">
      <c r="A73" s="8">
        <f>IFERROR(INDEX('بيانات الحركات'!A:A,MATCH(72,'بيانات الحركات'!$G:$G,0)),"")</f>
        <v>46218</v>
      </c>
      <c r="B73" s="5" t="str">
        <f>IFERROR(INDEX('بيانات الحركات'!B:B,MATCH(72,'بيانات الحركات'!$G:$G,0)),"")</f>
        <v>شراء</v>
      </c>
      <c r="C73" s="3" t="str">
        <f>IFERROR(INDEX('بيانات الحركات'!C:C,MATCH(72,'بيانات الحركات'!$G:$G,0)),"")</f>
        <v>امين</v>
      </c>
      <c r="D73" s="3" t="str">
        <f>IFERROR(INDEX('بيانات الحركات'!D:D,MATCH(72,'بيانات الحركات'!$G:$G,0)),"")</f>
        <v>عبوات شفافة 3 لتر</v>
      </c>
      <c r="E73" s="21">
        <f>IF($B73="إنتاج طبخة","",IFERROR(INDEX('بيانات الحركات'!E:E,MATCH(72,'بيانات الحركات'!$G:$G,0)),""))</f>
        <v>11.16</v>
      </c>
      <c r="F73" s="3" t="str">
        <f>IFERROR(INDEX('بيانات الحركات'!F:F,MATCH(72,'بيانات الحركات'!$G:$G,0)),"")</f>
        <v>تنزيل البيانات لأول مرة</v>
      </c>
    </row>
    <row r="74" spans="1:6" ht="21.95" customHeight="1">
      <c r="A74" s="8">
        <f>IFERROR(INDEX('بيانات الحركات'!A:A,MATCH(73,'بيانات الحركات'!$G:$G,0)),"")</f>
        <v>46218</v>
      </c>
      <c r="B74" s="5" t="str">
        <f>IFERROR(INDEX('بيانات الحركات'!B:B,MATCH(73,'بيانات الحركات'!$G:$G,0)),"")</f>
        <v>شراء</v>
      </c>
      <c r="C74" s="3" t="str">
        <f>IFERROR(INDEX('بيانات الحركات'!C:C,MATCH(73,'بيانات الحركات'!$G:$G,0)),"")</f>
        <v>امين</v>
      </c>
      <c r="D74" s="3" t="str">
        <f>IFERROR(INDEX('بيانات الحركات'!D:D,MATCH(73,'بيانات الحركات'!$G:$G,0)),"")</f>
        <v>عبوات حليبي</v>
      </c>
      <c r="E74" s="21">
        <f>IF($B74="إنتاج طبخة","",IFERROR(INDEX('بيانات الحركات'!E:E,MATCH(73,'بيانات الحركات'!$G:$G,0)),""))</f>
        <v>93.75</v>
      </c>
      <c r="F74" s="3" t="str">
        <f>IFERROR(INDEX('بيانات الحركات'!F:F,MATCH(73,'بيانات الحركات'!$G:$G,0)),"")</f>
        <v>تنزيل البيانات لأول مرة</v>
      </c>
    </row>
    <row r="75" spans="1:6" ht="21.95" customHeight="1">
      <c r="A75" s="8">
        <f>IFERROR(INDEX('بيانات الحركات'!A:A,MATCH(74,'بيانات الحركات'!$G:$G,0)),"")</f>
        <v>46218</v>
      </c>
      <c r="B75" s="5" t="str">
        <f>IFERROR(INDEX('بيانات الحركات'!B:B,MATCH(74,'بيانات الحركات'!$G:$G,0)),"")</f>
        <v>شراء</v>
      </c>
      <c r="C75" s="3" t="str">
        <f>IFERROR(INDEX('بيانات الحركات'!C:C,MATCH(74,'بيانات الحركات'!$G:$G,0)),"")</f>
        <v>امين</v>
      </c>
      <c r="D75" s="3" t="str">
        <f>IFERROR(INDEX('بيانات الحركات'!D:D,MATCH(74,'بيانات الحركات'!$G:$G,0)),"")</f>
        <v>ديتول خام</v>
      </c>
      <c r="E75" s="21">
        <f>IF($B75="إنتاج طبخة","",IFERROR(INDEX('بيانات الحركات'!E:E,MATCH(74,'بيانات الحركات'!$G:$G,0)),""))</f>
        <v>0</v>
      </c>
      <c r="F75" s="3" t="str">
        <f>IFERROR(INDEX('بيانات الحركات'!F:F,MATCH(74,'بيانات الحركات'!$G:$G,0)),"")</f>
        <v>تنزيل البيانات لأول مرة</v>
      </c>
    </row>
    <row r="76" spans="1:6" ht="21.95" customHeight="1">
      <c r="A76" s="8">
        <f>IFERROR(INDEX('بيانات الحركات'!A:A,MATCH(75,'بيانات الحركات'!$G:$G,0)),"")</f>
        <v>46218</v>
      </c>
      <c r="B76" s="5" t="str">
        <f>IFERROR(INDEX('بيانات الحركات'!B:B,MATCH(75,'بيانات الحركات'!$G:$G,0)),"")</f>
        <v>شراء</v>
      </c>
      <c r="C76" s="3" t="str">
        <f>IFERROR(INDEX('بيانات الحركات'!C:C,MATCH(75,'بيانات الحركات'!$G:$G,0)),"")</f>
        <v>-</v>
      </c>
      <c r="D76" s="3" t="str">
        <f>IFERROR(INDEX('بيانات الحركات'!D:D,MATCH(75,'بيانات الحركات'!$G:$G,0)),"")</f>
        <v>غطا عبوة 3لتر</v>
      </c>
      <c r="E76" s="21">
        <f>IF($B76="إنتاج طبخة","",IFERROR(INDEX('بيانات الحركات'!E:E,MATCH(75,'بيانات الحركات'!$G:$G,0)),""))</f>
        <v>0</v>
      </c>
      <c r="F76" s="3" t="str">
        <f>IFERROR(INDEX('بيانات الحركات'!F:F,MATCH(75,'بيانات الحركات'!$G:$G,0)),"")</f>
        <v/>
      </c>
    </row>
    <row r="77" spans="1:6" ht="21.95" customHeight="1">
      <c r="A77" s="8">
        <f>IFERROR(INDEX('بيانات الحركات'!A:A,MATCH(76,'بيانات الحركات'!$G:$G,0)),"")</f>
        <v>46218</v>
      </c>
      <c r="B77" s="5" t="str">
        <f>IFERROR(INDEX('بيانات الحركات'!B:B,MATCH(76,'بيانات الحركات'!$G:$G,0)),"")</f>
        <v>شراء</v>
      </c>
      <c r="C77" s="3" t="str">
        <f>IFERROR(INDEX('بيانات الحركات'!C:C,MATCH(76,'بيانات الحركات'!$G:$G,0)),"")</f>
        <v>-</v>
      </c>
      <c r="D77" s="3" t="str">
        <f>IFERROR(INDEX('بيانات الحركات'!D:D,MATCH(76,'بيانات الحركات'!$G:$G,0)),"")</f>
        <v>مياه مقطرة 4 لتر</v>
      </c>
      <c r="E77" s="21">
        <f>IF($B77="إنتاج طبخة","",IFERROR(INDEX('بيانات الحركات'!E:E,MATCH(76,'بيانات الحركات'!$G:$G,0)),""))</f>
        <v>0</v>
      </c>
      <c r="F77" s="3" t="str">
        <f>IFERROR(INDEX('بيانات الحركات'!F:F,MATCH(76,'بيانات الحركات'!$G:$G,0)),"")</f>
        <v/>
      </c>
    </row>
    <row r="78" spans="1:6" ht="21.95" customHeight="1">
      <c r="A78" s="8">
        <f>IFERROR(INDEX('بيانات الحركات'!A:A,MATCH(77,'بيانات الحركات'!$G:$G,0)),"")</f>
        <v>46218</v>
      </c>
      <c r="B78" s="5" t="str">
        <f>IFERROR(INDEX('بيانات الحركات'!B:B,MATCH(77,'بيانات الحركات'!$G:$G,0)),"")</f>
        <v>شراء</v>
      </c>
      <c r="C78" s="3" t="str">
        <f>IFERROR(INDEX('بيانات الحركات'!C:C,MATCH(77,'بيانات الحركات'!$G:$G,0)),"")</f>
        <v>-</v>
      </c>
      <c r="D78" s="3" t="str">
        <f>IFERROR(INDEX('بيانات الحركات'!D:D,MATCH(77,'بيانات الحركات'!$G:$G,0)),"")</f>
        <v>مياه مقطرة 1 لتر</v>
      </c>
      <c r="E78" s="21">
        <f>IF($B78="إنتاج طبخة","",IFERROR(INDEX('بيانات الحركات'!E:E,MATCH(77,'بيانات الحركات'!$G:$G,0)),""))</f>
        <v>0</v>
      </c>
      <c r="F78" s="3" t="str">
        <f>IFERROR(INDEX('بيانات الحركات'!F:F,MATCH(77,'بيانات الحركات'!$G:$G,0)),"")</f>
        <v/>
      </c>
    </row>
    <row r="79" spans="1:6" ht="21.95" customHeight="1">
      <c r="A79" s="8">
        <f>IFERROR(INDEX('بيانات الحركات'!A:A,MATCH(78,'بيانات الحركات'!$G:$G,0)),"")</f>
        <v>46218</v>
      </c>
      <c r="B79" s="5" t="str">
        <f>IFERROR(INDEX('بيانات الحركات'!B:B,MATCH(78,'بيانات الحركات'!$G:$G,0)),"")</f>
        <v>شراء</v>
      </c>
      <c r="C79" s="3" t="str">
        <f>IFERROR(INDEX('بيانات الحركات'!C:C,MATCH(78,'بيانات الحركات'!$G:$G,0)),"")</f>
        <v>-</v>
      </c>
      <c r="D79" s="3" t="str">
        <f>IFERROR(INDEX('بيانات الحركات'!D:D,MATCH(78,'بيانات الحركات'!$G:$G,0)),"")</f>
        <v>مهسهس زفته - معجون</v>
      </c>
      <c r="E79" s="21">
        <f>IF($B79="إنتاج طبخة","",IFERROR(INDEX('بيانات الحركات'!E:E,MATCH(78,'بيانات الحركات'!$G:$G,0)),""))</f>
        <v>0</v>
      </c>
      <c r="F79" s="3" t="str">
        <f>IFERROR(INDEX('بيانات الحركات'!F:F,MATCH(78,'بيانات الحركات'!$G:$G,0)),"")</f>
        <v/>
      </c>
    </row>
    <row r="80" spans="1:6" ht="21.95" customHeight="1">
      <c r="A80" s="8">
        <f>IFERROR(INDEX('بيانات الحركات'!A:A,MATCH(79,'بيانات الحركات'!$G:$G,0)),"")</f>
        <v>46218</v>
      </c>
      <c r="B80" s="5" t="str">
        <f>IFERROR(INDEX('بيانات الحركات'!B:B,MATCH(79,'بيانات الحركات'!$G:$G,0)),"")</f>
        <v>شراء</v>
      </c>
      <c r="C80" s="3" t="str">
        <f>IFERROR(INDEX('بيانات الحركات'!C:C,MATCH(79,'بيانات الحركات'!$G:$G,0)),"")</f>
        <v>-</v>
      </c>
      <c r="D80" s="3" t="str">
        <f>IFERROR(INDEX('بيانات الحركات'!D:D,MATCH(79,'بيانات الحركات'!$G:$G,0)),"")</f>
        <v>مماسح مكتب َ</v>
      </c>
      <c r="E80" s="21">
        <f>IF($B80="إنتاج طبخة","",IFERROR(INDEX('بيانات الحركات'!E:E,MATCH(79,'بيانات الحركات'!$G:$G,0)),""))</f>
        <v>0</v>
      </c>
      <c r="F80" s="3" t="str">
        <f>IFERROR(INDEX('بيانات الحركات'!F:F,MATCH(79,'بيانات الحركات'!$G:$G,0)),"")</f>
        <v/>
      </c>
    </row>
    <row r="81" spans="1:6" ht="21.95" customHeight="1">
      <c r="A81" s="8">
        <f>IFERROR(INDEX('بيانات الحركات'!A:A,MATCH(80,'بيانات الحركات'!$G:$G,0)),"")</f>
        <v>46218</v>
      </c>
      <c r="B81" s="5" t="str">
        <f>IFERROR(INDEX('بيانات الحركات'!B:B,MATCH(80,'بيانات الحركات'!$G:$G,0)),"")</f>
        <v>شراء</v>
      </c>
      <c r="C81" s="3" t="str">
        <f>IFERROR(INDEX('بيانات الحركات'!C:C,MATCH(80,'بيانات الحركات'!$G:$G,0)),"")</f>
        <v>-</v>
      </c>
      <c r="D81" s="3" t="str">
        <f>IFERROR(INDEX('بيانات الحركات'!D:D,MATCH(80,'بيانات الحركات'!$G:$G,0)),"")</f>
        <v>مماسح قماش عائلة فايبر</v>
      </c>
      <c r="E81" s="21">
        <f>IF($B81="إنتاج طبخة","",IFERROR(INDEX('بيانات الحركات'!E:E,MATCH(80,'بيانات الحركات'!$G:$G,0)),""))</f>
        <v>0</v>
      </c>
      <c r="F81" s="3" t="str">
        <f>IFERROR(INDEX('بيانات الحركات'!F:F,MATCH(80,'بيانات الحركات'!$G:$G,0)),"")</f>
        <v/>
      </c>
    </row>
    <row r="82" spans="1:6" ht="21.95" customHeight="1">
      <c r="A82" s="8">
        <f>IFERROR(INDEX('بيانات الحركات'!A:A,MATCH(81,'بيانات الحركات'!$G:$G,0)),"")</f>
        <v>46218</v>
      </c>
      <c r="B82" s="5" t="str">
        <f>IFERROR(INDEX('بيانات الحركات'!B:B,MATCH(81,'بيانات الحركات'!$G:$G,0)),"")</f>
        <v>شراء</v>
      </c>
      <c r="C82" s="3" t="str">
        <f>IFERROR(INDEX('بيانات الحركات'!C:C,MATCH(81,'بيانات الحركات'!$G:$G,0)),"")</f>
        <v>-</v>
      </c>
      <c r="D82" s="3" t="str">
        <f>IFERROR(INDEX('بيانات الحركات'!D:D,MATCH(81,'بيانات الحركات'!$G:$G,0)),"")</f>
        <v>مماسح بلور</v>
      </c>
      <c r="E82" s="21">
        <f>IF($B82="إنتاج طبخة","",IFERROR(INDEX('بيانات الحركات'!E:E,MATCH(81,'بيانات الحركات'!$G:$G,0)),""))</f>
        <v>0</v>
      </c>
      <c r="F82" s="3" t="str">
        <f>IFERROR(INDEX('بيانات الحركات'!F:F,MATCH(81,'بيانات الحركات'!$G:$G,0)),"")</f>
        <v/>
      </c>
    </row>
    <row r="83" spans="1:6" ht="21.95" customHeight="1">
      <c r="A83" s="8">
        <f>IFERROR(INDEX('بيانات الحركات'!A:A,MATCH(82,'بيانات الحركات'!$G:$G,0)),"")</f>
        <v>46218</v>
      </c>
      <c r="B83" s="5" t="str">
        <f>IFERROR(INDEX('بيانات الحركات'!B:B,MATCH(82,'بيانات الحركات'!$G:$G,0)),"")</f>
        <v>شراء</v>
      </c>
      <c r="C83" s="3" t="str">
        <f>IFERROR(INDEX('بيانات الحركات'!C:C,MATCH(82,'بيانات الحركات'!$G:$G,0)),"")</f>
        <v>-</v>
      </c>
      <c r="D83" s="3" t="str">
        <f>IFERROR(INDEX('بيانات الحركات'!D:D,MATCH(82,'بيانات الحركات'!$G:$G,0)),"")</f>
        <v>مماسح ارضيات</v>
      </c>
      <c r="E83" s="21">
        <f>IF($B83="إنتاج طبخة","",IFERROR(INDEX('بيانات الحركات'!E:E,MATCH(82,'بيانات الحركات'!$G:$G,0)),""))</f>
        <v>0</v>
      </c>
      <c r="F83" s="3" t="str">
        <f>IFERROR(INDEX('بيانات الحركات'!F:F,MATCH(82,'بيانات الحركات'!$G:$G,0)),"")</f>
        <v/>
      </c>
    </row>
    <row r="84" spans="1:6" ht="21.95" customHeight="1">
      <c r="A84" s="8">
        <f>IFERROR(INDEX('بيانات الحركات'!A:A,MATCH(83,'بيانات الحركات'!$G:$G,0)),"")</f>
        <v>46218</v>
      </c>
      <c r="B84" s="5" t="str">
        <f>IFERROR(INDEX('بيانات الحركات'!B:B,MATCH(83,'بيانات الحركات'!$G:$G,0)),"")</f>
        <v>شراء</v>
      </c>
      <c r="C84" s="3" t="str">
        <f>IFERROR(INDEX('بيانات الحركات'!C:C,MATCH(83,'بيانات الحركات'!$G:$G,0)),"")</f>
        <v>-</v>
      </c>
      <c r="D84" s="3" t="str">
        <f>IFERROR(INDEX('بيانات الحركات'!D:D,MATCH(83,'بيانات الحركات'!$G:$G,0)),"")</f>
        <v>ملمع سيارات 3 لتر</v>
      </c>
      <c r="E84" s="21">
        <f>IF($B84="إنتاج طبخة","",IFERROR(INDEX('بيانات الحركات'!E:E,MATCH(83,'بيانات الحركات'!$G:$G,0)),""))</f>
        <v>0</v>
      </c>
      <c r="F84" s="3" t="str">
        <f>IFERROR(INDEX('بيانات الحركات'!F:F,MATCH(83,'بيانات الحركات'!$G:$G,0)),"")</f>
        <v/>
      </c>
    </row>
    <row r="85" spans="1:6" ht="21.95" customHeight="1">
      <c r="A85" s="8">
        <f>IFERROR(INDEX('بيانات الحركات'!A:A,MATCH(84,'بيانات الحركات'!$G:$G,0)),"")</f>
        <v>46218</v>
      </c>
      <c r="B85" s="5" t="str">
        <f>IFERROR(INDEX('بيانات الحركات'!B:B,MATCH(84,'بيانات الحركات'!$G:$G,0)),"")</f>
        <v>شراء</v>
      </c>
      <c r="C85" s="3" t="str">
        <f>IFERROR(INDEX('بيانات الحركات'!C:C,MATCH(84,'بيانات الحركات'!$G:$G,0)),"")</f>
        <v>-</v>
      </c>
      <c r="D85" s="3" t="str">
        <f>IFERROR(INDEX('بيانات الحركات'!D:D,MATCH(84,'بيانات الحركات'!$G:$G,0)),"")</f>
        <v>ملمع سيارات / فرط</v>
      </c>
      <c r="E85" s="21">
        <f>IF($B85="إنتاج طبخة","",IFERROR(INDEX('بيانات الحركات'!E:E,MATCH(84,'بيانات الحركات'!$G:$G,0)),""))</f>
        <v>0</v>
      </c>
      <c r="F85" s="3" t="str">
        <f>IFERROR(INDEX('بيانات الحركات'!F:F,MATCH(84,'بيانات الحركات'!$G:$G,0)),"")</f>
        <v/>
      </c>
    </row>
    <row r="86" spans="1:6" ht="21.95" customHeight="1">
      <c r="A86" s="8">
        <f>IFERROR(INDEX('بيانات الحركات'!A:A,MATCH(85,'بيانات الحركات'!$G:$G,0)),"")</f>
        <v>46218</v>
      </c>
      <c r="B86" s="5" t="str">
        <f>IFERROR(INDEX('بيانات الحركات'!B:B,MATCH(85,'بيانات الحركات'!$G:$G,0)),"")</f>
        <v>شراء</v>
      </c>
      <c r="C86" s="3" t="str">
        <f>IFERROR(INDEX('بيانات الحركات'!C:C,MATCH(85,'بيانات الحركات'!$G:$G,0)),"")</f>
        <v>-</v>
      </c>
      <c r="D86" s="3" t="str">
        <f>IFERROR(INDEX('بيانات الحركات'!D:D,MATCH(85,'بيانات الحركات'!$G:$G,0)),"")</f>
        <v>ملمع زجاج الكرمل</v>
      </c>
      <c r="E86" s="21">
        <f>IF($B86="إنتاج طبخة","",IFERROR(INDEX('بيانات الحركات'!E:E,MATCH(85,'بيانات الحركات'!$G:$G,0)),""))</f>
        <v>0</v>
      </c>
      <c r="F86" s="3" t="str">
        <f>IFERROR(INDEX('بيانات الحركات'!F:F,MATCH(85,'بيانات الحركات'!$G:$G,0)),"")</f>
        <v/>
      </c>
    </row>
    <row r="87" spans="1:6" ht="21.95" customHeight="1">
      <c r="A87" s="8">
        <f>IFERROR(INDEX('بيانات الحركات'!A:A,MATCH(86,'بيانات الحركات'!$G:$G,0)),"")</f>
        <v>46218</v>
      </c>
      <c r="B87" s="5" t="str">
        <f>IFERROR(INDEX('بيانات الحركات'!B:B,MATCH(86,'بيانات الحركات'!$G:$G,0)),"")</f>
        <v>شراء</v>
      </c>
      <c r="C87" s="3" t="str">
        <f>IFERROR(INDEX('بيانات الحركات'!C:C,MATCH(86,'بيانات الحركات'!$G:$G,0)),"")</f>
        <v>-</v>
      </c>
      <c r="D87" s="3" t="str">
        <f>IFERROR(INDEX('بيانات الحركات'!D:D,MATCH(86,'بيانات الحركات'!$G:$G,0)),"")</f>
        <v>ملمع زجاج 3 لتر</v>
      </c>
      <c r="E87" s="21">
        <f>IF($B87="إنتاج طبخة","",IFERROR(INDEX('بيانات الحركات'!E:E,MATCH(86,'بيانات الحركات'!$G:$G,0)),""))</f>
        <v>0</v>
      </c>
      <c r="F87" s="3" t="str">
        <f>IFERROR(INDEX('بيانات الحركات'!F:F,MATCH(86,'بيانات الحركات'!$G:$G,0)),"")</f>
        <v/>
      </c>
    </row>
    <row r="88" spans="1:6" ht="21.95" customHeight="1">
      <c r="A88" s="8">
        <f>IFERROR(INDEX('بيانات الحركات'!A:A,MATCH(87,'بيانات الحركات'!$G:$G,0)),"")</f>
        <v>46218</v>
      </c>
      <c r="B88" s="5" t="str">
        <f>IFERROR(INDEX('بيانات الحركات'!B:B,MATCH(87,'بيانات الحركات'!$G:$G,0)),"")</f>
        <v>شراء</v>
      </c>
      <c r="C88" s="3" t="str">
        <f>IFERROR(INDEX('بيانات الحركات'!C:C,MATCH(87,'بيانات الحركات'!$G:$G,0)),"")</f>
        <v>-</v>
      </c>
      <c r="D88" s="3" t="str">
        <f>IFERROR(INDEX('بيانات الحركات'!D:D,MATCH(87,'بيانات الحركات'!$G:$G,0)),"")</f>
        <v>ملمع زجاج / فرط</v>
      </c>
      <c r="E88" s="21">
        <f>IF($B88="إنتاج طبخة","",IFERROR(INDEX('بيانات الحركات'!E:E,MATCH(87,'بيانات الحركات'!$G:$G,0)),""))</f>
        <v>0</v>
      </c>
      <c r="F88" s="3" t="str">
        <f>IFERROR(INDEX('بيانات الحركات'!F:F,MATCH(87,'بيانات الحركات'!$G:$G,0)),"")</f>
        <v/>
      </c>
    </row>
    <row r="89" spans="1:6" ht="21.95" customHeight="1">
      <c r="A89" s="8">
        <f>IFERROR(INDEX('بيانات الحركات'!A:A,MATCH(88,'بيانات الحركات'!$G:$G,0)),"")</f>
        <v>46218</v>
      </c>
      <c r="B89" s="5" t="str">
        <f>IFERROR(INDEX('بيانات الحركات'!B:B,MATCH(88,'بيانات الحركات'!$G:$G,0)),"")</f>
        <v>شراء</v>
      </c>
      <c r="C89" s="3" t="str">
        <f>IFERROR(INDEX('بيانات الحركات'!C:C,MATCH(88,'بيانات الحركات'!$G:$G,0)),"")</f>
        <v>-</v>
      </c>
      <c r="D89" s="3" t="str">
        <f>IFERROR(INDEX('بيانات الحركات'!D:D,MATCH(88,'بيانات الحركات'!$G:$G,0)),"")</f>
        <v>ملطف جو ليتس</v>
      </c>
      <c r="E89" s="21">
        <f>IF($B89="إنتاج طبخة","",IFERROR(INDEX('بيانات الحركات'!E:E,MATCH(88,'بيانات الحركات'!$G:$G,0)),""))</f>
        <v>0</v>
      </c>
      <c r="F89" s="3" t="str">
        <f>IFERROR(INDEX('بيانات الحركات'!F:F,MATCH(88,'بيانات الحركات'!$G:$G,0)),"")</f>
        <v/>
      </c>
    </row>
    <row r="90" spans="1:6" ht="21.95" customHeight="1">
      <c r="A90" s="8">
        <f>IFERROR(INDEX('بيانات الحركات'!A:A,MATCH(89,'بيانات الحركات'!$G:$G,0)),"")</f>
        <v>46218</v>
      </c>
      <c r="B90" s="5" t="str">
        <f>IFERROR(INDEX('بيانات الحركات'!B:B,MATCH(89,'بيانات الحركات'!$G:$G,0)),"")</f>
        <v>شراء</v>
      </c>
      <c r="C90" s="3" t="str">
        <f>IFERROR(INDEX('بيانات الحركات'!C:C,MATCH(89,'بيانات الحركات'!$G:$G,0)),"")</f>
        <v>-</v>
      </c>
      <c r="D90" s="3" t="str">
        <f>IFERROR(INDEX('بيانات الحركات'!D:D,MATCH(89,'بيانات الحركات'!$G:$G,0)),"")</f>
        <v>ملطف جو</v>
      </c>
      <c r="E90" s="21">
        <f>IF($B90="إنتاج طبخة","",IFERROR(INDEX('بيانات الحركات'!E:E,MATCH(89,'بيانات الحركات'!$G:$G,0)),""))</f>
        <v>0</v>
      </c>
      <c r="F90" s="3" t="str">
        <f>IFERROR(INDEX('بيانات الحركات'!F:F,MATCH(89,'بيانات الحركات'!$G:$G,0)),"")</f>
        <v/>
      </c>
    </row>
    <row r="91" spans="1:6" ht="21.95" customHeight="1">
      <c r="A91" s="8">
        <f>IFERROR(INDEX('بيانات الحركات'!A:A,MATCH(90,'بيانات الحركات'!$G:$G,0)),"")</f>
        <v>46218</v>
      </c>
      <c r="B91" s="5" t="str">
        <f>IFERROR(INDEX('بيانات الحركات'!B:B,MATCH(90,'بيانات الحركات'!$G:$G,0)),"")</f>
        <v>شراء</v>
      </c>
      <c r="C91" s="3" t="str">
        <f>IFERROR(INDEX('بيانات الحركات'!C:C,MATCH(90,'بيانات الحركات'!$G:$G,0)),"")</f>
        <v>-</v>
      </c>
      <c r="D91" s="3" t="str">
        <f>IFERROR(INDEX('بيانات الحركات'!D:D,MATCH(90,'بيانات الحركات'!$G:$G,0)),"")</f>
        <v xml:space="preserve">مكانس ناعمة كثيفة </v>
      </c>
      <c r="E91" s="21">
        <f>IF($B91="إنتاج طبخة","",IFERROR(INDEX('بيانات الحركات'!E:E,MATCH(90,'بيانات الحركات'!$G:$G,0)),""))</f>
        <v>0</v>
      </c>
      <c r="F91" s="3" t="str">
        <f>IFERROR(INDEX('بيانات الحركات'!F:F,MATCH(90,'بيانات الحركات'!$G:$G,0)),"")</f>
        <v/>
      </c>
    </row>
    <row r="92" spans="1:6" ht="21.95" customHeight="1">
      <c r="A92" s="8">
        <f>IFERROR(INDEX('بيانات الحركات'!A:A,MATCH(91,'بيانات الحركات'!$G:$G,0)),"")</f>
        <v>46218</v>
      </c>
      <c r="B92" s="5" t="str">
        <f>IFERROR(INDEX('بيانات الحركات'!B:B,MATCH(91,'بيانات الحركات'!$G:$G,0)),"")</f>
        <v>شراء</v>
      </c>
      <c r="C92" s="3" t="str">
        <f>IFERROR(INDEX('بيانات الحركات'!C:C,MATCH(91,'بيانات الحركات'!$G:$G,0)),"")</f>
        <v>-</v>
      </c>
      <c r="D92" s="3" t="str">
        <f>IFERROR(INDEX('بيانات الحركات'!D:D,MATCH(91,'بيانات الحركات'!$G:$G,0)),"")</f>
        <v xml:space="preserve">مكانس خشنة </v>
      </c>
      <c r="E92" s="21">
        <f>IF($B92="إنتاج طبخة","",IFERROR(INDEX('بيانات الحركات'!E:E,MATCH(91,'بيانات الحركات'!$G:$G,0)),""))</f>
        <v>0</v>
      </c>
      <c r="F92" s="3" t="str">
        <f>IFERROR(INDEX('بيانات الحركات'!F:F,MATCH(91,'بيانات الحركات'!$G:$G,0)),"")</f>
        <v/>
      </c>
    </row>
    <row r="93" spans="1:6" ht="21.95" customHeight="1">
      <c r="A93" s="8">
        <f>IFERROR(INDEX('بيانات الحركات'!A:A,MATCH(92,'بيانات الحركات'!$G:$G,0)),"")</f>
        <v>46218</v>
      </c>
      <c r="B93" s="5" t="str">
        <f>IFERROR(INDEX('بيانات الحركات'!B:B,MATCH(92,'بيانات الحركات'!$G:$G,0)),"")</f>
        <v>شراء</v>
      </c>
      <c r="C93" s="3" t="str">
        <f>IFERROR(INDEX('بيانات الحركات'!C:C,MATCH(92,'بيانات الحركات'!$G:$G,0)),"")</f>
        <v>-</v>
      </c>
      <c r="D93" s="3" t="str">
        <f>IFERROR(INDEX('بيانات الحركات'!D:D,MATCH(92,'بيانات الحركات'!$G:$G,0)),"")</f>
        <v>معطر كرمل .</v>
      </c>
      <c r="E93" s="21">
        <f>IF($B93="إنتاج طبخة","",IFERROR(INDEX('بيانات الحركات'!E:E,MATCH(92,'بيانات الحركات'!$G:$G,0)),""))</f>
        <v>0</v>
      </c>
      <c r="F93" s="3" t="str">
        <f>IFERROR(INDEX('بيانات الحركات'!F:F,MATCH(92,'بيانات الحركات'!$G:$G,0)),"")</f>
        <v/>
      </c>
    </row>
    <row r="94" spans="1:6" ht="21.95" customHeight="1">
      <c r="A94" s="8">
        <f>IFERROR(INDEX('بيانات الحركات'!A:A,MATCH(93,'بيانات الحركات'!$G:$G,0)),"")</f>
        <v>46218</v>
      </c>
      <c r="B94" s="5" t="str">
        <f>IFERROR(INDEX('بيانات الحركات'!B:B,MATCH(93,'بيانات الحركات'!$G:$G,0)),"")</f>
        <v>شراء</v>
      </c>
      <c r="C94" s="3" t="str">
        <f>IFERROR(INDEX('بيانات الحركات'!C:C,MATCH(93,'بيانات الحركات'!$G:$G,0)),"")</f>
        <v>-</v>
      </c>
      <c r="D94" s="3" t="str">
        <f>IFERROR(INDEX('بيانات الحركات'!D:D,MATCH(93,'بيانات الحركات'!$G:$G,0)),"")</f>
        <v>معطر عافية</v>
      </c>
      <c r="E94" s="21">
        <f>IF($B94="إنتاج طبخة","",IFERROR(INDEX('بيانات الحركات'!E:E,MATCH(93,'بيانات الحركات'!$G:$G,0)),""))</f>
        <v>0</v>
      </c>
      <c r="F94" s="3" t="str">
        <f>IFERROR(INDEX('بيانات الحركات'!F:F,MATCH(93,'بيانات الحركات'!$G:$G,0)),"")</f>
        <v/>
      </c>
    </row>
    <row r="95" spans="1:6" ht="21.95" customHeight="1">
      <c r="A95" s="8">
        <f>IFERROR(INDEX('بيانات الحركات'!A:A,MATCH(94,'بيانات الحركات'!$G:$G,0)),"")</f>
        <v>46218</v>
      </c>
      <c r="B95" s="5" t="str">
        <f>IFERROR(INDEX('بيانات الحركات'!B:B,MATCH(94,'بيانات الحركات'!$G:$G,0)),"")</f>
        <v>شراء</v>
      </c>
      <c r="C95" s="3" t="str">
        <f>IFERROR(INDEX('بيانات الحركات'!C:C,MATCH(94,'بيانات الحركات'!$G:$G,0)),"")</f>
        <v>-</v>
      </c>
      <c r="D95" s="3" t="str">
        <f>IFERROR(INDEX('بيانات الحركات'!D:D,MATCH(94,'بيانات الحركات'!$G:$G,0)),"")</f>
        <v xml:space="preserve">معطر super / فرط </v>
      </c>
      <c r="E95" s="21">
        <f>IF($B95="إنتاج طبخة","",IFERROR(INDEX('بيانات الحركات'!E:E,MATCH(94,'بيانات الحركات'!$G:$G,0)),""))</f>
        <v>0</v>
      </c>
      <c r="F95" s="3" t="str">
        <f>IFERROR(INDEX('بيانات الحركات'!F:F,MATCH(94,'بيانات الحركات'!$G:$G,0)),"")</f>
        <v/>
      </c>
    </row>
    <row r="96" spans="1:6" ht="21.95" customHeight="1">
      <c r="A96" s="8">
        <f>IFERROR(INDEX('بيانات الحركات'!A:A,MATCH(95,'بيانات الحركات'!$G:$G,0)),"")</f>
        <v>46218</v>
      </c>
      <c r="B96" s="5" t="str">
        <f>IFERROR(INDEX('بيانات الحركات'!B:B,MATCH(95,'بيانات الحركات'!$G:$G,0)),"")</f>
        <v>شراء</v>
      </c>
      <c r="C96" s="3" t="str">
        <f>IFERROR(INDEX('بيانات الحركات'!C:C,MATCH(95,'بيانات الحركات'!$G:$G,0)),"")</f>
        <v>-</v>
      </c>
      <c r="D96" s="3" t="str">
        <f>IFERROR(INDEX('بيانات الحركات'!D:D,MATCH(95,'بيانات الحركات'!$G:$G,0)),"")</f>
        <v>معطر super / عبوة 3 لتر</v>
      </c>
      <c r="E96" s="21">
        <f>IF($B96="إنتاج طبخة","",IFERROR(INDEX('بيانات الحركات'!E:E,MATCH(95,'بيانات الحركات'!$G:$G,0)),""))</f>
        <v>0</v>
      </c>
      <c r="F96" s="3" t="str">
        <f>IFERROR(INDEX('بيانات الحركات'!F:F,MATCH(95,'بيانات الحركات'!$G:$G,0)),"")</f>
        <v/>
      </c>
    </row>
    <row r="97" spans="1:6" ht="21.95" customHeight="1">
      <c r="A97" s="8">
        <f>IFERROR(INDEX('بيانات الحركات'!A:A,MATCH(96,'بيانات الحركات'!$G:$G,0)),"")</f>
        <v>46218</v>
      </c>
      <c r="B97" s="5" t="str">
        <f>IFERROR(INDEX('بيانات الحركات'!B:B,MATCH(96,'بيانات الحركات'!$G:$G,0)),"")</f>
        <v>شراء</v>
      </c>
      <c r="C97" s="3" t="str">
        <f>IFERROR(INDEX('بيانات الحركات'!C:C,MATCH(96,'بيانات الحركات'!$G:$G,0)),"")</f>
        <v>-</v>
      </c>
      <c r="D97" s="3" t="str">
        <f>IFERROR(INDEX('بيانات الحركات'!D:D,MATCH(96,'بيانات الحركات'!$G:$G,0)),"")</f>
        <v xml:space="preserve">مساحات / نشافات </v>
      </c>
      <c r="E97" s="21">
        <f>IF($B97="إنتاج طبخة","",IFERROR(INDEX('بيانات الحركات'!E:E,MATCH(96,'بيانات الحركات'!$G:$G,0)),""))</f>
        <v>0</v>
      </c>
      <c r="F97" s="3" t="str">
        <f>IFERROR(INDEX('بيانات الحركات'!F:F,MATCH(96,'بيانات الحركات'!$G:$G,0)),"")</f>
        <v/>
      </c>
    </row>
    <row r="98" spans="1:6" ht="21.95" customHeight="1">
      <c r="A98" s="8">
        <f>IFERROR(INDEX('بيانات الحركات'!A:A,MATCH(97,'بيانات الحركات'!$G:$G,0)),"")</f>
        <v>46218</v>
      </c>
      <c r="B98" s="5" t="str">
        <f>IFERROR(INDEX('بيانات الحركات'!B:B,MATCH(97,'بيانات الحركات'!$G:$G,0)),"")</f>
        <v>شراء</v>
      </c>
      <c r="C98" s="3" t="str">
        <f>IFERROR(INDEX('بيانات الحركات'!C:C,MATCH(97,'بيانات الحركات'!$G:$G,0)),"")</f>
        <v>-</v>
      </c>
      <c r="D98" s="3" t="str">
        <f>IFERROR(INDEX('بيانات الحركات'!D:D,MATCH(97,'بيانات الحركات'!$G:$G,0)),"")</f>
        <v>محارم مكتب</v>
      </c>
      <c r="E98" s="21">
        <f>IF($B98="إنتاج طبخة","",IFERROR(INDEX('بيانات الحركات'!E:E,MATCH(97,'بيانات الحركات'!$G:$G,0)),""))</f>
        <v>0</v>
      </c>
      <c r="F98" s="3" t="str">
        <f>IFERROR(INDEX('بيانات الحركات'!F:F,MATCH(97,'بيانات الحركات'!$G:$G,0)),"")</f>
        <v/>
      </c>
    </row>
    <row r="99" spans="1:6" ht="21.95" customHeight="1">
      <c r="A99" s="8">
        <f>IFERROR(INDEX('بيانات الحركات'!A:A,MATCH(98,'بيانات الحركات'!$G:$G,0)),"")</f>
        <v>46218</v>
      </c>
      <c r="B99" s="5" t="str">
        <f>IFERROR(INDEX('بيانات الحركات'!B:B,MATCH(98,'بيانات الحركات'!$G:$G,0)),"")</f>
        <v>شراء</v>
      </c>
      <c r="C99" s="3" t="str">
        <f>IFERROR(INDEX('بيانات الحركات'!C:C,MATCH(98,'بيانات الحركات'!$G:$G,0)),"")</f>
        <v>-</v>
      </c>
      <c r="D99" s="3" t="str">
        <f>IFERROR(INDEX('بيانات الحركات'!D:D,MATCH(98,'بيانات الحركات'!$G:$G,0)),"")</f>
        <v>محارم تواليت</v>
      </c>
      <c r="E99" s="21">
        <f>IF($B99="إنتاج طبخة","",IFERROR(INDEX('بيانات الحركات'!E:E,MATCH(98,'بيانات الحركات'!$G:$G,0)),""))</f>
        <v>0</v>
      </c>
      <c r="F99" s="3" t="str">
        <f>IFERROR(INDEX('بيانات الحركات'!F:F,MATCH(98,'بيانات الحركات'!$G:$G,0)),"")</f>
        <v/>
      </c>
    </row>
    <row r="100" spans="1:6" ht="21.95" customHeight="1">
      <c r="A100" s="8">
        <f>IFERROR(INDEX('بيانات الحركات'!A:A,MATCH(99,'بيانات الحركات'!$G:$G,0)),"")</f>
        <v>46218</v>
      </c>
      <c r="B100" s="5" t="str">
        <f>IFERROR(INDEX('بيانات الحركات'!B:B,MATCH(99,'بيانات الحركات'!$G:$G,0)),"")</f>
        <v>شراء</v>
      </c>
      <c r="C100" s="3" t="str">
        <f>IFERROR(INDEX('بيانات الحركات'!C:C,MATCH(99,'بيانات الحركات'!$G:$G,0)),"")</f>
        <v>-</v>
      </c>
      <c r="D100" s="3" t="str">
        <f>IFERROR(INDEX('بيانات الحركات'!D:D,MATCH(99,'بيانات الحركات'!$G:$G,0)),"")</f>
        <v>محارم الكرزة</v>
      </c>
      <c r="E100" s="21">
        <f>IF($B100="إنتاج طبخة","",IFERROR(INDEX('بيانات الحركات'!E:E,MATCH(99,'بيانات الحركات'!$G:$G,0)),""))</f>
        <v>0</v>
      </c>
      <c r="F100" s="3" t="str">
        <f>IFERROR(INDEX('بيانات الحركات'!F:F,MATCH(99,'بيانات الحركات'!$G:$G,0)),"")</f>
        <v/>
      </c>
    </row>
    <row r="101" spans="1:6" ht="21.95" customHeight="1">
      <c r="A101" s="8">
        <f>IFERROR(INDEX('بيانات الحركات'!A:A,MATCH(100,'بيانات الحركات'!$G:$G,0)),"")</f>
        <v>46218</v>
      </c>
      <c r="B101" s="5" t="str">
        <f>IFERROR(INDEX('بيانات الحركات'!B:B,MATCH(100,'بيانات الحركات'!$G:$G,0)),"")</f>
        <v>شراء</v>
      </c>
      <c r="C101" s="3" t="str">
        <f>IFERROR(INDEX('بيانات الحركات'!C:C,MATCH(100,'بيانات الحركات'!$G:$G,0)),"")</f>
        <v>-</v>
      </c>
      <c r="D101" s="3" t="str">
        <f>IFERROR(INDEX('بيانات الحركات'!D:D,MATCH(100,'بيانات الحركات'!$G:$G,0)),"")</f>
        <v>مبيد حشري بار بار</v>
      </c>
      <c r="E101" s="21">
        <f>IF($B101="إنتاج طبخة","",IFERROR(INDEX('بيانات الحركات'!E:E,MATCH(100,'بيانات الحركات'!$G:$G,0)),""))</f>
        <v>0</v>
      </c>
      <c r="F101" s="3" t="str">
        <f>IFERROR(INDEX('بيانات الحركات'!F:F,MATCH(100,'بيانات الحركات'!$G:$G,0)),"")</f>
        <v/>
      </c>
    </row>
    <row r="102" spans="1:6" ht="21.95" customHeight="1">
      <c r="A102" s="8">
        <f>IFERROR(INDEX('بيانات الحركات'!A:A,MATCH(101,'بيانات الحركات'!$G:$G,0)),"")</f>
        <v>46218</v>
      </c>
      <c r="B102" s="5" t="str">
        <f>IFERROR(INDEX('بيانات الحركات'!B:B,MATCH(101,'بيانات الحركات'!$G:$G,0)),"")</f>
        <v>شراء</v>
      </c>
      <c r="C102" s="3" t="str">
        <f>IFERROR(INDEX('بيانات الحركات'!C:C,MATCH(101,'بيانات الحركات'!$G:$G,0)),"")</f>
        <v>-</v>
      </c>
      <c r="D102" s="3" t="str">
        <f>IFERROR(INDEX('بيانات الحركات'!D:D,MATCH(101,'بيانات الحركات'!$G:$G,0)),"")</f>
        <v xml:space="preserve">ليف جلي ثلاثية </v>
      </c>
      <c r="E102" s="21">
        <f>IF($B102="إنتاج طبخة","",IFERROR(INDEX('بيانات الحركات'!E:E,MATCH(101,'بيانات الحركات'!$G:$G,0)),""))</f>
        <v>0</v>
      </c>
      <c r="F102" s="3" t="str">
        <f>IFERROR(INDEX('بيانات الحركات'!F:F,MATCH(101,'بيانات الحركات'!$G:$G,0)),"")</f>
        <v/>
      </c>
    </row>
    <row r="103" spans="1:6" ht="21.95" customHeight="1">
      <c r="A103" s="8">
        <f>IFERROR(INDEX('بيانات الحركات'!A:A,MATCH(102,'بيانات الحركات'!$G:$G,0)),"")</f>
        <v>46218</v>
      </c>
      <c r="B103" s="5" t="str">
        <f>IFERROR(INDEX('بيانات الحركات'!B:B,MATCH(102,'بيانات الحركات'!$G:$G,0)),"")</f>
        <v>شراء</v>
      </c>
      <c r="C103" s="3" t="str">
        <f>IFERROR(INDEX('بيانات الحركات'!C:C,MATCH(102,'بيانات الحركات'!$G:$G,0)),"")</f>
        <v>-</v>
      </c>
      <c r="D103" s="3" t="str">
        <f>IFERROR(INDEX('بيانات الحركات'!D:D,MATCH(102,'بيانات الحركات'!$G:$G,0)),"")</f>
        <v>ليف اسفنج</v>
      </c>
      <c r="E103" s="21">
        <f>IF($B103="إنتاج طبخة","",IFERROR(INDEX('بيانات الحركات'!E:E,MATCH(102,'بيانات الحركات'!$G:$G,0)),""))</f>
        <v>0</v>
      </c>
      <c r="F103" s="3" t="str">
        <f>IFERROR(INDEX('بيانات الحركات'!F:F,MATCH(102,'بيانات الحركات'!$G:$G,0)),"")</f>
        <v/>
      </c>
    </row>
    <row r="104" spans="1:6" ht="21.95" customHeight="1">
      <c r="A104" s="8">
        <f>IFERROR(INDEX('بيانات الحركات'!A:A,MATCH(103,'بيانات الحركات'!$G:$G,0)),"")</f>
        <v>46218</v>
      </c>
      <c r="B104" s="5" t="str">
        <f>IFERROR(INDEX('بيانات الحركات'!B:B,MATCH(103,'بيانات الحركات'!$G:$G,0)),"")</f>
        <v>شراء</v>
      </c>
      <c r="C104" s="3" t="str">
        <f>IFERROR(INDEX('بيانات الحركات'!C:C,MATCH(103,'بيانات الحركات'!$G:$G,0)),"")</f>
        <v>-</v>
      </c>
      <c r="D104" s="3" t="str">
        <f>IFERROR(INDEX('بيانات الحركات'!D:D,MATCH(103,'بيانات الحركات'!$G:$G,0)),"")</f>
        <v>لوح صابون مسك</v>
      </c>
      <c r="E104" s="21">
        <f>IF($B104="إنتاج طبخة","",IFERROR(INDEX('بيانات الحركات'!E:E,MATCH(103,'بيانات الحركات'!$G:$G,0)),""))</f>
        <v>0</v>
      </c>
      <c r="F104" s="3" t="str">
        <f>IFERROR(INDEX('بيانات الحركات'!F:F,MATCH(103,'بيانات الحركات'!$G:$G,0)),"")</f>
        <v/>
      </c>
    </row>
    <row r="105" spans="1:6" ht="21.95" customHeight="1">
      <c r="A105" s="8">
        <f>IFERROR(INDEX('بيانات الحركات'!A:A,MATCH(104,'بيانات الحركات'!$G:$G,0)),"")</f>
        <v>46218</v>
      </c>
      <c r="B105" s="5" t="str">
        <f>IFERROR(INDEX('بيانات الحركات'!B:B,MATCH(104,'بيانات الحركات'!$G:$G,0)),"")</f>
        <v>شراء</v>
      </c>
      <c r="C105" s="3" t="str">
        <f>IFERROR(INDEX('بيانات الحركات'!C:C,MATCH(104,'بيانات الحركات'!$G:$G,0)),"")</f>
        <v>-</v>
      </c>
      <c r="D105" s="3" t="str">
        <f>IFERROR(INDEX('بيانات الحركات'!D:D,MATCH(104,'بيانات الحركات'!$G:$G,0)),"")</f>
        <v>لاصق</v>
      </c>
      <c r="E105" s="21">
        <f>IF($B105="إنتاج طبخة","",IFERROR(INDEX('بيانات الحركات'!E:E,MATCH(104,'بيانات الحركات'!$G:$G,0)),""))</f>
        <v>0</v>
      </c>
      <c r="F105" s="3" t="str">
        <f>IFERROR(INDEX('بيانات الحركات'!F:F,MATCH(104,'بيانات الحركات'!$G:$G,0)),"")</f>
        <v/>
      </c>
    </row>
    <row r="106" spans="1:6" ht="21.95" customHeight="1">
      <c r="A106" s="8">
        <f>IFERROR(INDEX('بيانات الحركات'!A:A,MATCH(105,'بيانات الحركات'!$G:$G,0)),"")</f>
        <v>46218</v>
      </c>
      <c r="B106" s="5" t="str">
        <f>IFERROR(INDEX('بيانات الحركات'!B:B,MATCH(105,'بيانات الحركات'!$G:$G,0)),"")</f>
        <v>شراء</v>
      </c>
      <c r="C106" s="3" t="str">
        <f>IFERROR(INDEX('بيانات الحركات'!C:C,MATCH(105,'بيانات الحركات'!$G:$G,0)),"")</f>
        <v>-</v>
      </c>
      <c r="D106" s="3" t="str">
        <f>IFERROR(INDEX('بيانات الحركات'!D:D,MATCH(105,'بيانات الحركات'!$G:$G,0)),"")</f>
        <v>كياس نايلون</v>
      </c>
      <c r="E106" s="21">
        <f>IF($B106="إنتاج طبخة","",IFERROR(INDEX('بيانات الحركات'!E:E,MATCH(105,'بيانات الحركات'!$G:$G,0)),""))</f>
        <v>0</v>
      </c>
      <c r="F106" s="3" t="str">
        <f>IFERROR(INDEX('بيانات الحركات'!F:F,MATCH(105,'بيانات الحركات'!$G:$G,0)),"")</f>
        <v/>
      </c>
    </row>
    <row r="107" spans="1:6" ht="21.95" customHeight="1">
      <c r="A107" s="8">
        <f>IFERROR(INDEX('بيانات الحركات'!A:A,MATCH(106,'بيانات الحركات'!$G:$G,0)),"")</f>
        <v>46218</v>
      </c>
      <c r="B107" s="5" t="str">
        <f>IFERROR(INDEX('بيانات الحركات'!B:B,MATCH(106,'بيانات الحركات'!$G:$G,0)),"")</f>
        <v>شراء</v>
      </c>
      <c r="C107" s="3" t="str">
        <f>IFERROR(INDEX('بيانات الحركات'!C:C,MATCH(106,'بيانات الحركات'!$G:$G,0)),"")</f>
        <v>-</v>
      </c>
      <c r="D107" s="3" t="str">
        <f>IFERROR(INDEX('بيانات الحركات'!D:D,MATCH(106,'بيانات الحركات'!$G:$G,0)),"")</f>
        <v>كياس قمامة</v>
      </c>
      <c r="E107" s="21">
        <f>IF($B107="إنتاج طبخة","",IFERROR(INDEX('بيانات الحركات'!E:E,MATCH(106,'بيانات الحركات'!$G:$G,0)),""))</f>
        <v>0</v>
      </c>
      <c r="F107" s="3" t="str">
        <f>IFERROR(INDEX('بيانات الحركات'!F:F,MATCH(106,'بيانات الحركات'!$G:$G,0)),"")</f>
        <v/>
      </c>
    </row>
    <row r="108" spans="1:6" ht="21.95" customHeight="1">
      <c r="A108" s="8">
        <f>IFERROR(INDEX('بيانات الحركات'!A:A,MATCH(107,'بيانات الحركات'!$G:$G,0)),"")</f>
        <v>46218</v>
      </c>
      <c r="B108" s="5" t="str">
        <f>IFERROR(INDEX('بيانات الحركات'!B:B,MATCH(107,'بيانات الحركات'!$G:$G,0)),"")</f>
        <v>شراء</v>
      </c>
      <c r="C108" s="3" t="str">
        <f>IFERROR(INDEX('بيانات الحركات'!C:C,MATCH(107,'بيانات الحركات'!$G:$G,0)),"")</f>
        <v>-</v>
      </c>
      <c r="D108" s="3" t="str">
        <f>IFERROR(INDEX('بيانات الحركات'!D:D,MATCH(107,'بيانات الحركات'!$G:$G,0)),"")</f>
        <v>كمامات</v>
      </c>
      <c r="E108" s="21">
        <f>IF($B108="إنتاج طبخة","",IFERROR(INDEX('بيانات الحركات'!E:E,MATCH(107,'بيانات الحركات'!$G:$G,0)),""))</f>
        <v>0</v>
      </c>
      <c r="F108" s="3" t="str">
        <f>IFERROR(INDEX('بيانات الحركات'!F:F,MATCH(107,'بيانات الحركات'!$G:$G,0)),"")</f>
        <v/>
      </c>
    </row>
    <row r="109" spans="1:6" ht="21.95" customHeight="1">
      <c r="A109" s="8">
        <f>IFERROR(INDEX('بيانات الحركات'!A:A,MATCH(108,'بيانات الحركات'!$G:$G,0)),"")</f>
        <v>46218</v>
      </c>
      <c r="B109" s="5" t="str">
        <f>IFERROR(INDEX('بيانات الحركات'!B:B,MATCH(108,'بيانات الحركات'!$G:$G,0)),"")</f>
        <v>شراء</v>
      </c>
      <c r="C109" s="3" t="str">
        <f>IFERROR(INDEX('بيانات الحركات'!C:C,MATCH(108,'بيانات الحركات'!$G:$G,0)),"")</f>
        <v>-</v>
      </c>
      <c r="D109" s="3" t="str">
        <f>IFERROR(INDEX('بيانات الحركات'!D:D,MATCH(108,'بيانات الحركات'!$G:$G,0)),"")</f>
        <v>كلور 4 لتر</v>
      </c>
      <c r="E109" s="21">
        <f>IF($B109="إنتاج طبخة","",IFERROR(INDEX('بيانات الحركات'!E:E,MATCH(108,'بيانات الحركات'!$G:$G,0)),""))</f>
        <v>0</v>
      </c>
      <c r="F109" s="3" t="str">
        <f>IFERROR(INDEX('بيانات الحركات'!F:F,MATCH(108,'بيانات الحركات'!$G:$G,0)),"")</f>
        <v/>
      </c>
    </row>
    <row r="110" spans="1:6" ht="21.95" customHeight="1">
      <c r="A110" s="8">
        <f>IFERROR(INDEX('بيانات الحركات'!A:A,MATCH(109,'بيانات الحركات'!$G:$G,0)),"")</f>
        <v>46218</v>
      </c>
      <c r="B110" s="5" t="str">
        <f>IFERROR(INDEX('بيانات الحركات'!B:B,MATCH(109,'بيانات الحركات'!$G:$G,0)),"")</f>
        <v>شراء</v>
      </c>
      <c r="C110" s="3" t="str">
        <f>IFERROR(INDEX('بيانات الحركات'!C:C,MATCH(109,'بيانات الحركات'!$G:$G,0)),"")</f>
        <v>-</v>
      </c>
      <c r="D110" s="3" t="str">
        <f>IFERROR(INDEX('بيانات الحركات'!D:D,MATCH(109,'بيانات الحركات'!$G:$G,0)),"")</f>
        <v>كلور 1 لتر</v>
      </c>
      <c r="E110" s="21">
        <f>IF($B110="إنتاج طبخة","",IFERROR(INDEX('بيانات الحركات'!E:E,MATCH(109,'بيانات الحركات'!$G:$G,0)),""))</f>
        <v>0</v>
      </c>
      <c r="F110" s="3" t="str">
        <f>IFERROR(INDEX('بيانات الحركات'!F:F,MATCH(109,'بيانات الحركات'!$G:$G,0)),"")</f>
        <v/>
      </c>
    </row>
    <row r="111" spans="1:6" ht="21.95" customHeight="1">
      <c r="A111" s="8">
        <f>IFERROR(INDEX('بيانات الحركات'!A:A,MATCH(110,'بيانات الحركات'!$G:$G,0)),"")</f>
        <v>46218</v>
      </c>
      <c r="B111" s="5" t="str">
        <f>IFERROR(INDEX('بيانات الحركات'!B:B,MATCH(110,'بيانات الحركات'!$G:$G,0)),"")</f>
        <v>شراء</v>
      </c>
      <c r="C111" s="3" t="str">
        <f>IFERROR(INDEX('بيانات الحركات'!C:C,MATCH(110,'بيانات الحركات'!$G:$G,0)),"")</f>
        <v>-</v>
      </c>
      <c r="D111" s="3" t="str">
        <f>IFERROR(INDEX('بيانات الحركات'!D:D,MATCH(110,'بيانات الحركات'!$G:$G,0)),"")</f>
        <v xml:space="preserve">كلور / فرط </v>
      </c>
      <c r="E111" s="21">
        <f>IF($B111="إنتاج طبخة","",IFERROR(INDEX('بيانات الحركات'!E:E,MATCH(110,'بيانات الحركات'!$G:$G,0)),""))</f>
        <v>0</v>
      </c>
      <c r="F111" s="3" t="str">
        <f>IFERROR(INDEX('بيانات الحركات'!F:F,MATCH(110,'بيانات الحركات'!$G:$G,0)),"")</f>
        <v/>
      </c>
    </row>
    <row r="112" spans="1:6" ht="21.95" customHeight="1">
      <c r="A112" s="8">
        <f>IFERROR(INDEX('بيانات الحركات'!A:A,MATCH(111,'بيانات الحركات'!$G:$G,0)),"")</f>
        <v>46218</v>
      </c>
      <c r="B112" s="5" t="str">
        <f>IFERROR(INDEX('بيانات الحركات'!B:B,MATCH(111,'بيانات الحركات'!$G:$G,0)),"")</f>
        <v>شراء</v>
      </c>
      <c r="C112" s="3" t="str">
        <f>IFERROR(INDEX('بيانات الحركات'!C:C,MATCH(111,'بيانات الحركات'!$G:$G,0)),"")</f>
        <v>-</v>
      </c>
      <c r="D112" s="3" t="str">
        <f>IFERROR(INDEX('بيانات الحركات'!D:D,MATCH(111,'بيانات الحركات'!$G:$G,0)),"")</f>
        <v>كفوف نايلون</v>
      </c>
      <c r="E112" s="21">
        <f>IF($B112="إنتاج طبخة","",IFERROR(INDEX('بيانات الحركات'!E:E,MATCH(111,'بيانات الحركات'!$G:$G,0)),""))</f>
        <v>0</v>
      </c>
      <c r="F112" s="3" t="str">
        <f>IFERROR(INDEX('بيانات الحركات'!F:F,MATCH(111,'بيانات الحركات'!$G:$G,0)),"")</f>
        <v/>
      </c>
    </row>
    <row r="113" spans="1:6" ht="21.95" customHeight="1">
      <c r="A113" s="8">
        <f>IFERROR(INDEX('بيانات الحركات'!A:A,MATCH(112,'بيانات الحركات'!$G:$G,0)),"")</f>
        <v>46218</v>
      </c>
      <c r="B113" s="5" t="str">
        <f>IFERROR(INDEX('بيانات الحركات'!B:B,MATCH(112,'بيانات الحركات'!$G:$G,0)),"")</f>
        <v>شراء</v>
      </c>
      <c r="C113" s="3" t="str">
        <f>IFERROR(INDEX('بيانات الحركات'!C:C,MATCH(112,'بيانات الحركات'!$G:$G,0)),"")</f>
        <v>-</v>
      </c>
      <c r="D113" s="3" t="str">
        <f>IFERROR(INDEX('بيانات الحركات'!D:D,MATCH(112,'بيانات الحركات'!$G:$G,0)),"")</f>
        <v>كفوف طبية</v>
      </c>
      <c r="E113" s="21">
        <f>IF($B113="إنتاج طبخة","",IFERROR(INDEX('بيانات الحركات'!E:E,MATCH(112,'بيانات الحركات'!$G:$G,0)),""))</f>
        <v>0</v>
      </c>
      <c r="F113" s="3" t="str">
        <f>IFERROR(INDEX('بيانات الحركات'!F:F,MATCH(112,'بيانات الحركات'!$G:$G,0)),"")</f>
        <v/>
      </c>
    </row>
    <row r="114" spans="1:6" ht="21.95" customHeight="1">
      <c r="A114" s="8">
        <f>IFERROR(INDEX('بيانات الحركات'!A:A,MATCH(113,'بيانات الحركات'!$G:$G,0)),"")</f>
        <v>46218</v>
      </c>
      <c r="B114" s="5" t="str">
        <f>IFERROR(INDEX('بيانات الحركات'!B:B,MATCH(113,'بيانات الحركات'!$G:$G,0)),"")</f>
        <v>شراء</v>
      </c>
      <c r="C114" s="3" t="str">
        <f>IFERROR(INDEX('بيانات الحركات'!C:C,MATCH(113,'بيانات الحركات'!$G:$G,0)),"")</f>
        <v>-</v>
      </c>
      <c r="D114" s="3" t="str">
        <f>IFERROR(INDEX('بيانات الحركات'!D:D,MATCH(113,'بيانات الحركات'!$G:$G,0)),"")</f>
        <v>كفوف صناعية</v>
      </c>
      <c r="E114" s="21">
        <f>IF($B114="إنتاج طبخة","",IFERROR(INDEX('بيانات الحركات'!E:E,MATCH(113,'بيانات الحركات'!$G:$G,0)),""))</f>
        <v>0</v>
      </c>
      <c r="F114" s="3" t="str">
        <f>IFERROR(INDEX('بيانات الحركات'!F:F,MATCH(113,'بيانات الحركات'!$G:$G,0)),"")</f>
        <v/>
      </c>
    </row>
    <row r="115" spans="1:6" ht="21.95" customHeight="1">
      <c r="A115" s="8">
        <f>IFERROR(INDEX('بيانات الحركات'!A:A,MATCH(114,'بيانات الحركات'!$G:$G,0)),"")</f>
        <v>46218</v>
      </c>
      <c r="B115" s="5" t="str">
        <f>IFERROR(INDEX('بيانات الحركات'!B:B,MATCH(114,'بيانات الحركات'!$G:$G,0)),"")</f>
        <v>شراء</v>
      </c>
      <c r="C115" s="3" t="str">
        <f>IFERROR(INDEX('بيانات الحركات'!C:C,MATCH(114,'بيانات الحركات'!$G:$G,0)),"")</f>
        <v>-</v>
      </c>
      <c r="D115" s="3" t="str">
        <f>IFERROR(INDEX('بيانات الحركات'!D:D,MATCH(114,'بيانات الحركات'!$G:$G,0)),"")</f>
        <v>كفوف جلي</v>
      </c>
      <c r="E115" s="21">
        <f>IF($B115="إنتاج طبخة","",IFERROR(INDEX('بيانات الحركات'!E:E,MATCH(114,'بيانات الحركات'!$G:$G,0)),""))</f>
        <v>0</v>
      </c>
      <c r="F115" s="3" t="str">
        <f>IFERROR(INDEX('بيانات الحركات'!F:F,MATCH(114,'بيانات الحركات'!$G:$G,0)),"")</f>
        <v/>
      </c>
    </row>
    <row r="116" spans="1:6" ht="21.95" customHeight="1">
      <c r="A116" s="8">
        <f>IFERROR(INDEX('بيانات الحركات'!A:A,MATCH(115,'بيانات الحركات'!$G:$G,0)),"")</f>
        <v>46218</v>
      </c>
      <c r="B116" s="5" t="str">
        <f>IFERROR(INDEX('بيانات الحركات'!B:B,MATCH(115,'بيانات الحركات'!$G:$G,0)),"")</f>
        <v>شراء</v>
      </c>
      <c r="C116" s="3" t="str">
        <f>IFERROR(INDEX('بيانات الحركات'!C:C,MATCH(115,'بيانات الحركات'!$G:$G,0)),"")</f>
        <v>-</v>
      </c>
      <c r="D116" s="3" t="str">
        <f>IFERROR(INDEX('بيانات الحركات'!D:D,MATCH(115,'بيانات الحركات'!$G:$G,0)),"")</f>
        <v>كاسات شاي صغيرة 17 *6</v>
      </c>
      <c r="E116" s="21">
        <f>IF($B116="إنتاج طبخة","",IFERROR(INDEX('بيانات الحركات'!E:E,MATCH(115,'بيانات الحركات'!$G:$G,0)),""))</f>
        <v>0</v>
      </c>
      <c r="F116" s="3" t="str">
        <f>IFERROR(INDEX('بيانات الحركات'!F:F,MATCH(115,'بيانات الحركات'!$G:$G,0)),"")</f>
        <v/>
      </c>
    </row>
    <row r="117" spans="1:6" ht="21.95" customHeight="1">
      <c r="A117" s="8">
        <f>IFERROR(INDEX('بيانات الحركات'!A:A,MATCH(116,'بيانات الحركات'!$G:$G,0)),"")</f>
        <v>46218</v>
      </c>
      <c r="B117" s="5" t="str">
        <f>IFERROR(INDEX('بيانات الحركات'!B:B,MATCH(116,'بيانات الحركات'!$G:$G,0)),"")</f>
        <v>شراء</v>
      </c>
      <c r="C117" s="3" t="str">
        <f>IFERROR(INDEX('بيانات الحركات'!C:C,MATCH(116,'بيانات الحركات'!$G:$G,0)),"")</f>
        <v>-</v>
      </c>
      <c r="D117" s="3" t="str">
        <f>IFERROR(INDEX('بيانات الحركات'!D:D,MATCH(116,'بيانات الحركات'!$G:$G,0)),"")</f>
        <v>قاشط سيارات / فرط</v>
      </c>
      <c r="E117" s="21">
        <f>IF($B117="إنتاج طبخة","",IFERROR(INDEX('بيانات الحركات'!E:E,MATCH(116,'بيانات الحركات'!$G:$G,0)),""))</f>
        <v>0</v>
      </c>
      <c r="F117" s="3" t="str">
        <f>IFERROR(INDEX('بيانات الحركات'!F:F,MATCH(116,'بيانات الحركات'!$G:$G,0)),"")</f>
        <v/>
      </c>
    </row>
    <row r="118" spans="1:6" ht="21.95" customHeight="1">
      <c r="A118" s="8">
        <f>IFERROR(INDEX('بيانات الحركات'!A:A,MATCH(117,'بيانات الحركات'!$G:$G,0)),"")</f>
        <v>46218</v>
      </c>
      <c r="B118" s="5" t="str">
        <f>IFERROR(INDEX('بيانات الحركات'!B:B,MATCH(117,'بيانات الحركات'!$G:$G,0)),"")</f>
        <v>شراء</v>
      </c>
      <c r="C118" s="3" t="str">
        <f>IFERROR(INDEX('بيانات الحركات'!C:C,MATCH(117,'بيانات الحركات'!$G:$G,0)),"")</f>
        <v>-</v>
      </c>
      <c r="D118" s="3" t="str">
        <f>IFERROR(INDEX('بيانات الحركات'!D:D,MATCH(117,'بيانات الحركات'!$G:$G,0)),"")</f>
        <v xml:space="preserve">قاشط المينيوم - ساندي / فرط </v>
      </c>
      <c r="E118" s="21">
        <f>IF($B118="إنتاج طبخة","",IFERROR(INDEX('بيانات الحركات'!E:E,MATCH(117,'بيانات الحركات'!$G:$G,0)),""))</f>
        <v>0</v>
      </c>
      <c r="F118" s="3" t="str">
        <f>IFERROR(INDEX('بيانات الحركات'!F:F,MATCH(117,'بيانات الحركات'!$G:$G,0)),"")</f>
        <v/>
      </c>
    </row>
    <row r="119" spans="1:6" ht="21.95" customHeight="1">
      <c r="A119" s="8">
        <f>IFERROR(INDEX('بيانات الحركات'!A:A,MATCH(118,'بيانات الحركات'!$G:$G,0)),"")</f>
        <v>46218</v>
      </c>
      <c r="B119" s="5" t="str">
        <f>IFERROR(INDEX('بيانات الحركات'!B:B,MATCH(118,'بيانات الحركات'!$G:$G,0)),"")</f>
        <v>شراء</v>
      </c>
      <c r="C119" s="3" t="str">
        <f>IFERROR(INDEX('بيانات الحركات'!C:C,MATCH(118,'بيانات الحركات'!$G:$G,0)),"")</f>
        <v>-</v>
      </c>
      <c r="D119" s="3" t="str">
        <f>IFERROR(INDEX('بيانات الحركات'!D:D,MATCH(118,'بيانات الحركات'!$G:$G,0)),"")</f>
        <v>قاشط  المينيوم 3 لتر</v>
      </c>
      <c r="E119" s="21">
        <f>IF($B119="إنتاج طبخة","",IFERROR(INDEX('بيانات الحركات'!E:E,MATCH(118,'بيانات الحركات'!$G:$G,0)),""))</f>
        <v>0</v>
      </c>
      <c r="F119" s="3" t="str">
        <f>IFERROR(INDEX('بيانات الحركات'!F:F,MATCH(118,'بيانات الحركات'!$G:$G,0)),"")</f>
        <v/>
      </c>
    </row>
    <row r="120" spans="1:6" ht="21.95" customHeight="1">
      <c r="A120" s="8">
        <f>IFERROR(INDEX('بيانات الحركات'!A:A,MATCH(119,'بيانات الحركات'!$G:$G,0)),"")</f>
        <v>46218</v>
      </c>
      <c r="B120" s="5" t="str">
        <f>IFERROR(INDEX('بيانات الحركات'!B:B,MATCH(119,'بيانات الحركات'!$G:$G,0)),"")</f>
        <v>شراء</v>
      </c>
      <c r="C120" s="3" t="str">
        <f>IFERROR(INDEX('بيانات الحركات'!C:C,MATCH(119,'بيانات الحركات'!$G:$G,0)),"")</f>
        <v>-</v>
      </c>
      <c r="D120" s="3" t="str">
        <f>IFERROR(INDEX('بيانات الحركات'!D:D,MATCH(119,'بيانات الحركات'!$G:$G,0)),"")</f>
        <v xml:space="preserve">فلاش 4 لتر </v>
      </c>
      <c r="E120" s="21">
        <f>IF($B120="إنتاج طبخة","",IFERROR(INDEX('بيانات الحركات'!E:E,MATCH(119,'بيانات الحركات'!$G:$G,0)),""))</f>
        <v>0</v>
      </c>
      <c r="F120" s="3" t="str">
        <f>IFERROR(INDEX('بيانات الحركات'!F:F,MATCH(119,'بيانات الحركات'!$G:$G,0)),"")</f>
        <v/>
      </c>
    </row>
    <row r="121" spans="1:6" ht="21.95" customHeight="1">
      <c r="A121" s="8">
        <f>IFERROR(INDEX('بيانات الحركات'!A:A,MATCH(120,'بيانات الحركات'!$G:$G,0)),"")</f>
        <v>46218</v>
      </c>
      <c r="B121" s="5" t="str">
        <f>IFERROR(INDEX('بيانات الحركات'!B:B,MATCH(120,'بيانات الحركات'!$G:$G,0)),"")</f>
        <v>شراء</v>
      </c>
      <c r="C121" s="3" t="str">
        <f>IFERROR(INDEX('بيانات الحركات'!C:C,MATCH(120,'بيانات الحركات'!$G:$G,0)),"")</f>
        <v>-</v>
      </c>
      <c r="D121" s="3" t="str">
        <f>IFERROR(INDEX('بيانات الحركات'!D:D,MATCH(120,'بيانات الحركات'!$G:$G,0)),"")</f>
        <v>فلاش / فرط</v>
      </c>
      <c r="E121" s="21">
        <f>IF($B121="إنتاج طبخة","",IFERROR(INDEX('بيانات الحركات'!E:E,MATCH(120,'بيانات الحركات'!$G:$G,0)),""))</f>
        <v>0</v>
      </c>
      <c r="F121" s="3" t="str">
        <f>IFERROR(INDEX('بيانات الحركات'!F:F,MATCH(120,'بيانات الحركات'!$G:$G,0)),"")</f>
        <v/>
      </c>
    </row>
    <row r="122" spans="1:6" ht="21.95" customHeight="1">
      <c r="A122" s="8">
        <f>IFERROR(INDEX('بيانات الحركات'!A:A,MATCH(121,'بيانات الحركات'!$G:$G,0)),"")</f>
        <v>46218</v>
      </c>
      <c r="B122" s="5" t="str">
        <f>IFERROR(INDEX('بيانات الحركات'!B:B,MATCH(121,'بيانات الحركات'!$G:$G,0)),"")</f>
        <v>شراء</v>
      </c>
      <c r="C122" s="3" t="str">
        <f>IFERROR(INDEX('بيانات الحركات'!C:C,MATCH(121,'بيانات الحركات'!$G:$G,0)),"")</f>
        <v>-</v>
      </c>
      <c r="D122" s="3" t="str">
        <f>IFERROR(INDEX('بيانات الحركات'!D:D,MATCH(121,'بيانات الحركات'!$G:$G,0)),"")</f>
        <v>فرشاية بسط</v>
      </c>
      <c r="E122" s="21">
        <f>IF($B122="إنتاج طبخة","",IFERROR(INDEX('بيانات الحركات'!E:E,MATCH(121,'بيانات الحركات'!$G:$G,0)),""))</f>
        <v>0</v>
      </c>
      <c r="F122" s="3" t="str">
        <f>IFERROR(INDEX('بيانات الحركات'!F:F,MATCH(121,'بيانات الحركات'!$G:$G,0)),"")</f>
        <v/>
      </c>
    </row>
    <row r="123" spans="1:6" ht="21.95" customHeight="1">
      <c r="A123" s="8">
        <f>IFERROR(INDEX('بيانات الحركات'!A:A,MATCH(122,'بيانات الحركات'!$G:$G,0)),"")</f>
        <v>46218</v>
      </c>
      <c r="B123" s="5" t="str">
        <f>IFERROR(INDEX('بيانات الحركات'!B:B,MATCH(122,'بيانات الحركات'!$G:$G,0)),"")</f>
        <v>شراء</v>
      </c>
      <c r="C123" s="3" t="str">
        <f>IFERROR(INDEX('بيانات الحركات'!C:C,MATCH(122,'بيانات الحركات'!$G:$G,0)),"")</f>
        <v>-</v>
      </c>
      <c r="D123" s="3" t="str">
        <f>IFERROR(INDEX('بيانات الحركات'!D:D,MATCH(122,'بيانات الحركات'!$G:$G,0)),"")</f>
        <v>فرشاة حمام</v>
      </c>
      <c r="E123" s="21">
        <f>IF($B123="إنتاج طبخة","",IFERROR(INDEX('بيانات الحركات'!E:E,MATCH(122,'بيانات الحركات'!$G:$G,0)),""))</f>
        <v>0</v>
      </c>
      <c r="F123" s="3" t="str">
        <f>IFERROR(INDEX('بيانات الحركات'!F:F,MATCH(122,'بيانات الحركات'!$G:$G,0)),"")</f>
        <v/>
      </c>
    </row>
    <row r="124" spans="1:6" ht="21.95" customHeight="1">
      <c r="A124" s="8">
        <f>IFERROR(INDEX('بيانات الحركات'!A:A,MATCH(123,'بيانات الحركات'!$G:$G,0)),"")</f>
        <v>46218</v>
      </c>
      <c r="B124" s="5" t="str">
        <f>IFERROR(INDEX('بيانات الحركات'!B:B,MATCH(123,'بيانات الحركات'!$G:$G,0)),"")</f>
        <v>شراء</v>
      </c>
      <c r="C124" s="3" t="str">
        <f>IFERROR(INDEX('بيانات الحركات'!C:C,MATCH(123,'بيانات الحركات'!$G:$G,0)),"")</f>
        <v>-</v>
      </c>
      <c r="D124" s="3" t="str">
        <f>IFERROR(INDEX('بيانات الحركات'!D:D,MATCH(123,'بيانات الحركات'!$G:$G,0)),"")</f>
        <v xml:space="preserve">فاربن مزيل شعر </v>
      </c>
      <c r="E124" s="21">
        <f>IF($B124="إنتاج طبخة","",IFERROR(INDEX('بيانات الحركات'!E:E,MATCH(123,'بيانات الحركات'!$G:$G,0)),""))</f>
        <v>0</v>
      </c>
      <c r="F124" s="3" t="str">
        <f>IFERROR(INDEX('بيانات الحركات'!F:F,MATCH(123,'بيانات الحركات'!$G:$G,0)),"")</f>
        <v/>
      </c>
    </row>
    <row r="125" spans="1:6" ht="21.95" customHeight="1">
      <c r="A125" s="8">
        <f>IFERROR(INDEX('بيانات الحركات'!A:A,MATCH(124,'بيانات الحركات'!$G:$G,0)),"")</f>
        <v>46218</v>
      </c>
      <c r="B125" s="5" t="str">
        <f>IFERROR(INDEX('بيانات الحركات'!B:B,MATCH(124,'بيانات الحركات'!$G:$G,0)),"")</f>
        <v>شراء</v>
      </c>
      <c r="C125" s="3" t="str">
        <f>IFERROR(INDEX('بيانات الحركات'!C:C,MATCH(124,'بيانات الحركات'!$G:$G,0)),"")</f>
        <v>-</v>
      </c>
      <c r="D125" s="3" t="str">
        <f>IFERROR(INDEX('بيانات الحركات'!D:D,MATCH(124,'بيانات الحركات'!$G:$G,0)),"")</f>
        <v>عملاق 3 لتر</v>
      </c>
      <c r="E125" s="21">
        <f>IF($B125="إنتاج طبخة","",IFERROR(INDEX('بيانات الحركات'!E:E,MATCH(124,'بيانات الحركات'!$G:$G,0)),""))</f>
        <v>0</v>
      </c>
      <c r="F125" s="3" t="str">
        <f>IFERROR(INDEX('بيانات الحركات'!F:F,MATCH(124,'بيانات الحركات'!$G:$G,0)),"")</f>
        <v/>
      </c>
    </row>
    <row r="126" spans="1:6" ht="21.95" customHeight="1">
      <c r="A126" s="8">
        <f>IFERROR(INDEX('بيانات الحركات'!A:A,MATCH(125,'بيانات الحركات'!$G:$G,0)),"")</f>
        <v>46218</v>
      </c>
      <c r="B126" s="5" t="str">
        <f>IFERROR(INDEX('بيانات الحركات'!B:B,MATCH(125,'بيانات الحركات'!$G:$G,0)),"")</f>
        <v>شراء</v>
      </c>
      <c r="C126" s="3" t="str">
        <f>IFERROR(INDEX('بيانات الحركات'!C:C,MATCH(125,'بيانات الحركات'!$G:$G,0)),"")</f>
        <v>-</v>
      </c>
      <c r="D126" s="3" t="str">
        <f>IFERROR(INDEX('بيانات الحركات'!D:D,MATCH(125,'بيانات الحركات'!$G:$G,0)),"")</f>
        <v xml:space="preserve">عملاق </v>
      </c>
      <c r="E126" s="21">
        <f>IF($B126="إنتاج طبخة","",IFERROR(INDEX('بيانات الحركات'!E:E,MATCH(125,'بيانات الحركات'!$G:$G,0)),""))</f>
        <v>0</v>
      </c>
      <c r="F126" s="3" t="str">
        <f>IFERROR(INDEX('بيانات الحركات'!F:F,MATCH(125,'بيانات الحركات'!$G:$G,0)),"")</f>
        <v/>
      </c>
    </row>
    <row r="127" spans="1:6" ht="21.95" customHeight="1">
      <c r="A127" s="8">
        <f>IFERROR(INDEX('بيانات الحركات'!A:A,MATCH(126,'بيانات الحركات'!$G:$G,0)),"")</f>
        <v>46218</v>
      </c>
      <c r="B127" s="5" t="str">
        <f>IFERROR(INDEX('بيانات الحركات'!B:B,MATCH(126,'بيانات الحركات'!$G:$G,0)),"")</f>
        <v>شراء</v>
      </c>
      <c r="C127" s="3" t="str">
        <f>IFERROR(INDEX('بيانات الحركات'!C:C,MATCH(126,'بيانات الحركات'!$G:$G,0)),"")</f>
        <v>-</v>
      </c>
      <c r="D127" s="3" t="str">
        <f>IFERROR(INDEX('بيانات الحركات'!D:D,MATCH(126,'بيانات الحركات'!$G:$G,0)),"")</f>
        <v>عصايات</v>
      </c>
      <c r="E127" s="21">
        <f>IF($B127="إنتاج طبخة","",IFERROR(INDEX('بيانات الحركات'!E:E,MATCH(126,'بيانات الحركات'!$G:$G,0)),""))</f>
        <v>0</v>
      </c>
      <c r="F127" s="3" t="str">
        <f>IFERROR(INDEX('بيانات الحركات'!F:F,MATCH(126,'بيانات الحركات'!$G:$G,0)),"")</f>
        <v/>
      </c>
    </row>
    <row r="128" spans="1:6" ht="21.95" customHeight="1">
      <c r="A128" s="8">
        <f>IFERROR(INDEX('بيانات الحركات'!A:A,MATCH(127,'بيانات الحركات'!$G:$G,0)),"")</f>
        <v>46218</v>
      </c>
      <c r="B128" s="5" t="str">
        <f>IFERROR(INDEX('بيانات الحركات'!B:B,MATCH(127,'بيانات الحركات'!$G:$G,0)),"")</f>
        <v>شراء</v>
      </c>
      <c r="C128" s="3" t="str">
        <f>IFERROR(INDEX('بيانات الحركات'!C:C,MATCH(127,'بيانات الحركات'!$G:$G,0)),"")</f>
        <v>-</v>
      </c>
      <c r="D128" s="3" t="str">
        <f>IFERROR(INDEX('بيانات الحركات'!D:D,MATCH(127,'بيانات الحركات'!$G:$G,0)),"")</f>
        <v>طواقي راس</v>
      </c>
      <c r="E128" s="21">
        <f>IF($B128="إنتاج طبخة","",IFERROR(INDEX('بيانات الحركات'!E:E,MATCH(127,'بيانات الحركات'!$G:$G,0)),""))</f>
        <v>0</v>
      </c>
      <c r="F128" s="3" t="str">
        <f>IFERROR(INDEX('بيانات الحركات'!F:F,MATCH(127,'بيانات الحركات'!$G:$G,0)),"")</f>
        <v/>
      </c>
    </row>
    <row r="129" spans="1:6" ht="21.95" customHeight="1">
      <c r="A129" s="8">
        <f>IFERROR(INDEX('بيانات الحركات'!A:A,MATCH(128,'بيانات الحركات'!$G:$G,0)),"")</f>
        <v>46218</v>
      </c>
      <c r="B129" s="5" t="str">
        <f>IFERROR(INDEX('بيانات الحركات'!B:B,MATCH(128,'بيانات الحركات'!$G:$G,0)),"")</f>
        <v>شراء</v>
      </c>
      <c r="C129" s="3" t="str">
        <f>IFERROR(INDEX('بيانات الحركات'!C:C,MATCH(128,'بيانات الحركات'!$G:$G,0)),"")</f>
        <v>-</v>
      </c>
      <c r="D129" s="3" t="str">
        <f>IFERROR(INDEX('بيانات الحركات'!D:D,MATCH(128,'بيانات الحركات'!$G:$G,0)),"")</f>
        <v>صابون كرمل</v>
      </c>
      <c r="E129" s="21">
        <f>IF($B129="إنتاج طبخة","",IFERROR(INDEX('بيانات الحركات'!E:E,MATCH(128,'بيانات الحركات'!$G:$G,0)),""))</f>
        <v>0</v>
      </c>
      <c r="F129" s="3" t="str">
        <f>IFERROR(INDEX('بيانات الحركات'!F:F,MATCH(128,'بيانات الحركات'!$G:$G,0)),"")</f>
        <v/>
      </c>
    </row>
    <row r="130" spans="1:6" ht="21.95" customHeight="1">
      <c r="A130" s="8">
        <f>IFERROR(INDEX('بيانات الحركات'!A:A,MATCH(129,'بيانات الحركات'!$G:$G,0)),"")</f>
        <v>46218</v>
      </c>
      <c r="B130" s="5" t="str">
        <f>IFERROR(INDEX('بيانات الحركات'!B:B,MATCH(129,'بيانات الحركات'!$G:$G,0)),"")</f>
        <v>شراء</v>
      </c>
      <c r="C130" s="3" t="str">
        <f>IFERROR(INDEX('بيانات الحركات'!C:C,MATCH(129,'بيانات الحركات'!$G:$G,0)),"")</f>
        <v>-</v>
      </c>
      <c r="D130" s="3" t="str">
        <f>IFERROR(INDEX('بيانات الحركات'!D:D,MATCH(129,'بيانات الحركات'!$G:$G,0)),"")</f>
        <v xml:space="preserve">صابون super / فرط </v>
      </c>
      <c r="E130" s="21">
        <f>IF($B130="إنتاج طبخة","",IFERROR(INDEX('بيانات الحركات'!E:E,MATCH(129,'بيانات الحركات'!$G:$G,0)),""))</f>
        <v>0</v>
      </c>
      <c r="F130" s="3" t="str">
        <f>IFERROR(INDEX('بيانات الحركات'!F:F,MATCH(129,'بيانات الحركات'!$G:$G,0)),"")</f>
        <v/>
      </c>
    </row>
    <row r="131" spans="1:6" ht="21.95" customHeight="1">
      <c r="A131" s="8">
        <f>IFERROR(INDEX('بيانات الحركات'!A:A,MATCH(130,'بيانات الحركات'!$G:$G,0)),"")</f>
        <v>46218</v>
      </c>
      <c r="B131" s="5" t="str">
        <f>IFERROR(INDEX('بيانات الحركات'!B:B,MATCH(130,'بيانات الحركات'!$G:$G,0)),"")</f>
        <v>شراء</v>
      </c>
      <c r="C131" s="3" t="str">
        <f>IFERROR(INDEX('بيانات الحركات'!C:C,MATCH(130,'بيانات الحركات'!$G:$G,0)),"")</f>
        <v>-</v>
      </c>
      <c r="D131" s="3" t="str">
        <f>IFERROR(INDEX('بيانات الحركات'!D:D,MATCH(130,'بيانات الحركات'!$G:$G,0)),"")</f>
        <v>صابون super / عبوة 3 لتر</v>
      </c>
      <c r="E131" s="21">
        <f>IF($B131="إنتاج طبخة","",IFERROR(INDEX('بيانات الحركات'!E:E,MATCH(130,'بيانات الحركات'!$G:$G,0)),""))</f>
        <v>0</v>
      </c>
      <c r="F131" s="3" t="str">
        <f>IFERROR(INDEX('بيانات الحركات'!F:F,MATCH(130,'بيانات الحركات'!$G:$G,0)),"")</f>
        <v/>
      </c>
    </row>
    <row r="132" spans="1:6" ht="21.95" customHeight="1">
      <c r="A132" s="8">
        <f>IFERROR(INDEX('بيانات الحركات'!A:A,MATCH(131,'بيانات الحركات'!$G:$G,0)),"")</f>
        <v>46218</v>
      </c>
      <c r="B132" s="5" t="str">
        <f>IFERROR(INDEX('بيانات الحركات'!B:B,MATCH(131,'بيانات الحركات'!$G:$G,0)),"")</f>
        <v>شراء</v>
      </c>
      <c r="C132" s="3" t="str">
        <f>IFERROR(INDEX('بيانات الحركات'!C:C,MATCH(131,'بيانات الحركات'!$G:$G,0)),"")</f>
        <v>-</v>
      </c>
      <c r="D132" s="3" t="str">
        <f>IFERROR(INDEX('بيانات الحركات'!D:D,MATCH(131,'بيانات الحركات'!$G:$G,0)),"")</f>
        <v>شامبو سيارات</v>
      </c>
      <c r="E132" s="21">
        <f>IF($B132="إنتاج طبخة","",IFERROR(INDEX('بيانات الحركات'!E:E,MATCH(131,'بيانات الحركات'!$G:$G,0)),""))</f>
        <v>0</v>
      </c>
      <c r="F132" s="3" t="str">
        <f>IFERROR(INDEX('بيانات الحركات'!F:F,MATCH(131,'بيانات الحركات'!$G:$G,0)),"")</f>
        <v/>
      </c>
    </row>
    <row r="133" spans="1:6" ht="21.95" customHeight="1">
      <c r="A133" s="8">
        <f>IFERROR(INDEX('بيانات الحركات'!A:A,MATCH(132,'بيانات الحركات'!$G:$G,0)),"")</f>
        <v>46218</v>
      </c>
      <c r="B133" s="5" t="str">
        <f>IFERROR(INDEX('بيانات الحركات'!B:B,MATCH(132,'بيانات الحركات'!$G:$G,0)),"")</f>
        <v>شراء</v>
      </c>
      <c r="C133" s="3" t="str">
        <f>IFERROR(INDEX('بيانات الحركات'!C:C,MATCH(132,'بيانات الحركات'!$G:$G,0)),"")</f>
        <v>-</v>
      </c>
      <c r="D133" s="3" t="str">
        <f>IFERROR(INDEX('بيانات الحركات'!D:D,MATCH(132,'بيانات الحركات'!$G:$G,0)),"")</f>
        <v>شامبو 3 لتر</v>
      </c>
      <c r="E133" s="21">
        <f>IF($B133="إنتاج طبخة","",IFERROR(INDEX('بيانات الحركات'!E:E,MATCH(132,'بيانات الحركات'!$G:$G,0)),""))</f>
        <v>0</v>
      </c>
      <c r="F133" s="3" t="str">
        <f>IFERROR(INDEX('بيانات الحركات'!F:F,MATCH(132,'بيانات الحركات'!$G:$G,0)),"")</f>
        <v/>
      </c>
    </row>
    <row r="134" spans="1:6" ht="21.95" customHeight="1">
      <c r="A134" s="8">
        <f>IFERROR(INDEX('بيانات الحركات'!A:A,MATCH(133,'بيانات الحركات'!$G:$G,0)),"")</f>
        <v>46218</v>
      </c>
      <c r="B134" s="5" t="str">
        <f>IFERROR(INDEX('بيانات الحركات'!B:B,MATCH(133,'بيانات الحركات'!$G:$G,0)),"")</f>
        <v>شراء</v>
      </c>
      <c r="C134" s="3" t="str">
        <f>IFERROR(INDEX('بيانات الحركات'!C:C,MATCH(133,'بيانات الحركات'!$G:$G,0)),"")</f>
        <v>-</v>
      </c>
      <c r="D134" s="3" t="str">
        <f>IFERROR(INDEX('بيانات الحركات'!D:D,MATCH(133,'بيانات الحركات'!$G:$G,0)),"")</f>
        <v xml:space="preserve">شامبو </v>
      </c>
      <c r="E134" s="21">
        <f>IF($B134="إنتاج طبخة","",IFERROR(INDEX('بيانات الحركات'!E:E,MATCH(133,'بيانات الحركات'!$G:$G,0)),""))</f>
        <v>0</v>
      </c>
      <c r="F134" s="3" t="str">
        <f>IFERROR(INDEX('بيانات الحركات'!F:F,MATCH(133,'بيانات الحركات'!$G:$G,0)),"")</f>
        <v/>
      </c>
    </row>
    <row r="135" spans="1:6" ht="21.95" customHeight="1">
      <c r="A135" s="8">
        <f>IFERROR(INDEX('بيانات الحركات'!A:A,MATCH(134,'بيانات الحركات'!$G:$G,0)),"")</f>
        <v>46218</v>
      </c>
      <c r="B135" s="5" t="str">
        <f>IFERROR(INDEX('بيانات الحركات'!B:B,MATCH(134,'بيانات الحركات'!$G:$G,0)),"")</f>
        <v>شراء</v>
      </c>
      <c r="C135" s="3" t="str">
        <f>IFERROR(INDEX('بيانات الحركات'!C:C,MATCH(134,'بيانات الحركات'!$G:$G,0)),"")</f>
        <v>-</v>
      </c>
      <c r="D135" s="3" t="str">
        <f>IFERROR(INDEX('بيانات الحركات'!D:D,MATCH(134,'بيانات الحركات'!$G:$G,0)),"")</f>
        <v>سيف عائلاتي</v>
      </c>
      <c r="E135" s="21">
        <f>IF($B135="إنتاج طبخة","",IFERROR(INDEX('بيانات الحركات'!E:E,MATCH(134,'بيانات الحركات'!$G:$G,0)),""))</f>
        <v>0</v>
      </c>
      <c r="F135" s="3" t="str">
        <f>IFERROR(INDEX('بيانات الحركات'!F:F,MATCH(134,'بيانات الحركات'!$G:$G,0)),"")</f>
        <v/>
      </c>
    </row>
    <row r="136" spans="1:6" ht="21.95" customHeight="1">
      <c r="A136" s="8">
        <f>IFERROR(INDEX('بيانات الحركات'!A:A,MATCH(135,'بيانات الحركات'!$G:$G,0)),"")</f>
        <v>46218</v>
      </c>
      <c r="B136" s="5" t="str">
        <f>IFERROR(INDEX('بيانات الحركات'!B:B,MATCH(135,'بيانات الحركات'!$G:$G,0)),"")</f>
        <v>شراء</v>
      </c>
      <c r="C136" s="3" t="str">
        <f>IFERROR(INDEX('بيانات الحركات'!C:C,MATCH(135,'بيانات الحركات'!$G:$G,0)),"")</f>
        <v>-</v>
      </c>
      <c r="D136" s="3" t="str">
        <f>IFERROR(INDEX('بيانات الحركات'!D:D,MATCH(135,'بيانات الحركات'!$G:$G,0)),"")</f>
        <v xml:space="preserve">سيف بريفيت </v>
      </c>
      <c r="E136" s="21">
        <f>IF($B136="إنتاج طبخة","",IFERROR(INDEX('بيانات الحركات'!E:E,MATCH(135,'بيانات الحركات'!$G:$G,0)),""))</f>
        <v>0</v>
      </c>
      <c r="F136" s="3" t="str">
        <f>IFERROR(INDEX('بيانات الحركات'!F:F,MATCH(135,'بيانات الحركات'!$G:$G,0)),"")</f>
        <v/>
      </c>
    </row>
    <row r="137" spans="1:6" ht="21.95" customHeight="1">
      <c r="A137" s="8">
        <f>IFERROR(INDEX('بيانات الحركات'!A:A,MATCH(136,'بيانات الحركات'!$G:$G,0)),"")</f>
        <v>46218</v>
      </c>
      <c r="B137" s="5" t="str">
        <f>IFERROR(INDEX('بيانات الحركات'!B:B,MATCH(136,'بيانات الحركات'!$G:$G,0)),"")</f>
        <v>شراء</v>
      </c>
      <c r="C137" s="3" t="str">
        <f>IFERROR(INDEX('بيانات الحركات'!C:C,MATCH(136,'بيانات الحركات'!$G:$G,0)),"")</f>
        <v>-</v>
      </c>
      <c r="D137" s="3" t="str">
        <f>IFERROR(INDEX('بيانات الحركات'!D:D,MATCH(136,'بيانات الحركات'!$G:$G,0)),"")</f>
        <v>سيف برلنت</v>
      </c>
      <c r="E137" s="21">
        <f>IF($B137="إنتاج طبخة","",IFERROR(INDEX('بيانات الحركات'!E:E,MATCH(136,'بيانات الحركات'!$G:$G,0)),""))</f>
        <v>0</v>
      </c>
      <c r="F137" s="3" t="str">
        <f>IFERROR(INDEX('بيانات الحركات'!F:F,MATCH(136,'بيانات الحركات'!$G:$G,0)),"")</f>
        <v/>
      </c>
    </row>
    <row r="138" spans="1:6" ht="21.95" customHeight="1">
      <c r="A138" s="8">
        <f>IFERROR(INDEX('بيانات الحركات'!A:A,MATCH(137,'بيانات الحركات'!$G:$G,0)),"")</f>
        <v>46218</v>
      </c>
      <c r="B138" s="5" t="str">
        <f>IFERROR(INDEX('بيانات الحركات'!B:B,MATCH(137,'بيانات الحركات'!$G:$G,0)),"")</f>
        <v>شراء</v>
      </c>
      <c r="C138" s="3" t="str">
        <f>IFERROR(INDEX('بيانات الحركات'!C:C,MATCH(137,'بيانات الحركات'!$G:$G,0)),"")</f>
        <v>-</v>
      </c>
      <c r="D138" s="3" t="str">
        <f>IFERROR(INDEX('بيانات الحركات'!D:D,MATCH(137,'بيانات الحركات'!$G:$G,0)),"")</f>
        <v>سيف الكرار نخب اول</v>
      </c>
      <c r="E138" s="21">
        <f>IF($B138="إنتاج طبخة","",IFERROR(INDEX('بيانات الحركات'!E:E,MATCH(137,'بيانات الحركات'!$G:$G,0)),""))</f>
        <v>0</v>
      </c>
      <c r="F138" s="3" t="str">
        <f>IFERROR(INDEX('بيانات الحركات'!F:F,MATCH(137,'بيانات الحركات'!$G:$G,0)),"")</f>
        <v/>
      </c>
    </row>
    <row r="139" spans="1:6" ht="21.95" customHeight="1">
      <c r="A139" s="8">
        <f>IFERROR(INDEX('بيانات الحركات'!A:A,MATCH(138,'بيانات الحركات'!$G:$G,0)),"")</f>
        <v>46218</v>
      </c>
      <c r="B139" s="5" t="str">
        <f>IFERROR(INDEX('بيانات الحركات'!B:B,MATCH(138,'بيانات الحركات'!$G:$G,0)),"")</f>
        <v>شراء</v>
      </c>
      <c r="C139" s="3" t="str">
        <f>IFERROR(INDEX('بيانات الحركات'!C:C,MATCH(138,'بيانات الحركات'!$G:$G,0)),"")</f>
        <v>-</v>
      </c>
      <c r="D139" s="3" t="str">
        <f>IFERROR(INDEX('بيانات الحركات'!D:D,MATCH(138,'بيانات الحركات'!$G:$G,0)),"")</f>
        <v>سيف الكرار 2602</v>
      </c>
      <c r="E139" s="21">
        <f>IF($B139="إنتاج طبخة","",IFERROR(INDEX('بيانات الحركات'!E:E,MATCH(138,'بيانات الحركات'!$G:$G,0)),""))</f>
        <v>0</v>
      </c>
      <c r="F139" s="3" t="str">
        <f>IFERROR(INDEX('بيانات الحركات'!F:F,MATCH(138,'بيانات الحركات'!$G:$G,0)),"")</f>
        <v/>
      </c>
    </row>
    <row r="140" spans="1:6" ht="21.95" customHeight="1">
      <c r="A140" s="8">
        <f>IFERROR(INDEX('بيانات الحركات'!A:A,MATCH(139,'بيانات الحركات'!$G:$G,0)),"")</f>
        <v>46218</v>
      </c>
      <c r="B140" s="5" t="str">
        <f>IFERROR(INDEX('بيانات الحركات'!B:B,MATCH(139,'بيانات الحركات'!$G:$G,0)),"")</f>
        <v>شراء</v>
      </c>
      <c r="C140" s="3" t="str">
        <f>IFERROR(INDEX('بيانات الحركات'!C:C,MATCH(139,'بيانات الحركات'!$G:$G,0)),"")</f>
        <v>-</v>
      </c>
      <c r="D140" s="3" t="str">
        <f>IFERROR(INDEX('بيانات الحركات'!D:D,MATCH(139,'بيانات الحركات'!$G:$G,0)),"")</f>
        <v>سلة غسيل</v>
      </c>
      <c r="E140" s="21">
        <f>IF($B140="إنتاج طبخة","",IFERROR(INDEX('بيانات الحركات'!E:E,MATCH(139,'بيانات الحركات'!$G:$G,0)),""))</f>
        <v>0</v>
      </c>
      <c r="F140" s="3" t="str">
        <f>IFERROR(INDEX('بيانات الحركات'!F:F,MATCH(139,'بيانات الحركات'!$G:$G,0)),"")</f>
        <v/>
      </c>
    </row>
    <row r="141" spans="1:6" ht="21.95" customHeight="1">
      <c r="A141" s="8">
        <f>IFERROR(INDEX('بيانات الحركات'!A:A,MATCH(140,'بيانات الحركات'!$G:$G,0)),"")</f>
        <v>46218</v>
      </c>
      <c r="B141" s="5" t="str">
        <f>IFERROR(INDEX('بيانات الحركات'!B:B,MATCH(140,'بيانات الحركات'!$G:$G,0)),"")</f>
        <v>شراء</v>
      </c>
      <c r="C141" s="3" t="str">
        <f>IFERROR(INDEX('بيانات الحركات'!C:C,MATCH(140,'بيانات الحركات'!$G:$G,0)),"")</f>
        <v>-</v>
      </c>
      <c r="D141" s="3" t="str">
        <f>IFERROR(INDEX('بيانات الحركات'!D:D,MATCH(140,'بيانات الحركات'!$G:$G,0)),"")</f>
        <v>سائل مغسل</v>
      </c>
      <c r="E141" s="21">
        <f>IF($B141="إنتاج طبخة","",IFERROR(INDEX('بيانات الحركات'!E:E,MATCH(140,'بيانات الحركات'!$G:$G,0)),""))</f>
        <v>0</v>
      </c>
      <c r="F141" s="3" t="str">
        <f>IFERROR(INDEX('بيانات الحركات'!F:F,MATCH(140,'بيانات الحركات'!$G:$G,0)),"")</f>
        <v/>
      </c>
    </row>
    <row r="142" spans="1:6" ht="21.95" customHeight="1">
      <c r="A142" s="8">
        <f>IFERROR(INDEX('بيانات الحركات'!A:A,MATCH(141,'بيانات الحركات'!$G:$G,0)),"")</f>
        <v>46218</v>
      </c>
      <c r="B142" s="5" t="str">
        <f>IFERROR(INDEX('بيانات الحركات'!B:B,MATCH(141,'بيانات الحركات'!$G:$G,0)),"")</f>
        <v>شراء</v>
      </c>
      <c r="C142" s="3" t="str">
        <f>IFERROR(INDEX('بيانات الحركات'!C:C,MATCH(141,'بيانات الحركات'!$G:$G,0)),"")</f>
        <v>-</v>
      </c>
      <c r="D142" s="3" t="str">
        <f>IFERROR(INDEX('بيانات الحركات'!D:D,MATCH(141,'بيانات الحركات'!$G:$G,0)),"")</f>
        <v>سائل غسيل زهري</v>
      </c>
      <c r="E142" s="21">
        <f>IF($B142="إنتاج طبخة","",IFERROR(INDEX('بيانات الحركات'!E:E,MATCH(141,'بيانات الحركات'!$G:$G,0)),""))</f>
        <v>0</v>
      </c>
      <c r="F142" s="3" t="str">
        <f>IFERROR(INDEX('بيانات الحركات'!F:F,MATCH(141,'بيانات الحركات'!$G:$G,0)),"")</f>
        <v/>
      </c>
    </row>
    <row r="143" spans="1:6" ht="21.95" customHeight="1">
      <c r="A143" s="8">
        <f>IFERROR(INDEX('بيانات الحركات'!A:A,MATCH(142,'بيانات الحركات'!$G:$G,0)),"")</f>
        <v>46218</v>
      </c>
      <c r="B143" s="5" t="str">
        <f>IFERROR(INDEX('بيانات الحركات'!B:B,MATCH(142,'بيانات الحركات'!$G:$G,0)),"")</f>
        <v>شراء</v>
      </c>
      <c r="C143" s="3" t="str">
        <f>IFERROR(INDEX('بيانات الحركات'!C:C,MATCH(142,'بيانات الحركات'!$G:$G,0)),"")</f>
        <v>-</v>
      </c>
      <c r="D143" s="3" t="str">
        <f>IFERROR(INDEX('بيانات الحركات'!D:D,MATCH(142,'بيانات الحركات'!$G:$G,0)),"")</f>
        <v>سائل غسيل اتوماتيك 3 لتر</v>
      </c>
      <c r="E143" s="21">
        <f>IF($B143="إنتاج طبخة","",IFERROR(INDEX('بيانات الحركات'!E:E,MATCH(142,'بيانات الحركات'!$G:$G,0)),""))</f>
        <v>0</v>
      </c>
      <c r="F143" s="3" t="str">
        <f>IFERROR(INDEX('بيانات الحركات'!F:F,MATCH(142,'بيانات الحركات'!$G:$G,0)),"")</f>
        <v/>
      </c>
    </row>
    <row r="144" spans="1:6" ht="21.95" customHeight="1">
      <c r="A144" s="8">
        <f>IFERROR(INDEX('بيانات الحركات'!A:A,MATCH(143,'بيانات الحركات'!$G:$G,0)),"")</f>
        <v>46218</v>
      </c>
      <c r="B144" s="5" t="str">
        <f>IFERROR(INDEX('بيانات الحركات'!B:B,MATCH(143,'بيانات الحركات'!$G:$G,0)),"")</f>
        <v>شراء</v>
      </c>
      <c r="C144" s="3" t="str">
        <f>IFERROR(INDEX('بيانات الحركات'!C:C,MATCH(143,'بيانات الحركات'!$G:$G,0)),"")</f>
        <v>-</v>
      </c>
      <c r="D144" s="3" t="str">
        <f>IFERROR(INDEX('بيانات الحركات'!D:D,MATCH(143,'بيانات الحركات'!$G:$G,0)),"")</f>
        <v xml:space="preserve">سائل غسيل اتوماتيك / فرط </v>
      </c>
      <c r="E144" s="21">
        <f>IF($B144="إنتاج طبخة","",IFERROR(INDEX('بيانات الحركات'!E:E,MATCH(143,'بيانات الحركات'!$G:$G,0)),""))</f>
        <v>0</v>
      </c>
      <c r="F144" s="3" t="str">
        <f>IFERROR(INDEX('بيانات الحركات'!F:F,MATCH(143,'بيانات الحركات'!$G:$G,0)),"")</f>
        <v/>
      </c>
    </row>
    <row r="145" spans="1:6" ht="21.95" customHeight="1">
      <c r="A145" s="8">
        <f>IFERROR(INDEX('بيانات الحركات'!A:A,MATCH(144,'بيانات الحركات'!$G:$G,0)),"")</f>
        <v>46218</v>
      </c>
      <c r="B145" s="5" t="str">
        <f>IFERROR(INDEX('بيانات الحركات'!B:B,MATCH(144,'بيانات الحركات'!$G:$G,0)),"")</f>
        <v>شراء</v>
      </c>
      <c r="C145" s="3" t="str">
        <f>IFERROR(INDEX('بيانات الحركات'!C:C,MATCH(144,'بيانات الحركات'!$G:$G,0)),"")</f>
        <v>-</v>
      </c>
      <c r="D145" s="3" t="str">
        <f>IFERROR(INDEX('بيانات الحركات'!D:D,MATCH(144,'بيانات الحركات'!$G:$G,0)),"")</f>
        <v xml:space="preserve">سائل جلي متعدد الاستعمالات كرمل </v>
      </c>
      <c r="E145" s="21">
        <f>IF($B145="إنتاج طبخة","",IFERROR(INDEX('بيانات الحركات'!E:E,MATCH(144,'بيانات الحركات'!$G:$G,0)),""))</f>
        <v>0</v>
      </c>
      <c r="F145" s="3" t="str">
        <f>IFERROR(INDEX('بيانات الحركات'!F:F,MATCH(144,'بيانات الحركات'!$G:$G,0)),"")</f>
        <v/>
      </c>
    </row>
    <row r="146" spans="1:6" ht="21.95" customHeight="1">
      <c r="A146" s="8">
        <f>IFERROR(INDEX('بيانات الحركات'!A:A,MATCH(145,'بيانات الحركات'!$G:$G,0)),"")</f>
        <v>46218</v>
      </c>
      <c r="B146" s="5" t="str">
        <f>IFERROR(INDEX('بيانات الحركات'!B:B,MATCH(145,'بيانات الحركات'!$G:$G,0)),"")</f>
        <v>شراء</v>
      </c>
      <c r="C146" s="3" t="str">
        <f>IFERROR(INDEX('بيانات الحركات'!C:C,MATCH(145,'بيانات الحركات'!$G:$G,0)),"")</f>
        <v>-</v>
      </c>
      <c r="D146" s="3" t="str">
        <f>IFERROR(INDEX('بيانات الحركات'!D:D,MATCH(145,'بيانات الحركات'!$G:$G,0)),"")</f>
        <v xml:space="preserve">سائل جلي متعدد الإستعمالات - غولدن هاوس 1 لتر </v>
      </c>
      <c r="E146" s="21">
        <f>IF($B146="إنتاج طبخة","",IFERROR(INDEX('بيانات الحركات'!E:E,MATCH(145,'بيانات الحركات'!$G:$G,0)),""))</f>
        <v>0</v>
      </c>
      <c r="F146" s="3" t="str">
        <f>IFERROR(INDEX('بيانات الحركات'!F:F,MATCH(145,'بيانات الحركات'!$G:$G,0)),"")</f>
        <v/>
      </c>
    </row>
    <row r="147" spans="1:6" ht="21.95" customHeight="1">
      <c r="A147" s="8">
        <f>IFERROR(INDEX('بيانات الحركات'!A:A,MATCH(146,'بيانات الحركات'!$G:$G,0)),"")</f>
        <v>46218</v>
      </c>
      <c r="B147" s="5" t="str">
        <f>IFERROR(INDEX('بيانات الحركات'!B:B,MATCH(146,'بيانات الحركات'!$G:$G,0)),"")</f>
        <v>شراء</v>
      </c>
      <c r="C147" s="3" t="str">
        <f>IFERROR(INDEX('بيانات الحركات'!C:C,MATCH(146,'بيانات الحركات'!$G:$G,0)),"")</f>
        <v>-</v>
      </c>
      <c r="D147" s="3" t="str">
        <f>IFERROR(INDEX('بيانات الحركات'!D:D,MATCH(146,'بيانات الحركات'!$G:$G,0)),"")</f>
        <v>سائل جلي شفاف مع عطر / فرط</v>
      </c>
      <c r="E147" s="21">
        <f>IF($B147="إنتاج طبخة","",IFERROR(INDEX('بيانات الحركات'!E:E,MATCH(146,'بيانات الحركات'!$G:$G,0)),""))</f>
        <v>0</v>
      </c>
      <c r="F147" s="3" t="str">
        <f>IFERROR(INDEX('بيانات الحركات'!F:F,MATCH(146,'بيانات الحركات'!$G:$G,0)),"")</f>
        <v/>
      </c>
    </row>
    <row r="148" spans="1:6" ht="21.95" customHeight="1">
      <c r="A148" s="8">
        <f>IFERROR(INDEX('بيانات الحركات'!A:A,MATCH(147,'بيانات الحركات'!$G:$G,0)),"")</f>
        <v>46218</v>
      </c>
      <c r="B148" s="5" t="str">
        <f>IFERROR(INDEX('بيانات الحركات'!B:B,MATCH(147,'بيانات الحركات'!$G:$G,0)),"")</f>
        <v>شراء</v>
      </c>
      <c r="C148" s="3" t="str">
        <f>IFERROR(INDEX('بيانات الحركات'!C:C,MATCH(147,'بيانات الحركات'!$G:$G,0)),"")</f>
        <v>-</v>
      </c>
      <c r="D148" s="3" t="str">
        <f>IFERROR(INDEX('بيانات الحركات'!D:D,MATCH(147,'بيانات الحركات'!$G:$G,0)),"")</f>
        <v>سائل جلي super / فرط 2604</v>
      </c>
      <c r="E148" s="21">
        <f>IF($B148="إنتاج طبخة","",IFERROR(INDEX('بيانات الحركات'!E:E,MATCH(147,'بيانات الحركات'!$G:$G,0)),""))</f>
        <v>0</v>
      </c>
      <c r="F148" s="3" t="str">
        <f>IFERROR(INDEX('بيانات الحركات'!F:F,MATCH(147,'بيانات الحركات'!$G:$G,0)),"")</f>
        <v/>
      </c>
    </row>
    <row r="149" spans="1:6" ht="21.95" customHeight="1">
      <c r="A149" s="8">
        <f>IFERROR(INDEX('بيانات الحركات'!A:A,MATCH(148,'بيانات الحركات'!$G:$G,0)),"")</f>
        <v>46218</v>
      </c>
      <c r="B149" s="5" t="str">
        <f>IFERROR(INDEX('بيانات الحركات'!B:B,MATCH(148,'بيانات الحركات'!$G:$G,0)),"")</f>
        <v>شراء</v>
      </c>
      <c r="C149" s="3" t="str">
        <f>IFERROR(INDEX('بيانات الحركات'!C:C,MATCH(148,'بيانات الحركات'!$G:$G,0)),"")</f>
        <v>-</v>
      </c>
      <c r="D149" s="3" t="str">
        <f>IFERROR(INDEX('بيانات الحركات'!D:D,MATCH(148,'بيانات الحركات'!$G:$G,0)),"")</f>
        <v>سائل جلي super / فرط 2603</v>
      </c>
      <c r="E149" s="21">
        <f>IF($B149="إنتاج طبخة","",IFERROR(INDEX('بيانات الحركات'!E:E,MATCH(148,'بيانات الحركات'!$G:$G,0)),""))</f>
        <v>0</v>
      </c>
      <c r="F149" s="3" t="str">
        <f>IFERROR(INDEX('بيانات الحركات'!F:F,MATCH(148,'بيانات الحركات'!$G:$G,0)),"")</f>
        <v/>
      </c>
    </row>
    <row r="150" spans="1:6" ht="21.95" customHeight="1">
      <c r="A150" s="8">
        <f>IFERROR(INDEX('بيانات الحركات'!A:A,MATCH(149,'بيانات الحركات'!$G:$G,0)),"")</f>
        <v>46218</v>
      </c>
      <c r="B150" s="5" t="str">
        <f>IFERROR(INDEX('بيانات الحركات'!B:B,MATCH(149,'بيانات الحركات'!$G:$G,0)),"")</f>
        <v>شراء</v>
      </c>
      <c r="C150" s="3" t="str">
        <f>IFERROR(INDEX('بيانات الحركات'!C:C,MATCH(149,'بيانات الحركات'!$G:$G,0)),"")</f>
        <v>-</v>
      </c>
      <c r="D150" s="3" t="str">
        <f>IFERROR(INDEX('بيانات الحركات'!D:D,MATCH(149,'بيانات الحركات'!$G:$G,0)),"")</f>
        <v>سائل جلي super / فرط 2602</v>
      </c>
      <c r="E150" s="21">
        <f>IF($B150="إنتاج طبخة","",IFERROR(INDEX('بيانات الحركات'!E:E,MATCH(149,'بيانات الحركات'!$G:$G,0)),""))</f>
        <v>0</v>
      </c>
      <c r="F150" s="3" t="str">
        <f>IFERROR(INDEX('بيانات الحركات'!F:F,MATCH(149,'بيانات الحركات'!$G:$G,0)),"")</f>
        <v/>
      </c>
    </row>
    <row r="151" spans="1:6" ht="21.95" customHeight="1">
      <c r="A151" s="8">
        <f>IFERROR(INDEX('بيانات الحركات'!A:A,MATCH(150,'بيانات الحركات'!$G:$G,0)),"")</f>
        <v>46218</v>
      </c>
      <c r="B151" s="5" t="str">
        <f>IFERROR(INDEX('بيانات الحركات'!B:B,MATCH(150,'بيانات الحركات'!$G:$G,0)),"")</f>
        <v>شراء</v>
      </c>
      <c r="C151" s="3" t="str">
        <f>IFERROR(INDEX('بيانات الحركات'!C:C,MATCH(150,'بيانات الحركات'!$G:$G,0)),"")</f>
        <v>-</v>
      </c>
      <c r="D151" s="3" t="str">
        <f>IFERROR(INDEX('بيانات الحركات'!D:D,MATCH(150,'بيانات الحركات'!$G:$G,0)),"")</f>
        <v>سائل جلي super / فرط 2601</v>
      </c>
      <c r="E151" s="21">
        <f>IF($B151="إنتاج طبخة","",IFERROR(INDEX('بيانات الحركات'!E:E,MATCH(150,'بيانات الحركات'!$G:$G,0)),""))</f>
        <v>0</v>
      </c>
      <c r="F151" s="3" t="str">
        <f>IFERROR(INDEX('بيانات الحركات'!F:F,MATCH(150,'بيانات الحركات'!$G:$G,0)),"")</f>
        <v/>
      </c>
    </row>
    <row r="152" spans="1:6" ht="21.95" customHeight="1">
      <c r="A152" s="8">
        <f>IFERROR(INDEX('بيانات الحركات'!A:A,MATCH(151,'بيانات الحركات'!$G:$G,0)),"")</f>
        <v>46218</v>
      </c>
      <c r="B152" s="5" t="str">
        <f>IFERROR(INDEX('بيانات الحركات'!B:B,MATCH(151,'بيانات الحركات'!$G:$G,0)),"")</f>
        <v>شراء</v>
      </c>
      <c r="C152" s="3" t="str">
        <f>IFERROR(INDEX('بيانات الحركات'!C:C,MATCH(151,'بيانات الحركات'!$G:$G,0)),"")</f>
        <v>-</v>
      </c>
      <c r="D152" s="3" t="str">
        <f>IFERROR(INDEX('بيانات الحركات'!D:D,MATCH(151,'بيانات الحركات'!$G:$G,0)),"")</f>
        <v>سائل جلي super / عبوة 3 لتر 2604</v>
      </c>
      <c r="E152" s="21">
        <f>IF($B152="إنتاج طبخة","",IFERROR(INDEX('بيانات الحركات'!E:E,MATCH(151,'بيانات الحركات'!$G:$G,0)),""))</f>
        <v>0</v>
      </c>
      <c r="F152" s="3" t="str">
        <f>IFERROR(INDEX('بيانات الحركات'!F:F,MATCH(151,'بيانات الحركات'!$G:$G,0)),"")</f>
        <v/>
      </c>
    </row>
    <row r="153" spans="1:6" ht="21.95" customHeight="1">
      <c r="A153" s="8">
        <f>IFERROR(INDEX('بيانات الحركات'!A:A,MATCH(152,'بيانات الحركات'!$G:$G,0)),"")</f>
        <v>46218</v>
      </c>
      <c r="B153" s="5" t="str">
        <f>IFERROR(INDEX('بيانات الحركات'!B:B,MATCH(152,'بيانات الحركات'!$G:$G,0)),"")</f>
        <v>شراء</v>
      </c>
      <c r="C153" s="3" t="str">
        <f>IFERROR(INDEX('بيانات الحركات'!C:C,MATCH(152,'بيانات الحركات'!$G:$G,0)),"")</f>
        <v>-</v>
      </c>
      <c r="D153" s="3" t="str">
        <f>IFERROR(INDEX('بيانات الحركات'!D:D,MATCH(152,'بيانات الحركات'!$G:$G,0)),"")</f>
        <v>سائل جلي super / عبوة 3 لتر 2603</v>
      </c>
      <c r="E153" s="21">
        <f>IF($B153="إنتاج طبخة","",IFERROR(INDEX('بيانات الحركات'!E:E,MATCH(152,'بيانات الحركات'!$G:$G,0)),""))</f>
        <v>0</v>
      </c>
      <c r="F153" s="3" t="str">
        <f>IFERROR(INDEX('بيانات الحركات'!F:F,MATCH(152,'بيانات الحركات'!$G:$G,0)),"")</f>
        <v/>
      </c>
    </row>
    <row r="154" spans="1:6" ht="21.95" customHeight="1">
      <c r="A154" s="8">
        <f>IFERROR(INDEX('بيانات الحركات'!A:A,MATCH(153,'بيانات الحركات'!$G:$G,0)),"")</f>
        <v>46218</v>
      </c>
      <c r="B154" s="5" t="str">
        <f>IFERROR(INDEX('بيانات الحركات'!B:B,MATCH(153,'بيانات الحركات'!$G:$G,0)),"")</f>
        <v>شراء</v>
      </c>
      <c r="C154" s="3" t="str">
        <f>IFERROR(INDEX('بيانات الحركات'!C:C,MATCH(153,'بيانات الحركات'!$G:$G,0)),"")</f>
        <v>-</v>
      </c>
      <c r="D154" s="3" t="str">
        <f>IFERROR(INDEX('بيانات الحركات'!D:D,MATCH(153,'بيانات الحركات'!$G:$G,0)),"")</f>
        <v>سائل جلي super / عبوة 3 لتر 2602</v>
      </c>
      <c r="E154" s="21">
        <f>IF($B154="إنتاج طبخة","",IFERROR(INDEX('بيانات الحركات'!E:E,MATCH(153,'بيانات الحركات'!$G:$G,0)),""))</f>
        <v>0</v>
      </c>
      <c r="F154" s="3" t="str">
        <f>IFERROR(INDEX('بيانات الحركات'!F:F,MATCH(153,'بيانات الحركات'!$G:$G,0)),"")</f>
        <v/>
      </c>
    </row>
    <row r="155" spans="1:6" ht="21.95" customHeight="1">
      <c r="A155" s="8">
        <f>IFERROR(INDEX('بيانات الحركات'!A:A,MATCH(154,'بيانات الحركات'!$G:$G,0)),"")</f>
        <v>46218</v>
      </c>
      <c r="B155" s="5" t="str">
        <f>IFERROR(INDEX('بيانات الحركات'!B:B,MATCH(154,'بيانات الحركات'!$G:$G,0)),"")</f>
        <v>شراء</v>
      </c>
      <c r="C155" s="3" t="str">
        <f>IFERROR(INDEX('بيانات الحركات'!C:C,MATCH(154,'بيانات الحركات'!$G:$G,0)),"")</f>
        <v>-</v>
      </c>
      <c r="D155" s="3" t="str">
        <f>IFERROR(INDEX('بيانات الحركات'!D:D,MATCH(154,'بيانات الحركات'!$G:$G,0)),"")</f>
        <v>سائل جلي super / عبوة 3 لتر 2601</v>
      </c>
      <c r="E155" s="21">
        <f>IF($B155="إنتاج طبخة","",IFERROR(INDEX('بيانات الحركات'!E:E,MATCH(154,'بيانات الحركات'!$G:$G,0)),""))</f>
        <v>0</v>
      </c>
      <c r="F155" s="3" t="str">
        <f>IFERROR(INDEX('بيانات الحركات'!F:F,MATCH(154,'بيانات الحركات'!$G:$G,0)),"")</f>
        <v/>
      </c>
    </row>
    <row r="156" spans="1:6" ht="21.95" customHeight="1">
      <c r="A156" s="8">
        <f>IFERROR(INDEX('بيانات الحركات'!A:A,MATCH(155,'بيانات الحركات'!$G:$G,0)),"")</f>
        <v>46218</v>
      </c>
      <c r="B156" s="5" t="str">
        <f>IFERROR(INDEX('بيانات الحركات'!B:B,MATCH(155,'بيانات الحركات'!$G:$G,0)),"")</f>
        <v>شراء</v>
      </c>
      <c r="C156" s="3" t="str">
        <f>IFERROR(INDEX('بيانات الحركات'!C:C,MATCH(155,'بيانات الحركات'!$G:$G,0)),"")</f>
        <v>-</v>
      </c>
      <c r="D156" s="3" t="str">
        <f>IFERROR(INDEX('بيانات الحركات'!D:D,MATCH(155,'بيانات الحركات'!$G:$G,0)),"")</f>
        <v>زيت صنوبر 3 لتر</v>
      </c>
      <c r="E156" s="21">
        <f>IF($B156="إنتاج طبخة","",IFERROR(INDEX('بيانات الحركات'!E:E,MATCH(155,'بيانات الحركات'!$G:$G,0)),""))</f>
        <v>0</v>
      </c>
      <c r="F156" s="3" t="str">
        <f>IFERROR(INDEX('بيانات الحركات'!F:F,MATCH(155,'بيانات الحركات'!$G:$G,0)),"")</f>
        <v/>
      </c>
    </row>
    <row r="157" spans="1:6" ht="21.95" customHeight="1">
      <c r="A157" s="8">
        <f>IFERROR(INDEX('بيانات الحركات'!A:A,MATCH(156,'بيانات الحركات'!$G:$G,0)),"")</f>
        <v>46218</v>
      </c>
      <c r="B157" s="5" t="str">
        <f>IFERROR(INDEX('بيانات الحركات'!B:B,MATCH(156,'بيانات الحركات'!$G:$G,0)),"")</f>
        <v>شراء</v>
      </c>
      <c r="C157" s="3" t="str">
        <f>IFERROR(INDEX('بيانات الحركات'!C:C,MATCH(156,'بيانات الحركات'!$G:$G,0)),"")</f>
        <v>-</v>
      </c>
      <c r="D157" s="3" t="str">
        <f>IFERROR(INDEX('بيانات الحركات'!D:D,MATCH(156,'بيانات الحركات'!$G:$G,0)),"")</f>
        <v xml:space="preserve">ديتول 3 لتر </v>
      </c>
      <c r="E157" s="21">
        <f>IF($B157="إنتاج طبخة","",IFERROR(INDEX('بيانات الحركات'!E:E,MATCH(156,'بيانات الحركات'!$G:$G,0)),""))</f>
        <v>0</v>
      </c>
      <c r="F157" s="3" t="str">
        <f>IFERROR(INDEX('بيانات الحركات'!F:F,MATCH(156,'بيانات الحركات'!$G:$G,0)),"")</f>
        <v/>
      </c>
    </row>
    <row r="158" spans="1:6" ht="21.95" customHeight="1">
      <c r="A158" s="8">
        <f>IFERROR(INDEX('بيانات الحركات'!A:A,MATCH(157,'بيانات الحركات'!$G:$G,0)),"")</f>
        <v>46218</v>
      </c>
      <c r="B158" s="5" t="str">
        <f>IFERROR(INDEX('بيانات الحركات'!B:B,MATCH(157,'بيانات الحركات'!$G:$G,0)),"")</f>
        <v>شراء</v>
      </c>
      <c r="C158" s="3" t="str">
        <f>IFERROR(INDEX('بيانات الحركات'!C:C,MATCH(157,'بيانات الحركات'!$G:$G,0)),"")</f>
        <v>-</v>
      </c>
      <c r="D158" s="3" t="str">
        <f>IFERROR(INDEX('بيانات الحركات'!D:D,MATCH(157,'بيانات الحركات'!$G:$G,0)),"")</f>
        <v xml:space="preserve">ديتول / فرط </v>
      </c>
      <c r="E158" s="21">
        <f>IF($B158="إنتاج طبخة","",IFERROR(INDEX('بيانات الحركات'!E:E,MATCH(157,'بيانات الحركات'!$G:$G,0)),""))</f>
        <v>0</v>
      </c>
      <c r="F158" s="3" t="str">
        <f>IFERROR(INDEX('بيانات الحركات'!F:F,MATCH(157,'بيانات الحركات'!$G:$G,0)),"")</f>
        <v/>
      </c>
    </row>
    <row r="159" spans="1:6" ht="21.95" customHeight="1">
      <c r="A159" s="8">
        <f>IFERROR(INDEX('بيانات الحركات'!A:A,MATCH(158,'بيانات الحركات'!$G:$G,0)),"")</f>
        <v>46218</v>
      </c>
      <c r="B159" s="5" t="str">
        <f>IFERROR(INDEX('بيانات الحركات'!B:B,MATCH(158,'بيانات الحركات'!$G:$G,0)),"")</f>
        <v>شراء</v>
      </c>
      <c r="C159" s="3" t="str">
        <f>IFERROR(INDEX('بيانات الحركات'!C:C,MATCH(158,'بيانات الحركات'!$G:$G,0)),"")</f>
        <v>-</v>
      </c>
      <c r="D159" s="3" t="str">
        <f>IFERROR(INDEX('بيانات الحركات'!D:D,MATCH(158,'بيانات الحركات'!$G:$G,0)),"")</f>
        <v xml:space="preserve">دواء غسيل بودرا </v>
      </c>
      <c r="E159" s="21">
        <f>IF($B159="إنتاج طبخة","",IFERROR(INDEX('بيانات الحركات'!E:E,MATCH(158,'بيانات الحركات'!$G:$G,0)),""))</f>
        <v>0</v>
      </c>
      <c r="F159" s="3" t="str">
        <f>IFERROR(INDEX('بيانات الحركات'!F:F,MATCH(158,'بيانات الحركات'!$G:$G,0)),"")</f>
        <v/>
      </c>
    </row>
    <row r="160" spans="1:6" ht="21.95" customHeight="1">
      <c r="A160" s="8">
        <f>IFERROR(INDEX('بيانات الحركات'!A:A,MATCH(159,'بيانات الحركات'!$G:$G,0)),"")</f>
        <v>46218</v>
      </c>
      <c r="B160" s="5" t="str">
        <f>IFERROR(INDEX('بيانات الحركات'!B:B,MATCH(159,'بيانات الحركات'!$G:$G,0)),"")</f>
        <v>شراء</v>
      </c>
      <c r="C160" s="3" t="str">
        <f>IFERROR(INDEX('بيانات الحركات'!C:C,MATCH(159,'بيانات الحركات'!$G:$G,0)),"")</f>
        <v>-</v>
      </c>
      <c r="D160" s="3" t="str">
        <f>IFERROR(INDEX('بيانات الحركات'!D:D,MATCH(159,'بيانات الحركات'!$G:$G,0)),"")</f>
        <v>دوا غسيل نورا</v>
      </c>
      <c r="E160" s="21">
        <f>IF($B160="إنتاج طبخة","",IFERROR(INDEX('بيانات الحركات'!E:E,MATCH(159,'بيانات الحركات'!$G:$G,0)),""))</f>
        <v>0</v>
      </c>
      <c r="F160" s="3" t="str">
        <f>IFERROR(INDEX('بيانات الحركات'!F:F,MATCH(159,'بيانات الحركات'!$G:$G,0)),"")</f>
        <v/>
      </c>
    </row>
    <row r="161" spans="1:6" ht="21.95" customHeight="1">
      <c r="A161" s="8">
        <f>IFERROR(INDEX('بيانات الحركات'!A:A,MATCH(160,'بيانات الحركات'!$G:$G,0)),"")</f>
        <v>46218</v>
      </c>
      <c r="B161" s="5" t="str">
        <f>IFERROR(INDEX('بيانات الحركات'!B:B,MATCH(160,'بيانات الحركات'!$G:$G,0)),"")</f>
        <v>شراء</v>
      </c>
      <c r="C161" s="3" t="str">
        <f>IFERROR(INDEX('بيانات الحركات'!C:C,MATCH(160,'بيانات الحركات'!$G:$G,0)),"")</f>
        <v>-</v>
      </c>
      <c r="D161" s="3" t="str">
        <f>IFERROR(INDEX('بيانات الحركات'!D:D,MATCH(160,'بيانات الحركات'!$G:$G,0)),"")</f>
        <v xml:space="preserve">دفتر </v>
      </c>
      <c r="E161" s="21">
        <f>IF($B161="إنتاج طبخة","",IFERROR(INDEX('بيانات الحركات'!E:E,MATCH(160,'بيانات الحركات'!$G:$G,0)),""))</f>
        <v>0</v>
      </c>
      <c r="F161" s="3" t="str">
        <f>IFERROR(INDEX('بيانات الحركات'!F:F,MATCH(160,'بيانات الحركات'!$G:$G,0)),"")</f>
        <v/>
      </c>
    </row>
    <row r="162" spans="1:6" ht="21.95" customHeight="1">
      <c r="A162" s="8">
        <f>IFERROR(INDEX('بيانات الحركات'!A:A,MATCH(161,'بيانات الحركات'!$G:$G,0)),"")</f>
        <v>46218</v>
      </c>
      <c r="B162" s="5" t="str">
        <f>IFERROR(INDEX('بيانات الحركات'!B:B,MATCH(161,'بيانات الحركات'!$G:$G,0)),"")</f>
        <v>شراء</v>
      </c>
      <c r="C162" s="3" t="str">
        <f>IFERROR(INDEX('بيانات الحركات'!C:C,MATCH(161,'بيانات الحركات'!$G:$G,0)),"")</f>
        <v>-</v>
      </c>
      <c r="D162" s="3" t="str">
        <f>IFERROR(INDEX('بيانات الحركات'!D:D,MATCH(161,'بيانات الحركات'!$G:$G,0)),"")</f>
        <v xml:space="preserve">خردة وبلاستيك </v>
      </c>
      <c r="E162" s="21">
        <f>IF($B162="إنتاج طبخة","",IFERROR(INDEX('بيانات الحركات'!E:E,MATCH(161,'بيانات الحركات'!$G:$G,0)),""))</f>
        <v>0</v>
      </c>
      <c r="F162" s="3" t="str">
        <f>IFERROR(INDEX('بيانات الحركات'!F:F,MATCH(161,'بيانات الحركات'!$G:$G,0)),"")</f>
        <v/>
      </c>
    </row>
    <row r="163" spans="1:6" ht="21.95" customHeight="1">
      <c r="A163" s="8">
        <f>IFERROR(INDEX('بيانات الحركات'!A:A,MATCH(162,'بيانات الحركات'!$G:$G,0)),"")</f>
        <v>46218</v>
      </c>
      <c r="B163" s="5" t="str">
        <f>IFERROR(INDEX('بيانات الحركات'!B:B,MATCH(162,'بيانات الحركات'!$G:$G,0)),"")</f>
        <v>شراء</v>
      </c>
      <c r="C163" s="3" t="str">
        <f>IFERROR(INDEX('بيانات الحركات'!C:C,MATCH(162,'بيانات الحركات'!$G:$G,0)),"")</f>
        <v>-</v>
      </c>
      <c r="D163" s="3" t="str">
        <f>IFERROR(INDEX('بيانات الحركات'!D:D,MATCH(162,'بيانات الحركات'!$G:$G,0)),"")</f>
        <v>جاطات + طشوطة بلاستيك</v>
      </c>
      <c r="E163" s="21">
        <f>IF($B163="إنتاج طبخة","",IFERROR(INDEX('بيانات الحركات'!E:E,MATCH(162,'بيانات الحركات'!$G:$G,0)),""))</f>
        <v>0</v>
      </c>
      <c r="F163" s="3" t="str">
        <f>IFERROR(INDEX('بيانات الحركات'!F:F,MATCH(162,'بيانات الحركات'!$G:$G,0)),"")</f>
        <v/>
      </c>
    </row>
    <row r="164" spans="1:6" ht="21.95" customHeight="1">
      <c r="A164" s="8">
        <f>IFERROR(INDEX('بيانات الحركات'!A:A,MATCH(163,'بيانات الحركات'!$G:$G,0)),"")</f>
        <v>46218</v>
      </c>
      <c r="B164" s="5" t="str">
        <f>IFERROR(INDEX('بيانات الحركات'!B:B,MATCH(163,'بيانات الحركات'!$G:$G,0)),"")</f>
        <v>شراء</v>
      </c>
      <c r="C164" s="3" t="str">
        <f>IFERROR(INDEX('بيانات الحركات'!C:C,MATCH(163,'بيانات الحركات'!$G:$G,0)),"")</f>
        <v>-</v>
      </c>
      <c r="D164" s="3" t="str">
        <f>IFERROR(INDEX('بيانات الحركات'!D:D,MATCH(163,'بيانات الحركات'!$G:$G,0)),"")</f>
        <v>بيدون سعة 5 كغ</v>
      </c>
      <c r="E164" s="21">
        <f>IF($B164="إنتاج طبخة","",IFERROR(INDEX('بيانات الحركات'!E:E,MATCH(163,'بيانات الحركات'!$G:$G,0)),""))</f>
        <v>0</v>
      </c>
      <c r="F164" s="3" t="str">
        <f>IFERROR(INDEX('بيانات الحركات'!F:F,MATCH(163,'بيانات الحركات'!$G:$G,0)),"")</f>
        <v/>
      </c>
    </row>
    <row r="165" spans="1:6" ht="21.95" customHeight="1">
      <c r="A165" s="8">
        <f>IFERROR(INDEX('بيانات الحركات'!A:A,MATCH(164,'بيانات الحركات'!$G:$G,0)),"")</f>
        <v>46218</v>
      </c>
      <c r="B165" s="5" t="str">
        <f>IFERROR(INDEX('بيانات الحركات'!B:B,MATCH(164,'بيانات الحركات'!$G:$G,0)),"")</f>
        <v>شراء</v>
      </c>
      <c r="C165" s="3" t="str">
        <f>IFERROR(INDEX('بيانات الحركات'!C:C,MATCH(164,'بيانات الحركات'!$G:$G,0)),"")</f>
        <v>-</v>
      </c>
      <c r="D165" s="3" t="str">
        <f>IFERROR(INDEX('بيانات الحركات'!D:D,MATCH(164,'بيانات الحركات'!$G:$G,0)),"")</f>
        <v>بيدون !</v>
      </c>
      <c r="E165" s="21">
        <f>IF($B165="إنتاج طبخة","",IFERROR(INDEX('بيانات الحركات'!E:E,MATCH(164,'بيانات الحركات'!$G:$G,0)),""))</f>
        <v>0</v>
      </c>
      <c r="F165" s="3" t="str">
        <f>IFERROR(INDEX('بيانات الحركات'!F:F,MATCH(164,'بيانات الحركات'!$G:$G,0)),"")</f>
        <v/>
      </c>
    </row>
    <row r="166" spans="1:6" ht="21.95" customHeight="1">
      <c r="A166" s="8">
        <f>IFERROR(INDEX('بيانات الحركات'!A:A,MATCH(165,'بيانات الحركات'!$G:$G,0)),"")</f>
        <v>46218</v>
      </c>
      <c r="B166" s="5" t="str">
        <f>IFERROR(INDEX('بيانات الحركات'!B:B,MATCH(165,'بيانات الحركات'!$G:$G,0)),"")</f>
        <v>شراء</v>
      </c>
      <c r="C166" s="3" t="str">
        <f>IFERROR(INDEX('بيانات الحركات'!C:C,MATCH(165,'بيانات الحركات'!$G:$G,0)),"")</f>
        <v>-</v>
      </c>
      <c r="D166" s="3" t="str">
        <f>IFERROR(INDEX('بيانات الحركات'!D:D,MATCH(165,'بيانات الحركات'!$G:$G,0)),"")</f>
        <v xml:space="preserve">بي اتش 3 لتر </v>
      </c>
      <c r="E166" s="21">
        <f>IF($B166="إنتاج طبخة","",IFERROR(INDEX('بيانات الحركات'!E:E,MATCH(165,'بيانات الحركات'!$G:$G,0)),""))</f>
        <v>0</v>
      </c>
      <c r="F166" s="3" t="str">
        <f>IFERROR(INDEX('بيانات الحركات'!F:F,MATCH(165,'بيانات الحركات'!$G:$G,0)),"")</f>
        <v/>
      </c>
    </row>
    <row r="167" spans="1:6" ht="21.95" customHeight="1">
      <c r="A167" s="8">
        <f>IFERROR(INDEX('بيانات الحركات'!A:A,MATCH(166,'بيانات الحركات'!$G:$G,0)),"")</f>
        <v>46218</v>
      </c>
      <c r="B167" s="5" t="str">
        <f>IFERROR(INDEX('بيانات الحركات'!B:B,MATCH(166,'بيانات الحركات'!$G:$G,0)),"")</f>
        <v>شراء</v>
      </c>
      <c r="C167" s="3" t="str">
        <f>IFERROR(INDEX('بيانات الحركات'!C:C,MATCH(166,'بيانات الحركات'!$G:$G,0)),"")</f>
        <v>-</v>
      </c>
      <c r="D167" s="3" t="str">
        <f>IFERROR(INDEX('بيانات الحركات'!D:D,MATCH(166,'بيانات الحركات'!$G:$G,0)),"")</f>
        <v>بي اتش - كرتونة</v>
      </c>
      <c r="E167" s="21">
        <f>IF($B167="إنتاج طبخة","",IFERROR(INDEX('بيانات الحركات'!E:E,MATCH(166,'بيانات الحركات'!$G:$G,0)),""))</f>
        <v>0</v>
      </c>
      <c r="F167" s="3" t="str">
        <f>IFERROR(INDEX('بيانات الحركات'!F:F,MATCH(166,'بيانات الحركات'!$G:$G,0)),"")</f>
        <v/>
      </c>
    </row>
    <row r="168" spans="1:6" ht="21.95" customHeight="1">
      <c r="A168" s="8">
        <f>IFERROR(INDEX('بيانات الحركات'!A:A,MATCH(167,'بيانات الحركات'!$G:$G,0)),"")</f>
        <v>46218</v>
      </c>
      <c r="B168" s="5" t="str">
        <f>IFERROR(INDEX('بيانات الحركات'!B:B,MATCH(167,'بيانات الحركات'!$G:$G,0)),"")</f>
        <v>شراء</v>
      </c>
      <c r="C168" s="3" t="str">
        <f>IFERROR(INDEX('بيانات الحركات'!C:C,MATCH(167,'بيانات الحركات'!$G:$G,0)),"")</f>
        <v>-</v>
      </c>
      <c r="D168" s="3" t="str">
        <f>IFERROR(INDEX('بيانات الحركات'!D:D,MATCH(167,'بيانات الحركات'!$G:$G,0)),"")</f>
        <v>بي اتش - BH / فرط</v>
      </c>
      <c r="E168" s="21">
        <f>IF($B168="إنتاج طبخة","",IFERROR(INDEX('بيانات الحركات'!E:E,MATCH(167,'بيانات الحركات'!$G:$G,0)),""))</f>
        <v>0</v>
      </c>
      <c r="F168" s="3" t="str">
        <f>IFERROR(INDEX('بيانات الحركات'!F:F,MATCH(167,'بيانات الحركات'!$G:$G,0)),"")</f>
        <v/>
      </c>
    </row>
    <row r="169" spans="1:6" ht="21.95" customHeight="1">
      <c r="A169" s="8">
        <f>IFERROR(INDEX('بيانات الحركات'!A:A,MATCH(168,'بيانات الحركات'!$G:$G,0)),"")</f>
        <v>46218</v>
      </c>
      <c r="B169" s="5" t="str">
        <f>IFERROR(INDEX('بيانات الحركات'!B:B,MATCH(168,'بيانات الحركات'!$G:$G,0)),"")</f>
        <v>شراء</v>
      </c>
      <c r="C169" s="3" t="str">
        <f>IFERROR(INDEX('بيانات الحركات'!C:C,MATCH(168,'بيانات الحركات'!$G:$G,0)),"")</f>
        <v>-</v>
      </c>
      <c r="D169" s="3" t="str">
        <f>IFERROR(INDEX('بيانات الحركات'!D:D,MATCH(168,'بيانات الحركات'!$G:$G,0)),"")</f>
        <v>بي أتش ph الكرمل</v>
      </c>
      <c r="E169" s="21">
        <f>IF($B169="إنتاج طبخة","",IFERROR(INDEX('بيانات الحركات'!E:E,MATCH(168,'بيانات الحركات'!$G:$G,0)),""))</f>
        <v>0</v>
      </c>
      <c r="F169" s="3" t="str">
        <f>IFERROR(INDEX('بيانات الحركات'!F:F,MATCH(168,'بيانات الحركات'!$G:$G,0)),"")</f>
        <v/>
      </c>
    </row>
    <row r="170" spans="1:6" ht="21.95" customHeight="1">
      <c r="A170" s="8">
        <f>IFERROR(INDEX('بيانات الحركات'!A:A,MATCH(169,'بيانات الحركات'!$G:$G,0)),"")</f>
        <v>46218</v>
      </c>
      <c r="B170" s="5" t="str">
        <f>IFERROR(INDEX('بيانات الحركات'!B:B,MATCH(169,'بيانات الحركات'!$G:$G,0)),"")</f>
        <v>شراء</v>
      </c>
      <c r="C170" s="3" t="str">
        <f>IFERROR(INDEX('بيانات الحركات'!C:C,MATCH(169,'بيانات الحركات'!$G:$G,0)),"")</f>
        <v>-</v>
      </c>
      <c r="D170" s="3" t="str">
        <f>IFERROR(INDEX('بيانات الحركات'!D:D,MATCH(169,'بيانات الحركات'!$G:$G,0)),"")</f>
        <v>بلسم 3 لتر</v>
      </c>
      <c r="E170" s="21">
        <f>IF($B170="إنتاج طبخة","",IFERROR(INDEX('بيانات الحركات'!E:E,MATCH(169,'بيانات الحركات'!$G:$G,0)),""))</f>
        <v>0</v>
      </c>
      <c r="F170" s="3" t="str">
        <f>IFERROR(INDEX('بيانات الحركات'!F:F,MATCH(169,'بيانات الحركات'!$G:$G,0)),"")</f>
        <v/>
      </c>
    </row>
    <row r="171" spans="1:6" ht="21.95" customHeight="1">
      <c r="A171" s="8">
        <f>IFERROR(INDEX('بيانات الحركات'!A:A,MATCH(170,'بيانات الحركات'!$G:$G,0)),"")</f>
        <v>46218</v>
      </c>
      <c r="B171" s="5" t="str">
        <f>IFERROR(INDEX('بيانات الحركات'!B:B,MATCH(170,'بيانات الحركات'!$G:$G,0)),"")</f>
        <v>شراء</v>
      </c>
      <c r="C171" s="3" t="str">
        <f>IFERROR(INDEX('بيانات الحركات'!C:C,MATCH(170,'بيانات الحركات'!$G:$G,0)),"")</f>
        <v>-</v>
      </c>
      <c r="D171" s="3" t="str">
        <f>IFERROR(INDEX('بيانات الحركات'!D:D,MATCH(170,'بيانات الحركات'!$G:$G,0)),"")</f>
        <v>بلسم / فرط</v>
      </c>
      <c r="E171" s="21">
        <f>IF($B171="إنتاج طبخة","",IFERROR(INDEX('بيانات الحركات'!E:E,MATCH(170,'بيانات الحركات'!$G:$G,0)),""))</f>
        <v>0</v>
      </c>
      <c r="F171" s="3" t="str">
        <f>IFERROR(INDEX('بيانات الحركات'!F:F,MATCH(170,'بيانات الحركات'!$G:$G,0)),"")</f>
        <v/>
      </c>
    </row>
    <row r="172" spans="1:6" ht="21.95" customHeight="1">
      <c r="A172" s="8">
        <f>IFERROR(INDEX('بيانات الحركات'!A:A,MATCH(171,'بيانات الحركات'!$G:$G,0)),"")</f>
        <v>46218</v>
      </c>
      <c r="B172" s="5" t="str">
        <f>IFERROR(INDEX('بيانات الحركات'!B:B,MATCH(171,'بيانات الحركات'!$G:$G,0)),"")</f>
        <v>شراء</v>
      </c>
      <c r="C172" s="3" t="str">
        <f>IFERROR(INDEX('بيانات الحركات'!C:C,MATCH(171,'بيانات الحركات'!$G:$G,0)),"")</f>
        <v>-</v>
      </c>
      <c r="D172" s="3" t="str">
        <f>IFERROR(INDEX('بيانات الحركات'!D:D,MATCH(171,'بيانات الحركات'!$G:$G,0)),"")</f>
        <v>برميل كرتون</v>
      </c>
      <c r="E172" s="21">
        <f>IF($B172="إنتاج طبخة","",IFERROR(INDEX('بيانات الحركات'!E:E,MATCH(171,'بيانات الحركات'!$G:$G,0)),""))</f>
        <v>0</v>
      </c>
      <c r="F172" s="3" t="str">
        <f>IFERROR(INDEX('بيانات الحركات'!F:F,MATCH(171,'بيانات الحركات'!$G:$G,0)),"")</f>
        <v/>
      </c>
    </row>
    <row r="173" spans="1:6" ht="21.95" customHeight="1">
      <c r="A173" s="8">
        <f>IFERROR(INDEX('بيانات الحركات'!A:A,MATCH(172,'بيانات الحركات'!$G:$G,0)),"")</f>
        <v>46218</v>
      </c>
      <c r="B173" s="5" t="str">
        <f>IFERROR(INDEX('بيانات الحركات'!B:B,MATCH(172,'بيانات الحركات'!$G:$G,0)),"")</f>
        <v>شراء</v>
      </c>
      <c r="C173" s="3" t="str">
        <f>IFERROR(INDEX('بيانات الحركات'!C:C,MATCH(172,'بيانات الحركات'!$G:$G,0)),"")</f>
        <v>-</v>
      </c>
      <c r="D173" s="3" t="str">
        <f>IFERROR(INDEX('بيانات الحركات'!D:D,MATCH(172,'بيانات الحركات'!$G:$G,0)),"")</f>
        <v>برميل تكسبون فارغ</v>
      </c>
      <c r="E173" s="21">
        <f>IF($B173="إنتاج طبخة","",IFERROR(INDEX('بيانات الحركات'!E:E,MATCH(172,'بيانات الحركات'!$G:$G,0)),""))</f>
        <v>0</v>
      </c>
      <c r="F173" s="3" t="str">
        <f>IFERROR(INDEX('بيانات الحركات'!F:F,MATCH(172,'بيانات الحركات'!$G:$G,0)),"")</f>
        <v/>
      </c>
    </row>
    <row r="174" spans="1:6" ht="21.95" customHeight="1">
      <c r="A174" s="8">
        <f>IFERROR(INDEX('بيانات الحركات'!A:A,MATCH(173,'بيانات الحركات'!$G:$G,0)),"")</f>
        <v>46218</v>
      </c>
      <c r="B174" s="5" t="str">
        <f>IFERROR(INDEX('بيانات الحركات'!B:B,MATCH(173,'بيانات الحركات'!$G:$G,0)),"")</f>
        <v>شراء</v>
      </c>
      <c r="C174" s="3" t="str">
        <f>IFERROR(INDEX('بيانات الحركات'!C:C,MATCH(173,'بيانات الحركات'!$G:$G,0)),"")</f>
        <v>-</v>
      </c>
      <c r="D174" s="3" t="str">
        <f>IFERROR(INDEX('بيانات الحركات'!D:D,MATCH(173,'بيانات الحركات'!$G:$G,0)),"")</f>
        <v xml:space="preserve">اقراص كلور </v>
      </c>
      <c r="E174" s="21">
        <f>IF($B174="إنتاج طبخة","",IFERROR(INDEX('بيانات الحركات'!E:E,MATCH(173,'بيانات الحركات'!$G:$G,0)),""))</f>
        <v>0</v>
      </c>
      <c r="F174" s="3" t="str">
        <f>IFERROR(INDEX('بيانات الحركات'!F:F,MATCH(173,'بيانات الحركات'!$G:$G,0)),"")</f>
        <v/>
      </c>
    </row>
    <row r="175" spans="1:6" ht="21.95" customHeight="1">
      <c r="A175" s="8">
        <f>IFERROR(INDEX('بيانات الحركات'!A:A,MATCH(174,'بيانات الحركات'!$G:$G,0)),"")</f>
        <v>46218</v>
      </c>
      <c r="B175" s="5" t="str">
        <f>IFERROR(INDEX('بيانات الحركات'!B:B,MATCH(174,'بيانات الحركات'!$G:$G,0)),"")</f>
        <v>شراء</v>
      </c>
      <c r="C175" s="3" t="str">
        <f>IFERROR(INDEX('بيانات الحركات'!C:C,MATCH(174,'بيانات الحركات'!$G:$G,0)),"")</f>
        <v>-</v>
      </c>
      <c r="D175" s="3" t="str">
        <f>IFERROR(INDEX('بيانات الحركات'!D:D,MATCH(174,'بيانات الحركات'!$G:$G,0)),"")</f>
        <v>اسيد 3 لتر</v>
      </c>
      <c r="E175" s="21">
        <f>IF($B175="إنتاج طبخة","",IFERROR(INDEX('بيانات الحركات'!E:E,MATCH(174,'بيانات الحركات'!$G:$G,0)),""))</f>
        <v>0</v>
      </c>
      <c r="F175" s="3" t="str">
        <f>IFERROR(INDEX('بيانات الحركات'!F:F,MATCH(174,'بيانات الحركات'!$G:$G,0)),"")</f>
        <v/>
      </c>
    </row>
    <row r="176" spans="1:6" ht="21.95" customHeight="1">
      <c r="A176" s="8">
        <f>IFERROR(INDEX('بيانات الحركات'!A:A,MATCH(175,'بيانات الحركات'!$G:$G,0)),"")</f>
        <v>46218</v>
      </c>
      <c r="B176" s="5" t="str">
        <f>IFERROR(INDEX('بيانات الحركات'!B:B,MATCH(175,'بيانات الحركات'!$G:$G,0)),"")</f>
        <v>شراء</v>
      </c>
      <c r="C176" s="3" t="str">
        <f>IFERROR(INDEX('بيانات الحركات'!C:C,MATCH(175,'بيانات الحركات'!$G:$G,0)),"")</f>
        <v>-</v>
      </c>
      <c r="D176" s="3" t="str">
        <f>IFERROR(INDEX('بيانات الحركات'!D:D,MATCH(175,'بيانات الحركات'!$G:$G,0)),"")</f>
        <v>أسيد 3 لتر</v>
      </c>
      <c r="E176" s="21">
        <f>IF($B176="إنتاج طبخة","",IFERROR(INDEX('بيانات الحركات'!E:E,MATCH(175,'بيانات الحركات'!$G:$G,0)),""))</f>
        <v>0</v>
      </c>
      <c r="F176" s="3" t="str">
        <f>IFERROR(INDEX('بيانات الحركات'!F:F,MATCH(175,'بيانات الحركات'!$G:$G,0)),"")</f>
        <v/>
      </c>
    </row>
    <row r="177" spans="1:6" ht="21.95" customHeight="1">
      <c r="A177" s="8">
        <f>IFERROR(INDEX('بيانات الحركات'!A:A,MATCH(176,'بيانات الحركات'!$G:$G,0)),"")</f>
        <v>46218</v>
      </c>
      <c r="B177" s="5" t="str">
        <f>IFERROR(INDEX('بيانات الحركات'!B:B,MATCH(176,'بيانات الحركات'!$G:$G,0)),"")</f>
        <v>شراء</v>
      </c>
      <c r="C177" s="3" t="str">
        <f>IFERROR(INDEX('بيانات الحركات'!C:C,MATCH(176,'بيانات الحركات'!$G:$G,0)),"")</f>
        <v>-</v>
      </c>
      <c r="D177" s="3" t="str">
        <f>IFERROR(INDEX('بيانات الحركات'!D:D,MATCH(176,'بيانات الحركات'!$G:$G,0)),"")</f>
        <v>أسيد 1 لتر</v>
      </c>
      <c r="E177" s="21">
        <f>IF($B177="إنتاج طبخة","",IFERROR(INDEX('بيانات الحركات'!E:E,MATCH(176,'بيانات الحركات'!$G:$G,0)),""))</f>
        <v>0</v>
      </c>
      <c r="F177" s="3" t="str">
        <f>IFERROR(INDEX('بيانات الحركات'!F:F,MATCH(176,'بيانات الحركات'!$G:$G,0)),"")</f>
        <v/>
      </c>
    </row>
    <row r="178" spans="1:6" ht="21.95" customHeight="1">
      <c r="A178" s="8">
        <f>IFERROR(INDEX('بيانات الحركات'!A:A,MATCH(177,'بيانات الحركات'!$G:$G,0)),"")</f>
        <v>46225</v>
      </c>
      <c r="B178" s="5" t="str">
        <f>IFERROR(INDEX('بيانات الحركات'!B:B,MATCH(177,'بيانات الحركات'!$G:$G,0)),"")</f>
        <v>صرف مباشر</v>
      </c>
      <c r="C178" s="3" t="str">
        <f>IFERROR(INDEX('بيانات الحركات'!C:C,MATCH(177,'بيانات الحركات'!$G:$G,0)),"")</f>
        <v>أبو خليل</v>
      </c>
      <c r="D178" s="3" t="str">
        <f>IFERROR(INDEX('بيانات الحركات'!D:D,MATCH(177,'بيانات الحركات'!$G:$G,0)),"")</f>
        <v>ملح</v>
      </c>
      <c r="E178" s="21">
        <f>IF($B178="إنتاج طبخة","",IFERROR(INDEX('بيانات الحركات'!E:E,MATCH(177,'بيانات الحركات'!$G:$G,0)),""))</f>
        <v>-10</v>
      </c>
      <c r="F178" s="3" t="str">
        <f>IFERROR(INDEX('بيانات الحركات'!F:F,MATCH(177,'بيانات الحركات'!$G:$G,0)),"")</f>
        <v>منشان يطبخ مي وملح</v>
      </c>
    </row>
    <row r="179" spans="1:6" ht="21.95" customHeight="1">
      <c r="A179" s="8">
        <f>IFERROR(INDEX('بيانات الحركات'!A:A,MATCH(178,'بيانات الحركات'!$G:$G,0)),"")</f>
        <v>46225</v>
      </c>
      <c r="B179" s="5" t="str">
        <f>IFERROR(INDEX('بيانات الحركات'!B:B,MATCH(178,'بيانات الحركات'!$G:$G,0)),"")</f>
        <v>إنتاج طبخة</v>
      </c>
      <c r="C179" s="3" t="str">
        <f>IFERROR(INDEX('بيانات الحركات'!C:C,MATCH(178,'بيانات الحركات'!$G:$G,0)),"")</f>
        <v>لودلين فريز أول</v>
      </c>
      <c r="D179" s="3" t="str">
        <f>IFERROR(INDEX('بيانات الحركات'!D:D,MATCH(178,'بيانات الحركات'!$G:$G,0)),"")</f>
        <v>عدة مواد - راجع صفحة الطبخات</v>
      </c>
      <c r="E179" s="21" t="str">
        <f>IF($B179="إنتاج طبخة","",IFERROR(INDEX('بيانات الحركات'!E:E,MATCH(178,'بيانات الحركات'!$G:$G,0)),""))</f>
        <v/>
      </c>
      <c r="F179" s="3" t="str">
        <f>IFERROR(INDEX('بيانات الحركات'!F:F,MATCH(178,'بيانات الحركات'!$G:$G,0)),"")</f>
        <v>تجريبية</v>
      </c>
    </row>
    <row r="180" spans="1:6" ht="21.95" customHeight="1">
      <c r="A180" s="8" t="str">
        <f>IFERROR(INDEX('بيانات الحركات'!A:A,MATCH(179,'بيانات الحركات'!$G:$G,0)),"")</f>
        <v/>
      </c>
      <c r="B180" s="5" t="str">
        <f>IFERROR(INDEX('بيانات الحركات'!B:B,MATCH(179,'بيانات الحركات'!$G:$G,0)),"")</f>
        <v/>
      </c>
      <c r="C180" s="3" t="str">
        <f>IFERROR(INDEX('بيانات الحركات'!C:C,MATCH(179,'بيانات الحركات'!$G:$G,0)),"")</f>
        <v/>
      </c>
      <c r="D180" s="3" t="str">
        <f>IFERROR(INDEX('بيانات الحركات'!D:D,MATCH(179,'بيانات الحركات'!$G:$G,0)),"")</f>
        <v/>
      </c>
      <c r="E180" s="21" t="str">
        <f>IF($B180="إنتاج طبخة","",IFERROR(INDEX('بيانات الحركات'!E:E,MATCH(179,'بيانات الحركات'!$G:$G,0)),""))</f>
        <v/>
      </c>
      <c r="F180" s="3" t="str">
        <f>IFERROR(INDEX('بيانات الحركات'!F:F,MATCH(179,'بيانات الحركات'!$G:$G,0)),"")</f>
        <v/>
      </c>
    </row>
    <row r="181" spans="1:6" ht="21.95" customHeight="1">
      <c r="A181" s="8" t="str">
        <f>IFERROR(INDEX('بيانات الحركات'!A:A,MATCH(180,'بيانات الحركات'!$G:$G,0)),"")</f>
        <v/>
      </c>
      <c r="B181" s="5" t="str">
        <f>IFERROR(INDEX('بيانات الحركات'!B:B,MATCH(180,'بيانات الحركات'!$G:$G,0)),"")</f>
        <v/>
      </c>
      <c r="C181" s="3" t="str">
        <f>IFERROR(INDEX('بيانات الحركات'!C:C,MATCH(180,'بيانات الحركات'!$G:$G,0)),"")</f>
        <v/>
      </c>
      <c r="D181" s="3" t="str">
        <f>IFERROR(INDEX('بيانات الحركات'!D:D,MATCH(180,'بيانات الحركات'!$G:$G,0)),"")</f>
        <v/>
      </c>
      <c r="E181" s="21" t="str">
        <f>IF($B181="إنتاج طبخة","",IFERROR(INDEX('بيانات الحركات'!E:E,MATCH(180,'بيانات الحركات'!$G:$G,0)),""))</f>
        <v/>
      </c>
      <c r="F181" s="3" t="str">
        <f>IFERROR(INDEX('بيانات الحركات'!F:F,MATCH(180,'بيانات الحركات'!$G:$G,0)),"")</f>
        <v/>
      </c>
    </row>
    <row r="182" spans="1:6" ht="21.95" customHeight="1">
      <c r="A182" s="8" t="str">
        <f>IFERROR(INDEX('بيانات الحركات'!A:A,MATCH(181,'بيانات الحركات'!$G:$G,0)),"")</f>
        <v/>
      </c>
      <c r="B182" s="5" t="str">
        <f>IFERROR(INDEX('بيانات الحركات'!B:B,MATCH(181,'بيانات الحركات'!$G:$G,0)),"")</f>
        <v/>
      </c>
      <c r="C182" s="3" t="str">
        <f>IFERROR(INDEX('بيانات الحركات'!C:C,MATCH(181,'بيانات الحركات'!$G:$G,0)),"")</f>
        <v/>
      </c>
      <c r="D182" s="3" t="str">
        <f>IFERROR(INDEX('بيانات الحركات'!D:D,MATCH(181,'بيانات الحركات'!$G:$G,0)),"")</f>
        <v/>
      </c>
      <c r="E182" s="21" t="str">
        <f>IF($B182="إنتاج طبخة","",IFERROR(INDEX('بيانات الحركات'!E:E,MATCH(181,'بيانات الحركات'!$G:$G,0)),""))</f>
        <v/>
      </c>
      <c r="F182" s="3" t="str">
        <f>IFERROR(INDEX('بيانات الحركات'!F:F,MATCH(181,'بيانات الحركات'!$G:$G,0)),"")</f>
        <v/>
      </c>
    </row>
    <row r="183" spans="1:6" ht="21.95" customHeight="1">
      <c r="A183" s="8" t="str">
        <f>IFERROR(INDEX('بيانات الحركات'!A:A,MATCH(182,'بيانات الحركات'!$G:$G,0)),"")</f>
        <v/>
      </c>
      <c r="B183" s="5" t="str">
        <f>IFERROR(INDEX('بيانات الحركات'!B:B,MATCH(182,'بيانات الحركات'!$G:$G,0)),"")</f>
        <v/>
      </c>
      <c r="C183" s="3" t="str">
        <f>IFERROR(INDEX('بيانات الحركات'!C:C,MATCH(182,'بيانات الحركات'!$G:$G,0)),"")</f>
        <v/>
      </c>
      <c r="D183" s="3" t="str">
        <f>IFERROR(INDEX('بيانات الحركات'!D:D,MATCH(182,'بيانات الحركات'!$G:$G,0)),"")</f>
        <v/>
      </c>
      <c r="E183" s="21" t="str">
        <f>IF($B183="إنتاج طبخة","",IFERROR(INDEX('بيانات الحركات'!E:E,MATCH(182,'بيانات الحركات'!$G:$G,0)),""))</f>
        <v/>
      </c>
      <c r="F183" s="3" t="str">
        <f>IFERROR(INDEX('بيانات الحركات'!F:F,MATCH(182,'بيانات الحركات'!$G:$G,0)),"")</f>
        <v/>
      </c>
    </row>
    <row r="184" spans="1:6" ht="21.95" customHeight="1">
      <c r="A184" s="8" t="str">
        <f>IFERROR(INDEX('بيانات الحركات'!A:A,MATCH(183,'بيانات الحركات'!$G:$G,0)),"")</f>
        <v/>
      </c>
      <c r="B184" s="5" t="str">
        <f>IFERROR(INDEX('بيانات الحركات'!B:B,MATCH(183,'بيانات الحركات'!$G:$G,0)),"")</f>
        <v/>
      </c>
      <c r="C184" s="3" t="str">
        <f>IFERROR(INDEX('بيانات الحركات'!C:C,MATCH(183,'بيانات الحركات'!$G:$G,0)),"")</f>
        <v/>
      </c>
      <c r="D184" s="3" t="str">
        <f>IFERROR(INDEX('بيانات الحركات'!D:D,MATCH(183,'بيانات الحركات'!$G:$G,0)),"")</f>
        <v/>
      </c>
      <c r="E184" s="21" t="str">
        <f>IF($B184="إنتاج طبخة","",IFERROR(INDEX('بيانات الحركات'!E:E,MATCH(183,'بيانات الحركات'!$G:$G,0)),""))</f>
        <v/>
      </c>
      <c r="F184" s="3" t="str">
        <f>IFERROR(INDEX('بيانات الحركات'!F:F,MATCH(183,'بيانات الحركات'!$G:$G,0)),"")</f>
        <v/>
      </c>
    </row>
    <row r="185" spans="1:6" ht="21.95" customHeight="1">
      <c r="A185" s="8" t="str">
        <f>IFERROR(INDEX('بيانات الحركات'!A:A,MATCH(184,'بيانات الحركات'!$G:$G,0)),"")</f>
        <v/>
      </c>
      <c r="B185" s="5" t="str">
        <f>IFERROR(INDEX('بيانات الحركات'!B:B,MATCH(184,'بيانات الحركات'!$G:$G,0)),"")</f>
        <v/>
      </c>
      <c r="C185" s="3" t="str">
        <f>IFERROR(INDEX('بيانات الحركات'!C:C,MATCH(184,'بيانات الحركات'!$G:$G,0)),"")</f>
        <v/>
      </c>
      <c r="D185" s="3" t="str">
        <f>IFERROR(INDEX('بيانات الحركات'!D:D,MATCH(184,'بيانات الحركات'!$G:$G,0)),"")</f>
        <v/>
      </c>
      <c r="E185" s="21" t="str">
        <f>IF($B185="إنتاج طبخة","",IFERROR(INDEX('بيانات الحركات'!E:E,MATCH(184,'بيانات الحركات'!$G:$G,0)),""))</f>
        <v/>
      </c>
      <c r="F185" s="3" t="str">
        <f>IFERROR(INDEX('بيانات الحركات'!F:F,MATCH(184,'بيانات الحركات'!$G:$G,0)),"")</f>
        <v/>
      </c>
    </row>
    <row r="186" spans="1:6" ht="21.95" customHeight="1">
      <c r="A186" s="8" t="str">
        <f>IFERROR(INDEX('بيانات الحركات'!A:A,MATCH(185,'بيانات الحركات'!$G:$G,0)),"")</f>
        <v/>
      </c>
      <c r="B186" s="5" t="str">
        <f>IFERROR(INDEX('بيانات الحركات'!B:B,MATCH(185,'بيانات الحركات'!$G:$G,0)),"")</f>
        <v/>
      </c>
      <c r="C186" s="3" t="str">
        <f>IFERROR(INDEX('بيانات الحركات'!C:C,MATCH(185,'بيانات الحركات'!$G:$G,0)),"")</f>
        <v/>
      </c>
      <c r="D186" s="3" t="str">
        <f>IFERROR(INDEX('بيانات الحركات'!D:D,MATCH(185,'بيانات الحركات'!$G:$G,0)),"")</f>
        <v/>
      </c>
      <c r="E186" s="21" t="str">
        <f>IF($B186="إنتاج طبخة","",IFERROR(INDEX('بيانات الحركات'!E:E,MATCH(185,'بيانات الحركات'!$G:$G,0)),""))</f>
        <v/>
      </c>
      <c r="F186" s="3" t="str">
        <f>IFERROR(INDEX('بيانات الحركات'!F:F,MATCH(185,'بيانات الحركات'!$G:$G,0)),"")</f>
        <v/>
      </c>
    </row>
    <row r="187" spans="1:6" ht="21.95" customHeight="1">
      <c r="A187" s="8" t="str">
        <f>IFERROR(INDEX('بيانات الحركات'!A:A,MATCH(186,'بيانات الحركات'!$G:$G,0)),"")</f>
        <v/>
      </c>
      <c r="B187" s="5" t="str">
        <f>IFERROR(INDEX('بيانات الحركات'!B:B,MATCH(186,'بيانات الحركات'!$G:$G,0)),"")</f>
        <v/>
      </c>
      <c r="C187" s="3" t="str">
        <f>IFERROR(INDEX('بيانات الحركات'!C:C,MATCH(186,'بيانات الحركات'!$G:$G,0)),"")</f>
        <v/>
      </c>
      <c r="D187" s="3" t="str">
        <f>IFERROR(INDEX('بيانات الحركات'!D:D,MATCH(186,'بيانات الحركات'!$G:$G,0)),"")</f>
        <v/>
      </c>
      <c r="E187" s="21" t="str">
        <f>IF($B187="إنتاج طبخة","",IFERROR(INDEX('بيانات الحركات'!E:E,MATCH(186,'بيانات الحركات'!$G:$G,0)),""))</f>
        <v/>
      </c>
      <c r="F187" s="3" t="str">
        <f>IFERROR(INDEX('بيانات الحركات'!F:F,MATCH(186,'بيانات الحركات'!$G:$G,0)),"")</f>
        <v/>
      </c>
    </row>
    <row r="188" spans="1:6" ht="21.95" customHeight="1">
      <c r="A188" s="8" t="str">
        <f>IFERROR(INDEX('بيانات الحركات'!A:A,MATCH(187,'بيانات الحركات'!$G:$G,0)),"")</f>
        <v/>
      </c>
      <c r="B188" s="5" t="str">
        <f>IFERROR(INDEX('بيانات الحركات'!B:B,MATCH(187,'بيانات الحركات'!$G:$G,0)),"")</f>
        <v/>
      </c>
      <c r="C188" s="3" t="str">
        <f>IFERROR(INDEX('بيانات الحركات'!C:C,MATCH(187,'بيانات الحركات'!$G:$G,0)),"")</f>
        <v/>
      </c>
      <c r="D188" s="3" t="str">
        <f>IFERROR(INDEX('بيانات الحركات'!D:D,MATCH(187,'بيانات الحركات'!$G:$G,0)),"")</f>
        <v/>
      </c>
      <c r="E188" s="21" t="str">
        <f>IF($B188="إنتاج طبخة","",IFERROR(INDEX('بيانات الحركات'!E:E,MATCH(187,'بيانات الحركات'!$G:$G,0)),""))</f>
        <v/>
      </c>
      <c r="F188" s="3" t="str">
        <f>IFERROR(INDEX('بيانات الحركات'!F:F,MATCH(187,'بيانات الحركات'!$G:$G,0)),"")</f>
        <v/>
      </c>
    </row>
    <row r="189" spans="1:6" ht="21.95" customHeight="1">
      <c r="A189" s="8" t="str">
        <f>IFERROR(INDEX('بيانات الحركات'!A:A,MATCH(188,'بيانات الحركات'!$G:$G,0)),"")</f>
        <v/>
      </c>
      <c r="B189" s="5" t="str">
        <f>IFERROR(INDEX('بيانات الحركات'!B:B,MATCH(188,'بيانات الحركات'!$G:$G,0)),"")</f>
        <v/>
      </c>
      <c r="C189" s="3" t="str">
        <f>IFERROR(INDEX('بيانات الحركات'!C:C,MATCH(188,'بيانات الحركات'!$G:$G,0)),"")</f>
        <v/>
      </c>
      <c r="D189" s="3" t="str">
        <f>IFERROR(INDEX('بيانات الحركات'!D:D,MATCH(188,'بيانات الحركات'!$G:$G,0)),"")</f>
        <v/>
      </c>
      <c r="E189" s="21" t="str">
        <f>IF($B189="إنتاج طبخة","",IFERROR(INDEX('بيانات الحركات'!E:E,MATCH(188,'بيانات الحركات'!$G:$G,0)),""))</f>
        <v/>
      </c>
      <c r="F189" s="3" t="str">
        <f>IFERROR(INDEX('بيانات الحركات'!F:F,MATCH(188,'بيانات الحركات'!$G:$G,0)),"")</f>
        <v/>
      </c>
    </row>
    <row r="190" spans="1:6" ht="21.95" customHeight="1">
      <c r="A190" s="8" t="str">
        <f>IFERROR(INDEX('بيانات الحركات'!A:A,MATCH(189,'بيانات الحركات'!$G:$G,0)),"")</f>
        <v/>
      </c>
      <c r="B190" s="5" t="str">
        <f>IFERROR(INDEX('بيانات الحركات'!B:B,MATCH(189,'بيانات الحركات'!$G:$G,0)),"")</f>
        <v/>
      </c>
      <c r="C190" s="3" t="str">
        <f>IFERROR(INDEX('بيانات الحركات'!C:C,MATCH(189,'بيانات الحركات'!$G:$G,0)),"")</f>
        <v/>
      </c>
      <c r="D190" s="3" t="str">
        <f>IFERROR(INDEX('بيانات الحركات'!D:D,MATCH(189,'بيانات الحركات'!$G:$G,0)),"")</f>
        <v/>
      </c>
      <c r="E190" s="21" t="str">
        <f>IF($B190="إنتاج طبخة","",IFERROR(INDEX('بيانات الحركات'!E:E,MATCH(189,'بيانات الحركات'!$G:$G,0)),""))</f>
        <v/>
      </c>
      <c r="F190" s="3" t="str">
        <f>IFERROR(INDEX('بيانات الحركات'!F:F,MATCH(189,'بيانات الحركات'!$G:$G,0)),"")</f>
        <v/>
      </c>
    </row>
    <row r="191" spans="1:6" ht="21.95" customHeight="1">
      <c r="A191" s="8" t="str">
        <f>IFERROR(INDEX('بيانات الحركات'!A:A,MATCH(190,'بيانات الحركات'!$G:$G,0)),"")</f>
        <v/>
      </c>
      <c r="B191" s="5" t="str">
        <f>IFERROR(INDEX('بيانات الحركات'!B:B,MATCH(190,'بيانات الحركات'!$G:$G,0)),"")</f>
        <v/>
      </c>
      <c r="C191" s="3" t="str">
        <f>IFERROR(INDEX('بيانات الحركات'!C:C,MATCH(190,'بيانات الحركات'!$G:$G,0)),"")</f>
        <v/>
      </c>
      <c r="D191" s="3" t="str">
        <f>IFERROR(INDEX('بيانات الحركات'!D:D,MATCH(190,'بيانات الحركات'!$G:$G,0)),"")</f>
        <v/>
      </c>
      <c r="E191" s="21" t="str">
        <f>IF($B191="إنتاج طبخة","",IFERROR(INDEX('بيانات الحركات'!E:E,MATCH(190,'بيانات الحركات'!$G:$G,0)),""))</f>
        <v/>
      </c>
      <c r="F191" s="3" t="str">
        <f>IFERROR(INDEX('بيانات الحركات'!F:F,MATCH(190,'بيانات الحركات'!$G:$G,0)),"")</f>
        <v/>
      </c>
    </row>
    <row r="192" spans="1:6" ht="21.95" customHeight="1">
      <c r="A192" s="8" t="str">
        <f>IFERROR(INDEX('بيانات الحركات'!A:A,MATCH(191,'بيانات الحركات'!$G:$G,0)),"")</f>
        <v/>
      </c>
      <c r="B192" s="5" t="str">
        <f>IFERROR(INDEX('بيانات الحركات'!B:B,MATCH(191,'بيانات الحركات'!$G:$G,0)),"")</f>
        <v/>
      </c>
      <c r="C192" s="3" t="str">
        <f>IFERROR(INDEX('بيانات الحركات'!C:C,MATCH(191,'بيانات الحركات'!$G:$G,0)),"")</f>
        <v/>
      </c>
      <c r="D192" s="3" t="str">
        <f>IFERROR(INDEX('بيانات الحركات'!D:D,MATCH(191,'بيانات الحركات'!$G:$G,0)),"")</f>
        <v/>
      </c>
      <c r="E192" s="21" t="str">
        <f>IF($B192="إنتاج طبخة","",IFERROR(INDEX('بيانات الحركات'!E:E,MATCH(191,'بيانات الحركات'!$G:$G,0)),""))</f>
        <v/>
      </c>
      <c r="F192" s="3" t="str">
        <f>IFERROR(INDEX('بيانات الحركات'!F:F,MATCH(191,'بيانات الحركات'!$G:$G,0)),"")</f>
        <v/>
      </c>
    </row>
    <row r="193" spans="1:6" ht="21.95" customHeight="1">
      <c r="A193" s="8" t="str">
        <f>IFERROR(INDEX('بيانات الحركات'!A:A,MATCH(192,'بيانات الحركات'!$G:$G,0)),"")</f>
        <v/>
      </c>
      <c r="B193" s="5" t="str">
        <f>IFERROR(INDEX('بيانات الحركات'!B:B,MATCH(192,'بيانات الحركات'!$G:$G,0)),"")</f>
        <v/>
      </c>
      <c r="C193" s="3" t="str">
        <f>IFERROR(INDEX('بيانات الحركات'!C:C,MATCH(192,'بيانات الحركات'!$G:$G,0)),"")</f>
        <v/>
      </c>
      <c r="D193" s="3" t="str">
        <f>IFERROR(INDEX('بيانات الحركات'!D:D,MATCH(192,'بيانات الحركات'!$G:$G,0)),"")</f>
        <v/>
      </c>
      <c r="E193" s="21" t="str">
        <f>IF($B193="إنتاج طبخة","",IFERROR(INDEX('بيانات الحركات'!E:E,MATCH(192,'بيانات الحركات'!$G:$G,0)),""))</f>
        <v/>
      </c>
      <c r="F193" s="3" t="str">
        <f>IFERROR(INDEX('بيانات الحركات'!F:F,MATCH(192,'بيانات الحركات'!$G:$G,0)),"")</f>
        <v/>
      </c>
    </row>
    <row r="194" spans="1:6" ht="21.95" customHeight="1">
      <c r="A194" s="8" t="str">
        <f>IFERROR(INDEX('بيانات الحركات'!A:A,MATCH(193,'بيانات الحركات'!$G:$G,0)),"")</f>
        <v/>
      </c>
      <c r="B194" s="5" t="str">
        <f>IFERROR(INDEX('بيانات الحركات'!B:B,MATCH(193,'بيانات الحركات'!$G:$G,0)),"")</f>
        <v/>
      </c>
      <c r="C194" s="3" t="str">
        <f>IFERROR(INDEX('بيانات الحركات'!C:C,MATCH(193,'بيانات الحركات'!$G:$G,0)),"")</f>
        <v/>
      </c>
      <c r="D194" s="3" t="str">
        <f>IFERROR(INDEX('بيانات الحركات'!D:D,MATCH(193,'بيانات الحركات'!$G:$G,0)),"")</f>
        <v/>
      </c>
      <c r="E194" s="21" t="str">
        <f>IF($B194="إنتاج طبخة","",IFERROR(INDEX('بيانات الحركات'!E:E,MATCH(193,'بيانات الحركات'!$G:$G,0)),""))</f>
        <v/>
      </c>
      <c r="F194" s="3" t="str">
        <f>IFERROR(INDEX('بيانات الحركات'!F:F,MATCH(193,'بيانات الحركات'!$G:$G,0)),"")</f>
        <v/>
      </c>
    </row>
    <row r="195" spans="1:6" ht="21.95" customHeight="1">
      <c r="A195" s="8" t="str">
        <f>IFERROR(INDEX('بيانات الحركات'!A:A,MATCH(194,'بيانات الحركات'!$G:$G,0)),"")</f>
        <v/>
      </c>
      <c r="B195" s="5" t="str">
        <f>IFERROR(INDEX('بيانات الحركات'!B:B,MATCH(194,'بيانات الحركات'!$G:$G,0)),"")</f>
        <v/>
      </c>
      <c r="C195" s="3" t="str">
        <f>IFERROR(INDEX('بيانات الحركات'!C:C,MATCH(194,'بيانات الحركات'!$G:$G,0)),"")</f>
        <v/>
      </c>
      <c r="D195" s="3" t="str">
        <f>IFERROR(INDEX('بيانات الحركات'!D:D,MATCH(194,'بيانات الحركات'!$G:$G,0)),"")</f>
        <v/>
      </c>
      <c r="E195" s="21" t="str">
        <f>IF($B195="إنتاج طبخة","",IFERROR(INDEX('بيانات الحركات'!E:E,MATCH(194,'بيانات الحركات'!$G:$G,0)),""))</f>
        <v/>
      </c>
      <c r="F195" s="3" t="str">
        <f>IFERROR(INDEX('بيانات الحركات'!F:F,MATCH(194,'بيانات الحركات'!$G:$G,0)),"")</f>
        <v/>
      </c>
    </row>
    <row r="196" spans="1:6" ht="21.95" customHeight="1">
      <c r="A196" s="8" t="str">
        <f>IFERROR(INDEX('بيانات الحركات'!A:A,MATCH(195,'بيانات الحركات'!$G:$G,0)),"")</f>
        <v/>
      </c>
      <c r="B196" s="5" t="str">
        <f>IFERROR(INDEX('بيانات الحركات'!B:B,MATCH(195,'بيانات الحركات'!$G:$G,0)),"")</f>
        <v/>
      </c>
      <c r="C196" s="3" t="str">
        <f>IFERROR(INDEX('بيانات الحركات'!C:C,MATCH(195,'بيانات الحركات'!$G:$G,0)),"")</f>
        <v/>
      </c>
      <c r="D196" s="3" t="str">
        <f>IFERROR(INDEX('بيانات الحركات'!D:D,MATCH(195,'بيانات الحركات'!$G:$G,0)),"")</f>
        <v/>
      </c>
      <c r="E196" s="21" t="str">
        <f>IF($B196="إنتاج طبخة","",IFERROR(INDEX('بيانات الحركات'!E:E,MATCH(195,'بيانات الحركات'!$G:$G,0)),""))</f>
        <v/>
      </c>
      <c r="F196" s="3" t="str">
        <f>IFERROR(INDEX('بيانات الحركات'!F:F,MATCH(195,'بيانات الحركات'!$G:$G,0)),"")</f>
        <v/>
      </c>
    </row>
    <row r="197" spans="1:6" ht="21.95" customHeight="1">
      <c r="A197" s="8" t="str">
        <f>IFERROR(INDEX('بيانات الحركات'!A:A,MATCH(196,'بيانات الحركات'!$G:$G,0)),"")</f>
        <v/>
      </c>
      <c r="B197" s="5" t="str">
        <f>IFERROR(INDEX('بيانات الحركات'!B:B,MATCH(196,'بيانات الحركات'!$G:$G,0)),"")</f>
        <v/>
      </c>
      <c r="C197" s="3" t="str">
        <f>IFERROR(INDEX('بيانات الحركات'!C:C,MATCH(196,'بيانات الحركات'!$G:$G,0)),"")</f>
        <v/>
      </c>
      <c r="D197" s="3" t="str">
        <f>IFERROR(INDEX('بيانات الحركات'!D:D,MATCH(196,'بيانات الحركات'!$G:$G,0)),"")</f>
        <v/>
      </c>
      <c r="E197" s="21" t="str">
        <f>IF($B197="إنتاج طبخة","",IFERROR(INDEX('بيانات الحركات'!E:E,MATCH(196,'بيانات الحركات'!$G:$G,0)),""))</f>
        <v/>
      </c>
      <c r="F197" s="3" t="str">
        <f>IFERROR(INDEX('بيانات الحركات'!F:F,MATCH(196,'بيانات الحركات'!$G:$G,0)),"")</f>
        <v/>
      </c>
    </row>
    <row r="198" spans="1:6" ht="21.95" customHeight="1">
      <c r="A198" s="8" t="str">
        <f>IFERROR(INDEX('بيانات الحركات'!A:A,MATCH(197,'بيانات الحركات'!$G:$G,0)),"")</f>
        <v/>
      </c>
      <c r="B198" s="5" t="str">
        <f>IFERROR(INDEX('بيانات الحركات'!B:B,MATCH(197,'بيانات الحركات'!$G:$G,0)),"")</f>
        <v/>
      </c>
      <c r="C198" s="3" t="str">
        <f>IFERROR(INDEX('بيانات الحركات'!C:C,MATCH(197,'بيانات الحركات'!$G:$G,0)),"")</f>
        <v/>
      </c>
      <c r="D198" s="3" t="str">
        <f>IFERROR(INDEX('بيانات الحركات'!D:D,MATCH(197,'بيانات الحركات'!$G:$G,0)),"")</f>
        <v/>
      </c>
      <c r="E198" s="21" t="str">
        <f>IF($B198="إنتاج طبخة","",IFERROR(INDEX('بيانات الحركات'!E:E,MATCH(197,'بيانات الحركات'!$G:$G,0)),""))</f>
        <v/>
      </c>
      <c r="F198" s="3" t="str">
        <f>IFERROR(INDEX('بيانات الحركات'!F:F,MATCH(197,'بيانات الحركات'!$G:$G,0)),"")</f>
        <v/>
      </c>
    </row>
    <row r="199" spans="1:6" ht="21.95" customHeight="1">
      <c r="A199" s="8" t="str">
        <f>IFERROR(INDEX('بيانات الحركات'!A:A,MATCH(198,'بيانات الحركات'!$G:$G,0)),"")</f>
        <v/>
      </c>
      <c r="B199" s="5" t="str">
        <f>IFERROR(INDEX('بيانات الحركات'!B:B,MATCH(198,'بيانات الحركات'!$G:$G,0)),"")</f>
        <v/>
      </c>
      <c r="C199" s="3" t="str">
        <f>IFERROR(INDEX('بيانات الحركات'!C:C,MATCH(198,'بيانات الحركات'!$G:$G,0)),"")</f>
        <v/>
      </c>
      <c r="D199" s="3" t="str">
        <f>IFERROR(INDEX('بيانات الحركات'!D:D,MATCH(198,'بيانات الحركات'!$G:$G,0)),"")</f>
        <v/>
      </c>
      <c r="E199" s="21" t="str">
        <f>IF($B199="إنتاج طبخة","",IFERROR(INDEX('بيانات الحركات'!E:E,MATCH(198,'بيانات الحركات'!$G:$G,0)),""))</f>
        <v/>
      </c>
      <c r="F199" s="3" t="str">
        <f>IFERROR(INDEX('بيانات الحركات'!F:F,MATCH(198,'بيانات الحركات'!$G:$G,0)),"")</f>
        <v/>
      </c>
    </row>
    <row r="200" spans="1:6" ht="21.95" customHeight="1">
      <c r="A200" s="8" t="str">
        <f>IFERROR(INDEX('بيانات الحركات'!A:A,MATCH(199,'بيانات الحركات'!$G:$G,0)),"")</f>
        <v/>
      </c>
      <c r="B200" s="5" t="str">
        <f>IFERROR(INDEX('بيانات الحركات'!B:B,MATCH(199,'بيانات الحركات'!$G:$G,0)),"")</f>
        <v/>
      </c>
      <c r="C200" s="3" t="str">
        <f>IFERROR(INDEX('بيانات الحركات'!C:C,MATCH(199,'بيانات الحركات'!$G:$G,0)),"")</f>
        <v/>
      </c>
      <c r="D200" s="3" t="str">
        <f>IFERROR(INDEX('بيانات الحركات'!D:D,MATCH(199,'بيانات الحركات'!$G:$G,0)),"")</f>
        <v/>
      </c>
      <c r="E200" s="21" t="str">
        <f>IF($B200="إنتاج طبخة","",IFERROR(INDEX('بيانات الحركات'!E:E,MATCH(199,'بيانات الحركات'!$G:$G,0)),""))</f>
        <v/>
      </c>
      <c r="F200" s="3" t="str">
        <f>IFERROR(INDEX('بيانات الحركات'!F:F,MATCH(199,'بيانات الحركات'!$G:$G,0)),"")</f>
        <v/>
      </c>
    </row>
    <row r="201" spans="1:6" ht="21.95" customHeight="1">
      <c r="A201" s="8" t="str">
        <f>IFERROR(INDEX('بيانات الحركات'!A:A,MATCH(200,'بيانات الحركات'!$G:$G,0)),"")</f>
        <v/>
      </c>
      <c r="B201" s="5" t="str">
        <f>IFERROR(INDEX('بيانات الحركات'!B:B,MATCH(200,'بيانات الحركات'!$G:$G,0)),"")</f>
        <v/>
      </c>
      <c r="C201" s="3" t="str">
        <f>IFERROR(INDEX('بيانات الحركات'!C:C,MATCH(200,'بيانات الحركات'!$G:$G,0)),"")</f>
        <v/>
      </c>
      <c r="D201" s="3" t="str">
        <f>IFERROR(INDEX('بيانات الحركات'!D:D,MATCH(200,'بيانات الحركات'!$G:$G,0)),"")</f>
        <v/>
      </c>
      <c r="E201" s="21" t="str">
        <f>IF($B201="إنتاج طبخة","",IFERROR(INDEX('بيانات الحركات'!E:E,MATCH(200,'بيانات الحركات'!$G:$G,0)),""))</f>
        <v/>
      </c>
      <c r="F201" s="3" t="str">
        <f>IFERROR(INDEX('بيانات الحركات'!F:F,MATCH(200,'بيانات الحركات'!$G:$G,0)),"")</f>
        <v/>
      </c>
    </row>
    <row r="202" spans="1:6" ht="21.95" customHeight="1">
      <c r="A202" s="8" t="str">
        <f>IFERROR(INDEX('بيانات الحركات'!A:A,MATCH(201,'بيانات الحركات'!$G:$G,0)),"")</f>
        <v/>
      </c>
      <c r="B202" s="5" t="str">
        <f>IFERROR(INDEX('بيانات الحركات'!B:B,MATCH(201,'بيانات الحركات'!$G:$G,0)),"")</f>
        <v/>
      </c>
      <c r="C202" s="3" t="str">
        <f>IFERROR(INDEX('بيانات الحركات'!C:C,MATCH(201,'بيانات الحركات'!$G:$G,0)),"")</f>
        <v/>
      </c>
      <c r="D202" s="3" t="str">
        <f>IFERROR(INDEX('بيانات الحركات'!D:D,MATCH(201,'بيانات الحركات'!$G:$G,0)),"")</f>
        <v/>
      </c>
      <c r="E202" s="21" t="str">
        <f>IF($B202="إنتاج طبخة","",IFERROR(INDEX('بيانات الحركات'!E:E,MATCH(201,'بيانات الحركات'!$G:$G,0)),""))</f>
        <v/>
      </c>
      <c r="F202" s="3" t="str">
        <f>IFERROR(INDEX('بيانات الحركات'!F:F,MATCH(201,'بيانات الحركات'!$G:$G,0)),"")</f>
        <v/>
      </c>
    </row>
    <row r="203" spans="1:6" ht="21.95" customHeight="1">
      <c r="A203" s="8" t="str">
        <f>IFERROR(INDEX('بيانات الحركات'!A:A,MATCH(202,'بيانات الحركات'!$G:$G,0)),"")</f>
        <v/>
      </c>
      <c r="B203" s="5" t="str">
        <f>IFERROR(INDEX('بيانات الحركات'!B:B,MATCH(202,'بيانات الحركات'!$G:$G,0)),"")</f>
        <v/>
      </c>
      <c r="C203" s="3" t="str">
        <f>IFERROR(INDEX('بيانات الحركات'!C:C,MATCH(202,'بيانات الحركات'!$G:$G,0)),"")</f>
        <v/>
      </c>
      <c r="D203" s="3" t="str">
        <f>IFERROR(INDEX('بيانات الحركات'!D:D,MATCH(202,'بيانات الحركات'!$G:$G,0)),"")</f>
        <v/>
      </c>
      <c r="E203" s="21" t="str">
        <f>IF($B203="إنتاج طبخة","",IFERROR(INDEX('بيانات الحركات'!E:E,MATCH(202,'بيانات الحركات'!$G:$G,0)),""))</f>
        <v/>
      </c>
      <c r="F203" s="3" t="str">
        <f>IFERROR(INDEX('بيانات الحركات'!F:F,MATCH(202,'بيانات الحركات'!$G:$G,0)),"")</f>
        <v/>
      </c>
    </row>
    <row r="204" spans="1:6" ht="21.95" customHeight="1">
      <c r="A204" s="8" t="str">
        <f>IFERROR(INDEX('بيانات الحركات'!A:A,MATCH(203,'بيانات الحركات'!$G:$G,0)),"")</f>
        <v/>
      </c>
      <c r="B204" s="5" t="str">
        <f>IFERROR(INDEX('بيانات الحركات'!B:B,MATCH(203,'بيانات الحركات'!$G:$G,0)),"")</f>
        <v/>
      </c>
      <c r="C204" s="3" t="str">
        <f>IFERROR(INDEX('بيانات الحركات'!C:C,MATCH(203,'بيانات الحركات'!$G:$G,0)),"")</f>
        <v/>
      </c>
      <c r="D204" s="3" t="str">
        <f>IFERROR(INDEX('بيانات الحركات'!D:D,MATCH(203,'بيانات الحركات'!$G:$G,0)),"")</f>
        <v/>
      </c>
      <c r="E204" s="21" t="str">
        <f>IF($B204="إنتاج طبخة","",IFERROR(INDEX('بيانات الحركات'!E:E,MATCH(203,'بيانات الحركات'!$G:$G,0)),""))</f>
        <v/>
      </c>
      <c r="F204" s="3" t="str">
        <f>IFERROR(INDEX('بيانات الحركات'!F:F,MATCH(203,'بيانات الحركات'!$G:$G,0)),"")</f>
        <v/>
      </c>
    </row>
    <row r="205" spans="1:6" ht="21.95" customHeight="1">
      <c r="A205" s="8" t="str">
        <f>IFERROR(INDEX('بيانات الحركات'!A:A,MATCH(204,'بيانات الحركات'!$G:$G,0)),"")</f>
        <v/>
      </c>
      <c r="B205" s="5" t="str">
        <f>IFERROR(INDEX('بيانات الحركات'!B:B,MATCH(204,'بيانات الحركات'!$G:$G,0)),"")</f>
        <v/>
      </c>
      <c r="C205" s="3" t="str">
        <f>IFERROR(INDEX('بيانات الحركات'!C:C,MATCH(204,'بيانات الحركات'!$G:$G,0)),"")</f>
        <v/>
      </c>
      <c r="D205" s="3" t="str">
        <f>IFERROR(INDEX('بيانات الحركات'!D:D,MATCH(204,'بيانات الحركات'!$G:$G,0)),"")</f>
        <v/>
      </c>
      <c r="E205" s="21" t="str">
        <f>IF($B205="إنتاج طبخة","",IFERROR(INDEX('بيانات الحركات'!E:E,MATCH(204,'بيانات الحركات'!$G:$G,0)),""))</f>
        <v/>
      </c>
      <c r="F205" s="3" t="str">
        <f>IFERROR(INDEX('بيانات الحركات'!F:F,MATCH(204,'بيانات الحركات'!$G:$G,0)),"")</f>
        <v/>
      </c>
    </row>
    <row r="206" spans="1:6" ht="21.95" customHeight="1">
      <c r="A206" s="8" t="str">
        <f>IFERROR(INDEX('بيانات الحركات'!A:A,MATCH(205,'بيانات الحركات'!$G:$G,0)),"")</f>
        <v/>
      </c>
      <c r="B206" s="5" t="str">
        <f>IFERROR(INDEX('بيانات الحركات'!B:B,MATCH(205,'بيانات الحركات'!$G:$G,0)),"")</f>
        <v/>
      </c>
      <c r="C206" s="3" t="str">
        <f>IFERROR(INDEX('بيانات الحركات'!C:C,MATCH(205,'بيانات الحركات'!$G:$G,0)),"")</f>
        <v/>
      </c>
      <c r="D206" s="3" t="str">
        <f>IFERROR(INDEX('بيانات الحركات'!D:D,MATCH(205,'بيانات الحركات'!$G:$G,0)),"")</f>
        <v/>
      </c>
      <c r="E206" s="21" t="str">
        <f>IF($B206="إنتاج طبخة","",IFERROR(INDEX('بيانات الحركات'!E:E,MATCH(205,'بيانات الحركات'!$G:$G,0)),""))</f>
        <v/>
      </c>
      <c r="F206" s="3" t="str">
        <f>IFERROR(INDEX('بيانات الحركات'!F:F,MATCH(205,'بيانات الحركات'!$G:$G,0)),"")</f>
        <v/>
      </c>
    </row>
    <row r="207" spans="1:6" ht="21.95" customHeight="1">
      <c r="A207" s="8" t="str">
        <f>IFERROR(INDEX('بيانات الحركات'!A:A,MATCH(206,'بيانات الحركات'!$G:$G,0)),"")</f>
        <v/>
      </c>
      <c r="B207" s="5" t="str">
        <f>IFERROR(INDEX('بيانات الحركات'!B:B,MATCH(206,'بيانات الحركات'!$G:$G,0)),"")</f>
        <v/>
      </c>
      <c r="C207" s="3" t="str">
        <f>IFERROR(INDEX('بيانات الحركات'!C:C,MATCH(206,'بيانات الحركات'!$G:$G,0)),"")</f>
        <v/>
      </c>
      <c r="D207" s="3" t="str">
        <f>IFERROR(INDEX('بيانات الحركات'!D:D,MATCH(206,'بيانات الحركات'!$G:$G,0)),"")</f>
        <v/>
      </c>
      <c r="E207" s="21" t="str">
        <f>IF($B207="إنتاج طبخة","",IFERROR(INDEX('بيانات الحركات'!E:E,MATCH(206,'بيانات الحركات'!$G:$G,0)),""))</f>
        <v/>
      </c>
      <c r="F207" s="3" t="str">
        <f>IFERROR(INDEX('بيانات الحركات'!F:F,MATCH(206,'بيانات الحركات'!$G:$G,0)),"")</f>
        <v/>
      </c>
    </row>
    <row r="208" spans="1:6" ht="21.95" customHeight="1">
      <c r="A208" s="8" t="str">
        <f>IFERROR(INDEX('بيانات الحركات'!A:A,MATCH(207,'بيانات الحركات'!$G:$G,0)),"")</f>
        <v/>
      </c>
      <c r="B208" s="5" t="str">
        <f>IFERROR(INDEX('بيانات الحركات'!B:B,MATCH(207,'بيانات الحركات'!$G:$G,0)),"")</f>
        <v/>
      </c>
      <c r="C208" s="3" t="str">
        <f>IFERROR(INDEX('بيانات الحركات'!C:C,MATCH(207,'بيانات الحركات'!$G:$G,0)),"")</f>
        <v/>
      </c>
      <c r="D208" s="3" t="str">
        <f>IFERROR(INDEX('بيانات الحركات'!D:D,MATCH(207,'بيانات الحركات'!$G:$G,0)),"")</f>
        <v/>
      </c>
      <c r="E208" s="21" t="str">
        <f>IF($B208="إنتاج طبخة","",IFERROR(INDEX('بيانات الحركات'!E:E,MATCH(207,'بيانات الحركات'!$G:$G,0)),""))</f>
        <v/>
      </c>
      <c r="F208" s="3" t="str">
        <f>IFERROR(INDEX('بيانات الحركات'!F:F,MATCH(207,'بيانات الحركات'!$G:$G,0)),"")</f>
        <v/>
      </c>
    </row>
    <row r="209" spans="1:6" ht="21.95" customHeight="1">
      <c r="A209" s="8" t="str">
        <f>IFERROR(INDEX('بيانات الحركات'!A:A,MATCH(208,'بيانات الحركات'!$G:$G,0)),"")</f>
        <v/>
      </c>
      <c r="B209" s="5" t="str">
        <f>IFERROR(INDEX('بيانات الحركات'!B:B,MATCH(208,'بيانات الحركات'!$G:$G,0)),"")</f>
        <v/>
      </c>
      <c r="C209" s="3" t="str">
        <f>IFERROR(INDEX('بيانات الحركات'!C:C,MATCH(208,'بيانات الحركات'!$G:$G,0)),"")</f>
        <v/>
      </c>
      <c r="D209" s="3" t="str">
        <f>IFERROR(INDEX('بيانات الحركات'!D:D,MATCH(208,'بيانات الحركات'!$G:$G,0)),"")</f>
        <v/>
      </c>
      <c r="E209" s="21" t="str">
        <f>IF($B209="إنتاج طبخة","",IFERROR(INDEX('بيانات الحركات'!E:E,MATCH(208,'بيانات الحركات'!$G:$G,0)),""))</f>
        <v/>
      </c>
      <c r="F209" s="3" t="str">
        <f>IFERROR(INDEX('بيانات الحركات'!F:F,MATCH(208,'بيانات الحركات'!$G:$G,0)),"")</f>
        <v/>
      </c>
    </row>
    <row r="210" spans="1:6" ht="21.95" customHeight="1">
      <c r="A210" s="8" t="str">
        <f>IFERROR(INDEX('بيانات الحركات'!A:A,MATCH(209,'بيانات الحركات'!$G:$G,0)),"")</f>
        <v/>
      </c>
      <c r="B210" s="5" t="str">
        <f>IFERROR(INDEX('بيانات الحركات'!B:B,MATCH(209,'بيانات الحركات'!$G:$G,0)),"")</f>
        <v/>
      </c>
      <c r="C210" s="3" t="str">
        <f>IFERROR(INDEX('بيانات الحركات'!C:C,MATCH(209,'بيانات الحركات'!$G:$G,0)),"")</f>
        <v/>
      </c>
      <c r="D210" s="3" t="str">
        <f>IFERROR(INDEX('بيانات الحركات'!D:D,MATCH(209,'بيانات الحركات'!$G:$G,0)),"")</f>
        <v/>
      </c>
      <c r="E210" s="21" t="str">
        <f>IF($B210="إنتاج طبخة","",IFERROR(INDEX('بيانات الحركات'!E:E,MATCH(209,'بيانات الحركات'!$G:$G,0)),""))</f>
        <v/>
      </c>
      <c r="F210" s="3" t="str">
        <f>IFERROR(INDEX('بيانات الحركات'!F:F,MATCH(209,'بيانات الحركات'!$G:$G,0)),"")</f>
        <v/>
      </c>
    </row>
    <row r="211" spans="1:6" ht="21.95" customHeight="1">
      <c r="A211" s="8" t="str">
        <f>IFERROR(INDEX('بيانات الحركات'!A:A,MATCH(210,'بيانات الحركات'!$G:$G,0)),"")</f>
        <v/>
      </c>
      <c r="B211" s="5" t="str">
        <f>IFERROR(INDEX('بيانات الحركات'!B:B,MATCH(210,'بيانات الحركات'!$G:$G,0)),"")</f>
        <v/>
      </c>
      <c r="C211" s="3" t="str">
        <f>IFERROR(INDEX('بيانات الحركات'!C:C,MATCH(210,'بيانات الحركات'!$G:$G,0)),"")</f>
        <v/>
      </c>
      <c r="D211" s="3" t="str">
        <f>IFERROR(INDEX('بيانات الحركات'!D:D,MATCH(210,'بيانات الحركات'!$G:$G,0)),"")</f>
        <v/>
      </c>
      <c r="E211" s="21" t="str">
        <f>IF($B211="إنتاج طبخة","",IFERROR(INDEX('بيانات الحركات'!E:E,MATCH(210,'بيانات الحركات'!$G:$G,0)),""))</f>
        <v/>
      </c>
      <c r="F211" s="3" t="str">
        <f>IFERROR(INDEX('بيانات الحركات'!F:F,MATCH(210,'بيانات الحركات'!$G:$G,0)),"")</f>
        <v/>
      </c>
    </row>
    <row r="212" spans="1:6" ht="21.95" customHeight="1">
      <c r="A212" s="8" t="str">
        <f>IFERROR(INDEX('بيانات الحركات'!A:A,MATCH(211,'بيانات الحركات'!$G:$G,0)),"")</f>
        <v/>
      </c>
      <c r="B212" s="5" t="str">
        <f>IFERROR(INDEX('بيانات الحركات'!B:B,MATCH(211,'بيانات الحركات'!$G:$G,0)),"")</f>
        <v/>
      </c>
      <c r="C212" s="3" t="str">
        <f>IFERROR(INDEX('بيانات الحركات'!C:C,MATCH(211,'بيانات الحركات'!$G:$G,0)),"")</f>
        <v/>
      </c>
      <c r="D212" s="3" t="str">
        <f>IFERROR(INDEX('بيانات الحركات'!D:D,MATCH(211,'بيانات الحركات'!$G:$G,0)),"")</f>
        <v/>
      </c>
      <c r="E212" s="21" t="str">
        <f>IF($B212="إنتاج طبخة","",IFERROR(INDEX('بيانات الحركات'!E:E,MATCH(211,'بيانات الحركات'!$G:$G,0)),""))</f>
        <v/>
      </c>
      <c r="F212" s="3" t="str">
        <f>IFERROR(INDEX('بيانات الحركات'!F:F,MATCH(211,'بيانات الحركات'!$G:$G,0)),"")</f>
        <v/>
      </c>
    </row>
    <row r="213" spans="1:6" ht="21.95" customHeight="1">
      <c r="A213" s="8" t="str">
        <f>IFERROR(INDEX('بيانات الحركات'!A:A,MATCH(212,'بيانات الحركات'!$G:$G,0)),"")</f>
        <v/>
      </c>
      <c r="B213" s="5" t="str">
        <f>IFERROR(INDEX('بيانات الحركات'!B:B,MATCH(212,'بيانات الحركات'!$G:$G,0)),"")</f>
        <v/>
      </c>
      <c r="C213" s="3" t="str">
        <f>IFERROR(INDEX('بيانات الحركات'!C:C,MATCH(212,'بيانات الحركات'!$G:$G,0)),"")</f>
        <v/>
      </c>
      <c r="D213" s="3" t="str">
        <f>IFERROR(INDEX('بيانات الحركات'!D:D,MATCH(212,'بيانات الحركات'!$G:$G,0)),"")</f>
        <v/>
      </c>
      <c r="E213" s="21" t="str">
        <f>IF($B213="إنتاج طبخة","",IFERROR(INDEX('بيانات الحركات'!E:E,MATCH(212,'بيانات الحركات'!$G:$G,0)),""))</f>
        <v/>
      </c>
      <c r="F213" s="3" t="str">
        <f>IFERROR(INDEX('بيانات الحركات'!F:F,MATCH(212,'بيانات الحركات'!$G:$G,0)),"")</f>
        <v/>
      </c>
    </row>
    <row r="214" spans="1:6" ht="21.95" customHeight="1">
      <c r="A214" s="8" t="str">
        <f>IFERROR(INDEX('بيانات الحركات'!A:A,MATCH(213,'بيانات الحركات'!$G:$G,0)),"")</f>
        <v/>
      </c>
      <c r="B214" s="5" t="str">
        <f>IFERROR(INDEX('بيانات الحركات'!B:B,MATCH(213,'بيانات الحركات'!$G:$G,0)),"")</f>
        <v/>
      </c>
      <c r="C214" s="3" t="str">
        <f>IFERROR(INDEX('بيانات الحركات'!C:C,MATCH(213,'بيانات الحركات'!$G:$G,0)),"")</f>
        <v/>
      </c>
      <c r="D214" s="3" t="str">
        <f>IFERROR(INDEX('بيانات الحركات'!D:D,MATCH(213,'بيانات الحركات'!$G:$G,0)),"")</f>
        <v/>
      </c>
      <c r="E214" s="21" t="str">
        <f>IF($B214="إنتاج طبخة","",IFERROR(INDEX('بيانات الحركات'!E:E,MATCH(213,'بيانات الحركات'!$G:$G,0)),""))</f>
        <v/>
      </c>
      <c r="F214" s="3" t="str">
        <f>IFERROR(INDEX('بيانات الحركات'!F:F,MATCH(213,'بيانات الحركات'!$G:$G,0)),"")</f>
        <v/>
      </c>
    </row>
    <row r="215" spans="1:6" ht="21.95" customHeight="1">
      <c r="A215" s="8" t="str">
        <f>IFERROR(INDEX('بيانات الحركات'!A:A,MATCH(214,'بيانات الحركات'!$G:$G,0)),"")</f>
        <v/>
      </c>
      <c r="B215" s="5" t="str">
        <f>IFERROR(INDEX('بيانات الحركات'!B:B,MATCH(214,'بيانات الحركات'!$G:$G,0)),"")</f>
        <v/>
      </c>
      <c r="C215" s="3" t="str">
        <f>IFERROR(INDEX('بيانات الحركات'!C:C,MATCH(214,'بيانات الحركات'!$G:$G,0)),"")</f>
        <v/>
      </c>
      <c r="D215" s="3" t="str">
        <f>IFERROR(INDEX('بيانات الحركات'!D:D,MATCH(214,'بيانات الحركات'!$G:$G,0)),"")</f>
        <v/>
      </c>
      <c r="E215" s="21" t="str">
        <f>IF($B215="إنتاج طبخة","",IFERROR(INDEX('بيانات الحركات'!E:E,MATCH(214,'بيانات الحركات'!$G:$G,0)),""))</f>
        <v/>
      </c>
      <c r="F215" s="3" t="str">
        <f>IFERROR(INDEX('بيانات الحركات'!F:F,MATCH(214,'بيانات الحركات'!$G:$G,0)),"")</f>
        <v/>
      </c>
    </row>
    <row r="216" spans="1:6" ht="21.95" customHeight="1">
      <c r="A216" s="8" t="str">
        <f>IFERROR(INDEX('بيانات الحركات'!A:A,MATCH(215,'بيانات الحركات'!$G:$G,0)),"")</f>
        <v/>
      </c>
      <c r="B216" s="5" t="str">
        <f>IFERROR(INDEX('بيانات الحركات'!B:B,MATCH(215,'بيانات الحركات'!$G:$G,0)),"")</f>
        <v/>
      </c>
      <c r="C216" s="3" t="str">
        <f>IFERROR(INDEX('بيانات الحركات'!C:C,MATCH(215,'بيانات الحركات'!$G:$G,0)),"")</f>
        <v/>
      </c>
      <c r="D216" s="3" t="str">
        <f>IFERROR(INDEX('بيانات الحركات'!D:D,MATCH(215,'بيانات الحركات'!$G:$G,0)),"")</f>
        <v/>
      </c>
      <c r="E216" s="21" t="str">
        <f>IF($B216="إنتاج طبخة","",IFERROR(INDEX('بيانات الحركات'!E:E,MATCH(215,'بيانات الحركات'!$G:$G,0)),""))</f>
        <v/>
      </c>
      <c r="F216" s="3" t="str">
        <f>IFERROR(INDEX('بيانات الحركات'!F:F,MATCH(215,'بيانات الحركات'!$G:$G,0)),"")</f>
        <v/>
      </c>
    </row>
    <row r="217" spans="1:6" ht="21.95" customHeight="1">
      <c r="A217" s="8" t="str">
        <f>IFERROR(INDEX('بيانات الحركات'!A:A,MATCH(216,'بيانات الحركات'!$G:$G,0)),"")</f>
        <v/>
      </c>
      <c r="B217" s="5" t="str">
        <f>IFERROR(INDEX('بيانات الحركات'!B:B,MATCH(216,'بيانات الحركات'!$G:$G,0)),"")</f>
        <v/>
      </c>
      <c r="C217" s="3" t="str">
        <f>IFERROR(INDEX('بيانات الحركات'!C:C,MATCH(216,'بيانات الحركات'!$G:$G,0)),"")</f>
        <v/>
      </c>
      <c r="D217" s="3" t="str">
        <f>IFERROR(INDEX('بيانات الحركات'!D:D,MATCH(216,'بيانات الحركات'!$G:$G,0)),"")</f>
        <v/>
      </c>
      <c r="E217" s="21" t="str">
        <f>IF($B217="إنتاج طبخة","",IFERROR(INDEX('بيانات الحركات'!E:E,MATCH(216,'بيانات الحركات'!$G:$G,0)),""))</f>
        <v/>
      </c>
      <c r="F217" s="3" t="str">
        <f>IFERROR(INDEX('بيانات الحركات'!F:F,MATCH(216,'بيانات الحركات'!$G:$G,0)),"")</f>
        <v/>
      </c>
    </row>
    <row r="218" spans="1:6" ht="21.95" customHeight="1">
      <c r="A218" s="8" t="str">
        <f>IFERROR(INDEX('بيانات الحركات'!A:A,MATCH(217,'بيانات الحركات'!$G:$G,0)),"")</f>
        <v/>
      </c>
      <c r="B218" s="5" t="str">
        <f>IFERROR(INDEX('بيانات الحركات'!B:B,MATCH(217,'بيانات الحركات'!$G:$G,0)),"")</f>
        <v/>
      </c>
      <c r="C218" s="3" t="str">
        <f>IFERROR(INDEX('بيانات الحركات'!C:C,MATCH(217,'بيانات الحركات'!$G:$G,0)),"")</f>
        <v/>
      </c>
      <c r="D218" s="3" t="str">
        <f>IFERROR(INDEX('بيانات الحركات'!D:D,MATCH(217,'بيانات الحركات'!$G:$G,0)),"")</f>
        <v/>
      </c>
      <c r="E218" s="21" t="str">
        <f>IF($B218="إنتاج طبخة","",IFERROR(INDEX('بيانات الحركات'!E:E,MATCH(217,'بيانات الحركات'!$G:$G,0)),""))</f>
        <v/>
      </c>
      <c r="F218" s="3" t="str">
        <f>IFERROR(INDEX('بيانات الحركات'!F:F,MATCH(217,'بيانات الحركات'!$G:$G,0)),"")</f>
        <v/>
      </c>
    </row>
    <row r="219" spans="1:6" ht="21.95" customHeight="1">
      <c r="A219" s="8" t="str">
        <f>IFERROR(INDEX('بيانات الحركات'!A:A,MATCH(218,'بيانات الحركات'!$G:$G,0)),"")</f>
        <v/>
      </c>
      <c r="B219" s="5" t="str">
        <f>IFERROR(INDEX('بيانات الحركات'!B:B,MATCH(218,'بيانات الحركات'!$G:$G,0)),"")</f>
        <v/>
      </c>
      <c r="C219" s="3" t="str">
        <f>IFERROR(INDEX('بيانات الحركات'!C:C,MATCH(218,'بيانات الحركات'!$G:$G,0)),"")</f>
        <v/>
      </c>
      <c r="D219" s="3" t="str">
        <f>IFERROR(INDEX('بيانات الحركات'!D:D,MATCH(218,'بيانات الحركات'!$G:$G,0)),"")</f>
        <v/>
      </c>
      <c r="E219" s="21" t="str">
        <f>IF($B219="إنتاج طبخة","",IFERROR(INDEX('بيانات الحركات'!E:E,MATCH(218,'بيانات الحركات'!$G:$G,0)),""))</f>
        <v/>
      </c>
      <c r="F219" s="3" t="str">
        <f>IFERROR(INDEX('بيانات الحركات'!F:F,MATCH(218,'بيانات الحركات'!$G:$G,0)),"")</f>
        <v/>
      </c>
    </row>
    <row r="220" spans="1:6" ht="21.95" customHeight="1">
      <c r="A220" s="8" t="str">
        <f>IFERROR(INDEX('بيانات الحركات'!A:A,MATCH(219,'بيانات الحركات'!$G:$G,0)),"")</f>
        <v/>
      </c>
      <c r="B220" s="5" t="str">
        <f>IFERROR(INDEX('بيانات الحركات'!B:B,MATCH(219,'بيانات الحركات'!$G:$G,0)),"")</f>
        <v/>
      </c>
      <c r="C220" s="3" t="str">
        <f>IFERROR(INDEX('بيانات الحركات'!C:C,MATCH(219,'بيانات الحركات'!$G:$G,0)),"")</f>
        <v/>
      </c>
      <c r="D220" s="3" t="str">
        <f>IFERROR(INDEX('بيانات الحركات'!D:D,MATCH(219,'بيانات الحركات'!$G:$G,0)),"")</f>
        <v/>
      </c>
      <c r="E220" s="21" t="str">
        <f>IF($B220="إنتاج طبخة","",IFERROR(INDEX('بيانات الحركات'!E:E,MATCH(219,'بيانات الحركات'!$G:$G,0)),""))</f>
        <v/>
      </c>
      <c r="F220" s="3" t="str">
        <f>IFERROR(INDEX('بيانات الحركات'!F:F,MATCH(219,'بيانات الحركات'!$G:$G,0)),"")</f>
        <v/>
      </c>
    </row>
    <row r="221" spans="1:6" ht="21.95" customHeight="1">
      <c r="A221" s="8" t="str">
        <f>IFERROR(INDEX('بيانات الحركات'!A:A,MATCH(220,'بيانات الحركات'!$G:$G,0)),"")</f>
        <v/>
      </c>
      <c r="B221" s="5" t="str">
        <f>IFERROR(INDEX('بيانات الحركات'!B:B,MATCH(220,'بيانات الحركات'!$G:$G,0)),"")</f>
        <v/>
      </c>
      <c r="C221" s="3" t="str">
        <f>IFERROR(INDEX('بيانات الحركات'!C:C,MATCH(220,'بيانات الحركات'!$G:$G,0)),"")</f>
        <v/>
      </c>
      <c r="D221" s="3" t="str">
        <f>IFERROR(INDEX('بيانات الحركات'!D:D,MATCH(220,'بيانات الحركات'!$G:$G,0)),"")</f>
        <v/>
      </c>
      <c r="E221" s="21" t="str">
        <f>IF($B221="إنتاج طبخة","",IFERROR(INDEX('بيانات الحركات'!E:E,MATCH(220,'بيانات الحركات'!$G:$G,0)),""))</f>
        <v/>
      </c>
      <c r="F221" s="3" t="str">
        <f>IFERROR(INDEX('بيانات الحركات'!F:F,MATCH(220,'بيانات الحركات'!$G:$G,0)),"")</f>
        <v/>
      </c>
    </row>
    <row r="222" spans="1:6" ht="21.95" customHeight="1">
      <c r="A222" s="8" t="str">
        <f>IFERROR(INDEX('بيانات الحركات'!A:A,MATCH(221,'بيانات الحركات'!$G:$G,0)),"")</f>
        <v/>
      </c>
      <c r="B222" s="5" t="str">
        <f>IFERROR(INDEX('بيانات الحركات'!B:B,MATCH(221,'بيانات الحركات'!$G:$G,0)),"")</f>
        <v/>
      </c>
      <c r="C222" s="3" t="str">
        <f>IFERROR(INDEX('بيانات الحركات'!C:C,MATCH(221,'بيانات الحركات'!$G:$G,0)),"")</f>
        <v/>
      </c>
      <c r="D222" s="3" t="str">
        <f>IFERROR(INDEX('بيانات الحركات'!D:D,MATCH(221,'بيانات الحركات'!$G:$G,0)),"")</f>
        <v/>
      </c>
      <c r="E222" s="21" t="str">
        <f>IF($B222="إنتاج طبخة","",IFERROR(INDEX('بيانات الحركات'!E:E,MATCH(221,'بيانات الحركات'!$G:$G,0)),""))</f>
        <v/>
      </c>
      <c r="F222" s="3" t="str">
        <f>IFERROR(INDEX('بيانات الحركات'!F:F,MATCH(221,'بيانات الحركات'!$G:$G,0)),"")</f>
        <v/>
      </c>
    </row>
    <row r="223" spans="1:6" ht="21.95" customHeight="1">
      <c r="A223" s="8" t="str">
        <f>IFERROR(INDEX('بيانات الحركات'!A:A,MATCH(222,'بيانات الحركات'!$G:$G,0)),"")</f>
        <v/>
      </c>
      <c r="B223" s="5" t="str">
        <f>IFERROR(INDEX('بيانات الحركات'!B:B,MATCH(222,'بيانات الحركات'!$G:$G,0)),"")</f>
        <v/>
      </c>
      <c r="C223" s="3" t="str">
        <f>IFERROR(INDEX('بيانات الحركات'!C:C,MATCH(222,'بيانات الحركات'!$G:$G,0)),"")</f>
        <v/>
      </c>
      <c r="D223" s="3" t="str">
        <f>IFERROR(INDEX('بيانات الحركات'!D:D,MATCH(222,'بيانات الحركات'!$G:$G,0)),"")</f>
        <v/>
      </c>
      <c r="E223" s="21" t="str">
        <f>IF($B223="إنتاج طبخة","",IFERROR(INDEX('بيانات الحركات'!E:E,MATCH(222,'بيانات الحركات'!$G:$G,0)),""))</f>
        <v/>
      </c>
      <c r="F223" s="3" t="str">
        <f>IFERROR(INDEX('بيانات الحركات'!F:F,MATCH(222,'بيانات الحركات'!$G:$G,0)),"")</f>
        <v/>
      </c>
    </row>
    <row r="224" spans="1:6" ht="21.95" customHeight="1">
      <c r="A224" s="8" t="str">
        <f>IFERROR(INDEX('بيانات الحركات'!A:A,MATCH(223,'بيانات الحركات'!$G:$G,0)),"")</f>
        <v/>
      </c>
      <c r="B224" s="5" t="str">
        <f>IFERROR(INDEX('بيانات الحركات'!B:B,MATCH(223,'بيانات الحركات'!$G:$G,0)),"")</f>
        <v/>
      </c>
      <c r="C224" s="3" t="str">
        <f>IFERROR(INDEX('بيانات الحركات'!C:C,MATCH(223,'بيانات الحركات'!$G:$G,0)),"")</f>
        <v/>
      </c>
      <c r="D224" s="3" t="str">
        <f>IFERROR(INDEX('بيانات الحركات'!D:D,MATCH(223,'بيانات الحركات'!$G:$G,0)),"")</f>
        <v/>
      </c>
      <c r="E224" s="21" t="str">
        <f>IF($B224="إنتاج طبخة","",IFERROR(INDEX('بيانات الحركات'!E:E,MATCH(223,'بيانات الحركات'!$G:$G,0)),""))</f>
        <v/>
      </c>
      <c r="F224" s="3" t="str">
        <f>IFERROR(INDEX('بيانات الحركات'!F:F,MATCH(223,'بيانات الحركات'!$G:$G,0)),"")</f>
        <v/>
      </c>
    </row>
    <row r="225" spans="1:6" ht="21.95" customHeight="1">
      <c r="A225" s="8" t="str">
        <f>IFERROR(INDEX('بيانات الحركات'!A:A,MATCH(224,'بيانات الحركات'!$G:$G,0)),"")</f>
        <v/>
      </c>
      <c r="B225" s="5" t="str">
        <f>IFERROR(INDEX('بيانات الحركات'!B:B,MATCH(224,'بيانات الحركات'!$G:$G,0)),"")</f>
        <v/>
      </c>
      <c r="C225" s="3" t="str">
        <f>IFERROR(INDEX('بيانات الحركات'!C:C,MATCH(224,'بيانات الحركات'!$G:$G,0)),"")</f>
        <v/>
      </c>
      <c r="D225" s="3" t="str">
        <f>IFERROR(INDEX('بيانات الحركات'!D:D,MATCH(224,'بيانات الحركات'!$G:$G,0)),"")</f>
        <v/>
      </c>
      <c r="E225" s="21" t="str">
        <f>IF($B225="إنتاج طبخة","",IFERROR(INDEX('بيانات الحركات'!E:E,MATCH(224,'بيانات الحركات'!$G:$G,0)),""))</f>
        <v/>
      </c>
      <c r="F225" s="3" t="str">
        <f>IFERROR(INDEX('بيانات الحركات'!F:F,MATCH(224,'بيانات الحركات'!$G:$G,0)),"")</f>
        <v/>
      </c>
    </row>
    <row r="226" spans="1:6" ht="21.95" customHeight="1">
      <c r="A226" s="8" t="str">
        <f>IFERROR(INDEX('بيانات الحركات'!A:A,MATCH(225,'بيانات الحركات'!$G:$G,0)),"")</f>
        <v/>
      </c>
      <c r="B226" s="5" t="str">
        <f>IFERROR(INDEX('بيانات الحركات'!B:B,MATCH(225,'بيانات الحركات'!$G:$G,0)),"")</f>
        <v/>
      </c>
      <c r="C226" s="3" t="str">
        <f>IFERROR(INDEX('بيانات الحركات'!C:C,MATCH(225,'بيانات الحركات'!$G:$G,0)),"")</f>
        <v/>
      </c>
      <c r="D226" s="3" t="str">
        <f>IFERROR(INDEX('بيانات الحركات'!D:D,MATCH(225,'بيانات الحركات'!$G:$G,0)),"")</f>
        <v/>
      </c>
      <c r="E226" s="21" t="str">
        <f>IF($B226="إنتاج طبخة","",IFERROR(INDEX('بيانات الحركات'!E:E,MATCH(225,'بيانات الحركات'!$G:$G,0)),""))</f>
        <v/>
      </c>
      <c r="F226" s="3" t="str">
        <f>IFERROR(INDEX('بيانات الحركات'!F:F,MATCH(225,'بيانات الحركات'!$G:$G,0)),"")</f>
        <v/>
      </c>
    </row>
    <row r="227" spans="1:6" ht="21.95" customHeight="1">
      <c r="A227" s="8" t="str">
        <f>IFERROR(INDEX('بيانات الحركات'!A:A,MATCH(226,'بيانات الحركات'!$G:$G,0)),"")</f>
        <v/>
      </c>
      <c r="B227" s="5" t="str">
        <f>IFERROR(INDEX('بيانات الحركات'!B:B,MATCH(226,'بيانات الحركات'!$G:$G,0)),"")</f>
        <v/>
      </c>
      <c r="C227" s="3" t="str">
        <f>IFERROR(INDEX('بيانات الحركات'!C:C,MATCH(226,'بيانات الحركات'!$G:$G,0)),"")</f>
        <v/>
      </c>
      <c r="D227" s="3" t="str">
        <f>IFERROR(INDEX('بيانات الحركات'!D:D,MATCH(226,'بيانات الحركات'!$G:$G,0)),"")</f>
        <v/>
      </c>
      <c r="E227" s="21" t="str">
        <f>IF($B227="إنتاج طبخة","",IFERROR(INDEX('بيانات الحركات'!E:E,MATCH(226,'بيانات الحركات'!$G:$G,0)),""))</f>
        <v/>
      </c>
      <c r="F227" s="3" t="str">
        <f>IFERROR(INDEX('بيانات الحركات'!F:F,MATCH(226,'بيانات الحركات'!$G:$G,0)),"")</f>
        <v/>
      </c>
    </row>
    <row r="228" spans="1:6" ht="21.95" customHeight="1">
      <c r="A228" s="8" t="str">
        <f>IFERROR(INDEX('بيانات الحركات'!A:A,MATCH(227,'بيانات الحركات'!$G:$G,0)),"")</f>
        <v/>
      </c>
      <c r="B228" s="5" t="str">
        <f>IFERROR(INDEX('بيانات الحركات'!B:B,MATCH(227,'بيانات الحركات'!$G:$G,0)),"")</f>
        <v/>
      </c>
      <c r="C228" s="3" t="str">
        <f>IFERROR(INDEX('بيانات الحركات'!C:C,MATCH(227,'بيانات الحركات'!$G:$G,0)),"")</f>
        <v/>
      </c>
      <c r="D228" s="3" t="str">
        <f>IFERROR(INDEX('بيانات الحركات'!D:D,MATCH(227,'بيانات الحركات'!$G:$G,0)),"")</f>
        <v/>
      </c>
      <c r="E228" s="21" t="str">
        <f>IF($B228="إنتاج طبخة","",IFERROR(INDEX('بيانات الحركات'!E:E,MATCH(227,'بيانات الحركات'!$G:$G,0)),""))</f>
        <v/>
      </c>
      <c r="F228" s="3" t="str">
        <f>IFERROR(INDEX('بيانات الحركات'!F:F,MATCH(227,'بيانات الحركات'!$G:$G,0)),"")</f>
        <v/>
      </c>
    </row>
    <row r="229" spans="1:6" ht="21.95" customHeight="1">
      <c r="A229" s="8" t="str">
        <f>IFERROR(INDEX('بيانات الحركات'!A:A,MATCH(228,'بيانات الحركات'!$G:$G,0)),"")</f>
        <v/>
      </c>
      <c r="B229" s="5" t="str">
        <f>IFERROR(INDEX('بيانات الحركات'!B:B,MATCH(228,'بيانات الحركات'!$G:$G,0)),"")</f>
        <v/>
      </c>
      <c r="C229" s="3" t="str">
        <f>IFERROR(INDEX('بيانات الحركات'!C:C,MATCH(228,'بيانات الحركات'!$G:$G,0)),"")</f>
        <v/>
      </c>
      <c r="D229" s="3" t="str">
        <f>IFERROR(INDEX('بيانات الحركات'!D:D,MATCH(228,'بيانات الحركات'!$G:$G,0)),"")</f>
        <v/>
      </c>
      <c r="E229" s="21" t="str">
        <f>IF($B229="إنتاج طبخة","",IFERROR(INDEX('بيانات الحركات'!E:E,MATCH(228,'بيانات الحركات'!$G:$G,0)),""))</f>
        <v/>
      </c>
      <c r="F229" s="3" t="str">
        <f>IFERROR(INDEX('بيانات الحركات'!F:F,MATCH(228,'بيانات الحركات'!$G:$G,0)),"")</f>
        <v/>
      </c>
    </row>
    <row r="230" spans="1:6" ht="21.95" customHeight="1">
      <c r="A230" s="8" t="str">
        <f>IFERROR(INDEX('بيانات الحركات'!A:A,MATCH(229,'بيانات الحركات'!$G:$G,0)),"")</f>
        <v/>
      </c>
      <c r="B230" s="5" t="str">
        <f>IFERROR(INDEX('بيانات الحركات'!B:B,MATCH(229,'بيانات الحركات'!$G:$G,0)),"")</f>
        <v/>
      </c>
      <c r="C230" s="3" t="str">
        <f>IFERROR(INDEX('بيانات الحركات'!C:C,MATCH(229,'بيانات الحركات'!$G:$G,0)),"")</f>
        <v/>
      </c>
      <c r="D230" s="3" t="str">
        <f>IFERROR(INDEX('بيانات الحركات'!D:D,MATCH(229,'بيانات الحركات'!$G:$G,0)),"")</f>
        <v/>
      </c>
      <c r="E230" s="21" t="str">
        <f>IF($B230="إنتاج طبخة","",IFERROR(INDEX('بيانات الحركات'!E:E,MATCH(229,'بيانات الحركات'!$G:$G,0)),""))</f>
        <v/>
      </c>
      <c r="F230" s="3" t="str">
        <f>IFERROR(INDEX('بيانات الحركات'!F:F,MATCH(229,'بيانات الحركات'!$G:$G,0)),"")</f>
        <v/>
      </c>
    </row>
    <row r="231" spans="1:6" ht="21.95" customHeight="1">
      <c r="A231" s="8" t="str">
        <f>IFERROR(INDEX('بيانات الحركات'!A:A,MATCH(230,'بيانات الحركات'!$G:$G,0)),"")</f>
        <v/>
      </c>
      <c r="B231" s="5" t="str">
        <f>IFERROR(INDEX('بيانات الحركات'!B:B,MATCH(230,'بيانات الحركات'!$G:$G,0)),"")</f>
        <v/>
      </c>
      <c r="C231" s="3" t="str">
        <f>IFERROR(INDEX('بيانات الحركات'!C:C,MATCH(230,'بيانات الحركات'!$G:$G,0)),"")</f>
        <v/>
      </c>
      <c r="D231" s="3" t="str">
        <f>IFERROR(INDEX('بيانات الحركات'!D:D,MATCH(230,'بيانات الحركات'!$G:$G,0)),"")</f>
        <v/>
      </c>
      <c r="E231" s="21" t="str">
        <f>IF($B231="إنتاج طبخة","",IFERROR(INDEX('بيانات الحركات'!E:E,MATCH(230,'بيانات الحركات'!$G:$G,0)),""))</f>
        <v/>
      </c>
      <c r="F231" s="3" t="str">
        <f>IFERROR(INDEX('بيانات الحركات'!F:F,MATCH(230,'بيانات الحركات'!$G:$G,0)),"")</f>
        <v/>
      </c>
    </row>
    <row r="232" spans="1:6" ht="21.95" customHeight="1">
      <c r="A232" s="8" t="str">
        <f>IFERROR(INDEX('بيانات الحركات'!A:A,MATCH(231,'بيانات الحركات'!$G:$G,0)),"")</f>
        <v/>
      </c>
      <c r="B232" s="5" t="str">
        <f>IFERROR(INDEX('بيانات الحركات'!B:B,MATCH(231,'بيانات الحركات'!$G:$G,0)),"")</f>
        <v/>
      </c>
      <c r="C232" s="3" t="str">
        <f>IFERROR(INDEX('بيانات الحركات'!C:C,MATCH(231,'بيانات الحركات'!$G:$G,0)),"")</f>
        <v/>
      </c>
      <c r="D232" s="3" t="str">
        <f>IFERROR(INDEX('بيانات الحركات'!D:D,MATCH(231,'بيانات الحركات'!$G:$G,0)),"")</f>
        <v/>
      </c>
      <c r="E232" s="21" t="str">
        <f>IF($B232="إنتاج طبخة","",IFERROR(INDEX('بيانات الحركات'!E:E,MATCH(231,'بيانات الحركات'!$G:$G,0)),""))</f>
        <v/>
      </c>
      <c r="F232" s="3" t="str">
        <f>IFERROR(INDEX('بيانات الحركات'!F:F,MATCH(231,'بيانات الحركات'!$G:$G,0)),"")</f>
        <v/>
      </c>
    </row>
    <row r="233" spans="1:6" ht="21.95" customHeight="1">
      <c r="A233" s="8" t="str">
        <f>IFERROR(INDEX('بيانات الحركات'!A:A,MATCH(232,'بيانات الحركات'!$G:$G,0)),"")</f>
        <v/>
      </c>
      <c r="B233" s="5" t="str">
        <f>IFERROR(INDEX('بيانات الحركات'!B:B,MATCH(232,'بيانات الحركات'!$G:$G,0)),"")</f>
        <v/>
      </c>
      <c r="C233" s="3" t="str">
        <f>IFERROR(INDEX('بيانات الحركات'!C:C,MATCH(232,'بيانات الحركات'!$G:$G,0)),"")</f>
        <v/>
      </c>
      <c r="D233" s="3" t="str">
        <f>IFERROR(INDEX('بيانات الحركات'!D:D,MATCH(232,'بيانات الحركات'!$G:$G,0)),"")</f>
        <v/>
      </c>
      <c r="E233" s="21" t="str">
        <f>IF($B233="إنتاج طبخة","",IFERROR(INDEX('بيانات الحركات'!E:E,MATCH(232,'بيانات الحركات'!$G:$G,0)),""))</f>
        <v/>
      </c>
      <c r="F233" s="3" t="str">
        <f>IFERROR(INDEX('بيانات الحركات'!F:F,MATCH(232,'بيانات الحركات'!$G:$G,0)),"")</f>
        <v/>
      </c>
    </row>
    <row r="234" spans="1:6" ht="21.95" customHeight="1">
      <c r="A234" s="8" t="str">
        <f>IFERROR(INDEX('بيانات الحركات'!A:A,MATCH(233,'بيانات الحركات'!$G:$G,0)),"")</f>
        <v/>
      </c>
      <c r="B234" s="5" t="str">
        <f>IFERROR(INDEX('بيانات الحركات'!B:B,MATCH(233,'بيانات الحركات'!$G:$G,0)),"")</f>
        <v/>
      </c>
      <c r="C234" s="3" t="str">
        <f>IFERROR(INDEX('بيانات الحركات'!C:C,MATCH(233,'بيانات الحركات'!$G:$G,0)),"")</f>
        <v/>
      </c>
      <c r="D234" s="3" t="str">
        <f>IFERROR(INDEX('بيانات الحركات'!D:D,MATCH(233,'بيانات الحركات'!$G:$G,0)),"")</f>
        <v/>
      </c>
      <c r="E234" s="21" t="str">
        <f>IF($B234="إنتاج طبخة","",IFERROR(INDEX('بيانات الحركات'!E:E,MATCH(233,'بيانات الحركات'!$G:$G,0)),""))</f>
        <v/>
      </c>
      <c r="F234" s="3" t="str">
        <f>IFERROR(INDEX('بيانات الحركات'!F:F,MATCH(233,'بيانات الحركات'!$G:$G,0)),"")</f>
        <v/>
      </c>
    </row>
    <row r="235" spans="1:6" ht="21.95" customHeight="1">
      <c r="A235" s="8" t="str">
        <f>IFERROR(INDEX('بيانات الحركات'!A:A,MATCH(234,'بيانات الحركات'!$G:$G,0)),"")</f>
        <v/>
      </c>
      <c r="B235" s="5" t="str">
        <f>IFERROR(INDEX('بيانات الحركات'!B:B,MATCH(234,'بيانات الحركات'!$G:$G,0)),"")</f>
        <v/>
      </c>
      <c r="C235" s="3" t="str">
        <f>IFERROR(INDEX('بيانات الحركات'!C:C,MATCH(234,'بيانات الحركات'!$G:$G,0)),"")</f>
        <v/>
      </c>
      <c r="D235" s="3" t="str">
        <f>IFERROR(INDEX('بيانات الحركات'!D:D,MATCH(234,'بيانات الحركات'!$G:$G,0)),"")</f>
        <v/>
      </c>
      <c r="E235" s="21" t="str">
        <f>IF($B235="إنتاج طبخة","",IFERROR(INDEX('بيانات الحركات'!E:E,MATCH(234,'بيانات الحركات'!$G:$G,0)),""))</f>
        <v/>
      </c>
      <c r="F235" s="3" t="str">
        <f>IFERROR(INDEX('بيانات الحركات'!F:F,MATCH(234,'بيانات الحركات'!$G:$G,0)),"")</f>
        <v/>
      </c>
    </row>
    <row r="236" spans="1:6" ht="21.95" customHeight="1">
      <c r="A236" s="8" t="str">
        <f>IFERROR(INDEX('بيانات الحركات'!A:A,MATCH(235,'بيانات الحركات'!$G:$G,0)),"")</f>
        <v/>
      </c>
      <c r="B236" s="5" t="str">
        <f>IFERROR(INDEX('بيانات الحركات'!B:B,MATCH(235,'بيانات الحركات'!$G:$G,0)),"")</f>
        <v/>
      </c>
      <c r="C236" s="3" t="str">
        <f>IFERROR(INDEX('بيانات الحركات'!C:C,MATCH(235,'بيانات الحركات'!$G:$G,0)),"")</f>
        <v/>
      </c>
      <c r="D236" s="3" t="str">
        <f>IFERROR(INDEX('بيانات الحركات'!D:D,MATCH(235,'بيانات الحركات'!$G:$G,0)),"")</f>
        <v/>
      </c>
      <c r="E236" s="21" t="str">
        <f>IF($B236="إنتاج طبخة","",IFERROR(INDEX('بيانات الحركات'!E:E,MATCH(235,'بيانات الحركات'!$G:$G,0)),""))</f>
        <v/>
      </c>
      <c r="F236" s="3" t="str">
        <f>IFERROR(INDEX('بيانات الحركات'!F:F,MATCH(235,'بيانات الحركات'!$G:$G,0)),"")</f>
        <v/>
      </c>
    </row>
    <row r="237" spans="1:6" ht="21.95" customHeight="1">
      <c r="A237" s="8" t="str">
        <f>IFERROR(INDEX('بيانات الحركات'!A:A,MATCH(236,'بيانات الحركات'!$G:$G,0)),"")</f>
        <v/>
      </c>
      <c r="B237" s="5" t="str">
        <f>IFERROR(INDEX('بيانات الحركات'!B:B,MATCH(236,'بيانات الحركات'!$G:$G,0)),"")</f>
        <v/>
      </c>
      <c r="C237" s="3" t="str">
        <f>IFERROR(INDEX('بيانات الحركات'!C:C,MATCH(236,'بيانات الحركات'!$G:$G,0)),"")</f>
        <v/>
      </c>
      <c r="D237" s="3" t="str">
        <f>IFERROR(INDEX('بيانات الحركات'!D:D,MATCH(236,'بيانات الحركات'!$G:$G,0)),"")</f>
        <v/>
      </c>
      <c r="E237" s="21" t="str">
        <f>IF($B237="إنتاج طبخة","",IFERROR(INDEX('بيانات الحركات'!E:E,MATCH(236,'بيانات الحركات'!$G:$G,0)),""))</f>
        <v/>
      </c>
      <c r="F237" s="3" t="str">
        <f>IFERROR(INDEX('بيانات الحركات'!F:F,MATCH(236,'بيانات الحركات'!$G:$G,0)),"")</f>
        <v/>
      </c>
    </row>
    <row r="238" spans="1:6" ht="21.95" customHeight="1">
      <c r="A238" s="8" t="str">
        <f>IFERROR(INDEX('بيانات الحركات'!A:A,MATCH(237,'بيانات الحركات'!$G:$G,0)),"")</f>
        <v/>
      </c>
      <c r="B238" s="5" t="str">
        <f>IFERROR(INDEX('بيانات الحركات'!B:B,MATCH(237,'بيانات الحركات'!$G:$G,0)),"")</f>
        <v/>
      </c>
      <c r="C238" s="3" t="str">
        <f>IFERROR(INDEX('بيانات الحركات'!C:C,MATCH(237,'بيانات الحركات'!$G:$G,0)),"")</f>
        <v/>
      </c>
      <c r="D238" s="3" t="str">
        <f>IFERROR(INDEX('بيانات الحركات'!D:D,MATCH(237,'بيانات الحركات'!$G:$G,0)),"")</f>
        <v/>
      </c>
      <c r="E238" s="21" t="str">
        <f>IF($B238="إنتاج طبخة","",IFERROR(INDEX('بيانات الحركات'!E:E,MATCH(237,'بيانات الحركات'!$G:$G,0)),""))</f>
        <v/>
      </c>
      <c r="F238" s="3" t="str">
        <f>IFERROR(INDEX('بيانات الحركات'!F:F,MATCH(237,'بيانات الحركات'!$G:$G,0)),"")</f>
        <v/>
      </c>
    </row>
    <row r="239" spans="1:6" ht="21.95" customHeight="1">
      <c r="A239" s="8" t="str">
        <f>IFERROR(INDEX('بيانات الحركات'!A:A,MATCH(238,'بيانات الحركات'!$G:$G,0)),"")</f>
        <v/>
      </c>
      <c r="B239" s="5" t="str">
        <f>IFERROR(INDEX('بيانات الحركات'!B:B,MATCH(238,'بيانات الحركات'!$G:$G,0)),"")</f>
        <v/>
      </c>
      <c r="C239" s="3" t="str">
        <f>IFERROR(INDEX('بيانات الحركات'!C:C,MATCH(238,'بيانات الحركات'!$G:$G,0)),"")</f>
        <v/>
      </c>
      <c r="D239" s="3" t="str">
        <f>IFERROR(INDEX('بيانات الحركات'!D:D,MATCH(238,'بيانات الحركات'!$G:$G,0)),"")</f>
        <v/>
      </c>
      <c r="E239" s="21" t="str">
        <f>IF($B239="إنتاج طبخة","",IFERROR(INDEX('بيانات الحركات'!E:E,MATCH(238,'بيانات الحركات'!$G:$G,0)),""))</f>
        <v/>
      </c>
      <c r="F239" s="3" t="str">
        <f>IFERROR(INDEX('بيانات الحركات'!F:F,MATCH(238,'بيانات الحركات'!$G:$G,0)),"")</f>
        <v/>
      </c>
    </row>
    <row r="240" spans="1:6" ht="21.95" customHeight="1">
      <c r="A240" s="8" t="str">
        <f>IFERROR(INDEX('بيانات الحركات'!A:A,MATCH(239,'بيانات الحركات'!$G:$G,0)),"")</f>
        <v/>
      </c>
      <c r="B240" s="5" t="str">
        <f>IFERROR(INDEX('بيانات الحركات'!B:B,MATCH(239,'بيانات الحركات'!$G:$G,0)),"")</f>
        <v/>
      </c>
      <c r="C240" s="3" t="str">
        <f>IFERROR(INDEX('بيانات الحركات'!C:C,MATCH(239,'بيانات الحركات'!$G:$G,0)),"")</f>
        <v/>
      </c>
      <c r="D240" s="3" t="str">
        <f>IFERROR(INDEX('بيانات الحركات'!D:D,MATCH(239,'بيانات الحركات'!$G:$G,0)),"")</f>
        <v/>
      </c>
      <c r="E240" s="21" t="str">
        <f>IF($B240="إنتاج طبخة","",IFERROR(INDEX('بيانات الحركات'!E:E,MATCH(239,'بيانات الحركات'!$G:$G,0)),""))</f>
        <v/>
      </c>
      <c r="F240" s="3" t="str">
        <f>IFERROR(INDEX('بيانات الحركات'!F:F,MATCH(239,'بيانات الحركات'!$G:$G,0)),"")</f>
        <v/>
      </c>
    </row>
    <row r="241" spans="1:6" ht="21.95" customHeight="1">
      <c r="A241" s="8" t="str">
        <f>IFERROR(INDEX('بيانات الحركات'!A:A,MATCH(240,'بيانات الحركات'!$G:$G,0)),"")</f>
        <v/>
      </c>
      <c r="B241" s="5" t="str">
        <f>IFERROR(INDEX('بيانات الحركات'!B:B,MATCH(240,'بيانات الحركات'!$G:$G,0)),"")</f>
        <v/>
      </c>
      <c r="C241" s="3" t="str">
        <f>IFERROR(INDEX('بيانات الحركات'!C:C,MATCH(240,'بيانات الحركات'!$G:$G,0)),"")</f>
        <v/>
      </c>
      <c r="D241" s="3" t="str">
        <f>IFERROR(INDEX('بيانات الحركات'!D:D,MATCH(240,'بيانات الحركات'!$G:$G,0)),"")</f>
        <v/>
      </c>
      <c r="E241" s="21" t="str">
        <f>IF($B241="إنتاج طبخة","",IFERROR(INDEX('بيانات الحركات'!E:E,MATCH(240,'بيانات الحركات'!$G:$G,0)),""))</f>
        <v/>
      </c>
      <c r="F241" s="3" t="str">
        <f>IFERROR(INDEX('بيانات الحركات'!F:F,MATCH(240,'بيانات الحركات'!$G:$G,0)),"")</f>
        <v/>
      </c>
    </row>
    <row r="242" spans="1:6" ht="21.95" customHeight="1">
      <c r="A242" s="8" t="str">
        <f>IFERROR(INDEX('بيانات الحركات'!A:A,MATCH(241,'بيانات الحركات'!$G:$G,0)),"")</f>
        <v/>
      </c>
      <c r="B242" s="5" t="str">
        <f>IFERROR(INDEX('بيانات الحركات'!B:B,MATCH(241,'بيانات الحركات'!$G:$G,0)),"")</f>
        <v/>
      </c>
      <c r="C242" s="3" t="str">
        <f>IFERROR(INDEX('بيانات الحركات'!C:C,MATCH(241,'بيانات الحركات'!$G:$G,0)),"")</f>
        <v/>
      </c>
      <c r="D242" s="3" t="str">
        <f>IFERROR(INDEX('بيانات الحركات'!D:D,MATCH(241,'بيانات الحركات'!$G:$G,0)),"")</f>
        <v/>
      </c>
      <c r="E242" s="21" t="str">
        <f>IF($B242="إنتاج طبخة","",IFERROR(INDEX('بيانات الحركات'!E:E,MATCH(241,'بيانات الحركات'!$G:$G,0)),""))</f>
        <v/>
      </c>
      <c r="F242" s="3" t="str">
        <f>IFERROR(INDEX('بيانات الحركات'!F:F,MATCH(241,'بيانات الحركات'!$G:$G,0)),"")</f>
        <v/>
      </c>
    </row>
    <row r="243" spans="1:6" ht="21.95" customHeight="1">
      <c r="A243" s="8" t="str">
        <f>IFERROR(INDEX('بيانات الحركات'!A:A,MATCH(242,'بيانات الحركات'!$G:$G,0)),"")</f>
        <v/>
      </c>
      <c r="B243" s="5" t="str">
        <f>IFERROR(INDEX('بيانات الحركات'!B:B,MATCH(242,'بيانات الحركات'!$G:$G,0)),"")</f>
        <v/>
      </c>
      <c r="C243" s="3" t="str">
        <f>IFERROR(INDEX('بيانات الحركات'!C:C,MATCH(242,'بيانات الحركات'!$G:$G,0)),"")</f>
        <v/>
      </c>
      <c r="D243" s="3" t="str">
        <f>IFERROR(INDEX('بيانات الحركات'!D:D,MATCH(242,'بيانات الحركات'!$G:$G,0)),"")</f>
        <v/>
      </c>
      <c r="E243" s="21" t="str">
        <f>IF($B243="إنتاج طبخة","",IFERROR(INDEX('بيانات الحركات'!E:E,MATCH(242,'بيانات الحركات'!$G:$G,0)),""))</f>
        <v/>
      </c>
      <c r="F243" s="3" t="str">
        <f>IFERROR(INDEX('بيانات الحركات'!F:F,MATCH(242,'بيانات الحركات'!$G:$G,0)),"")</f>
        <v/>
      </c>
    </row>
    <row r="244" spans="1:6" ht="21.95" customHeight="1">
      <c r="A244" s="8" t="str">
        <f>IFERROR(INDEX('بيانات الحركات'!A:A,MATCH(243,'بيانات الحركات'!$G:$G,0)),"")</f>
        <v/>
      </c>
      <c r="B244" s="5" t="str">
        <f>IFERROR(INDEX('بيانات الحركات'!B:B,MATCH(243,'بيانات الحركات'!$G:$G,0)),"")</f>
        <v/>
      </c>
      <c r="C244" s="3" t="str">
        <f>IFERROR(INDEX('بيانات الحركات'!C:C,MATCH(243,'بيانات الحركات'!$G:$G,0)),"")</f>
        <v/>
      </c>
      <c r="D244" s="3" t="str">
        <f>IFERROR(INDEX('بيانات الحركات'!D:D,MATCH(243,'بيانات الحركات'!$G:$G,0)),"")</f>
        <v/>
      </c>
      <c r="E244" s="21" t="str">
        <f>IF($B244="إنتاج طبخة","",IFERROR(INDEX('بيانات الحركات'!E:E,MATCH(243,'بيانات الحركات'!$G:$G,0)),""))</f>
        <v/>
      </c>
      <c r="F244" s="3" t="str">
        <f>IFERROR(INDEX('بيانات الحركات'!F:F,MATCH(243,'بيانات الحركات'!$G:$G,0)),"")</f>
        <v/>
      </c>
    </row>
    <row r="245" spans="1:6" ht="21.95" customHeight="1">
      <c r="A245" s="8" t="str">
        <f>IFERROR(INDEX('بيانات الحركات'!A:A,MATCH(244,'بيانات الحركات'!$G:$G,0)),"")</f>
        <v/>
      </c>
      <c r="B245" s="5" t="str">
        <f>IFERROR(INDEX('بيانات الحركات'!B:B,MATCH(244,'بيانات الحركات'!$G:$G,0)),"")</f>
        <v/>
      </c>
      <c r="C245" s="3" t="str">
        <f>IFERROR(INDEX('بيانات الحركات'!C:C,MATCH(244,'بيانات الحركات'!$G:$G,0)),"")</f>
        <v/>
      </c>
      <c r="D245" s="3" t="str">
        <f>IFERROR(INDEX('بيانات الحركات'!D:D,MATCH(244,'بيانات الحركات'!$G:$G,0)),"")</f>
        <v/>
      </c>
      <c r="E245" s="21" t="str">
        <f>IF($B245="إنتاج طبخة","",IFERROR(INDEX('بيانات الحركات'!E:E,MATCH(244,'بيانات الحركات'!$G:$G,0)),""))</f>
        <v/>
      </c>
      <c r="F245" s="3" t="str">
        <f>IFERROR(INDEX('بيانات الحركات'!F:F,MATCH(244,'بيانات الحركات'!$G:$G,0)),"")</f>
        <v/>
      </c>
    </row>
    <row r="246" spans="1:6" ht="21.95" customHeight="1">
      <c r="A246" s="8" t="str">
        <f>IFERROR(INDEX('بيانات الحركات'!A:A,MATCH(245,'بيانات الحركات'!$G:$G,0)),"")</f>
        <v/>
      </c>
      <c r="B246" s="5" t="str">
        <f>IFERROR(INDEX('بيانات الحركات'!B:B,MATCH(245,'بيانات الحركات'!$G:$G,0)),"")</f>
        <v/>
      </c>
      <c r="C246" s="3" t="str">
        <f>IFERROR(INDEX('بيانات الحركات'!C:C,MATCH(245,'بيانات الحركات'!$G:$G,0)),"")</f>
        <v/>
      </c>
      <c r="D246" s="3" t="str">
        <f>IFERROR(INDEX('بيانات الحركات'!D:D,MATCH(245,'بيانات الحركات'!$G:$G,0)),"")</f>
        <v/>
      </c>
      <c r="E246" s="21" t="str">
        <f>IF($B246="إنتاج طبخة","",IFERROR(INDEX('بيانات الحركات'!E:E,MATCH(245,'بيانات الحركات'!$G:$G,0)),""))</f>
        <v/>
      </c>
      <c r="F246" s="3" t="str">
        <f>IFERROR(INDEX('بيانات الحركات'!F:F,MATCH(245,'بيانات الحركات'!$G:$G,0)),"")</f>
        <v/>
      </c>
    </row>
    <row r="247" spans="1:6" ht="21.95" customHeight="1">
      <c r="A247" s="8" t="str">
        <f>IFERROR(INDEX('بيانات الحركات'!A:A,MATCH(246,'بيانات الحركات'!$G:$G,0)),"")</f>
        <v/>
      </c>
      <c r="B247" s="5" t="str">
        <f>IFERROR(INDEX('بيانات الحركات'!B:B,MATCH(246,'بيانات الحركات'!$G:$G,0)),"")</f>
        <v/>
      </c>
      <c r="C247" s="3" t="str">
        <f>IFERROR(INDEX('بيانات الحركات'!C:C,MATCH(246,'بيانات الحركات'!$G:$G,0)),"")</f>
        <v/>
      </c>
      <c r="D247" s="3" t="str">
        <f>IFERROR(INDEX('بيانات الحركات'!D:D,MATCH(246,'بيانات الحركات'!$G:$G,0)),"")</f>
        <v/>
      </c>
      <c r="E247" s="21" t="str">
        <f>IF($B247="إنتاج طبخة","",IFERROR(INDEX('بيانات الحركات'!E:E,MATCH(246,'بيانات الحركات'!$G:$G,0)),""))</f>
        <v/>
      </c>
      <c r="F247" s="3" t="str">
        <f>IFERROR(INDEX('بيانات الحركات'!F:F,MATCH(246,'بيانات الحركات'!$G:$G,0)),"")</f>
        <v/>
      </c>
    </row>
    <row r="248" spans="1:6" ht="21.95" customHeight="1">
      <c r="A248" s="8" t="str">
        <f>IFERROR(INDEX('بيانات الحركات'!A:A,MATCH(247,'بيانات الحركات'!$G:$G,0)),"")</f>
        <v/>
      </c>
      <c r="B248" s="5" t="str">
        <f>IFERROR(INDEX('بيانات الحركات'!B:B,MATCH(247,'بيانات الحركات'!$G:$G,0)),"")</f>
        <v/>
      </c>
      <c r="C248" s="3" t="str">
        <f>IFERROR(INDEX('بيانات الحركات'!C:C,MATCH(247,'بيانات الحركات'!$G:$G,0)),"")</f>
        <v/>
      </c>
      <c r="D248" s="3" t="str">
        <f>IFERROR(INDEX('بيانات الحركات'!D:D,MATCH(247,'بيانات الحركات'!$G:$G,0)),"")</f>
        <v/>
      </c>
      <c r="E248" s="21" t="str">
        <f>IF($B248="إنتاج طبخة","",IFERROR(INDEX('بيانات الحركات'!E:E,MATCH(247,'بيانات الحركات'!$G:$G,0)),""))</f>
        <v/>
      </c>
      <c r="F248" s="3" t="str">
        <f>IFERROR(INDEX('بيانات الحركات'!F:F,MATCH(247,'بيانات الحركات'!$G:$G,0)),"")</f>
        <v/>
      </c>
    </row>
    <row r="249" spans="1:6" ht="21.95" customHeight="1">
      <c r="A249" s="8" t="str">
        <f>IFERROR(INDEX('بيانات الحركات'!A:A,MATCH(248,'بيانات الحركات'!$G:$G,0)),"")</f>
        <v/>
      </c>
      <c r="B249" s="5" t="str">
        <f>IFERROR(INDEX('بيانات الحركات'!B:B,MATCH(248,'بيانات الحركات'!$G:$G,0)),"")</f>
        <v/>
      </c>
      <c r="C249" s="3" t="str">
        <f>IFERROR(INDEX('بيانات الحركات'!C:C,MATCH(248,'بيانات الحركات'!$G:$G,0)),"")</f>
        <v/>
      </c>
      <c r="D249" s="3" t="str">
        <f>IFERROR(INDEX('بيانات الحركات'!D:D,MATCH(248,'بيانات الحركات'!$G:$G,0)),"")</f>
        <v/>
      </c>
      <c r="E249" s="21" t="str">
        <f>IF($B249="إنتاج طبخة","",IFERROR(INDEX('بيانات الحركات'!E:E,MATCH(248,'بيانات الحركات'!$G:$G,0)),""))</f>
        <v/>
      </c>
      <c r="F249" s="3" t="str">
        <f>IFERROR(INDEX('بيانات الحركات'!F:F,MATCH(248,'بيانات الحركات'!$G:$G,0)),"")</f>
        <v/>
      </c>
    </row>
    <row r="250" spans="1:6" ht="21.95" customHeight="1">
      <c r="A250" s="8" t="str">
        <f>IFERROR(INDEX('بيانات الحركات'!A:A,MATCH(249,'بيانات الحركات'!$G:$G,0)),"")</f>
        <v/>
      </c>
      <c r="B250" s="5" t="str">
        <f>IFERROR(INDEX('بيانات الحركات'!B:B,MATCH(249,'بيانات الحركات'!$G:$G,0)),"")</f>
        <v/>
      </c>
      <c r="C250" s="3" t="str">
        <f>IFERROR(INDEX('بيانات الحركات'!C:C,MATCH(249,'بيانات الحركات'!$G:$G,0)),"")</f>
        <v/>
      </c>
      <c r="D250" s="3" t="str">
        <f>IFERROR(INDEX('بيانات الحركات'!D:D,MATCH(249,'بيانات الحركات'!$G:$G,0)),"")</f>
        <v/>
      </c>
      <c r="E250" s="21" t="str">
        <f>IF($B250="إنتاج طبخة","",IFERROR(INDEX('بيانات الحركات'!E:E,MATCH(249,'بيانات الحركات'!$G:$G,0)),""))</f>
        <v/>
      </c>
      <c r="F250" s="3" t="str">
        <f>IFERROR(INDEX('بيانات الحركات'!F:F,MATCH(249,'بيانات الحركات'!$G:$G,0)),"")</f>
        <v/>
      </c>
    </row>
    <row r="251" spans="1:6" ht="21.95" customHeight="1">
      <c r="A251" s="8" t="str">
        <f>IFERROR(INDEX('بيانات الحركات'!A:A,MATCH(250,'بيانات الحركات'!$G:$G,0)),"")</f>
        <v/>
      </c>
      <c r="B251" s="5" t="str">
        <f>IFERROR(INDEX('بيانات الحركات'!B:B,MATCH(250,'بيانات الحركات'!$G:$G,0)),"")</f>
        <v/>
      </c>
      <c r="C251" s="3" t="str">
        <f>IFERROR(INDEX('بيانات الحركات'!C:C,MATCH(250,'بيانات الحركات'!$G:$G,0)),"")</f>
        <v/>
      </c>
      <c r="D251" s="3" t="str">
        <f>IFERROR(INDEX('بيانات الحركات'!D:D,MATCH(250,'بيانات الحركات'!$G:$G,0)),"")</f>
        <v/>
      </c>
      <c r="E251" s="21" t="str">
        <f>IF($B251="إنتاج طبخة","",IFERROR(INDEX('بيانات الحركات'!E:E,MATCH(250,'بيانات الحركات'!$G:$G,0)),""))</f>
        <v/>
      </c>
      <c r="F251" s="3" t="str">
        <f>IFERROR(INDEX('بيانات الحركات'!F:F,MATCH(250,'بيانات الحركات'!$G:$G,0)),"")</f>
        <v/>
      </c>
    </row>
    <row r="252" spans="1:6" ht="21.95" customHeight="1">
      <c r="A252" s="8" t="str">
        <f>IFERROR(INDEX('بيانات الحركات'!A:A,MATCH(251,'بيانات الحركات'!$G:$G,0)),"")</f>
        <v/>
      </c>
      <c r="B252" s="5" t="str">
        <f>IFERROR(INDEX('بيانات الحركات'!B:B,MATCH(251,'بيانات الحركات'!$G:$G,0)),"")</f>
        <v/>
      </c>
      <c r="C252" s="3" t="str">
        <f>IFERROR(INDEX('بيانات الحركات'!C:C,MATCH(251,'بيانات الحركات'!$G:$G,0)),"")</f>
        <v/>
      </c>
      <c r="D252" s="3" t="str">
        <f>IFERROR(INDEX('بيانات الحركات'!D:D,MATCH(251,'بيانات الحركات'!$G:$G,0)),"")</f>
        <v/>
      </c>
      <c r="E252" s="21" t="str">
        <f>IF($B252="إنتاج طبخة","",IFERROR(INDEX('بيانات الحركات'!E:E,MATCH(251,'بيانات الحركات'!$G:$G,0)),""))</f>
        <v/>
      </c>
      <c r="F252" s="3" t="str">
        <f>IFERROR(INDEX('بيانات الحركات'!F:F,MATCH(251,'بيانات الحركات'!$G:$G,0)),"")</f>
        <v/>
      </c>
    </row>
    <row r="253" spans="1:6" ht="21.95" customHeight="1">
      <c r="A253" s="8" t="str">
        <f>IFERROR(INDEX('بيانات الحركات'!A:A,MATCH(252,'بيانات الحركات'!$G:$G,0)),"")</f>
        <v/>
      </c>
      <c r="B253" s="5" t="str">
        <f>IFERROR(INDEX('بيانات الحركات'!B:B,MATCH(252,'بيانات الحركات'!$G:$G,0)),"")</f>
        <v/>
      </c>
      <c r="C253" s="3" t="str">
        <f>IFERROR(INDEX('بيانات الحركات'!C:C,MATCH(252,'بيانات الحركات'!$G:$G,0)),"")</f>
        <v/>
      </c>
      <c r="D253" s="3" t="str">
        <f>IFERROR(INDEX('بيانات الحركات'!D:D,MATCH(252,'بيانات الحركات'!$G:$G,0)),"")</f>
        <v/>
      </c>
      <c r="E253" s="21" t="str">
        <f>IF($B253="إنتاج طبخة","",IFERROR(INDEX('بيانات الحركات'!E:E,MATCH(252,'بيانات الحركات'!$G:$G,0)),""))</f>
        <v/>
      </c>
      <c r="F253" s="3" t="str">
        <f>IFERROR(INDEX('بيانات الحركات'!F:F,MATCH(252,'بيانات الحركات'!$G:$G,0)),"")</f>
        <v/>
      </c>
    </row>
    <row r="254" spans="1:6" ht="21.95" customHeight="1">
      <c r="A254" s="8" t="str">
        <f>IFERROR(INDEX('بيانات الحركات'!A:A,MATCH(253,'بيانات الحركات'!$G:$G,0)),"")</f>
        <v/>
      </c>
      <c r="B254" s="5" t="str">
        <f>IFERROR(INDEX('بيانات الحركات'!B:B,MATCH(253,'بيانات الحركات'!$G:$G,0)),"")</f>
        <v/>
      </c>
      <c r="C254" s="3" t="str">
        <f>IFERROR(INDEX('بيانات الحركات'!C:C,MATCH(253,'بيانات الحركات'!$G:$G,0)),"")</f>
        <v/>
      </c>
      <c r="D254" s="3" t="str">
        <f>IFERROR(INDEX('بيانات الحركات'!D:D,MATCH(253,'بيانات الحركات'!$G:$G,0)),"")</f>
        <v/>
      </c>
      <c r="E254" s="21" t="str">
        <f>IF($B254="إنتاج طبخة","",IFERROR(INDEX('بيانات الحركات'!E:E,MATCH(253,'بيانات الحركات'!$G:$G,0)),""))</f>
        <v/>
      </c>
      <c r="F254" s="3" t="str">
        <f>IFERROR(INDEX('بيانات الحركات'!F:F,MATCH(253,'بيانات الحركات'!$G:$G,0)),"")</f>
        <v/>
      </c>
    </row>
    <row r="255" spans="1:6" ht="21.95" customHeight="1">
      <c r="A255" s="8" t="str">
        <f>IFERROR(INDEX('بيانات الحركات'!A:A,MATCH(254,'بيانات الحركات'!$G:$G,0)),"")</f>
        <v/>
      </c>
      <c r="B255" s="5" t="str">
        <f>IFERROR(INDEX('بيانات الحركات'!B:B,MATCH(254,'بيانات الحركات'!$G:$G,0)),"")</f>
        <v/>
      </c>
      <c r="C255" s="3" t="str">
        <f>IFERROR(INDEX('بيانات الحركات'!C:C,MATCH(254,'بيانات الحركات'!$G:$G,0)),"")</f>
        <v/>
      </c>
      <c r="D255" s="3" t="str">
        <f>IFERROR(INDEX('بيانات الحركات'!D:D,MATCH(254,'بيانات الحركات'!$G:$G,0)),"")</f>
        <v/>
      </c>
      <c r="E255" s="21" t="str">
        <f>IF($B255="إنتاج طبخة","",IFERROR(INDEX('بيانات الحركات'!E:E,MATCH(254,'بيانات الحركات'!$G:$G,0)),""))</f>
        <v/>
      </c>
      <c r="F255" s="3" t="str">
        <f>IFERROR(INDEX('بيانات الحركات'!F:F,MATCH(254,'بيانات الحركات'!$G:$G,0)),"")</f>
        <v/>
      </c>
    </row>
    <row r="256" spans="1:6" ht="21.95" customHeight="1">
      <c r="A256" s="8" t="str">
        <f>IFERROR(INDEX('بيانات الحركات'!A:A,MATCH(255,'بيانات الحركات'!$G:$G,0)),"")</f>
        <v/>
      </c>
      <c r="B256" s="5" t="str">
        <f>IFERROR(INDEX('بيانات الحركات'!B:B,MATCH(255,'بيانات الحركات'!$G:$G,0)),"")</f>
        <v/>
      </c>
      <c r="C256" s="3" t="str">
        <f>IFERROR(INDEX('بيانات الحركات'!C:C,MATCH(255,'بيانات الحركات'!$G:$G,0)),"")</f>
        <v/>
      </c>
      <c r="D256" s="3" t="str">
        <f>IFERROR(INDEX('بيانات الحركات'!D:D,MATCH(255,'بيانات الحركات'!$G:$G,0)),"")</f>
        <v/>
      </c>
      <c r="E256" s="21" t="str">
        <f>IF($B256="إنتاج طبخة","",IFERROR(INDEX('بيانات الحركات'!E:E,MATCH(255,'بيانات الحركات'!$G:$G,0)),""))</f>
        <v/>
      </c>
      <c r="F256" s="3" t="str">
        <f>IFERROR(INDEX('بيانات الحركات'!F:F,MATCH(255,'بيانات الحركات'!$G:$G,0)),"")</f>
        <v/>
      </c>
    </row>
    <row r="257" spans="1:6" ht="21.95" customHeight="1">
      <c r="A257" s="8" t="str">
        <f>IFERROR(INDEX('بيانات الحركات'!A:A,MATCH(256,'بيانات الحركات'!$G:$G,0)),"")</f>
        <v/>
      </c>
      <c r="B257" s="5" t="str">
        <f>IFERROR(INDEX('بيانات الحركات'!B:B,MATCH(256,'بيانات الحركات'!$G:$G,0)),"")</f>
        <v/>
      </c>
      <c r="C257" s="3" t="str">
        <f>IFERROR(INDEX('بيانات الحركات'!C:C,MATCH(256,'بيانات الحركات'!$G:$G,0)),"")</f>
        <v/>
      </c>
      <c r="D257" s="3" t="str">
        <f>IFERROR(INDEX('بيانات الحركات'!D:D,MATCH(256,'بيانات الحركات'!$G:$G,0)),"")</f>
        <v/>
      </c>
      <c r="E257" s="21" t="str">
        <f>IF($B257="إنتاج طبخة","",IFERROR(INDEX('بيانات الحركات'!E:E,MATCH(256,'بيانات الحركات'!$G:$G,0)),""))</f>
        <v/>
      </c>
      <c r="F257" s="3" t="str">
        <f>IFERROR(INDEX('بيانات الحركات'!F:F,MATCH(256,'بيانات الحركات'!$G:$G,0)),"")</f>
        <v/>
      </c>
    </row>
    <row r="258" spans="1:6" ht="21.95" customHeight="1">
      <c r="A258" s="8" t="str">
        <f>IFERROR(INDEX('بيانات الحركات'!A:A,MATCH(257,'بيانات الحركات'!$G:$G,0)),"")</f>
        <v/>
      </c>
      <c r="B258" s="5" t="str">
        <f>IFERROR(INDEX('بيانات الحركات'!B:B,MATCH(257,'بيانات الحركات'!$G:$G,0)),"")</f>
        <v/>
      </c>
      <c r="C258" s="3" t="str">
        <f>IFERROR(INDEX('بيانات الحركات'!C:C,MATCH(257,'بيانات الحركات'!$G:$G,0)),"")</f>
        <v/>
      </c>
      <c r="D258" s="3" t="str">
        <f>IFERROR(INDEX('بيانات الحركات'!D:D,MATCH(257,'بيانات الحركات'!$G:$G,0)),"")</f>
        <v/>
      </c>
      <c r="E258" s="21" t="str">
        <f>IF($B258="إنتاج طبخة","",IFERROR(INDEX('بيانات الحركات'!E:E,MATCH(257,'بيانات الحركات'!$G:$G,0)),""))</f>
        <v/>
      </c>
      <c r="F258" s="3" t="str">
        <f>IFERROR(INDEX('بيانات الحركات'!F:F,MATCH(257,'بيانات الحركات'!$G:$G,0)),"")</f>
        <v/>
      </c>
    </row>
    <row r="259" spans="1:6" ht="21.95" customHeight="1">
      <c r="A259" s="8" t="str">
        <f>IFERROR(INDEX('بيانات الحركات'!A:A,MATCH(258,'بيانات الحركات'!$G:$G,0)),"")</f>
        <v/>
      </c>
      <c r="B259" s="5" t="str">
        <f>IFERROR(INDEX('بيانات الحركات'!B:B,MATCH(258,'بيانات الحركات'!$G:$G,0)),"")</f>
        <v/>
      </c>
      <c r="C259" s="3" t="str">
        <f>IFERROR(INDEX('بيانات الحركات'!C:C,MATCH(258,'بيانات الحركات'!$G:$G,0)),"")</f>
        <v/>
      </c>
      <c r="D259" s="3" t="str">
        <f>IFERROR(INDEX('بيانات الحركات'!D:D,MATCH(258,'بيانات الحركات'!$G:$G,0)),"")</f>
        <v/>
      </c>
      <c r="E259" s="21" t="str">
        <f>IF($B259="إنتاج طبخة","",IFERROR(INDEX('بيانات الحركات'!E:E,MATCH(258,'بيانات الحركات'!$G:$G,0)),""))</f>
        <v/>
      </c>
      <c r="F259" s="3" t="str">
        <f>IFERROR(INDEX('بيانات الحركات'!F:F,MATCH(258,'بيانات الحركات'!$G:$G,0)),"")</f>
        <v/>
      </c>
    </row>
    <row r="260" spans="1:6" ht="21.95" customHeight="1">
      <c r="A260" s="8" t="str">
        <f>IFERROR(INDEX('بيانات الحركات'!A:A,MATCH(259,'بيانات الحركات'!$G:$G,0)),"")</f>
        <v/>
      </c>
      <c r="B260" s="5" t="str">
        <f>IFERROR(INDEX('بيانات الحركات'!B:B,MATCH(259,'بيانات الحركات'!$G:$G,0)),"")</f>
        <v/>
      </c>
      <c r="C260" s="3" t="str">
        <f>IFERROR(INDEX('بيانات الحركات'!C:C,MATCH(259,'بيانات الحركات'!$G:$G,0)),"")</f>
        <v/>
      </c>
      <c r="D260" s="3" t="str">
        <f>IFERROR(INDEX('بيانات الحركات'!D:D,MATCH(259,'بيانات الحركات'!$G:$G,0)),"")</f>
        <v/>
      </c>
      <c r="E260" s="21" t="str">
        <f>IF($B260="إنتاج طبخة","",IFERROR(INDEX('بيانات الحركات'!E:E,MATCH(259,'بيانات الحركات'!$G:$G,0)),""))</f>
        <v/>
      </c>
      <c r="F260" s="3" t="str">
        <f>IFERROR(INDEX('بيانات الحركات'!F:F,MATCH(259,'بيانات الحركات'!$G:$G,0)),"")</f>
        <v/>
      </c>
    </row>
    <row r="261" spans="1:6" ht="21.95" customHeight="1">
      <c r="A261" s="8" t="str">
        <f>IFERROR(INDEX('بيانات الحركات'!A:A,MATCH(260,'بيانات الحركات'!$G:$G,0)),"")</f>
        <v/>
      </c>
      <c r="B261" s="5" t="str">
        <f>IFERROR(INDEX('بيانات الحركات'!B:B,MATCH(260,'بيانات الحركات'!$G:$G,0)),"")</f>
        <v/>
      </c>
      <c r="C261" s="3" t="str">
        <f>IFERROR(INDEX('بيانات الحركات'!C:C,MATCH(260,'بيانات الحركات'!$G:$G,0)),"")</f>
        <v/>
      </c>
      <c r="D261" s="3" t="str">
        <f>IFERROR(INDEX('بيانات الحركات'!D:D,MATCH(260,'بيانات الحركات'!$G:$G,0)),"")</f>
        <v/>
      </c>
      <c r="E261" s="21" t="str">
        <f>IF($B261="إنتاج طبخة","",IFERROR(INDEX('بيانات الحركات'!E:E,MATCH(260,'بيانات الحركات'!$G:$G,0)),""))</f>
        <v/>
      </c>
      <c r="F261" s="3" t="str">
        <f>IFERROR(INDEX('بيانات الحركات'!F:F,MATCH(260,'بيانات الحركات'!$G:$G,0)),"")</f>
        <v/>
      </c>
    </row>
    <row r="262" spans="1:6" ht="21.95" customHeight="1">
      <c r="A262" s="8" t="str">
        <f>IFERROR(INDEX('بيانات الحركات'!A:A,MATCH(261,'بيانات الحركات'!$G:$G,0)),"")</f>
        <v/>
      </c>
      <c r="B262" s="5" t="str">
        <f>IFERROR(INDEX('بيانات الحركات'!B:B,MATCH(261,'بيانات الحركات'!$G:$G,0)),"")</f>
        <v/>
      </c>
      <c r="C262" s="3" t="str">
        <f>IFERROR(INDEX('بيانات الحركات'!C:C,MATCH(261,'بيانات الحركات'!$G:$G,0)),"")</f>
        <v/>
      </c>
      <c r="D262" s="3" t="str">
        <f>IFERROR(INDEX('بيانات الحركات'!D:D,MATCH(261,'بيانات الحركات'!$G:$G,0)),"")</f>
        <v/>
      </c>
      <c r="E262" s="21" t="str">
        <f>IF($B262="إنتاج طبخة","",IFERROR(INDEX('بيانات الحركات'!E:E,MATCH(261,'بيانات الحركات'!$G:$G,0)),""))</f>
        <v/>
      </c>
      <c r="F262" s="3" t="str">
        <f>IFERROR(INDEX('بيانات الحركات'!F:F,MATCH(261,'بيانات الحركات'!$G:$G,0)),"")</f>
        <v/>
      </c>
    </row>
    <row r="263" spans="1:6" ht="21.95" customHeight="1">
      <c r="A263" s="8" t="str">
        <f>IFERROR(INDEX('بيانات الحركات'!A:A,MATCH(262,'بيانات الحركات'!$G:$G,0)),"")</f>
        <v/>
      </c>
      <c r="B263" s="5" t="str">
        <f>IFERROR(INDEX('بيانات الحركات'!B:B,MATCH(262,'بيانات الحركات'!$G:$G,0)),"")</f>
        <v/>
      </c>
      <c r="C263" s="3" t="str">
        <f>IFERROR(INDEX('بيانات الحركات'!C:C,MATCH(262,'بيانات الحركات'!$G:$G,0)),"")</f>
        <v/>
      </c>
      <c r="D263" s="3" t="str">
        <f>IFERROR(INDEX('بيانات الحركات'!D:D,MATCH(262,'بيانات الحركات'!$G:$G,0)),"")</f>
        <v/>
      </c>
      <c r="E263" s="21" t="str">
        <f>IF($B263="إنتاج طبخة","",IFERROR(INDEX('بيانات الحركات'!E:E,MATCH(262,'بيانات الحركات'!$G:$G,0)),""))</f>
        <v/>
      </c>
      <c r="F263" s="3" t="str">
        <f>IFERROR(INDEX('بيانات الحركات'!F:F,MATCH(262,'بيانات الحركات'!$G:$G,0)),"")</f>
        <v/>
      </c>
    </row>
    <row r="264" spans="1:6" ht="21.95" customHeight="1">
      <c r="A264" s="8" t="str">
        <f>IFERROR(INDEX('بيانات الحركات'!A:A,MATCH(263,'بيانات الحركات'!$G:$G,0)),"")</f>
        <v/>
      </c>
      <c r="B264" s="5" t="str">
        <f>IFERROR(INDEX('بيانات الحركات'!B:B,MATCH(263,'بيانات الحركات'!$G:$G,0)),"")</f>
        <v/>
      </c>
      <c r="C264" s="3" t="str">
        <f>IFERROR(INDEX('بيانات الحركات'!C:C,MATCH(263,'بيانات الحركات'!$G:$G,0)),"")</f>
        <v/>
      </c>
      <c r="D264" s="3" t="str">
        <f>IFERROR(INDEX('بيانات الحركات'!D:D,MATCH(263,'بيانات الحركات'!$G:$G,0)),"")</f>
        <v/>
      </c>
      <c r="E264" s="21" t="str">
        <f>IF($B264="إنتاج طبخة","",IFERROR(INDEX('بيانات الحركات'!E:E,MATCH(263,'بيانات الحركات'!$G:$G,0)),""))</f>
        <v/>
      </c>
      <c r="F264" s="3" t="str">
        <f>IFERROR(INDEX('بيانات الحركات'!F:F,MATCH(263,'بيانات الحركات'!$G:$G,0)),"")</f>
        <v/>
      </c>
    </row>
    <row r="265" spans="1:6" ht="21.95" customHeight="1">
      <c r="A265" s="8" t="str">
        <f>IFERROR(INDEX('بيانات الحركات'!A:A,MATCH(264,'بيانات الحركات'!$G:$G,0)),"")</f>
        <v/>
      </c>
      <c r="B265" s="5" t="str">
        <f>IFERROR(INDEX('بيانات الحركات'!B:B,MATCH(264,'بيانات الحركات'!$G:$G,0)),"")</f>
        <v/>
      </c>
      <c r="C265" s="3" t="str">
        <f>IFERROR(INDEX('بيانات الحركات'!C:C,MATCH(264,'بيانات الحركات'!$G:$G,0)),"")</f>
        <v/>
      </c>
      <c r="D265" s="3" t="str">
        <f>IFERROR(INDEX('بيانات الحركات'!D:D,MATCH(264,'بيانات الحركات'!$G:$G,0)),"")</f>
        <v/>
      </c>
      <c r="E265" s="21" t="str">
        <f>IF($B265="إنتاج طبخة","",IFERROR(INDEX('بيانات الحركات'!E:E,MATCH(264,'بيانات الحركات'!$G:$G,0)),""))</f>
        <v/>
      </c>
      <c r="F265" s="3" t="str">
        <f>IFERROR(INDEX('بيانات الحركات'!F:F,MATCH(264,'بيانات الحركات'!$G:$G,0)),"")</f>
        <v/>
      </c>
    </row>
    <row r="266" spans="1:6" ht="21.95" customHeight="1">
      <c r="A266" s="8" t="str">
        <f>IFERROR(INDEX('بيانات الحركات'!A:A,MATCH(265,'بيانات الحركات'!$G:$G,0)),"")</f>
        <v/>
      </c>
      <c r="B266" s="5" t="str">
        <f>IFERROR(INDEX('بيانات الحركات'!B:B,MATCH(265,'بيانات الحركات'!$G:$G,0)),"")</f>
        <v/>
      </c>
      <c r="C266" s="3" t="str">
        <f>IFERROR(INDEX('بيانات الحركات'!C:C,MATCH(265,'بيانات الحركات'!$G:$G,0)),"")</f>
        <v/>
      </c>
      <c r="D266" s="3" t="str">
        <f>IFERROR(INDEX('بيانات الحركات'!D:D,MATCH(265,'بيانات الحركات'!$G:$G,0)),"")</f>
        <v/>
      </c>
      <c r="E266" s="21" t="str">
        <f>IF($B266="إنتاج طبخة","",IFERROR(INDEX('بيانات الحركات'!E:E,MATCH(265,'بيانات الحركات'!$G:$G,0)),""))</f>
        <v/>
      </c>
      <c r="F266" s="3" t="str">
        <f>IFERROR(INDEX('بيانات الحركات'!F:F,MATCH(265,'بيانات الحركات'!$G:$G,0)),"")</f>
        <v/>
      </c>
    </row>
    <row r="267" spans="1:6" ht="21.95" customHeight="1">
      <c r="A267" s="8" t="str">
        <f>IFERROR(INDEX('بيانات الحركات'!A:A,MATCH(266,'بيانات الحركات'!$G:$G,0)),"")</f>
        <v/>
      </c>
      <c r="B267" s="5" t="str">
        <f>IFERROR(INDEX('بيانات الحركات'!B:B,MATCH(266,'بيانات الحركات'!$G:$G,0)),"")</f>
        <v/>
      </c>
      <c r="C267" s="3" t="str">
        <f>IFERROR(INDEX('بيانات الحركات'!C:C,MATCH(266,'بيانات الحركات'!$G:$G,0)),"")</f>
        <v/>
      </c>
      <c r="D267" s="3" t="str">
        <f>IFERROR(INDEX('بيانات الحركات'!D:D,MATCH(266,'بيانات الحركات'!$G:$G,0)),"")</f>
        <v/>
      </c>
      <c r="E267" s="21" t="str">
        <f>IF($B267="إنتاج طبخة","",IFERROR(INDEX('بيانات الحركات'!E:E,MATCH(266,'بيانات الحركات'!$G:$G,0)),""))</f>
        <v/>
      </c>
      <c r="F267" s="3" t="str">
        <f>IFERROR(INDEX('بيانات الحركات'!F:F,MATCH(266,'بيانات الحركات'!$G:$G,0)),"")</f>
        <v/>
      </c>
    </row>
    <row r="268" spans="1:6" ht="21.95" customHeight="1">
      <c r="A268" s="8" t="str">
        <f>IFERROR(INDEX('بيانات الحركات'!A:A,MATCH(267,'بيانات الحركات'!$G:$G,0)),"")</f>
        <v/>
      </c>
      <c r="B268" s="5" t="str">
        <f>IFERROR(INDEX('بيانات الحركات'!B:B,MATCH(267,'بيانات الحركات'!$G:$G,0)),"")</f>
        <v/>
      </c>
      <c r="C268" s="3" t="str">
        <f>IFERROR(INDEX('بيانات الحركات'!C:C,MATCH(267,'بيانات الحركات'!$G:$G,0)),"")</f>
        <v/>
      </c>
      <c r="D268" s="3" t="str">
        <f>IFERROR(INDEX('بيانات الحركات'!D:D,MATCH(267,'بيانات الحركات'!$G:$G,0)),"")</f>
        <v/>
      </c>
      <c r="E268" s="21" t="str">
        <f>IF($B268="إنتاج طبخة","",IFERROR(INDEX('بيانات الحركات'!E:E,MATCH(267,'بيانات الحركات'!$G:$G,0)),""))</f>
        <v/>
      </c>
      <c r="F268" s="3" t="str">
        <f>IFERROR(INDEX('بيانات الحركات'!F:F,MATCH(267,'بيانات الحركات'!$G:$G,0)),"")</f>
        <v/>
      </c>
    </row>
    <row r="269" spans="1:6" ht="21.95" customHeight="1">
      <c r="A269" s="8" t="str">
        <f>IFERROR(INDEX('بيانات الحركات'!A:A,MATCH(268,'بيانات الحركات'!$G:$G,0)),"")</f>
        <v/>
      </c>
      <c r="B269" s="5" t="str">
        <f>IFERROR(INDEX('بيانات الحركات'!B:B,MATCH(268,'بيانات الحركات'!$G:$G,0)),"")</f>
        <v/>
      </c>
      <c r="C269" s="3" t="str">
        <f>IFERROR(INDEX('بيانات الحركات'!C:C,MATCH(268,'بيانات الحركات'!$G:$G,0)),"")</f>
        <v/>
      </c>
      <c r="D269" s="3" t="str">
        <f>IFERROR(INDEX('بيانات الحركات'!D:D,MATCH(268,'بيانات الحركات'!$G:$G,0)),"")</f>
        <v/>
      </c>
      <c r="E269" s="21" t="str">
        <f>IF($B269="إنتاج طبخة","",IFERROR(INDEX('بيانات الحركات'!E:E,MATCH(268,'بيانات الحركات'!$G:$G,0)),""))</f>
        <v/>
      </c>
      <c r="F269" s="3" t="str">
        <f>IFERROR(INDEX('بيانات الحركات'!F:F,MATCH(268,'بيانات الحركات'!$G:$G,0)),"")</f>
        <v/>
      </c>
    </row>
    <row r="270" spans="1:6" ht="21.95" customHeight="1">
      <c r="A270" s="8" t="str">
        <f>IFERROR(INDEX('بيانات الحركات'!A:A,MATCH(269,'بيانات الحركات'!$G:$G,0)),"")</f>
        <v/>
      </c>
      <c r="B270" s="5" t="str">
        <f>IFERROR(INDEX('بيانات الحركات'!B:B,MATCH(269,'بيانات الحركات'!$G:$G,0)),"")</f>
        <v/>
      </c>
      <c r="C270" s="3" t="str">
        <f>IFERROR(INDEX('بيانات الحركات'!C:C,MATCH(269,'بيانات الحركات'!$G:$G,0)),"")</f>
        <v/>
      </c>
      <c r="D270" s="3" t="str">
        <f>IFERROR(INDEX('بيانات الحركات'!D:D,MATCH(269,'بيانات الحركات'!$G:$G,0)),"")</f>
        <v/>
      </c>
      <c r="E270" s="21" t="str">
        <f>IF($B270="إنتاج طبخة","",IFERROR(INDEX('بيانات الحركات'!E:E,MATCH(269,'بيانات الحركات'!$G:$G,0)),""))</f>
        <v/>
      </c>
      <c r="F270" s="3" t="str">
        <f>IFERROR(INDEX('بيانات الحركات'!F:F,MATCH(269,'بيانات الحركات'!$G:$G,0)),"")</f>
        <v/>
      </c>
    </row>
    <row r="271" spans="1:6" ht="21.95" customHeight="1">
      <c r="A271" s="8" t="str">
        <f>IFERROR(INDEX('بيانات الحركات'!A:A,MATCH(270,'بيانات الحركات'!$G:$G,0)),"")</f>
        <v/>
      </c>
      <c r="B271" s="5" t="str">
        <f>IFERROR(INDEX('بيانات الحركات'!B:B,MATCH(270,'بيانات الحركات'!$G:$G,0)),"")</f>
        <v/>
      </c>
      <c r="C271" s="3" t="str">
        <f>IFERROR(INDEX('بيانات الحركات'!C:C,MATCH(270,'بيانات الحركات'!$G:$G,0)),"")</f>
        <v/>
      </c>
      <c r="D271" s="3" t="str">
        <f>IFERROR(INDEX('بيانات الحركات'!D:D,MATCH(270,'بيانات الحركات'!$G:$G,0)),"")</f>
        <v/>
      </c>
      <c r="E271" s="21" t="str">
        <f>IF($B271="إنتاج طبخة","",IFERROR(INDEX('بيانات الحركات'!E:E,MATCH(270,'بيانات الحركات'!$G:$G,0)),""))</f>
        <v/>
      </c>
      <c r="F271" s="3" t="str">
        <f>IFERROR(INDEX('بيانات الحركات'!F:F,MATCH(270,'بيانات الحركات'!$G:$G,0)),"")</f>
        <v/>
      </c>
    </row>
    <row r="272" spans="1:6" ht="21.95" customHeight="1">
      <c r="A272" s="8" t="str">
        <f>IFERROR(INDEX('بيانات الحركات'!A:A,MATCH(271,'بيانات الحركات'!$G:$G,0)),"")</f>
        <v/>
      </c>
      <c r="B272" s="5" t="str">
        <f>IFERROR(INDEX('بيانات الحركات'!B:B,MATCH(271,'بيانات الحركات'!$G:$G,0)),"")</f>
        <v/>
      </c>
      <c r="C272" s="3" t="str">
        <f>IFERROR(INDEX('بيانات الحركات'!C:C,MATCH(271,'بيانات الحركات'!$G:$G,0)),"")</f>
        <v/>
      </c>
      <c r="D272" s="3" t="str">
        <f>IFERROR(INDEX('بيانات الحركات'!D:D,MATCH(271,'بيانات الحركات'!$G:$G,0)),"")</f>
        <v/>
      </c>
      <c r="E272" s="21" t="str">
        <f>IF($B272="إنتاج طبخة","",IFERROR(INDEX('بيانات الحركات'!E:E,MATCH(271,'بيانات الحركات'!$G:$G,0)),""))</f>
        <v/>
      </c>
      <c r="F272" s="3" t="str">
        <f>IFERROR(INDEX('بيانات الحركات'!F:F,MATCH(271,'بيانات الحركات'!$G:$G,0)),"")</f>
        <v/>
      </c>
    </row>
    <row r="273" spans="1:6" ht="21.95" customHeight="1">
      <c r="A273" s="8" t="str">
        <f>IFERROR(INDEX('بيانات الحركات'!A:A,MATCH(272,'بيانات الحركات'!$G:$G,0)),"")</f>
        <v/>
      </c>
      <c r="B273" s="5" t="str">
        <f>IFERROR(INDEX('بيانات الحركات'!B:B,MATCH(272,'بيانات الحركات'!$G:$G,0)),"")</f>
        <v/>
      </c>
      <c r="C273" s="3" t="str">
        <f>IFERROR(INDEX('بيانات الحركات'!C:C,MATCH(272,'بيانات الحركات'!$G:$G,0)),"")</f>
        <v/>
      </c>
      <c r="D273" s="3" t="str">
        <f>IFERROR(INDEX('بيانات الحركات'!D:D,MATCH(272,'بيانات الحركات'!$G:$G,0)),"")</f>
        <v/>
      </c>
      <c r="E273" s="21" t="str">
        <f>IF($B273="إنتاج طبخة","",IFERROR(INDEX('بيانات الحركات'!E:E,MATCH(272,'بيانات الحركات'!$G:$G,0)),""))</f>
        <v/>
      </c>
      <c r="F273" s="3" t="str">
        <f>IFERROR(INDEX('بيانات الحركات'!F:F,MATCH(272,'بيانات الحركات'!$G:$G,0)),"")</f>
        <v/>
      </c>
    </row>
    <row r="274" spans="1:6" ht="21.95" customHeight="1">
      <c r="A274" s="8" t="str">
        <f>IFERROR(INDEX('بيانات الحركات'!A:A,MATCH(273,'بيانات الحركات'!$G:$G,0)),"")</f>
        <v/>
      </c>
      <c r="B274" s="5" t="str">
        <f>IFERROR(INDEX('بيانات الحركات'!B:B,MATCH(273,'بيانات الحركات'!$G:$G,0)),"")</f>
        <v/>
      </c>
      <c r="C274" s="3" t="str">
        <f>IFERROR(INDEX('بيانات الحركات'!C:C,MATCH(273,'بيانات الحركات'!$G:$G,0)),"")</f>
        <v/>
      </c>
      <c r="D274" s="3" t="str">
        <f>IFERROR(INDEX('بيانات الحركات'!D:D,MATCH(273,'بيانات الحركات'!$G:$G,0)),"")</f>
        <v/>
      </c>
      <c r="E274" s="21" t="str">
        <f>IF($B274="إنتاج طبخة","",IFERROR(INDEX('بيانات الحركات'!E:E,MATCH(273,'بيانات الحركات'!$G:$G,0)),""))</f>
        <v/>
      </c>
      <c r="F274" s="3" t="str">
        <f>IFERROR(INDEX('بيانات الحركات'!F:F,MATCH(273,'بيانات الحركات'!$G:$G,0)),"")</f>
        <v/>
      </c>
    </row>
    <row r="275" spans="1:6" ht="21.95" customHeight="1">
      <c r="A275" s="8" t="str">
        <f>IFERROR(INDEX('بيانات الحركات'!A:A,MATCH(274,'بيانات الحركات'!$G:$G,0)),"")</f>
        <v/>
      </c>
      <c r="B275" s="5" t="str">
        <f>IFERROR(INDEX('بيانات الحركات'!B:B,MATCH(274,'بيانات الحركات'!$G:$G,0)),"")</f>
        <v/>
      </c>
      <c r="C275" s="3" t="str">
        <f>IFERROR(INDEX('بيانات الحركات'!C:C,MATCH(274,'بيانات الحركات'!$G:$G,0)),"")</f>
        <v/>
      </c>
      <c r="D275" s="3" t="str">
        <f>IFERROR(INDEX('بيانات الحركات'!D:D,MATCH(274,'بيانات الحركات'!$G:$G,0)),"")</f>
        <v/>
      </c>
      <c r="E275" s="21" t="str">
        <f>IF($B275="إنتاج طبخة","",IFERROR(INDEX('بيانات الحركات'!E:E,MATCH(274,'بيانات الحركات'!$G:$G,0)),""))</f>
        <v/>
      </c>
      <c r="F275" s="3" t="str">
        <f>IFERROR(INDEX('بيانات الحركات'!F:F,MATCH(274,'بيانات الحركات'!$G:$G,0)),"")</f>
        <v/>
      </c>
    </row>
    <row r="276" spans="1:6" ht="21.95" customHeight="1">
      <c r="A276" s="8" t="str">
        <f>IFERROR(INDEX('بيانات الحركات'!A:A,MATCH(275,'بيانات الحركات'!$G:$G,0)),"")</f>
        <v/>
      </c>
      <c r="B276" s="5" t="str">
        <f>IFERROR(INDEX('بيانات الحركات'!B:B,MATCH(275,'بيانات الحركات'!$G:$G,0)),"")</f>
        <v/>
      </c>
      <c r="C276" s="3" t="str">
        <f>IFERROR(INDEX('بيانات الحركات'!C:C,MATCH(275,'بيانات الحركات'!$G:$G,0)),"")</f>
        <v/>
      </c>
      <c r="D276" s="3" t="str">
        <f>IFERROR(INDEX('بيانات الحركات'!D:D,MATCH(275,'بيانات الحركات'!$G:$G,0)),"")</f>
        <v/>
      </c>
      <c r="E276" s="21" t="str">
        <f>IF($B276="إنتاج طبخة","",IFERROR(INDEX('بيانات الحركات'!E:E,MATCH(275,'بيانات الحركات'!$G:$G,0)),""))</f>
        <v/>
      </c>
      <c r="F276" s="3" t="str">
        <f>IFERROR(INDEX('بيانات الحركات'!F:F,MATCH(275,'بيانات الحركات'!$G:$G,0)),"")</f>
        <v/>
      </c>
    </row>
    <row r="277" spans="1:6" ht="21.95" customHeight="1">
      <c r="A277" s="8" t="str">
        <f>IFERROR(INDEX('بيانات الحركات'!A:A,MATCH(276,'بيانات الحركات'!$G:$G,0)),"")</f>
        <v/>
      </c>
      <c r="B277" s="5" t="str">
        <f>IFERROR(INDEX('بيانات الحركات'!B:B,MATCH(276,'بيانات الحركات'!$G:$G,0)),"")</f>
        <v/>
      </c>
      <c r="C277" s="3" t="str">
        <f>IFERROR(INDEX('بيانات الحركات'!C:C,MATCH(276,'بيانات الحركات'!$G:$G,0)),"")</f>
        <v/>
      </c>
      <c r="D277" s="3" t="str">
        <f>IFERROR(INDEX('بيانات الحركات'!D:D,MATCH(276,'بيانات الحركات'!$G:$G,0)),"")</f>
        <v/>
      </c>
      <c r="E277" s="21" t="str">
        <f>IF($B277="إنتاج طبخة","",IFERROR(INDEX('بيانات الحركات'!E:E,MATCH(276,'بيانات الحركات'!$G:$G,0)),""))</f>
        <v/>
      </c>
      <c r="F277" s="3" t="str">
        <f>IFERROR(INDEX('بيانات الحركات'!F:F,MATCH(276,'بيانات الحركات'!$G:$G,0)),"")</f>
        <v/>
      </c>
    </row>
    <row r="278" spans="1:6" ht="21.95" customHeight="1">
      <c r="A278" s="8" t="str">
        <f>IFERROR(INDEX('بيانات الحركات'!A:A,MATCH(277,'بيانات الحركات'!$G:$G,0)),"")</f>
        <v/>
      </c>
      <c r="B278" s="5" t="str">
        <f>IFERROR(INDEX('بيانات الحركات'!B:B,MATCH(277,'بيانات الحركات'!$G:$G,0)),"")</f>
        <v/>
      </c>
      <c r="C278" s="3" t="str">
        <f>IFERROR(INDEX('بيانات الحركات'!C:C,MATCH(277,'بيانات الحركات'!$G:$G,0)),"")</f>
        <v/>
      </c>
      <c r="D278" s="3" t="str">
        <f>IFERROR(INDEX('بيانات الحركات'!D:D,MATCH(277,'بيانات الحركات'!$G:$G,0)),"")</f>
        <v/>
      </c>
      <c r="E278" s="21" t="str">
        <f>IF($B278="إنتاج طبخة","",IFERROR(INDEX('بيانات الحركات'!E:E,MATCH(277,'بيانات الحركات'!$G:$G,0)),""))</f>
        <v/>
      </c>
      <c r="F278" s="3" t="str">
        <f>IFERROR(INDEX('بيانات الحركات'!F:F,MATCH(277,'بيانات الحركات'!$G:$G,0)),"")</f>
        <v/>
      </c>
    </row>
    <row r="279" spans="1:6" ht="21.95" customHeight="1">
      <c r="A279" s="8" t="str">
        <f>IFERROR(INDEX('بيانات الحركات'!A:A,MATCH(278,'بيانات الحركات'!$G:$G,0)),"")</f>
        <v/>
      </c>
      <c r="B279" s="5" t="str">
        <f>IFERROR(INDEX('بيانات الحركات'!B:B,MATCH(278,'بيانات الحركات'!$G:$G,0)),"")</f>
        <v/>
      </c>
      <c r="C279" s="3" t="str">
        <f>IFERROR(INDEX('بيانات الحركات'!C:C,MATCH(278,'بيانات الحركات'!$G:$G,0)),"")</f>
        <v/>
      </c>
      <c r="D279" s="3" t="str">
        <f>IFERROR(INDEX('بيانات الحركات'!D:D,MATCH(278,'بيانات الحركات'!$G:$G,0)),"")</f>
        <v/>
      </c>
      <c r="E279" s="21" t="str">
        <f>IF($B279="إنتاج طبخة","",IFERROR(INDEX('بيانات الحركات'!E:E,MATCH(278,'بيانات الحركات'!$G:$G,0)),""))</f>
        <v/>
      </c>
      <c r="F279" s="3" t="str">
        <f>IFERROR(INDEX('بيانات الحركات'!F:F,MATCH(278,'بيانات الحركات'!$G:$G,0)),"")</f>
        <v/>
      </c>
    </row>
    <row r="280" spans="1:6" ht="21.95" customHeight="1">
      <c r="A280" s="8" t="str">
        <f>IFERROR(INDEX('بيانات الحركات'!A:A,MATCH(279,'بيانات الحركات'!$G:$G,0)),"")</f>
        <v/>
      </c>
      <c r="B280" s="5" t="str">
        <f>IFERROR(INDEX('بيانات الحركات'!B:B,MATCH(279,'بيانات الحركات'!$G:$G,0)),"")</f>
        <v/>
      </c>
      <c r="C280" s="3" t="str">
        <f>IFERROR(INDEX('بيانات الحركات'!C:C,MATCH(279,'بيانات الحركات'!$G:$G,0)),"")</f>
        <v/>
      </c>
      <c r="D280" s="3" t="str">
        <f>IFERROR(INDEX('بيانات الحركات'!D:D,MATCH(279,'بيانات الحركات'!$G:$G,0)),"")</f>
        <v/>
      </c>
      <c r="E280" s="21" t="str">
        <f>IF($B280="إنتاج طبخة","",IFERROR(INDEX('بيانات الحركات'!E:E,MATCH(279,'بيانات الحركات'!$G:$G,0)),""))</f>
        <v/>
      </c>
      <c r="F280" s="3" t="str">
        <f>IFERROR(INDEX('بيانات الحركات'!F:F,MATCH(279,'بيانات الحركات'!$G:$G,0)),"")</f>
        <v/>
      </c>
    </row>
    <row r="281" spans="1:6" ht="21.95" customHeight="1">
      <c r="A281" s="8" t="str">
        <f>IFERROR(INDEX('بيانات الحركات'!A:A,MATCH(280,'بيانات الحركات'!$G:$G,0)),"")</f>
        <v/>
      </c>
      <c r="B281" s="5" t="str">
        <f>IFERROR(INDEX('بيانات الحركات'!B:B,MATCH(280,'بيانات الحركات'!$G:$G,0)),"")</f>
        <v/>
      </c>
      <c r="C281" s="3" t="str">
        <f>IFERROR(INDEX('بيانات الحركات'!C:C,MATCH(280,'بيانات الحركات'!$G:$G,0)),"")</f>
        <v/>
      </c>
      <c r="D281" s="3" t="str">
        <f>IFERROR(INDEX('بيانات الحركات'!D:D,MATCH(280,'بيانات الحركات'!$G:$G,0)),"")</f>
        <v/>
      </c>
      <c r="E281" s="21" t="str">
        <f>IF($B281="إنتاج طبخة","",IFERROR(INDEX('بيانات الحركات'!E:E,MATCH(280,'بيانات الحركات'!$G:$G,0)),""))</f>
        <v/>
      </c>
      <c r="F281" s="3" t="str">
        <f>IFERROR(INDEX('بيانات الحركات'!F:F,MATCH(280,'بيانات الحركات'!$G:$G,0)),"")</f>
        <v/>
      </c>
    </row>
    <row r="282" spans="1:6" ht="21.95" customHeight="1">
      <c r="A282" s="8" t="str">
        <f>IFERROR(INDEX('بيانات الحركات'!A:A,MATCH(281,'بيانات الحركات'!$G:$G,0)),"")</f>
        <v/>
      </c>
      <c r="B282" s="5" t="str">
        <f>IFERROR(INDEX('بيانات الحركات'!B:B,MATCH(281,'بيانات الحركات'!$G:$G,0)),"")</f>
        <v/>
      </c>
      <c r="C282" s="3" t="str">
        <f>IFERROR(INDEX('بيانات الحركات'!C:C,MATCH(281,'بيانات الحركات'!$G:$G,0)),"")</f>
        <v/>
      </c>
      <c r="D282" s="3" t="str">
        <f>IFERROR(INDEX('بيانات الحركات'!D:D,MATCH(281,'بيانات الحركات'!$G:$G,0)),"")</f>
        <v/>
      </c>
      <c r="E282" s="21" t="str">
        <f>IF($B282="إنتاج طبخة","",IFERROR(INDEX('بيانات الحركات'!E:E,MATCH(281,'بيانات الحركات'!$G:$G,0)),""))</f>
        <v/>
      </c>
      <c r="F282" s="3" t="str">
        <f>IFERROR(INDEX('بيانات الحركات'!F:F,MATCH(281,'بيانات الحركات'!$G:$G,0)),"")</f>
        <v/>
      </c>
    </row>
    <row r="283" spans="1:6" ht="21.95" customHeight="1">
      <c r="A283" s="8" t="str">
        <f>IFERROR(INDEX('بيانات الحركات'!A:A,MATCH(282,'بيانات الحركات'!$G:$G,0)),"")</f>
        <v/>
      </c>
      <c r="B283" s="5" t="str">
        <f>IFERROR(INDEX('بيانات الحركات'!B:B,MATCH(282,'بيانات الحركات'!$G:$G,0)),"")</f>
        <v/>
      </c>
      <c r="C283" s="3" t="str">
        <f>IFERROR(INDEX('بيانات الحركات'!C:C,MATCH(282,'بيانات الحركات'!$G:$G,0)),"")</f>
        <v/>
      </c>
      <c r="D283" s="3" t="str">
        <f>IFERROR(INDEX('بيانات الحركات'!D:D,MATCH(282,'بيانات الحركات'!$G:$G,0)),"")</f>
        <v/>
      </c>
      <c r="E283" s="21" t="str">
        <f>IF($B283="إنتاج طبخة","",IFERROR(INDEX('بيانات الحركات'!E:E,MATCH(282,'بيانات الحركات'!$G:$G,0)),""))</f>
        <v/>
      </c>
      <c r="F283" s="3" t="str">
        <f>IFERROR(INDEX('بيانات الحركات'!F:F,MATCH(282,'بيانات الحركات'!$G:$G,0)),"")</f>
        <v/>
      </c>
    </row>
    <row r="284" spans="1:6" ht="21.95" customHeight="1">
      <c r="A284" s="8" t="str">
        <f>IFERROR(INDEX('بيانات الحركات'!A:A,MATCH(283,'بيانات الحركات'!$G:$G,0)),"")</f>
        <v/>
      </c>
      <c r="B284" s="5" t="str">
        <f>IFERROR(INDEX('بيانات الحركات'!B:B,MATCH(283,'بيانات الحركات'!$G:$G,0)),"")</f>
        <v/>
      </c>
      <c r="C284" s="3" t="str">
        <f>IFERROR(INDEX('بيانات الحركات'!C:C,MATCH(283,'بيانات الحركات'!$G:$G,0)),"")</f>
        <v/>
      </c>
      <c r="D284" s="3" t="str">
        <f>IFERROR(INDEX('بيانات الحركات'!D:D,MATCH(283,'بيانات الحركات'!$G:$G,0)),"")</f>
        <v/>
      </c>
      <c r="E284" s="21" t="str">
        <f>IF($B284="إنتاج طبخة","",IFERROR(INDEX('بيانات الحركات'!E:E,MATCH(283,'بيانات الحركات'!$G:$G,0)),""))</f>
        <v/>
      </c>
      <c r="F284" s="3" t="str">
        <f>IFERROR(INDEX('بيانات الحركات'!F:F,MATCH(283,'بيانات الحركات'!$G:$G,0)),"")</f>
        <v/>
      </c>
    </row>
    <row r="285" spans="1:6" ht="21.95" customHeight="1">
      <c r="A285" s="8" t="str">
        <f>IFERROR(INDEX('بيانات الحركات'!A:A,MATCH(284,'بيانات الحركات'!$G:$G,0)),"")</f>
        <v/>
      </c>
      <c r="B285" s="5" t="str">
        <f>IFERROR(INDEX('بيانات الحركات'!B:B,MATCH(284,'بيانات الحركات'!$G:$G,0)),"")</f>
        <v/>
      </c>
      <c r="C285" s="3" t="str">
        <f>IFERROR(INDEX('بيانات الحركات'!C:C,MATCH(284,'بيانات الحركات'!$G:$G,0)),"")</f>
        <v/>
      </c>
      <c r="D285" s="3" t="str">
        <f>IFERROR(INDEX('بيانات الحركات'!D:D,MATCH(284,'بيانات الحركات'!$G:$G,0)),"")</f>
        <v/>
      </c>
      <c r="E285" s="21" t="str">
        <f>IF($B285="إنتاج طبخة","",IFERROR(INDEX('بيانات الحركات'!E:E,MATCH(284,'بيانات الحركات'!$G:$G,0)),""))</f>
        <v/>
      </c>
      <c r="F285" s="3" t="str">
        <f>IFERROR(INDEX('بيانات الحركات'!F:F,MATCH(284,'بيانات الحركات'!$G:$G,0)),"")</f>
        <v/>
      </c>
    </row>
    <row r="286" spans="1:6" ht="21.95" customHeight="1">
      <c r="A286" s="8" t="str">
        <f>IFERROR(INDEX('بيانات الحركات'!A:A,MATCH(285,'بيانات الحركات'!$G:$G,0)),"")</f>
        <v/>
      </c>
      <c r="B286" s="5" t="str">
        <f>IFERROR(INDEX('بيانات الحركات'!B:B,MATCH(285,'بيانات الحركات'!$G:$G,0)),"")</f>
        <v/>
      </c>
      <c r="C286" s="3" t="str">
        <f>IFERROR(INDEX('بيانات الحركات'!C:C,MATCH(285,'بيانات الحركات'!$G:$G,0)),"")</f>
        <v/>
      </c>
      <c r="D286" s="3" t="str">
        <f>IFERROR(INDEX('بيانات الحركات'!D:D,MATCH(285,'بيانات الحركات'!$G:$G,0)),"")</f>
        <v/>
      </c>
      <c r="E286" s="21" t="str">
        <f>IF($B286="إنتاج طبخة","",IFERROR(INDEX('بيانات الحركات'!E:E,MATCH(285,'بيانات الحركات'!$G:$G,0)),""))</f>
        <v/>
      </c>
      <c r="F286" s="3" t="str">
        <f>IFERROR(INDEX('بيانات الحركات'!F:F,MATCH(285,'بيانات الحركات'!$G:$G,0)),"")</f>
        <v/>
      </c>
    </row>
    <row r="287" spans="1:6" ht="21.95" customHeight="1">
      <c r="A287" s="8" t="str">
        <f>IFERROR(INDEX('بيانات الحركات'!A:A,MATCH(286,'بيانات الحركات'!$G:$G,0)),"")</f>
        <v/>
      </c>
      <c r="B287" s="5" t="str">
        <f>IFERROR(INDEX('بيانات الحركات'!B:B,MATCH(286,'بيانات الحركات'!$G:$G,0)),"")</f>
        <v/>
      </c>
      <c r="C287" s="3" t="str">
        <f>IFERROR(INDEX('بيانات الحركات'!C:C,MATCH(286,'بيانات الحركات'!$G:$G,0)),"")</f>
        <v/>
      </c>
      <c r="D287" s="3" t="str">
        <f>IFERROR(INDEX('بيانات الحركات'!D:D,MATCH(286,'بيانات الحركات'!$G:$G,0)),"")</f>
        <v/>
      </c>
      <c r="E287" s="21" t="str">
        <f>IF($B287="إنتاج طبخة","",IFERROR(INDEX('بيانات الحركات'!E:E,MATCH(286,'بيانات الحركات'!$G:$G,0)),""))</f>
        <v/>
      </c>
      <c r="F287" s="3" t="str">
        <f>IFERROR(INDEX('بيانات الحركات'!F:F,MATCH(286,'بيانات الحركات'!$G:$G,0)),"")</f>
        <v/>
      </c>
    </row>
    <row r="288" spans="1:6" ht="21.95" customHeight="1">
      <c r="A288" s="8" t="str">
        <f>IFERROR(INDEX('بيانات الحركات'!A:A,MATCH(287,'بيانات الحركات'!$G:$G,0)),"")</f>
        <v/>
      </c>
      <c r="B288" s="5" t="str">
        <f>IFERROR(INDEX('بيانات الحركات'!B:B,MATCH(287,'بيانات الحركات'!$G:$G,0)),"")</f>
        <v/>
      </c>
      <c r="C288" s="3" t="str">
        <f>IFERROR(INDEX('بيانات الحركات'!C:C,MATCH(287,'بيانات الحركات'!$G:$G,0)),"")</f>
        <v/>
      </c>
      <c r="D288" s="3" t="str">
        <f>IFERROR(INDEX('بيانات الحركات'!D:D,MATCH(287,'بيانات الحركات'!$G:$G,0)),"")</f>
        <v/>
      </c>
      <c r="E288" s="21" t="str">
        <f>IF($B288="إنتاج طبخة","",IFERROR(INDEX('بيانات الحركات'!E:E,MATCH(287,'بيانات الحركات'!$G:$G,0)),""))</f>
        <v/>
      </c>
      <c r="F288" s="3" t="str">
        <f>IFERROR(INDEX('بيانات الحركات'!F:F,MATCH(287,'بيانات الحركات'!$G:$G,0)),"")</f>
        <v/>
      </c>
    </row>
    <row r="289" spans="1:6" ht="21.95" customHeight="1">
      <c r="A289" s="8" t="str">
        <f>IFERROR(INDEX('بيانات الحركات'!A:A,MATCH(288,'بيانات الحركات'!$G:$G,0)),"")</f>
        <v/>
      </c>
      <c r="B289" s="5" t="str">
        <f>IFERROR(INDEX('بيانات الحركات'!B:B,MATCH(288,'بيانات الحركات'!$G:$G,0)),"")</f>
        <v/>
      </c>
      <c r="C289" s="3" t="str">
        <f>IFERROR(INDEX('بيانات الحركات'!C:C,MATCH(288,'بيانات الحركات'!$G:$G,0)),"")</f>
        <v/>
      </c>
      <c r="D289" s="3" t="str">
        <f>IFERROR(INDEX('بيانات الحركات'!D:D,MATCH(288,'بيانات الحركات'!$G:$G,0)),"")</f>
        <v/>
      </c>
      <c r="E289" s="21" t="str">
        <f>IF($B289="إنتاج طبخة","",IFERROR(INDEX('بيانات الحركات'!E:E,MATCH(288,'بيانات الحركات'!$G:$G,0)),""))</f>
        <v/>
      </c>
      <c r="F289" s="3" t="str">
        <f>IFERROR(INDEX('بيانات الحركات'!F:F,MATCH(288,'بيانات الحركات'!$G:$G,0)),"")</f>
        <v/>
      </c>
    </row>
    <row r="290" spans="1:6" ht="21.95" customHeight="1">
      <c r="A290" s="8" t="str">
        <f>IFERROR(INDEX('بيانات الحركات'!A:A,MATCH(289,'بيانات الحركات'!$G:$G,0)),"")</f>
        <v/>
      </c>
      <c r="B290" s="5" t="str">
        <f>IFERROR(INDEX('بيانات الحركات'!B:B,MATCH(289,'بيانات الحركات'!$G:$G,0)),"")</f>
        <v/>
      </c>
      <c r="C290" s="3" t="str">
        <f>IFERROR(INDEX('بيانات الحركات'!C:C,MATCH(289,'بيانات الحركات'!$G:$G,0)),"")</f>
        <v/>
      </c>
      <c r="D290" s="3" t="str">
        <f>IFERROR(INDEX('بيانات الحركات'!D:D,MATCH(289,'بيانات الحركات'!$G:$G,0)),"")</f>
        <v/>
      </c>
      <c r="E290" s="21" t="str">
        <f>IF($B290="إنتاج طبخة","",IFERROR(INDEX('بيانات الحركات'!E:E,MATCH(289,'بيانات الحركات'!$G:$G,0)),""))</f>
        <v/>
      </c>
      <c r="F290" s="3" t="str">
        <f>IFERROR(INDEX('بيانات الحركات'!F:F,MATCH(289,'بيانات الحركات'!$G:$G,0)),"")</f>
        <v/>
      </c>
    </row>
    <row r="291" spans="1:6" ht="21.95" customHeight="1">
      <c r="A291" s="8" t="str">
        <f>IFERROR(INDEX('بيانات الحركات'!A:A,MATCH(290,'بيانات الحركات'!$G:$G,0)),"")</f>
        <v/>
      </c>
      <c r="B291" s="5" t="str">
        <f>IFERROR(INDEX('بيانات الحركات'!B:B,MATCH(290,'بيانات الحركات'!$G:$G,0)),"")</f>
        <v/>
      </c>
      <c r="C291" s="3" t="str">
        <f>IFERROR(INDEX('بيانات الحركات'!C:C,MATCH(290,'بيانات الحركات'!$G:$G,0)),"")</f>
        <v/>
      </c>
      <c r="D291" s="3" t="str">
        <f>IFERROR(INDEX('بيانات الحركات'!D:D,MATCH(290,'بيانات الحركات'!$G:$G,0)),"")</f>
        <v/>
      </c>
      <c r="E291" s="21" t="str">
        <f>IF($B291="إنتاج طبخة","",IFERROR(INDEX('بيانات الحركات'!E:E,MATCH(290,'بيانات الحركات'!$G:$G,0)),""))</f>
        <v/>
      </c>
      <c r="F291" s="3" t="str">
        <f>IFERROR(INDEX('بيانات الحركات'!F:F,MATCH(290,'بيانات الحركات'!$G:$G,0)),"")</f>
        <v/>
      </c>
    </row>
    <row r="292" spans="1:6" ht="21.95" customHeight="1">
      <c r="A292" s="8" t="str">
        <f>IFERROR(INDEX('بيانات الحركات'!A:A,MATCH(291,'بيانات الحركات'!$G:$G,0)),"")</f>
        <v/>
      </c>
      <c r="B292" s="5" t="str">
        <f>IFERROR(INDEX('بيانات الحركات'!B:B,MATCH(291,'بيانات الحركات'!$G:$G,0)),"")</f>
        <v/>
      </c>
      <c r="C292" s="3" t="str">
        <f>IFERROR(INDEX('بيانات الحركات'!C:C,MATCH(291,'بيانات الحركات'!$G:$G,0)),"")</f>
        <v/>
      </c>
      <c r="D292" s="3" t="str">
        <f>IFERROR(INDEX('بيانات الحركات'!D:D,MATCH(291,'بيانات الحركات'!$G:$G,0)),"")</f>
        <v/>
      </c>
      <c r="E292" s="21" t="str">
        <f>IF($B292="إنتاج طبخة","",IFERROR(INDEX('بيانات الحركات'!E:E,MATCH(291,'بيانات الحركات'!$G:$G,0)),""))</f>
        <v/>
      </c>
      <c r="F292" s="3" t="str">
        <f>IFERROR(INDEX('بيانات الحركات'!F:F,MATCH(291,'بيانات الحركات'!$G:$G,0)),"")</f>
        <v/>
      </c>
    </row>
    <row r="293" spans="1:6" ht="21.95" customHeight="1">
      <c r="A293" s="8" t="str">
        <f>IFERROR(INDEX('بيانات الحركات'!A:A,MATCH(292,'بيانات الحركات'!$G:$G,0)),"")</f>
        <v/>
      </c>
      <c r="B293" s="5" t="str">
        <f>IFERROR(INDEX('بيانات الحركات'!B:B,MATCH(292,'بيانات الحركات'!$G:$G,0)),"")</f>
        <v/>
      </c>
      <c r="C293" s="3" t="str">
        <f>IFERROR(INDEX('بيانات الحركات'!C:C,MATCH(292,'بيانات الحركات'!$G:$G,0)),"")</f>
        <v/>
      </c>
      <c r="D293" s="3" t="str">
        <f>IFERROR(INDEX('بيانات الحركات'!D:D,MATCH(292,'بيانات الحركات'!$G:$G,0)),"")</f>
        <v/>
      </c>
      <c r="E293" s="21" t="str">
        <f>IF($B293="إنتاج طبخة","",IFERROR(INDEX('بيانات الحركات'!E:E,MATCH(292,'بيانات الحركات'!$G:$G,0)),""))</f>
        <v/>
      </c>
      <c r="F293" s="3" t="str">
        <f>IFERROR(INDEX('بيانات الحركات'!F:F,MATCH(292,'بيانات الحركات'!$G:$G,0)),"")</f>
        <v/>
      </c>
    </row>
    <row r="294" spans="1:6" ht="21.95" customHeight="1">
      <c r="A294" s="8" t="str">
        <f>IFERROR(INDEX('بيانات الحركات'!A:A,MATCH(293,'بيانات الحركات'!$G:$G,0)),"")</f>
        <v/>
      </c>
      <c r="B294" s="5" t="str">
        <f>IFERROR(INDEX('بيانات الحركات'!B:B,MATCH(293,'بيانات الحركات'!$G:$G,0)),"")</f>
        <v/>
      </c>
      <c r="C294" s="3" t="str">
        <f>IFERROR(INDEX('بيانات الحركات'!C:C,MATCH(293,'بيانات الحركات'!$G:$G,0)),"")</f>
        <v/>
      </c>
      <c r="D294" s="3" t="str">
        <f>IFERROR(INDEX('بيانات الحركات'!D:D,MATCH(293,'بيانات الحركات'!$G:$G,0)),"")</f>
        <v/>
      </c>
      <c r="E294" s="21" t="str">
        <f>IF($B294="إنتاج طبخة","",IFERROR(INDEX('بيانات الحركات'!E:E,MATCH(293,'بيانات الحركات'!$G:$G,0)),""))</f>
        <v/>
      </c>
      <c r="F294" s="3" t="str">
        <f>IFERROR(INDEX('بيانات الحركات'!F:F,MATCH(293,'بيانات الحركات'!$G:$G,0)),"")</f>
        <v/>
      </c>
    </row>
    <row r="295" spans="1:6" ht="21.95" customHeight="1">
      <c r="A295" s="8" t="str">
        <f>IFERROR(INDEX('بيانات الحركات'!A:A,MATCH(294,'بيانات الحركات'!$G:$G,0)),"")</f>
        <v/>
      </c>
      <c r="B295" s="5" t="str">
        <f>IFERROR(INDEX('بيانات الحركات'!B:B,MATCH(294,'بيانات الحركات'!$G:$G,0)),"")</f>
        <v/>
      </c>
      <c r="C295" s="3" t="str">
        <f>IFERROR(INDEX('بيانات الحركات'!C:C,MATCH(294,'بيانات الحركات'!$G:$G,0)),"")</f>
        <v/>
      </c>
      <c r="D295" s="3" t="str">
        <f>IFERROR(INDEX('بيانات الحركات'!D:D,MATCH(294,'بيانات الحركات'!$G:$G,0)),"")</f>
        <v/>
      </c>
      <c r="E295" s="21" t="str">
        <f>IF($B295="إنتاج طبخة","",IFERROR(INDEX('بيانات الحركات'!E:E,MATCH(294,'بيانات الحركات'!$G:$G,0)),""))</f>
        <v/>
      </c>
      <c r="F295" s="3" t="str">
        <f>IFERROR(INDEX('بيانات الحركات'!F:F,MATCH(294,'بيانات الحركات'!$G:$G,0)),"")</f>
        <v/>
      </c>
    </row>
    <row r="296" spans="1:6" ht="21.95" customHeight="1">
      <c r="A296" s="8" t="str">
        <f>IFERROR(INDEX('بيانات الحركات'!A:A,MATCH(295,'بيانات الحركات'!$G:$G,0)),"")</f>
        <v/>
      </c>
      <c r="B296" s="5" t="str">
        <f>IFERROR(INDEX('بيانات الحركات'!B:B,MATCH(295,'بيانات الحركات'!$G:$G,0)),"")</f>
        <v/>
      </c>
      <c r="C296" s="3" t="str">
        <f>IFERROR(INDEX('بيانات الحركات'!C:C,MATCH(295,'بيانات الحركات'!$G:$G,0)),"")</f>
        <v/>
      </c>
      <c r="D296" s="3" t="str">
        <f>IFERROR(INDEX('بيانات الحركات'!D:D,MATCH(295,'بيانات الحركات'!$G:$G,0)),"")</f>
        <v/>
      </c>
      <c r="E296" s="21" t="str">
        <f>IF($B296="إنتاج طبخة","",IFERROR(INDEX('بيانات الحركات'!E:E,MATCH(295,'بيانات الحركات'!$G:$G,0)),""))</f>
        <v/>
      </c>
      <c r="F296" s="3" t="str">
        <f>IFERROR(INDEX('بيانات الحركات'!F:F,MATCH(295,'بيانات الحركات'!$G:$G,0)),"")</f>
        <v/>
      </c>
    </row>
    <row r="297" spans="1:6" ht="21.95" customHeight="1">
      <c r="A297" s="8" t="str">
        <f>IFERROR(INDEX('بيانات الحركات'!A:A,MATCH(296,'بيانات الحركات'!$G:$G,0)),"")</f>
        <v/>
      </c>
      <c r="B297" s="5" t="str">
        <f>IFERROR(INDEX('بيانات الحركات'!B:B,MATCH(296,'بيانات الحركات'!$G:$G,0)),"")</f>
        <v/>
      </c>
      <c r="C297" s="3" t="str">
        <f>IFERROR(INDEX('بيانات الحركات'!C:C,MATCH(296,'بيانات الحركات'!$G:$G,0)),"")</f>
        <v/>
      </c>
      <c r="D297" s="3" t="str">
        <f>IFERROR(INDEX('بيانات الحركات'!D:D,MATCH(296,'بيانات الحركات'!$G:$G,0)),"")</f>
        <v/>
      </c>
      <c r="E297" s="21" t="str">
        <f>IF($B297="إنتاج طبخة","",IFERROR(INDEX('بيانات الحركات'!E:E,MATCH(296,'بيانات الحركات'!$G:$G,0)),""))</f>
        <v/>
      </c>
      <c r="F297" s="3" t="str">
        <f>IFERROR(INDEX('بيانات الحركات'!F:F,MATCH(296,'بيانات الحركات'!$G:$G,0)),"")</f>
        <v/>
      </c>
    </row>
    <row r="298" spans="1:6" ht="21.95" customHeight="1">
      <c r="A298" s="8" t="str">
        <f>IFERROR(INDEX('بيانات الحركات'!A:A,MATCH(297,'بيانات الحركات'!$G:$G,0)),"")</f>
        <v/>
      </c>
      <c r="B298" s="5" t="str">
        <f>IFERROR(INDEX('بيانات الحركات'!B:B,MATCH(297,'بيانات الحركات'!$G:$G,0)),"")</f>
        <v/>
      </c>
      <c r="C298" s="3" t="str">
        <f>IFERROR(INDEX('بيانات الحركات'!C:C,MATCH(297,'بيانات الحركات'!$G:$G,0)),"")</f>
        <v/>
      </c>
      <c r="D298" s="3" t="str">
        <f>IFERROR(INDEX('بيانات الحركات'!D:D,MATCH(297,'بيانات الحركات'!$G:$G,0)),"")</f>
        <v/>
      </c>
      <c r="E298" s="21" t="str">
        <f>IF($B298="إنتاج طبخة","",IFERROR(INDEX('بيانات الحركات'!E:E,MATCH(297,'بيانات الحركات'!$G:$G,0)),""))</f>
        <v/>
      </c>
      <c r="F298" s="3" t="str">
        <f>IFERROR(INDEX('بيانات الحركات'!F:F,MATCH(297,'بيانات الحركات'!$G:$G,0)),"")</f>
        <v/>
      </c>
    </row>
    <row r="299" spans="1:6" ht="21.95" customHeight="1">
      <c r="A299" s="8" t="str">
        <f>IFERROR(INDEX('بيانات الحركات'!A:A,MATCH(298,'بيانات الحركات'!$G:$G,0)),"")</f>
        <v/>
      </c>
      <c r="B299" s="5" t="str">
        <f>IFERROR(INDEX('بيانات الحركات'!B:B,MATCH(298,'بيانات الحركات'!$G:$G,0)),"")</f>
        <v/>
      </c>
      <c r="C299" s="3" t="str">
        <f>IFERROR(INDEX('بيانات الحركات'!C:C,MATCH(298,'بيانات الحركات'!$G:$G,0)),"")</f>
        <v/>
      </c>
      <c r="D299" s="3" t="str">
        <f>IFERROR(INDEX('بيانات الحركات'!D:D,MATCH(298,'بيانات الحركات'!$G:$G,0)),"")</f>
        <v/>
      </c>
      <c r="E299" s="21" t="str">
        <f>IF($B299="إنتاج طبخة","",IFERROR(INDEX('بيانات الحركات'!E:E,MATCH(298,'بيانات الحركات'!$G:$G,0)),""))</f>
        <v/>
      </c>
      <c r="F299" s="3" t="str">
        <f>IFERROR(INDEX('بيانات الحركات'!F:F,MATCH(298,'بيانات الحركات'!$G:$G,0)),"")</f>
        <v/>
      </c>
    </row>
    <row r="300" spans="1:6" ht="21.95" customHeight="1">
      <c r="A300" s="8" t="str">
        <f>IFERROR(INDEX('بيانات الحركات'!A:A,MATCH(299,'بيانات الحركات'!$G:$G,0)),"")</f>
        <v/>
      </c>
      <c r="B300" s="5" t="str">
        <f>IFERROR(INDEX('بيانات الحركات'!B:B,MATCH(299,'بيانات الحركات'!$G:$G,0)),"")</f>
        <v/>
      </c>
      <c r="C300" s="3" t="str">
        <f>IFERROR(INDEX('بيانات الحركات'!C:C,MATCH(299,'بيانات الحركات'!$G:$G,0)),"")</f>
        <v/>
      </c>
      <c r="D300" s="3" t="str">
        <f>IFERROR(INDEX('بيانات الحركات'!D:D,MATCH(299,'بيانات الحركات'!$G:$G,0)),"")</f>
        <v/>
      </c>
      <c r="E300" s="21" t="str">
        <f>IF($B300="إنتاج طبخة","",IFERROR(INDEX('بيانات الحركات'!E:E,MATCH(299,'بيانات الحركات'!$G:$G,0)),""))</f>
        <v/>
      </c>
      <c r="F300" s="3" t="str">
        <f>IFERROR(INDEX('بيانات الحركات'!F:F,MATCH(299,'بيانات الحركات'!$G:$G,0)),"")</f>
        <v/>
      </c>
    </row>
    <row r="301" spans="1:6" ht="21.95" customHeight="1">
      <c r="A301" s="8" t="str">
        <f>IFERROR(INDEX('بيانات الحركات'!A:A,MATCH(300,'بيانات الحركات'!$G:$G,0)),"")</f>
        <v/>
      </c>
      <c r="B301" s="5" t="str">
        <f>IFERROR(INDEX('بيانات الحركات'!B:B,MATCH(300,'بيانات الحركات'!$G:$G,0)),"")</f>
        <v/>
      </c>
      <c r="C301" s="3" t="str">
        <f>IFERROR(INDEX('بيانات الحركات'!C:C,MATCH(300,'بيانات الحركات'!$G:$G,0)),"")</f>
        <v/>
      </c>
      <c r="D301" s="3" t="str">
        <f>IFERROR(INDEX('بيانات الحركات'!D:D,MATCH(300,'بيانات الحركات'!$G:$G,0)),"")</f>
        <v/>
      </c>
      <c r="E301" s="21" t="str">
        <f>IF($B301="إنتاج طبخة","",IFERROR(INDEX('بيانات الحركات'!E:E,MATCH(300,'بيانات الحركات'!$G:$G,0)),""))</f>
        <v/>
      </c>
      <c r="F301" s="3" t="str">
        <f>IFERROR(INDEX('بيانات الحركات'!F:F,MATCH(300,'بيانات الحركات'!$G:$G,0)),"")</f>
        <v/>
      </c>
    </row>
    <row r="302" spans="1:6" ht="21.95" customHeight="1">
      <c r="A302" s="8" t="str">
        <f>IFERROR(INDEX('بيانات الحركات'!A:A,MATCH(301,'بيانات الحركات'!$G:$G,0)),"")</f>
        <v/>
      </c>
      <c r="B302" s="5" t="str">
        <f>IFERROR(INDEX('بيانات الحركات'!B:B,MATCH(301,'بيانات الحركات'!$G:$G,0)),"")</f>
        <v/>
      </c>
      <c r="C302" s="3" t="str">
        <f>IFERROR(INDEX('بيانات الحركات'!C:C,MATCH(301,'بيانات الحركات'!$G:$G,0)),"")</f>
        <v/>
      </c>
      <c r="D302" s="3" t="str">
        <f>IFERROR(INDEX('بيانات الحركات'!D:D,MATCH(301,'بيانات الحركات'!$G:$G,0)),"")</f>
        <v/>
      </c>
      <c r="E302" s="21" t="str">
        <f>IF($B302="إنتاج طبخة","",IFERROR(INDEX('بيانات الحركات'!E:E,MATCH(301,'بيانات الحركات'!$G:$G,0)),""))</f>
        <v/>
      </c>
      <c r="F302" s="3" t="str">
        <f>IFERROR(INDEX('بيانات الحركات'!F:F,MATCH(301,'بيانات الحركات'!$G:$G,0)),"")</f>
        <v/>
      </c>
    </row>
    <row r="303" spans="1:6" ht="21.95" customHeight="1">
      <c r="A303" s="8" t="str">
        <f>IFERROR(INDEX('بيانات الحركات'!A:A,MATCH(302,'بيانات الحركات'!$G:$G,0)),"")</f>
        <v/>
      </c>
      <c r="B303" s="5" t="str">
        <f>IFERROR(INDEX('بيانات الحركات'!B:B,MATCH(302,'بيانات الحركات'!$G:$G,0)),"")</f>
        <v/>
      </c>
      <c r="C303" s="3" t="str">
        <f>IFERROR(INDEX('بيانات الحركات'!C:C,MATCH(302,'بيانات الحركات'!$G:$G,0)),"")</f>
        <v/>
      </c>
      <c r="D303" s="3" t="str">
        <f>IFERROR(INDEX('بيانات الحركات'!D:D,MATCH(302,'بيانات الحركات'!$G:$G,0)),"")</f>
        <v/>
      </c>
      <c r="E303" s="21" t="str">
        <f>IF($B303="إنتاج طبخة","",IFERROR(INDEX('بيانات الحركات'!E:E,MATCH(302,'بيانات الحركات'!$G:$G,0)),""))</f>
        <v/>
      </c>
      <c r="F303" s="3" t="str">
        <f>IFERROR(INDEX('بيانات الحركات'!F:F,MATCH(302,'بيانات الحركات'!$G:$G,0)),"")</f>
        <v/>
      </c>
    </row>
    <row r="304" spans="1:6" ht="21.95" customHeight="1">
      <c r="A304" s="8" t="str">
        <f>IFERROR(INDEX('بيانات الحركات'!A:A,MATCH(303,'بيانات الحركات'!$G:$G,0)),"")</f>
        <v/>
      </c>
      <c r="B304" s="5" t="str">
        <f>IFERROR(INDEX('بيانات الحركات'!B:B,MATCH(303,'بيانات الحركات'!$G:$G,0)),"")</f>
        <v/>
      </c>
      <c r="C304" s="3" t="str">
        <f>IFERROR(INDEX('بيانات الحركات'!C:C,MATCH(303,'بيانات الحركات'!$G:$G,0)),"")</f>
        <v/>
      </c>
      <c r="D304" s="3" t="str">
        <f>IFERROR(INDEX('بيانات الحركات'!D:D,MATCH(303,'بيانات الحركات'!$G:$G,0)),"")</f>
        <v/>
      </c>
      <c r="E304" s="21" t="str">
        <f>IF($B304="إنتاج طبخة","",IFERROR(INDEX('بيانات الحركات'!E:E,MATCH(303,'بيانات الحركات'!$G:$G,0)),""))</f>
        <v/>
      </c>
      <c r="F304" s="3" t="str">
        <f>IFERROR(INDEX('بيانات الحركات'!F:F,MATCH(303,'بيانات الحركات'!$G:$G,0)),"")</f>
        <v/>
      </c>
    </row>
    <row r="305" spans="1:6" ht="21.95" customHeight="1">
      <c r="A305" s="8" t="str">
        <f>IFERROR(INDEX('بيانات الحركات'!A:A,MATCH(304,'بيانات الحركات'!$G:$G,0)),"")</f>
        <v/>
      </c>
      <c r="B305" s="5" t="str">
        <f>IFERROR(INDEX('بيانات الحركات'!B:B,MATCH(304,'بيانات الحركات'!$G:$G,0)),"")</f>
        <v/>
      </c>
      <c r="C305" s="3" t="str">
        <f>IFERROR(INDEX('بيانات الحركات'!C:C,MATCH(304,'بيانات الحركات'!$G:$G,0)),"")</f>
        <v/>
      </c>
      <c r="D305" s="3" t="str">
        <f>IFERROR(INDEX('بيانات الحركات'!D:D,MATCH(304,'بيانات الحركات'!$G:$G,0)),"")</f>
        <v/>
      </c>
      <c r="E305" s="21" t="str">
        <f>IF($B305="إنتاج طبخة","",IFERROR(INDEX('بيانات الحركات'!E:E,MATCH(304,'بيانات الحركات'!$G:$G,0)),""))</f>
        <v/>
      </c>
      <c r="F305" s="3" t="str">
        <f>IFERROR(INDEX('بيانات الحركات'!F:F,MATCH(304,'بيانات الحركات'!$G:$G,0)),"")</f>
        <v/>
      </c>
    </row>
    <row r="306" spans="1:6" ht="21.95" customHeight="1">
      <c r="A306" s="8" t="str">
        <f>IFERROR(INDEX('بيانات الحركات'!A:A,MATCH(305,'بيانات الحركات'!$G:$G,0)),"")</f>
        <v/>
      </c>
      <c r="B306" s="5" t="str">
        <f>IFERROR(INDEX('بيانات الحركات'!B:B,MATCH(305,'بيانات الحركات'!$G:$G,0)),"")</f>
        <v/>
      </c>
      <c r="C306" s="3" t="str">
        <f>IFERROR(INDEX('بيانات الحركات'!C:C,MATCH(305,'بيانات الحركات'!$G:$G,0)),"")</f>
        <v/>
      </c>
      <c r="D306" s="3" t="str">
        <f>IFERROR(INDEX('بيانات الحركات'!D:D,MATCH(305,'بيانات الحركات'!$G:$G,0)),"")</f>
        <v/>
      </c>
      <c r="E306" s="21" t="str">
        <f>IF($B306="إنتاج طبخة","",IFERROR(INDEX('بيانات الحركات'!E:E,MATCH(305,'بيانات الحركات'!$G:$G,0)),""))</f>
        <v/>
      </c>
      <c r="F306" s="3" t="str">
        <f>IFERROR(INDEX('بيانات الحركات'!F:F,MATCH(305,'بيانات الحركات'!$G:$G,0)),"")</f>
        <v/>
      </c>
    </row>
    <row r="307" spans="1:6" ht="21.95" customHeight="1">
      <c r="A307" s="8" t="str">
        <f>IFERROR(INDEX('بيانات الحركات'!A:A,MATCH(306,'بيانات الحركات'!$G:$G,0)),"")</f>
        <v/>
      </c>
      <c r="B307" s="5" t="str">
        <f>IFERROR(INDEX('بيانات الحركات'!B:B,MATCH(306,'بيانات الحركات'!$G:$G,0)),"")</f>
        <v/>
      </c>
      <c r="C307" s="3" t="str">
        <f>IFERROR(INDEX('بيانات الحركات'!C:C,MATCH(306,'بيانات الحركات'!$G:$G,0)),"")</f>
        <v/>
      </c>
      <c r="D307" s="3" t="str">
        <f>IFERROR(INDEX('بيانات الحركات'!D:D,MATCH(306,'بيانات الحركات'!$G:$G,0)),"")</f>
        <v/>
      </c>
      <c r="E307" s="21" t="str">
        <f>IF($B307="إنتاج طبخة","",IFERROR(INDEX('بيانات الحركات'!E:E,MATCH(306,'بيانات الحركات'!$G:$G,0)),""))</f>
        <v/>
      </c>
      <c r="F307" s="3" t="str">
        <f>IFERROR(INDEX('بيانات الحركات'!F:F,MATCH(306,'بيانات الحركات'!$G:$G,0)),"")</f>
        <v/>
      </c>
    </row>
    <row r="308" spans="1:6" ht="21.95" customHeight="1">
      <c r="A308" s="8" t="str">
        <f>IFERROR(INDEX('بيانات الحركات'!A:A,MATCH(307,'بيانات الحركات'!$G:$G,0)),"")</f>
        <v/>
      </c>
      <c r="B308" s="5" t="str">
        <f>IFERROR(INDEX('بيانات الحركات'!B:B,MATCH(307,'بيانات الحركات'!$G:$G,0)),"")</f>
        <v/>
      </c>
      <c r="C308" s="3" t="str">
        <f>IFERROR(INDEX('بيانات الحركات'!C:C,MATCH(307,'بيانات الحركات'!$G:$G,0)),"")</f>
        <v/>
      </c>
      <c r="D308" s="3" t="str">
        <f>IFERROR(INDEX('بيانات الحركات'!D:D,MATCH(307,'بيانات الحركات'!$G:$G,0)),"")</f>
        <v/>
      </c>
      <c r="E308" s="21" t="str">
        <f>IF($B308="إنتاج طبخة","",IFERROR(INDEX('بيانات الحركات'!E:E,MATCH(307,'بيانات الحركات'!$G:$G,0)),""))</f>
        <v/>
      </c>
      <c r="F308" s="3" t="str">
        <f>IFERROR(INDEX('بيانات الحركات'!F:F,MATCH(307,'بيانات الحركات'!$G:$G,0)),"")</f>
        <v/>
      </c>
    </row>
    <row r="309" spans="1:6" ht="21.95" customHeight="1">
      <c r="A309" s="8" t="str">
        <f>IFERROR(INDEX('بيانات الحركات'!A:A,MATCH(308,'بيانات الحركات'!$G:$G,0)),"")</f>
        <v/>
      </c>
      <c r="B309" s="5" t="str">
        <f>IFERROR(INDEX('بيانات الحركات'!B:B,MATCH(308,'بيانات الحركات'!$G:$G,0)),"")</f>
        <v/>
      </c>
      <c r="C309" s="3" t="str">
        <f>IFERROR(INDEX('بيانات الحركات'!C:C,MATCH(308,'بيانات الحركات'!$G:$G,0)),"")</f>
        <v/>
      </c>
      <c r="D309" s="3" t="str">
        <f>IFERROR(INDEX('بيانات الحركات'!D:D,MATCH(308,'بيانات الحركات'!$G:$G,0)),"")</f>
        <v/>
      </c>
      <c r="E309" s="21" t="str">
        <f>IF($B309="إنتاج طبخة","",IFERROR(INDEX('بيانات الحركات'!E:E,MATCH(308,'بيانات الحركات'!$G:$G,0)),""))</f>
        <v/>
      </c>
      <c r="F309" s="3" t="str">
        <f>IFERROR(INDEX('بيانات الحركات'!F:F,MATCH(308,'بيانات الحركات'!$G:$G,0)),"")</f>
        <v/>
      </c>
    </row>
    <row r="310" spans="1:6" ht="21.95" customHeight="1">
      <c r="A310" s="8" t="str">
        <f>IFERROR(INDEX('بيانات الحركات'!A:A,MATCH(309,'بيانات الحركات'!$G:$G,0)),"")</f>
        <v/>
      </c>
      <c r="B310" s="5" t="str">
        <f>IFERROR(INDEX('بيانات الحركات'!B:B,MATCH(309,'بيانات الحركات'!$G:$G,0)),"")</f>
        <v/>
      </c>
      <c r="C310" s="3" t="str">
        <f>IFERROR(INDEX('بيانات الحركات'!C:C,MATCH(309,'بيانات الحركات'!$G:$G,0)),"")</f>
        <v/>
      </c>
      <c r="D310" s="3" t="str">
        <f>IFERROR(INDEX('بيانات الحركات'!D:D,MATCH(309,'بيانات الحركات'!$G:$G,0)),"")</f>
        <v/>
      </c>
      <c r="E310" s="21" t="str">
        <f>IF($B310="إنتاج طبخة","",IFERROR(INDEX('بيانات الحركات'!E:E,MATCH(309,'بيانات الحركات'!$G:$G,0)),""))</f>
        <v/>
      </c>
      <c r="F310" s="3" t="str">
        <f>IFERROR(INDEX('بيانات الحركات'!F:F,MATCH(309,'بيانات الحركات'!$G:$G,0)),"")</f>
        <v/>
      </c>
    </row>
    <row r="311" spans="1:6" ht="21.95" customHeight="1">
      <c r="A311" s="8" t="str">
        <f>IFERROR(INDEX('بيانات الحركات'!A:A,MATCH(310,'بيانات الحركات'!$G:$G,0)),"")</f>
        <v/>
      </c>
      <c r="B311" s="5" t="str">
        <f>IFERROR(INDEX('بيانات الحركات'!B:B,MATCH(310,'بيانات الحركات'!$G:$G,0)),"")</f>
        <v/>
      </c>
      <c r="C311" s="3" t="str">
        <f>IFERROR(INDEX('بيانات الحركات'!C:C,MATCH(310,'بيانات الحركات'!$G:$G,0)),"")</f>
        <v/>
      </c>
      <c r="D311" s="3" t="str">
        <f>IFERROR(INDEX('بيانات الحركات'!D:D,MATCH(310,'بيانات الحركات'!$G:$G,0)),"")</f>
        <v/>
      </c>
      <c r="E311" s="21" t="str">
        <f>IF($B311="إنتاج طبخة","",IFERROR(INDEX('بيانات الحركات'!E:E,MATCH(310,'بيانات الحركات'!$G:$G,0)),""))</f>
        <v/>
      </c>
      <c r="F311" s="3" t="str">
        <f>IFERROR(INDEX('بيانات الحركات'!F:F,MATCH(310,'بيانات الحركات'!$G:$G,0)),"")</f>
        <v/>
      </c>
    </row>
    <row r="312" spans="1:6" ht="21.95" customHeight="1">
      <c r="A312" s="8" t="str">
        <f>IFERROR(INDEX('بيانات الحركات'!A:A,MATCH(311,'بيانات الحركات'!$G:$G,0)),"")</f>
        <v/>
      </c>
      <c r="B312" s="5" t="str">
        <f>IFERROR(INDEX('بيانات الحركات'!B:B,MATCH(311,'بيانات الحركات'!$G:$G,0)),"")</f>
        <v/>
      </c>
      <c r="C312" s="3" t="str">
        <f>IFERROR(INDEX('بيانات الحركات'!C:C,MATCH(311,'بيانات الحركات'!$G:$G,0)),"")</f>
        <v/>
      </c>
      <c r="D312" s="3" t="str">
        <f>IFERROR(INDEX('بيانات الحركات'!D:D,MATCH(311,'بيانات الحركات'!$G:$G,0)),"")</f>
        <v/>
      </c>
      <c r="E312" s="21" t="str">
        <f>IF($B312="إنتاج طبخة","",IFERROR(INDEX('بيانات الحركات'!E:E,MATCH(311,'بيانات الحركات'!$G:$G,0)),""))</f>
        <v/>
      </c>
      <c r="F312" s="3" t="str">
        <f>IFERROR(INDEX('بيانات الحركات'!F:F,MATCH(311,'بيانات الحركات'!$G:$G,0)),"")</f>
        <v/>
      </c>
    </row>
    <row r="313" spans="1:6" ht="21.95" customHeight="1">
      <c r="A313" s="8" t="str">
        <f>IFERROR(INDEX('بيانات الحركات'!A:A,MATCH(312,'بيانات الحركات'!$G:$G,0)),"")</f>
        <v/>
      </c>
      <c r="B313" s="5" t="str">
        <f>IFERROR(INDEX('بيانات الحركات'!B:B,MATCH(312,'بيانات الحركات'!$G:$G,0)),"")</f>
        <v/>
      </c>
      <c r="C313" s="3" t="str">
        <f>IFERROR(INDEX('بيانات الحركات'!C:C,MATCH(312,'بيانات الحركات'!$G:$G,0)),"")</f>
        <v/>
      </c>
      <c r="D313" s="3" t="str">
        <f>IFERROR(INDEX('بيانات الحركات'!D:D,MATCH(312,'بيانات الحركات'!$G:$G,0)),"")</f>
        <v/>
      </c>
      <c r="E313" s="21" t="str">
        <f>IF($B313="إنتاج طبخة","",IFERROR(INDEX('بيانات الحركات'!E:E,MATCH(312,'بيانات الحركات'!$G:$G,0)),""))</f>
        <v/>
      </c>
      <c r="F313" s="3" t="str">
        <f>IFERROR(INDEX('بيانات الحركات'!F:F,MATCH(312,'بيانات الحركات'!$G:$G,0)),"")</f>
        <v/>
      </c>
    </row>
    <row r="314" spans="1:6" ht="21.95" customHeight="1">
      <c r="A314" s="8" t="str">
        <f>IFERROR(INDEX('بيانات الحركات'!A:A,MATCH(313,'بيانات الحركات'!$G:$G,0)),"")</f>
        <v/>
      </c>
      <c r="B314" s="5" t="str">
        <f>IFERROR(INDEX('بيانات الحركات'!B:B,MATCH(313,'بيانات الحركات'!$G:$G,0)),"")</f>
        <v/>
      </c>
      <c r="C314" s="3" t="str">
        <f>IFERROR(INDEX('بيانات الحركات'!C:C,MATCH(313,'بيانات الحركات'!$G:$G,0)),"")</f>
        <v/>
      </c>
      <c r="D314" s="3" t="str">
        <f>IFERROR(INDEX('بيانات الحركات'!D:D,MATCH(313,'بيانات الحركات'!$G:$G,0)),"")</f>
        <v/>
      </c>
      <c r="E314" s="21" t="str">
        <f>IF($B314="إنتاج طبخة","",IFERROR(INDEX('بيانات الحركات'!E:E,MATCH(313,'بيانات الحركات'!$G:$G,0)),""))</f>
        <v/>
      </c>
      <c r="F314" s="3" t="str">
        <f>IFERROR(INDEX('بيانات الحركات'!F:F,MATCH(313,'بيانات الحركات'!$G:$G,0)),"")</f>
        <v/>
      </c>
    </row>
    <row r="315" spans="1:6" ht="21.95" customHeight="1">
      <c r="A315" s="8" t="str">
        <f>IFERROR(INDEX('بيانات الحركات'!A:A,MATCH(314,'بيانات الحركات'!$G:$G,0)),"")</f>
        <v/>
      </c>
      <c r="B315" s="5" t="str">
        <f>IFERROR(INDEX('بيانات الحركات'!B:B,MATCH(314,'بيانات الحركات'!$G:$G,0)),"")</f>
        <v/>
      </c>
      <c r="C315" s="3" t="str">
        <f>IFERROR(INDEX('بيانات الحركات'!C:C,MATCH(314,'بيانات الحركات'!$G:$G,0)),"")</f>
        <v/>
      </c>
      <c r="D315" s="3" t="str">
        <f>IFERROR(INDEX('بيانات الحركات'!D:D,MATCH(314,'بيانات الحركات'!$G:$G,0)),"")</f>
        <v/>
      </c>
      <c r="E315" s="21" t="str">
        <f>IF($B315="إنتاج طبخة","",IFERROR(INDEX('بيانات الحركات'!E:E,MATCH(314,'بيانات الحركات'!$G:$G,0)),""))</f>
        <v/>
      </c>
      <c r="F315" s="3" t="str">
        <f>IFERROR(INDEX('بيانات الحركات'!F:F,MATCH(314,'بيانات الحركات'!$G:$G,0)),"")</f>
        <v/>
      </c>
    </row>
    <row r="316" spans="1:6" ht="21.95" customHeight="1">
      <c r="A316" s="8" t="str">
        <f>IFERROR(INDEX('بيانات الحركات'!A:A,MATCH(315,'بيانات الحركات'!$G:$G,0)),"")</f>
        <v/>
      </c>
      <c r="B316" s="5" t="str">
        <f>IFERROR(INDEX('بيانات الحركات'!B:B,MATCH(315,'بيانات الحركات'!$G:$G,0)),"")</f>
        <v/>
      </c>
      <c r="C316" s="3" t="str">
        <f>IFERROR(INDEX('بيانات الحركات'!C:C,MATCH(315,'بيانات الحركات'!$G:$G,0)),"")</f>
        <v/>
      </c>
      <c r="D316" s="3" t="str">
        <f>IFERROR(INDEX('بيانات الحركات'!D:D,MATCH(315,'بيانات الحركات'!$G:$G,0)),"")</f>
        <v/>
      </c>
      <c r="E316" s="21" t="str">
        <f>IF($B316="إنتاج طبخة","",IFERROR(INDEX('بيانات الحركات'!E:E,MATCH(315,'بيانات الحركات'!$G:$G,0)),""))</f>
        <v/>
      </c>
      <c r="F316" s="3" t="str">
        <f>IFERROR(INDEX('بيانات الحركات'!F:F,MATCH(315,'بيانات الحركات'!$G:$G,0)),"")</f>
        <v/>
      </c>
    </row>
    <row r="317" spans="1:6" ht="21.95" customHeight="1">
      <c r="A317" s="8" t="str">
        <f>IFERROR(INDEX('بيانات الحركات'!A:A,MATCH(316,'بيانات الحركات'!$G:$G,0)),"")</f>
        <v/>
      </c>
      <c r="B317" s="5" t="str">
        <f>IFERROR(INDEX('بيانات الحركات'!B:B,MATCH(316,'بيانات الحركات'!$G:$G,0)),"")</f>
        <v/>
      </c>
      <c r="C317" s="3" t="str">
        <f>IFERROR(INDEX('بيانات الحركات'!C:C,MATCH(316,'بيانات الحركات'!$G:$G,0)),"")</f>
        <v/>
      </c>
      <c r="D317" s="3" t="str">
        <f>IFERROR(INDEX('بيانات الحركات'!D:D,MATCH(316,'بيانات الحركات'!$G:$G,0)),"")</f>
        <v/>
      </c>
      <c r="E317" s="21" t="str">
        <f>IF($B317="إنتاج طبخة","",IFERROR(INDEX('بيانات الحركات'!E:E,MATCH(316,'بيانات الحركات'!$G:$G,0)),""))</f>
        <v/>
      </c>
      <c r="F317" s="3" t="str">
        <f>IFERROR(INDEX('بيانات الحركات'!F:F,MATCH(316,'بيانات الحركات'!$G:$G,0)),"")</f>
        <v/>
      </c>
    </row>
    <row r="318" spans="1:6" ht="21.95" customHeight="1">
      <c r="A318" s="8" t="str">
        <f>IFERROR(INDEX('بيانات الحركات'!A:A,MATCH(317,'بيانات الحركات'!$G:$G,0)),"")</f>
        <v/>
      </c>
      <c r="B318" s="5" t="str">
        <f>IFERROR(INDEX('بيانات الحركات'!B:B,MATCH(317,'بيانات الحركات'!$G:$G,0)),"")</f>
        <v/>
      </c>
      <c r="C318" s="3" t="str">
        <f>IFERROR(INDEX('بيانات الحركات'!C:C,MATCH(317,'بيانات الحركات'!$G:$G,0)),"")</f>
        <v/>
      </c>
      <c r="D318" s="3" t="str">
        <f>IFERROR(INDEX('بيانات الحركات'!D:D,MATCH(317,'بيانات الحركات'!$G:$G,0)),"")</f>
        <v/>
      </c>
      <c r="E318" s="21" t="str">
        <f>IF($B318="إنتاج طبخة","",IFERROR(INDEX('بيانات الحركات'!E:E,MATCH(317,'بيانات الحركات'!$G:$G,0)),""))</f>
        <v/>
      </c>
      <c r="F318" s="3" t="str">
        <f>IFERROR(INDEX('بيانات الحركات'!F:F,MATCH(317,'بيانات الحركات'!$G:$G,0)),"")</f>
        <v/>
      </c>
    </row>
    <row r="319" spans="1:6" ht="21.95" customHeight="1">
      <c r="A319" s="8" t="str">
        <f>IFERROR(INDEX('بيانات الحركات'!A:A,MATCH(318,'بيانات الحركات'!$G:$G,0)),"")</f>
        <v/>
      </c>
      <c r="B319" s="5" t="str">
        <f>IFERROR(INDEX('بيانات الحركات'!B:B,MATCH(318,'بيانات الحركات'!$G:$G,0)),"")</f>
        <v/>
      </c>
      <c r="C319" s="3" t="str">
        <f>IFERROR(INDEX('بيانات الحركات'!C:C,MATCH(318,'بيانات الحركات'!$G:$G,0)),"")</f>
        <v/>
      </c>
      <c r="D319" s="3" t="str">
        <f>IFERROR(INDEX('بيانات الحركات'!D:D,MATCH(318,'بيانات الحركات'!$G:$G,0)),"")</f>
        <v/>
      </c>
      <c r="E319" s="21" t="str">
        <f>IF($B319="إنتاج طبخة","",IFERROR(INDEX('بيانات الحركات'!E:E,MATCH(318,'بيانات الحركات'!$G:$G,0)),""))</f>
        <v/>
      </c>
      <c r="F319" s="3" t="str">
        <f>IFERROR(INDEX('بيانات الحركات'!F:F,MATCH(318,'بيانات الحركات'!$G:$G,0)),"")</f>
        <v/>
      </c>
    </row>
    <row r="320" spans="1:6" ht="21.95" customHeight="1">
      <c r="A320" s="8" t="str">
        <f>IFERROR(INDEX('بيانات الحركات'!A:A,MATCH(319,'بيانات الحركات'!$G:$G,0)),"")</f>
        <v/>
      </c>
      <c r="B320" s="5" t="str">
        <f>IFERROR(INDEX('بيانات الحركات'!B:B,MATCH(319,'بيانات الحركات'!$G:$G,0)),"")</f>
        <v/>
      </c>
      <c r="C320" s="3" t="str">
        <f>IFERROR(INDEX('بيانات الحركات'!C:C,MATCH(319,'بيانات الحركات'!$G:$G,0)),"")</f>
        <v/>
      </c>
      <c r="D320" s="3" t="str">
        <f>IFERROR(INDEX('بيانات الحركات'!D:D,MATCH(319,'بيانات الحركات'!$G:$G,0)),"")</f>
        <v/>
      </c>
      <c r="E320" s="21" t="str">
        <f>IF($B320="إنتاج طبخة","",IFERROR(INDEX('بيانات الحركات'!E:E,MATCH(319,'بيانات الحركات'!$G:$G,0)),""))</f>
        <v/>
      </c>
      <c r="F320" s="3" t="str">
        <f>IFERROR(INDEX('بيانات الحركات'!F:F,MATCH(319,'بيانات الحركات'!$G:$G,0)),"")</f>
        <v/>
      </c>
    </row>
    <row r="321" spans="1:6" ht="21.95" customHeight="1">
      <c r="A321" s="8" t="str">
        <f>IFERROR(INDEX('بيانات الحركات'!A:A,MATCH(320,'بيانات الحركات'!$G:$G,0)),"")</f>
        <v/>
      </c>
      <c r="B321" s="5" t="str">
        <f>IFERROR(INDEX('بيانات الحركات'!B:B,MATCH(320,'بيانات الحركات'!$G:$G,0)),"")</f>
        <v/>
      </c>
      <c r="C321" s="3" t="str">
        <f>IFERROR(INDEX('بيانات الحركات'!C:C,MATCH(320,'بيانات الحركات'!$G:$G,0)),"")</f>
        <v/>
      </c>
      <c r="D321" s="3" t="str">
        <f>IFERROR(INDEX('بيانات الحركات'!D:D,MATCH(320,'بيانات الحركات'!$G:$G,0)),"")</f>
        <v/>
      </c>
      <c r="E321" s="21" t="str">
        <f>IF($B321="إنتاج طبخة","",IFERROR(INDEX('بيانات الحركات'!E:E,MATCH(320,'بيانات الحركات'!$G:$G,0)),""))</f>
        <v/>
      </c>
      <c r="F321" s="3" t="str">
        <f>IFERROR(INDEX('بيانات الحركات'!F:F,MATCH(320,'بيانات الحركات'!$G:$G,0)),"")</f>
        <v/>
      </c>
    </row>
    <row r="322" spans="1:6" ht="21.95" customHeight="1">
      <c r="A322" s="8" t="str">
        <f>IFERROR(INDEX('بيانات الحركات'!A:A,MATCH(321,'بيانات الحركات'!$G:$G,0)),"")</f>
        <v/>
      </c>
      <c r="B322" s="5" t="str">
        <f>IFERROR(INDEX('بيانات الحركات'!B:B,MATCH(321,'بيانات الحركات'!$G:$G,0)),"")</f>
        <v/>
      </c>
      <c r="C322" s="3" t="str">
        <f>IFERROR(INDEX('بيانات الحركات'!C:C,MATCH(321,'بيانات الحركات'!$G:$G,0)),"")</f>
        <v/>
      </c>
      <c r="D322" s="3" t="str">
        <f>IFERROR(INDEX('بيانات الحركات'!D:D,MATCH(321,'بيانات الحركات'!$G:$G,0)),"")</f>
        <v/>
      </c>
      <c r="E322" s="21" t="str">
        <f>IF($B322="إنتاج طبخة","",IFERROR(INDEX('بيانات الحركات'!E:E,MATCH(321,'بيانات الحركات'!$G:$G,0)),""))</f>
        <v/>
      </c>
      <c r="F322" s="3" t="str">
        <f>IFERROR(INDEX('بيانات الحركات'!F:F,MATCH(321,'بيانات الحركات'!$G:$G,0)),"")</f>
        <v/>
      </c>
    </row>
    <row r="323" spans="1:6" ht="21.95" customHeight="1">
      <c r="A323" s="8" t="str">
        <f>IFERROR(INDEX('بيانات الحركات'!A:A,MATCH(322,'بيانات الحركات'!$G:$G,0)),"")</f>
        <v/>
      </c>
      <c r="B323" s="5" t="str">
        <f>IFERROR(INDEX('بيانات الحركات'!B:B,MATCH(322,'بيانات الحركات'!$G:$G,0)),"")</f>
        <v/>
      </c>
      <c r="C323" s="3" t="str">
        <f>IFERROR(INDEX('بيانات الحركات'!C:C,MATCH(322,'بيانات الحركات'!$G:$G,0)),"")</f>
        <v/>
      </c>
      <c r="D323" s="3" t="str">
        <f>IFERROR(INDEX('بيانات الحركات'!D:D,MATCH(322,'بيانات الحركات'!$G:$G,0)),"")</f>
        <v/>
      </c>
      <c r="E323" s="21" t="str">
        <f>IF($B323="إنتاج طبخة","",IFERROR(INDEX('بيانات الحركات'!E:E,MATCH(322,'بيانات الحركات'!$G:$G,0)),""))</f>
        <v/>
      </c>
      <c r="F323" s="3" t="str">
        <f>IFERROR(INDEX('بيانات الحركات'!F:F,MATCH(322,'بيانات الحركات'!$G:$G,0)),"")</f>
        <v/>
      </c>
    </row>
    <row r="324" spans="1:6" ht="21.95" customHeight="1">
      <c r="A324" s="8" t="str">
        <f>IFERROR(INDEX('بيانات الحركات'!A:A,MATCH(323,'بيانات الحركات'!$G:$G,0)),"")</f>
        <v/>
      </c>
      <c r="B324" s="5" t="str">
        <f>IFERROR(INDEX('بيانات الحركات'!B:B,MATCH(323,'بيانات الحركات'!$G:$G,0)),"")</f>
        <v/>
      </c>
      <c r="C324" s="3" t="str">
        <f>IFERROR(INDEX('بيانات الحركات'!C:C,MATCH(323,'بيانات الحركات'!$G:$G,0)),"")</f>
        <v/>
      </c>
      <c r="D324" s="3" t="str">
        <f>IFERROR(INDEX('بيانات الحركات'!D:D,MATCH(323,'بيانات الحركات'!$G:$G,0)),"")</f>
        <v/>
      </c>
      <c r="E324" s="21" t="str">
        <f>IF($B324="إنتاج طبخة","",IFERROR(INDEX('بيانات الحركات'!E:E,MATCH(323,'بيانات الحركات'!$G:$G,0)),""))</f>
        <v/>
      </c>
      <c r="F324" s="3" t="str">
        <f>IFERROR(INDEX('بيانات الحركات'!F:F,MATCH(323,'بيانات الحركات'!$G:$G,0)),"")</f>
        <v/>
      </c>
    </row>
    <row r="325" spans="1:6" ht="21.95" customHeight="1">
      <c r="A325" s="8" t="str">
        <f>IFERROR(INDEX('بيانات الحركات'!A:A,MATCH(324,'بيانات الحركات'!$G:$G,0)),"")</f>
        <v/>
      </c>
      <c r="B325" s="5" t="str">
        <f>IFERROR(INDEX('بيانات الحركات'!B:B,MATCH(324,'بيانات الحركات'!$G:$G,0)),"")</f>
        <v/>
      </c>
      <c r="C325" s="3" t="str">
        <f>IFERROR(INDEX('بيانات الحركات'!C:C,MATCH(324,'بيانات الحركات'!$G:$G,0)),"")</f>
        <v/>
      </c>
      <c r="D325" s="3" t="str">
        <f>IFERROR(INDEX('بيانات الحركات'!D:D,MATCH(324,'بيانات الحركات'!$G:$G,0)),"")</f>
        <v/>
      </c>
      <c r="E325" s="21" t="str">
        <f>IF($B325="إنتاج طبخة","",IFERROR(INDEX('بيانات الحركات'!E:E,MATCH(324,'بيانات الحركات'!$G:$G,0)),""))</f>
        <v/>
      </c>
      <c r="F325" s="3" t="str">
        <f>IFERROR(INDEX('بيانات الحركات'!F:F,MATCH(324,'بيانات الحركات'!$G:$G,0)),"")</f>
        <v/>
      </c>
    </row>
    <row r="326" spans="1:6" ht="21.95" customHeight="1">
      <c r="A326" s="8" t="str">
        <f>IFERROR(INDEX('بيانات الحركات'!A:A,MATCH(325,'بيانات الحركات'!$G:$G,0)),"")</f>
        <v/>
      </c>
      <c r="B326" s="5" t="str">
        <f>IFERROR(INDEX('بيانات الحركات'!B:B,MATCH(325,'بيانات الحركات'!$G:$G,0)),"")</f>
        <v/>
      </c>
      <c r="C326" s="3" t="str">
        <f>IFERROR(INDEX('بيانات الحركات'!C:C,MATCH(325,'بيانات الحركات'!$G:$G,0)),"")</f>
        <v/>
      </c>
      <c r="D326" s="3" t="str">
        <f>IFERROR(INDEX('بيانات الحركات'!D:D,MATCH(325,'بيانات الحركات'!$G:$G,0)),"")</f>
        <v/>
      </c>
      <c r="E326" s="21" t="str">
        <f>IF($B326="إنتاج طبخة","",IFERROR(INDEX('بيانات الحركات'!E:E,MATCH(325,'بيانات الحركات'!$G:$G,0)),""))</f>
        <v/>
      </c>
      <c r="F326" s="3" t="str">
        <f>IFERROR(INDEX('بيانات الحركات'!F:F,MATCH(325,'بيانات الحركات'!$G:$G,0)),"")</f>
        <v/>
      </c>
    </row>
    <row r="327" spans="1:6" ht="21.95" customHeight="1">
      <c r="A327" s="8" t="str">
        <f>IFERROR(INDEX('بيانات الحركات'!A:A,MATCH(326,'بيانات الحركات'!$G:$G,0)),"")</f>
        <v/>
      </c>
      <c r="B327" s="5" t="str">
        <f>IFERROR(INDEX('بيانات الحركات'!B:B,MATCH(326,'بيانات الحركات'!$G:$G,0)),"")</f>
        <v/>
      </c>
      <c r="C327" s="3" t="str">
        <f>IFERROR(INDEX('بيانات الحركات'!C:C,MATCH(326,'بيانات الحركات'!$G:$G,0)),"")</f>
        <v/>
      </c>
      <c r="D327" s="3" t="str">
        <f>IFERROR(INDEX('بيانات الحركات'!D:D,MATCH(326,'بيانات الحركات'!$G:$G,0)),"")</f>
        <v/>
      </c>
      <c r="E327" s="21" t="str">
        <f>IF($B327="إنتاج طبخة","",IFERROR(INDEX('بيانات الحركات'!E:E,MATCH(326,'بيانات الحركات'!$G:$G,0)),""))</f>
        <v/>
      </c>
      <c r="F327" s="3" t="str">
        <f>IFERROR(INDEX('بيانات الحركات'!F:F,MATCH(326,'بيانات الحركات'!$G:$G,0)),"")</f>
        <v/>
      </c>
    </row>
    <row r="328" spans="1:6" ht="21.95" customHeight="1">
      <c r="A328" s="8" t="str">
        <f>IFERROR(INDEX('بيانات الحركات'!A:A,MATCH(327,'بيانات الحركات'!$G:$G,0)),"")</f>
        <v/>
      </c>
      <c r="B328" s="5" t="str">
        <f>IFERROR(INDEX('بيانات الحركات'!B:B,MATCH(327,'بيانات الحركات'!$G:$G,0)),"")</f>
        <v/>
      </c>
      <c r="C328" s="3" t="str">
        <f>IFERROR(INDEX('بيانات الحركات'!C:C,MATCH(327,'بيانات الحركات'!$G:$G,0)),"")</f>
        <v/>
      </c>
      <c r="D328" s="3" t="str">
        <f>IFERROR(INDEX('بيانات الحركات'!D:D,MATCH(327,'بيانات الحركات'!$G:$G,0)),"")</f>
        <v/>
      </c>
      <c r="E328" s="21" t="str">
        <f>IF($B328="إنتاج طبخة","",IFERROR(INDEX('بيانات الحركات'!E:E,MATCH(327,'بيانات الحركات'!$G:$G,0)),""))</f>
        <v/>
      </c>
      <c r="F328" s="3" t="str">
        <f>IFERROR(INDEX('بيانات الحركات'!F:F,MATCH(327,'بيانات الحركات'!$G:$G,0)),"")</f>
        <v/>
      </c>
    </row>
    <row r="329" spans="1:6" ht="21.95" customHeight="1">
      <c r="A329" s="8" t="str">
        <f>IFERROR(INDEX('بيانات الحركات'!A:A,MATCH(328,'بيانات الحركات'!$G:$G,0)),"")</f>
        <v/>
      </c>
      <c r="B329" s="5" t="str">
        <f>IFERROR(INDEX('بيانات الحركات'!B:B,MATCH(328,'بيانات الحركات'!$G:$G,0)),"")</f>
        <v/>
      </c>
      <c r="C329" s="3" t="str">
        <f>IFERROR(INDEX('بيانات الحركات'!C:C,MATCH(328,'بيانات الحركات'!$G:$G,0)),"")</f>
        <v/>
      </c>
      <c r="D329" s="3" t="str">
        <f>IFERROR(INDEX('بيانات الحركات'!D:D,MATCH(328,'بيانات الحركات'!$G:$G,0)),"")</f>
        <v/>
      </c>
      <c r="E329" s="21" t="str">
        <f>IF($B329="إنتاج طبخة","",IFERROR(INDEX('بيانات الحركات'!E:E,MATCH(328,'بيانات الحركات'!$G:$G,0)),""))</f>
        <v/>
      </c>
      <c r="F329" s="3" t="str">
        <f>IFERROR(INDEX('بيانات الحركات'!F:F,MATCH(328,'بيانات الحركات'!$G:$G,0)),"")</f>
        <v/>
      </c>
    </row>
    <row r="330" spans="1:6" ht="21.95" customHeight="1">
      <c r="A330" s="8" t="str">
        <f>IFERROR(INDEX('بيانات الحركات'!A:A,MATCH(329,'بيانات الحركات'!$G:$G,0)),"")</f>
        <v/>
      </c>
      <c r="B330" s="5" t="str">
        <f>IFERROR(INDEX('بيانات الحركات'!B:B,MATCH(329,'بيانات الحركات'!$G:$G,0)),"")</f>
        <v/>
      </c>
      <c r="C330" s="3" t="str">
        <f>IFERROR(INDEX('بيانات الحركات'!C:C,MATCH(329,'بيانات الحركات'!$G:$G,0)),"")</f>
        <v/>
      </c>
      <c r="D330" s="3" t="str">
        <f>IFERROR(INDEX('بيانات الحركات'!D:D,MATCH(329,'بيانات الحركات'!$G:$G,0)),"")</f>
        <v/>
      </c>
      <c r="E330" s="21" t="str">
        <f>IF($B330="إنتاج طبخة","",IFERROR(INDEX('بيانات الحركات'!E:E,MATCH(329,'بيانات الحركات'!$G:$G,0)),""))</f>
        <v/>
      </c>
      <c r="F330" s="3" t="str">
        <f>IFERROR(INDEX('بيانات الحركات'!F:F,MATCH(329,'بيانات الحركات'!$G:$G,0)),"")</f>
        <v/>
      </c>
    </row>
    <row r="331" spans="1:6" ht="21.95" customHeight="1">
      <c r="A331" s="8" t="str">
        <f>IFERROR(INDEX('بيانات الحركات'!A:A,MATCH(330,'بيانات الحركات'!$G:$G,0)),"")</f>
        <v/>
      </c>
      <c r="B331" s="5" t="str">
        <f>IFERROR(INDEX('بيانات الحركات'!B:B,MATCH(330,'بيانات الحركات'!$G:$G,0)),"")</f>
        <v/>
      </c>
      <c r="C331" s="3" t="str">
        <f>IFERROR(INDEX('بيانات الحركات'!C:C,MATCH(330,'بيانات الحركات'!$G:$G,0)),"")</f>
        <v/>
      </c>
      <c r="D331" s="3" t="str">
        <f>IFERROR(INDEX('بيانات الحركات'!D:D,MATCH(330,'بيانات الحركات'!$G:$G,0)),"")</f>
        <v/>
      </c>
      <c r="E331" s="21" t="str">
        <f>IF($B331="إنتاج طبخة","",IFERROR(INDEX('بيانات الحركات'!E:E,MATCH(330,'بيانات الحركات'!$G:$G,0)),""))</f>
        <v/>
      </c>
      <c r="F331" s="3" t="str">
        <f>IFERROR(INDEX('بيانات الحركات'!F:F,MATCH(330,'بيانات الحركات'!$G:$G,0)),"")</f>
        <v/>
      </c>
    </row>
    <row r="332" spans="1:6" ht="21.95" customHeight="1">
      <c r="A332" s="8" t="str">
        <f>IFERROR(INDEX('بيانات الحركات'!A:A,MATCH(331,'بيانات الحركات'!$G:$G,0)),"")</f>
        <v/>
      </c>
      <c r="B332" s="5" t="str">
        <f>IFERROR(INDEX('بيانات الحركات'!B:B,MATCH(331,'بيانات الحركات'!$G:$G,0)),"")</f>
        <v/>
      </c>
      <c r="C332" s="3" t="str">
        <f>IFERROR(INDEX('بيانات الحركات'!C:C,MATCH(331,'بيانات الحركات'!$G:$G,0)),"")</f>
        <v/>
      </c>
      <c r="D332" s="3" t="str">
        <f>IFERROR(INDEX('بيانات الحركات'!D:D,MATCH(331,'بيانات الحركات'!$G:$G,0)),"")</f>
        <v/>
      </c>
      <c r="E332" s="21" t="str">
        <f>IF($B332="إنتاج طبخة","",IFERROR(INDEX('بيانات الحركات'!E:E,MATCH(331,'بيانات الحركات'!$G:$G,0)),""))</f>
        <v/>
      </c>
      <c r="F332" s="3" t="str">
        <f>IFERROR(INDEX('بيانات الحركات'!F:F,MATCH(331,'بيانات الحركات'!$G:$G,0)),"")</f>
        <v/>
      </c>
    </row>
    <row r="333" spans="1:6" ht="21.95" customHeight="1">
      <c r="A333" s="8" t="str">
        <f>IFERROR(INDEX('بيانات الحركات'!A:A,MATCH(332,'بيانات الحركات'!$G:$G,0)),"")</f>
        <v/>
      </c>
      <c r="B333" s="5" t="str">
        <f>IFERROR(INDEX('بيانات الحركات'!B:B,MATCH(332,'بيانات الحركات'!$G:$G,0)),"")</f>
        <v/>
      </c>
      <c r="C333" s="3" t="str">
        <f>IFERROR(INDEX('بيانات الحركات'!C:C,MATCH(332,'بيانات الحركات'!$G:$G,0)),"")</f>
        <v/>
      </c>
      <c r="D333" s="3" t="str">
        <f>IFERROR(INDEX('بيانات الحركات'!D:D,MATCH(332,'بيانات الحركات'!$G:$G,0)),"")</f>
        <v/>
      </c>
      <c r="E333" s="21" t="str">
        <f>IF($B333="إنتاج طبخة","",IFERROR(INDEX('بيانات الحركات'!E:E,MATCH(332,'بيانات الحركات'!$G:$G,0)),""))</f>
        <v/>
      </c>
      <c r="F333" s="3" t="str">
        <f>IFERROR(INDEX('بيانات الحركات'!F:F,MATCH(332,'بيانات الحركات'!$G:$G,0)),"")</f>
        <v/>
      </c>
    </row>
    <row r="334" spans="1:6" ht="21.95" customHeight="1">
      <c r="A334" s="8" t="str">
        <f>IFERROR(INDEX('بيانات الحركات'!A:A,MATCH(333,'بيانات الحركات'!$G:$G,0)),"")</f>
        <v/>
      </c>
      <c r="B334" s="5" t="str">
        <f>IFERROR(INDEX('بيانات الحركات'!B:B,MATCH(333,'بيانات الحركات'!$G:$G,0)),"")</f>
        <v/>
      </c>
      <c r="C334" s="3" t="str">
        <f>IFERROR(INDEX('بيانات الحركات'!C:C,MATCH(333,'بيانات الحركات'!$G:$G,0)),"")</f>
        <v/>
      </c>
      <c r="D334" s="3" t="str">
        <f>IFERROR(INDEX('بيانات الحركات'!D:D,MATCH(333,'بيانات الحركات'!$G:$G,0)),"")</f>
        <v/>
      </c>
      <c r="E334" s="21" t="str">
        <f>IF($B334="إنتاج طبخة","",IFERROR(INDEX('بيانات الحركات'!E:E,MATCH(333,'بيانات الحركات'!$G:$G,0)),""))</f>
        <v/>
      </c>
      <c r="F334" s="3" t="str">
        <f>IFERROR(INDEX('بيانات الحركات'!F:F,MATCH(333,'بيانات الحركات'!$G:$G,0)),"")</f>
        <v/>
      </c>
    </row>
    <row r="335" spans="1:6" ht="21.95" customHeight="1">
      <c r="A335" s="8" t="str">
        <f>IFERROR(INDEX('بيانات الحركات'!A:A,MATCH(334,'بيانات الحركات'!$G:$G,0)),"")</f>
        <v/>
      </c>
      <c r="B335" s="5" t="str">
        <f>IFERROR(INDEX('بيانات الحركات'!B:B,MATCH(334,'بيانات الحركات'!$G:$G,0)),"")</f>
        <v/>
      </c>
      <c r="C335" s="3" t="str">
        <f>IFERROR(INDEX('بيانات الحركات'!C:C,MATCH(334,'بيانات الحركات'!$G:$G,0)),"")</f>
        <v/>
      </c>
      <c r="D335" s="3" t="str">
        <f>IFERROR(INDEX('بيانات الحركات'!D:D,MATCH(334,'بيانات الحركات'!$G:$G,0)),"")</f>
        <v/>
      </c>
      <c r="E335" s="21" t="str">
        <f>IF($B335="إنتاج طبخة","",IFERROR(INDEX('بيانات الحركات'!E:E,MATCH(334,'بيانات الحركات'!$G:$G,0)),""))</f>
        <v/>
      </c>
      <c r="F335" s="3" t="str">
        <f>IFERROR(INDEX('بيانات الحركات'!F:F,MATCH(334,'بيانات الحركات'!$G:$G,0)),"")</f>
        <v/>
      </c>
    </row>
    <row r="336" spans="1:6" ht="21.95" customHeight="1">
      <c r="A336" s="8" t="str">
        <f>IFERROR(INDEX('بيانات الحركات'!A:A,MATCH(335,'بيانات الحركات'!$G:$G,0)),"")</f>
        <v/>
      </c>
      <c r="B336" s="5" t="str">
        <f>IFERROR(INDEX('بيانات الحركات'!B:B,MATCH(335,'بيانات الحركات'!$G:$G,0)),"")</f>
        <v/>
      </c>
      <c r="C336" s="3" t="str">
        <f>IFERROR(INDEX('بيانات الحركات'!C:C,MATCH(335,'بيانات الحركات'!$G:$G,0)),"")</f>
        <v/>
      </c>
      <c r="D336" s="3" t="str">
        <f>IFERROR(INDEX('بيانات الحركات'!D:D,MATCH(335,'بيانات الحركات'!$G:$G,0)),"")</f>
        <v/>
      </c>
      <c r="E336" s="21" t="str">
        <f>IF($B336="إنتاج طبخة","",IFERROR(INDEX('بيانات الحركات'!E:E,MATCH(335,'بيانات الحركات'!$G:$G,0)),""))</f>
        <v/>
      </c>
      <c r="F336" s="3" t="str">
        <f>IFERROR(INDEX('بيانات الحركات'!F:F,MATCH(335,'بيانات الحركات'!$G:$G,0)),"")</f>
        <v/>
      </c>
    </row>
    <row r="337" spans="1:6" ht="21.95" customHeight="1">
      <c r="A337" s="8" t="str">
        <f>IFERROR(INDEX('بيانات الحركات'!A:A,MATCH(336,'بيانات الحركات'!$G:$G,0)),"")</f>
        <v/>
      </c>
      <c r="B337" s="5" t="str">
        <f>IFERROR(INDEX('بيانات الحركات'!B:B,MATCH(336,'بيانات الحركات'!$G:$G,0)),"")</f>
        <v/>
      </c>
      <c r="C337" s="3" t="str">
        <f>IFERROR(INDEX('بيانات الحركات'!C:C,MATCH(336,'بيانات الحركات'!$G:$G,0)),"")</f>
        <v/>
      </c>
      <c r="D337" s="3" t="str">
        <f>IFERROR(INDEX('بيانات الحركات'!D:D,MATCH(336,'بيانات الحركات'!$G:$G,0)),"")</f>
        <v/>
      </c>
      <c r="E337" s="21" t="str">
        <f>IF($B337="إنتاج طبخة","",IFERROR(INDEX('بيانات الحركات'!E:E,MATCH(336,'بيانات الحركات'!$G:$G,0)),""))</f>
        <v/>
      </c>
      <c r="F337" s="3" t="str">
        <f>IFERROR(INDEX('بيانات الحركات'!F:F,MATCH(336,'بيانات الحركات'!$G:$G,0)),"")</f>
        <v/>
      </c>
    </row>
    <row r="338" spans="1:6" ht="21.95" customHeight="1">
      <c r="A338" s="8" t="str">
        <f>IFERROR(INDEX('بيانات الحركات'!A:A,MATCH(337,'بيانات الحركات'!$G:$G,0)),"")</f>
        <v/>
      </c>
      <c r="B338" s="5" t="str">
        <f>IFERROR(INDEX('بيانات الحركات'!B:B,MATCH(337,'بيانات الحركات'!$G:$G,0)),"")</f>
        <v/>
      </c>
      <c r="C338" s="3" t="str">
        <f>IFERROR(INDEX('بيانات الحركات'!C:C,MATCH(337,'بيانات الحركات'!$G:$G,0)),"")</f>
        <v/>
      </c>
      <c r="D338" s="3" t="str">
        <f>IFERROR(INDEX('بيانات الحركات'!D:D,MATCH(337,'بيانات الحركات'!$G:$G,0)),"")</f>
        <v/>
      </c>
      <c r="E338" s="21" t="str">
        <f>IF($B338="إنتاج طبخة","",IFERROR(INDEX('بيانات الحركات'!E:E,MATCH(337,'بيانات الحركات'!$G:$G,0)),""))</f>
        <v/>
      </c>
      <c r="F338" s="3" t="str">
        <f>IFERROR(INDEX('بيانات الحركات'!F:F,MATCH(337,'بيانات الحركات'!$G:$G,0)),"")</f>
        <v/>
      </c>
    </row>
    <row r="339" spans="1:6" ht="21.95" customHeight="1">
      <c r="A339" s="8" t="str">
        <f>IFERROR(INDEX('بيانات الحركات'!A:A,MATCH(338,'بيانات الحركات'!$G:$G,0)),"")</f>
        <v/>
      </c>
      <c r="B339" s="5" t="str">
        <f>IFERROR(INDEX('بيانات الحركات'!B:B,MATCH(338,'بيانات الحركات'!$G:$G,0)),"")</f>
        <v/>
      </c>
      <c r="C339" s="3" t="str">
        <f>IFERROR(INDEX('بيانات الحركات'!C:C,MATCH(338,'بيانات الحركات'!$G:$G,0)),"")</f>
        <v/>
      </c>
      <c r="D339" s="3" t="str">
        <f>IFERROR(INDEX('بيانات الحركات'!D:D,MATCH(338,'بيانات الحركات'!$G:$G,0)),"")</f>
        <v/>
      </c>
      <c r="E339" s="21" t="str">
        <f>IF($B339="إنتاج طبخة","",IFERROR(INDEX('بيانات الحركات'!E:E,MATCH(338,'بيانات الحركات'!$G:$G,0)),""))</f>
        <v/>
      </c>
      <c r="F339" s="3" t="str">
        <f>IFERROR(INDEX('بيانات الحركات'!F:F,MATCH(338,'بيانات الحركات'!$G:$G,0)),"")</f>
        <v/>
      </c>
    </row>
    <row r="340" spans="1:6" ht="21.95" customHeight="1">
      <c r="A340" s="8" t="str">
        <f>IFERROR(INDEX('بيانات الحركات'!A:A,MATCH(339,'بيانات الحركات'!$G:$G,0)),"")</f>
        <v/>
      </c>
      <c r="B340" s="5" t="str">
        <f>IFERROR(INDEX('بيانات الحركات'!B:B,MATCH(339,'بيانات الحركات'!$G:$G,0)),"")</f>
        <v/>
      </c>
      <c r="C340" s="3" t="str">
        <f>IFERROR(INDEX('بيانات الحركات'!C:C,MATCH(339,'بيانات الحركات'!$G:$G,0)),"")</f>
        <v/>
      </c>
      <c r="D340" s="3" t="str">
        <f>IFERROR(INDEX('بيانات الحركات'!D:D,MATCH(339,'بيانات الحركات'!$G:$G,0)),"")</f>
        <v/>
      </c>
      <c r="E340" s="21" t="str">
        <f>IF($B340="إنتاج طبخة","",IFERROR(INDEX('بيانات الحركات'!E:E,MATCH(339,'بيانات الحركات'!$G:$G,0)),""))</f>
        <v/>
      </c>
      <c r="F340" s="3" t="str">
        <f>IFERROR(INDEX('بيانات الحركات'!F:F,MATCH(339,'بيانات الحركات'!$G:$G,0)),"")</f>
        <v/>
      </c>
    </row>
    <row r="341" spans="1:6" ht="21.95" customHeight="1">
      <c r="A341" s="8" t="str">
        <f>IFERROR(INDEX('بيانات الحركات'!A:A,MATCH(340,'بيانات الحركات'!$G:$G,0)),"")</f>
        <v/>
      </c>
      <c r="B341" s="5" t="str">
        <f>IFERROR(INDEX('بيانات الحركات'!B:B,MATCH(340,'بيانات الحركات'!$G:$G,0)),"")</f>
        <v/>
      </c>
      <c r="C341" s="3" t="str">
        <f>IFERROR(INDEX('بيانات الحركات'!C:C,MATCH(340,'بيانات الحركات'!$G:$G,0)),"")</f>
        <v/>
      </c>
      <c r="D341" s="3" t="str">
        <f>IFERROR(INDEX('بيانات الحركات'!D:D,MATCH(340,'بيانات الحركات'!$G:$G,0)),"")</f>
        <v/>
      </c>
      <c r="E341" s="21" t="str">
        <f>IF($B341="إنتاج طبخة","",IFERROR(INDEX('بيانات الحركات'!E:E,MATCH(340,'بيانات الحركات'!$G:$G,0)),""))</f>
        <v/>
      </c>
      <c r="F341" s="3" t="str">
        <f>IFERROR(INDEX('بيانات الحركات'!F:F,MATCH(340,'بيانات الحركات'!$G:$G,0)),"")</f>
        <v/>
      </c>
    </row>
    <row r="342" spans="1:6" ht="21.95" customHeight="1">
      <c r="A342" s="8" t="str">
        <f>IFERROR(INDEX('بيانات الحركات'!A:A,MATCH(341,'بيانات الحركات'!$G:$G,0)),"")</f>
        <v/>
      </c>
      <c r="B342" s="5" t="str">
        <f>IFERROR(INDEX('بيانات الحركات'!B:B,MATCH(341,'بيانات الحركات'!$G:$G,0)),"")</f>
        <v/>
      </c>
      <c r="C342" s="3" t="str">
        <f>IFERROR(INDEX('بيانات الحركات'!C:C,MATCH(341,'بيانات الحركات'!$G:$G,0)),"")</f>
        <v/>
      </c>
      <c r="D342" s="3" t="str">
        <f>IFERROR(INDEX('بيانات الحركات'!D:D,MATCH(341,'بيانات الحركات'!$G:$G,0)),"")</f>
        <v/>
      </c>
      <c r="E342" s="21" t="str">
        <f>IF($B342="إنتاج طبخة","",IFERROR(INDEX('بيانات الحركات'!E:E,MATCH(341,'بيانات الحركات'!$G:$G,0)),""))</f>
        <v/>
      </c>
      <c r="F342" s="3" t="str">
        <f>IFERROR(INDEX('بيانات الحركات'!F:F,MATCH(341,'بيانات الحركات'!$G:$G,0)),"")</f>
        <v/>
      </c>
    </row>
    <row r="343" spans="1:6" ht="21.95" customHeight="1">
      <c r="A343" s="8" t="str">
        <f>IFERROR(INDEX('بيانات الحركات'!A:A,MATCH(342,'بيانات الحركات'!$G:$G,0)),"")</f>
        <v/>
      </c>
      <c r="B343" s="5" t="str">
        <f>IFERROR(INDEX('بيانات الحركات'!B:B,MATCH(342,'بيانات الحركات'!$G:$G,0)),"")</f>
        <v/>
      </c>
      <c r="C343" s="3" t="str">
        <f>IFERROR(INDEX('بيانات الحركات'!C:C,MATCH(342,'بيانات الحركات'!$G:$G,0)),"")</f>
        <v/>
      </c>
      <c r="D343" s="3" t="str">
        <f>IFERROR(INDEX('بيانات الحركات'!D:D,MATCH(342,'بيانات الحركات'!$G:$G,0)),"")</f>
        <v/>
      </c>
      <c r="E343" s="21" t="str">
        <f>IF($B343="إنتاج طبخة","",IFERROR(INDEX('بيانات الحركات'!E:E,MATCH(342,'بيانات الحركات'!$G:$G,0)),""))</f>
        <v/>
      </c>
      <c r="F343" s="3" t="str">
        <f>IFERROR(INDEX('بيانات الحركات'!F:F,MATCH(342,'بيانات الحركات'!$G:$G,0)),"")</f>
        <v/>
      </c>
    </row>
    <row r="344" spans="1:6" ht="21.95" customHeight="1">
      <c r="A344" s="8" t="str">
        <f>IFERROR(INDEX('بيانات الحركات'!A:A,MATCH(343,'بيانات الحركات'!$G:$G,0)),"")</f>
        <v/>
      </c>
      <c r="B344" s="5" t="str">
        <f>IFERROR(INDEX('بيانات الحركات'!B:B,MATCH(343,'بيانات الحركات'!$G:$G,0)),"")</f>
        <v/>
      </c>
      <c r="C344" s="3" t="str">
        <f>IFERROR(INDEX('بيانات الحركات'!C:C,MATCH(343,'بيانات الحركات'!$G:$G,0)),"")</f>
        <v/>
      </c>
      <c r="D344" s="3" t="str">
        <f>IFERROR(INDEX('بيانات الحركات'!D:D,MATCH(343,'بيانات الحركات'!$G:$G,0)),"")</f>
        <v/>
      </c>
      <c r="E344" s="21" t="str">
        <f>IF($B344="إنتاج طبخة","",IFERROR(INDEX('بيانات الحركات'!E:E,MATCH(343,'بيانات الحركات'!$G:$G,0)),""))</f>
        <v/>
      </c>
      <c r="F344" s="3" t="str">
        <f>IFERROR(INDEX('بيانات الحركات'!F:F,MATCH(343,'بيانات الحركات'!$G:$G,0)),"")</f>
        <v/>
      </c>
    </row>
    <row r="345" spans="1:6" ht="21.95" customHeight="1">
      <c r="A345" s="8" t="str">
        <f>IFERROR(INDEX('بيانات الحركات'!A:A,MATCH(344,'بيانات الحركات'!$G:$G,0)),"")</f>
        <v/>
      </c>
      <c r="B345" s="5" t="str">
        <f>IFERROR(INDEX('بيانات الحركات'!B:B,MATCH(344,'بيانات الحركات'!$G:$G,0)),"")</f>
        <v/>
      </c>
      <c r="C345" s="3" t="str">
        <f>IFERROR(INDEX('بيانات الحركات'!C:C,MATCH(344,'بيانات الحركات'!$G:$G,0)),"")</f>
        <v/>
      </c>
      <c r="D345" s="3" t="str">
        <f>IFERROR(INDEX('بيانات الحركات'!D:D,MATCH(344,'بيانات الحركات'!$G:$G,0)),"")</f>
        <v/>
      </c>
      <c r="E345" s="21" t="str">
        <f>IF($B345="إنتاج طبخة","",IFERROR(INDEX('بيانات الحركات'!E:E,MATCH(344,'بيانات الحركات'!$G:$G,0)),""))</f>
        <v/>
      </c>
      <c r="F345" s="3" t="str">
        <f>IFERROR(INDEX('بيانات الحركات'!F:F,MATCH(344,'بيانات الحركات'!$G:$G,0)),"")</f>
        <v/>
      </c>
    </row>
    <row r="346" spans="1:6" ht="21.95" customHeight="1">
      <c r="A346" s="8" t="str">
        <f>IFERROR(INDEX('بيانات الحركات'!A:A,MATCH(345,'بيانات الحركات'!$G:$G,0)),"")</f>
        <v/>
      </c>
      <c r="B346" s="5" t="str">
        <f>IFERROR(INDEX('بيانات الحركات'!B:B,MATCH(345,'بيانات الحركات'!$G:$G,0)),"")</f>
        <v/>
      </c>
      <c r="C346" s="3" t="str">
        <f>IFERROR(INDEX('بيانات الحركات'!C:C,MATCH(345,'بيانات الحركات'!$G:$G,0)),"")</f>
        <v/>
      </c>
      <c r="D346" s="3" t="str">
        <f>IFERROR(INDEX('بيانات الحركات'!D:D,MATCH(345,'بيانات الحركات'!$G:$G,0)),"")</f>
        <v/>
      </c>
      <c r="E346" s="21" t="str">
        <f>IF($B346="إنتاج طبخة","",IFERROR(INDEX('بيانات الحركات'!E:E,MATCH(345,'بيانات الحركات'!$G:$G,0)),""))</f>
        <v/>
      </c>
      <c r="F346" s="3" t="str">
        <f>IFERROR(INDEX('بيانات الحركات'!F:F,MATCH(345,'بيانات الحركات'!$G:$G,0)),"")</f>
        <v/>
      </c>
    </row>
    <row r="347" spans="1:6" ht="21.95" customHeight="1">
      <c r="A347" s="8" t="str">
        <f>IFERROR(INDEX('بيانات الحركات'!A:A,MATCH(346,'بيانات الحركات'!$G:$G,0)),"")</f>
        <v/>
      </c>
      <c r="B347" s="5" t="str">
        <f>IFERROR(INDEX('بيانات الحركات'!B:B,MATCH(346,'بيانات الحركات'!$G:$G,0)),"")</f>
        <v/>
      </c>
      <c r="C347" s="3" t="str">
        <f>IFERROR(INDEX('بيانات الحركات'!C:C,MATCH(346,'بيانات الحركات'!$G:$G,0)),"")</f>
        <v/>
      </c>
      <c r="D347" s="3" t="str">
        <f>IFERROR(INDEX('بيانات الحركات'!D:D,MATCH(346,'بيانات الحركات'!$G:$G,0)),"")</f>
        <v/>
      </c>
      <c r="E347" s="21" t="str">
        <f>IF($B347="إنتاج طبخة","",IFERROR(INDEX('بيانات الحركات'!E:E,MATCH(346,'بيانات الحركات'!$G:$G,0)),""))</f>
        <v/>
      </c>
      <c r="F347" s="3" t="str">
        <f>IFERROR(INDEX('بيانات الحركات'!F:F,MATCH(346,'بيانات الحركات'!$G:$G,0)),"")</f>
        <v/>
      </c>
    </row>
    <row r="348" spans="1:6" ht="21.95" customHeight="1">
      <c r="A348" s="8" t="str">
        <f>IFERROR(INDEX('بيانات الحركات'!A:A,MATCH(347,'بيانات الحركات'!$G:$G,0)),"")</f>
        <v/>
      </c>
      <c r="B348" s="5" t="str">
        <f>IFERROR(INDEX('بيانات الحركات'!B:B,MATCH(347,'بيانات الحركات'!$G:$G,0)),"")</f>
        <v/>
      </c>
      <c r="C348" s="3" t="str">
        <f>IFERROR(INDEX('بيانات الحركات'!C:C,MATCH(347,'بيانات الحركات'!$G:$G,0)),"")</f>
        <v/>
      </c>
      <c r="D348" s="3" t="str">
        <f>IFERROR(INDEX('بيانات الحركات'!D:D,MATCH(347,'بيانات الحركات'!$G:$G,0)),"")</f>
        <v/>
      </c>
      <c r="E348" s="21" t="str">
        <f>IF($B348="إنتاج طبخة","",IFERROR(INDEX('بيانات الحركات'!E:E,MATCH(347,'بيانات الحركات'!$G:$G,0)),""))</f>
        <v/>
      </c>
      <c r="F348" s="3" t="str">
        <f>IFERROR(INDEX('بيانات الحركات'!F:F,MATCH(347,'بيانات الحركات'!$G:$G,0)),"")</f>
        <v/>
      </c>
    </row>
    <row r="349" spans="1:6" ht="21.95" customHeight="1">
      <c r="A349" s="8" t="str">
        <f>IFERROR(INDEX('بيانات الحركات'!A:A,MATCH(348,'بيانات الحركات'!$G:$G,0)),"")</f>
        <v/>
      </c>
      <c r="B349" s="5" t="str">
        <f>IFERROR(INDEX('بيانات الحركات'!B:B,MATCH(348,'بيانات الحركات'!$G:$G,0)),"")</f>
        <v/>
      </c>
      <c r="C349" s="3" t="str">
        <f>IFERROR(INDEX('بيانات الحركات'!C:C,MATCH(348,'بيانات الحركات'!$G:$G,0)),"")</f>
        <v/>
      </c>
      <c r="D349" s="3" t="str">
        <f>IFERROR(INDEX('بيانات الحركات'!D:D,MATCH(348,'بيانات الحركات'!$G:$G,0)),"")</f>
        <v/>
      </c>
      <c r="E349" s="21" t="str">
        <f>IF($B349="إنتاج طبخة","",IFERROR(INDEX('بيانات الحركات'!E:E,MATCH(348,'بيانات الحركات'!$G:$G,0)),""))</f>
        <v/>
      </c>
      <c r="F349" s="3" t="str">
        <f>IFERROR(INDEX('بيانات الحركات'!F:F,MATCH(348,'بيانات الحركات'!$G:$G,0)),"")</f>
        <v/>
      </c>
    </row>
    <row r="350" spans="1:6" ht="21.95" customHeight="1">
      <c r="A350" s="8" t="str">
        <f>IFERROR(INDEX('بيانات الحركات'!A:A,MATCH(349,'بيانات الحركات'!$G:$G,0)),"")</f>
        <v/>
      </c>
      <c r="B350" s="5" t="str">
        <f>IFERROR(INDEX('بيانات الحركات'!B:B,MATCH(349,'بيانات الحركات'!$G:$G,0)),"")</f>
        <v/>
      </c>
      <c r="C350" s="3" t="str">
        <f>IFERROR(INDEX('بيانات الحركات'!C:C,MATCH(349,'بيانات الحركات'!$G:$G,0)),"")</f>
        <v/>
      </c>
      <c r="D350" s="3" t="str">
        <f>IFERROR(INDEX('بيانات الحركات'!D:D,MATCH(349,'بيانات الحركات'!$G:$G,0)),"")</f>
        <v/>
      </c>
      <c r="E350" s="21" t="str">
        <f>IF($B350="إنتاج طبخة","",IFERROR(INDEX('بيانات الحركات'!E:E,MATCH(349,'بيانات الحركات'!$G:$G,0)),""))</f>
        <v/>
      </c>
      <c r="F350" s="3" t="str">
        <f>IFERROR(INDEX('بيانات الحركات'!F:F,MATCH(349,'بيانات الحركات'!$G:$G,0)),"")</f>
        <v/>
      </c>
    </row>
    <row r="351" spans="1:6" ht="21.95" customHeight="1">
      <c r="A351" s="8" t="str">
        <f>IFERROR(INDEX('بيانات الحركات'!A:A,MATCH(350,'بيانات الحركات'!$G:$G,0)),"")</f>
        <v/>
      </c>
      <c r="B351" s="5" t="str">
        <f>IFERROR(INDEX('بيانات الحركات'!B:B,MATCH(350,'بيانات الحركات'!$G:$G,0)),"")</f>
        <v/>
      </c>
      <c r="C351" s="3" t="str">
        <f>IFERROR(INDEX('بيانات الحركات'!C:C,MATCH(350,'بيانات الحركات'!$G:$G,0)),"")</f>
        <v/>
      </c>
      <c r="D351" s="3" t="str">
        <f>IFERROR(INDEX('بيانات الحركات'!D:D,MATCH(350,'بيانات الحركات'!$G:$G,0)),"")</f>
        <v/>
      </c>
      <c r="E351" s="21" t="str">
        <f>IF($B351="إنتاج طبخة","",IFERROR(INDEX('بيانات الحركات'!E:E,MATCH(350,'بيانات الحركات'!$G:$G,0)),""))</f>
        <v/>
      </c>
      <c r="F351" s="3" t="str">
        <f>IFERROR(INDEX('بيانات الحركات'!F:F,MATCH(350,'بيانات الحركات'!$G:$G,0)),"")</f>
        <v/>
      </c>
    </row>
    <row r="352" spans="1:6" ht="21.95" customHeight="1">
      <c r="A352" s="8" t="str">
        <f>IFERROR(INDEX('بيانات الحركات'!A:A,MATCH(351,'بيانات الحركات'!$G:$G,0)),"")</f>
        <v/>
      </c>
      <c r="B352" s="5" t="str">
        <f>IFERROR(INDEX('بيانات الحركات'!B:B,MATCH(351,'بيانات الحركات'!$G:$G,0)),"")</f>
        <v/>
      </c>
      <c r="C352" s="3" t="str">
        <f>IFERROR(INDEX('بيانات الحركات'!C:C,MATCH(351,'بيانات الحركات'!$G:$G,0)),"")</f>
        <v/>
      </c>
      <c r="D352" s="3" t="str">
        <f>IFERROR(INDEX('بيانات الحركات'!D:D,MATCH(351,'بيانات الحركات'!$G:$G,0)),"")</f>
        <v/>
      </c>
      <c r="E352" s="21" t="str">
        <f>IF($B352="إنتاج طبخة","",IFERROR(INDEX('بيانات الحركات'!E:E,MATCH(351,'بيانات الحركات'!$G:$G,0)),""))</f>
        <v/>
      </c>
      <c r="F352" s="3" t="str">
        <f>IFERROR(INDEX('بيانات الحركات'!F:F,MATCH(351,'بيانات الحركات'!$G:$G,0)),"")</f>
        <v/>
      </c>
    </row>
    <row r="353" spans="1:6" ht="21.95" customHeight="1">
      <c r="A353" s="8" t="str">
        <f>IFERROR(INDEX('بيانات الحركات'!A:A,MATCH(352,'بيانات الحركات'!$G:$G,0)),"")</f>
        <v/>
      </c>
      <c r="B353" s="5" t="str">
        <f>IFERROR(INDEX('بيانات الحركات'!B:B,MATCH(352,'بيانات الحركات'!$G:$G,0)),"")</f>
        <v/>
      </c>
      <c r="C353" s="3" t="str">
        <f>IFERROR(INDEX('بيانات الحركات'!C:C,MATCH(352,'بيانات الحركات'!$G:$G,0)),"")</f>
        <v/>
      </c>
      <c r="D353" s="3" t="str">
        <f>IFERROR(INDEX('بيانات الحركات'!D:D,MATCH(352,'بيانات الحركات'!$G:$G,0)),"")</f>
        <v/>
      </c>
      <c r="E353" s="21" t="str">
        <f>IF($B353="إنتاج طبخة","",IFERROR(INDEX('بيانات الحركات'!E:E,MATCH(352,'بيانات الحركات'!$G:$G,0)),""))</f>
        <v/>
      </c>
      <c r="F353" s="3" t="str">
        <f>IFERROR(INDEX('بيانات الحركات'!F:F,MATCH(352,'بيانات الحركات'!$G:$G,0)),"")</f>
        <v/>
      </c>
    </row>
    <row r="354" spans="1:6" ht="21.95" customHeight="1">
      <c r="A354" s="8" t="str">
        <f>IFERROR(INDEX('بيانات الحركات'!A:A,MATCH(353,'بيانات الحركات'!$G:$G,0)),"")</f>
        <v/>
      </c>
      <c r="B354" s="5" t="str">
        <f>IFERROR(INDEX('بيانات الحركات'!B:B,MATCH(353,'بيانات الحركات'!$G:$G,0)),"")</f>
        <v/>
      </c>
      <c r="C354" s="3" t="str">
        <f>IFERROR(INDEX('بيانات الحركات'!C:C,MATCH(353,'بيانات الحركات'!$G:$G,0)),"")</f>
        <v/>
      </c>
      <c r="D354" s="3" t="str">
        <f>IFERROR(INDEX('بيانات الحركات'!D:D,MATCH(353,'بيانات الحركات'!$G:$G,0)),"")</f>
        <v/>
      </c>
      <c r="E354" s="21" t="str">
        <f>IF($B354="إنتاج طبخة","",IFERROR(INDEX('بيانات الحركات'!E:E,MATCH(353,'بيانات الحركات'!$G:$G,0)),""))</f>
        <v/>
      </c>
      <c r="F354" s="3" t="str">
        <f>IFERROR(INDEX('بيانات الحركات'!F:F,MATCH(353,'بيانات الحركات'!$G:$G,0)),"")</f>
        <v/>
      </c>
    </row>
    <row r="355" spans="1:6" ht="21.95" customHeight="1">
      <c r="A355" s="8" t="str">
        <f>IFERROR(INDEX('بيانات الحركات'!A:A,MATCH(354,'بيانات الحركات'!$G:$G,0)),"")</f>
        <v/>
      </c>
      <c r="B355" s="5" t="str">
        <f>IFERROR(INDEX('بيانات الحركات'!B:B,MATCH(354,'بيانات الحركات'!$G:$G,0)),"")</f>
        <v/>
      </c>
      <c r="C355" s="3" t="str">
        <f>IFERROR(INDEX('بيانات الحركات'!C:C,MATCH(354,'بيانات الحركات'!$G:$G,0)),"")</f>
        <v/>
      </c>
      <c r="D355" s="3" t="str">
        <f>IFERROR(INDEX('بيانات الحركات'!D:D,MATCH(354,'بيانات الحركات'!$G:$G,0)),"")</f>
        <v/>
      </c>
      <c r="E355" s="21" t="str">
        <f>IF($B355="إنتاج طبخة","",IFERROR(INDEX('بيانات الحركات'!E:E,MATCH(354,'بيانات الحركات'!$G:$G,0)),""))</f>
        <v/>
      </c>
      <c r="F355" s="3" t="str">
        <f>IFERROR(INDEX('بيانات الحركات'!F:F,MATCH(354,'بيانات الحركات'!$G:$G,0)),"")</f>
        <v/>
      </c>
    </row>
    <row r="356" spans="1:6" ht="21.95" customHeight="1">
      <c r="A356" s="8" t="str">
        <f>IFERROR(INDEX('بيانات الحركات'!A:A,MATCH(355,'بيانات الحركات'!$G:$G,0)),"")</f>
        <v/>
      </c>
      <c r="B356" s="5" t="str">
        <f>IFERROR(INDEX('بيانات الحركات'!B:B,MATCH(355,'بيانات الحركات'!$G:$G,0)),"")</f>
        <v/>
      </c>
      <c r="C356" s="3" t="str">
        <f>IFERROR(INDEX('بيانات الحركات'!C:C,MATCH(355,'بيانات الحركات'!$G:$G,0)),"")</f>
        <v/>
      </c>
      <c r="D356" s="3" t="str">
        <f>IFERROR(INDEX('بيانات الحركات'!D:D,MATCH(355,'بيانات الحركات'!$G:$G,0)),"")</f>
        <v/>
      </c>
      <c r="E356" s="21" t="str">
        <f>IF($B356="إنتاج طبخة","",IFERROR(INDEX('بيانات الحركات'!E:E,MATCH(355,'بيانات الحركات'!$G:$G,0)),""))</f>
        <v/>
      </c>
      <c r="F356" s="3" t="str">
        <f>IFERROR(INDEX('بيانات الحركات'!F:F,MATCH(355,'بيانات الحركات'!$G:$G,0)),"")</f>
        <v/>
      </c>
    </row>
    <row r="357" spans="1:6" ht="21.95" customHeight="1">
      <c r="A357" s="8" t="str">
        <f>IFERROR(INDEX('بيانات الحركات'!A:A,MATCH(356,'بيانات الحركات'!$G:$G,0)),"")</f>
        <v/>
      </c>
      <c r="B357" s="5" t="str">
        <f>IFERROR(INDEX('بيانات الحركات'!B:B,MATCH(356,'بيانات الحركات'!$G:$G,0)),"")</f>
        <v/>
      </c>
      <c r="C357" s="3" t="str">
        <f>IFERROR(INDEX('بيانات الحركات'!C:C,MATCH(356,'بيانات الحركات'!$G:$G,0)),"")</f>
        <v/>
      </c>
      <c r="D357" s="3" t="str">
        <f>IFERROR(INDEX('بيانات الحركات'!D:D,MATCH(356,'بيانات الحركات'!$G:$G,0)),"")</f>
        <v/>
      </c>
      <c r="E357" s="21" t="str">
        <f>IF($B357="إنتاج طبخة","",IFERROR(INDEX('بيانات الحركات'!E:E,MATCH(356,'بيانات الحركات'!$G:$G,0)),""))</f>
        <v/>
      </c>
      <c r="F357" s="3" t="str">
        <f>IFERROR(INDEX('بيانات الحركات'!F:F,MATCH(356,'بيانات الحركات'!$G:$G,0)),"")</f>
        <v/>
      </c>
    </row>
    <row r="358" spans="1:6" ht="21.95" customHeight="1">
      <c r="A358" s="8" t="str">
        <f>IFERROR(INDEX('بيانات الحركات'!A:A,MATCH(357,'بيانات الحركات'!$G:$G,0)),"")</f>
        <v/>
      </c>
      <c r="B358" s="5" t="str">
        <f>IFERROR(INDEX('بيانات الحركات'!B:B,MATCH(357,'بيانات الحركات'!$G:$G,0)),"")</f>
        <v/>
      </c>
      <c r="C358" s="3" t="str">
        <f>IFERROR(INDEX('بيانات الحركات'!C:C,MATCH(357,'بيانات الحركات'!$G:$G,0)),"")</f>
        <v/>
      </c>
      <c r="D358" s="3" t="str">
        <f>IFERROR(INDEX('بيانات الحركات'!D:D,MATCH(357,'بيانات الحركات'!$G:$G,0)),"")</f>
        <v/>
      </c>
      <c r="E358" s="21" t="str">
        <f>IF($B358="إنتاج طبخة","",IFERROR(INDEX('بيانات الحركات'!E:E,MATCH(357,'بيانات الحركات'!$G:$G,0)),""))</f>
        <v/>
      </c>
      <c r="F358" s="3" t="str">
        <f>IFERROR(INDEX('بيانات الحركات'!F:F,MATCH(357,'بيانات الحركات'!$G:$G,0)),"")</f>
        <v/>
      </c>
    </row>
    <row r="359" spans="1:6" ht="21.95" customHeight="1">
      <c r="A359" s="8" t="str">
        <f>IFERROR(INDEX('بيانات الحركات'!A:A,MATCH(358,'بيانات الحركات'!$G:$G,0)),"")</f>
        <v/>
      </c>
      <c r="B359" s="5" t="str">
        <f>IFERROR(INDEX('بيانات الحركات'!B:B,MATCH(358,'بيانات الحركات'!$G:$G,0)),"")</f>
        <v/>
      </c>
      <c r="C359" s="3" t="str">
        <f>IFERROR(INDEX('بيانات الحركات'!C:C,MATCH(358,'بيانات الحركات'!$G:$G,0)),"")</f>
        <v/>
      </c>
      <c r="D359" s="3" t="str">
        <f>IFERROR(INDEX('بيانات الحركات'!D:D,MATCH(358,'بيانات الحركات'!$G:$G,0)),"")</f>
        <v/>
      </c>
      <c r="E359" s="21" t="str">
        <f>IF($B359="إنتاج طبخة","",IFERROR(INDEX('بيانات الحركات'!E:E,MATCH(358,'بيانات الحركات'!$G:$G,0)),""))</f>
        <v/>
      </c>
      <c r="F359" s="3" t="str">
        <f>IFERROR(INDEX('بيانات الحركات'!F:F,MATCH(358,'بيانات الحركات'!$G:$G,0)),"")</f>
        <v/>
      </c>
    </row>
    <row r="360" spans="1:6" ht="21.95" customHeight="1">
      <c r="A360" s="8" t="str">
        <f>IFERROR(INDEX('بيانات الحركات'!A:A,MATCH(359,'بيانات الحركات'!$G:$G,0)),"")</f>
        <v/>
      </c>
      <c r="B360" s="5" t="str">
        <f>IFERROR(INDEX('بيانات الحركات'!B:B,MATCH(359,'بيانات الحركات'!$G:$G,0)),"")</f>
        <v/>
      </c>
      <c r="C360" s="3" t="str">
        <f>IFERROR(INDEX('بيانات الحركات'!C:C,MATCH(359,'بيانات الحركات'!$G:$G,0)),"")</f>
        <v/>
      </c>
      <c r="D360" s="3" t="str">
        <f>IFERROR(INDEX('بيانات الحركات'!D:D,MATCH(359,'بيانات الحركات'!$G:$G,0)),"")</f>
        <v/>
      </c>
      <c r="E360" s="21" t="str">
        <f>IF($B360="إنتاج طبخة","",IFERROR(INDEX('بيانات الحركات'!E:E,MATCH(359,'بيانات الحركات'!$G:$G,0)),""))</f>
        <v/>
      </c>
      <c r="F360" s="3" t="str">
        <f>IFERROR(INDEX('بيانات الحركات'!F:F,MATCH(359,'بيانات الحركات'!$G:$G,0)),"")</f>
        <v/>
      </c>
    </row>
    <row r="361" spans="1:6" ht="21.95" customHeight="1">
      <c r="A361" s="8" t="str">
        <f>IFERROR(INDEX('بيانات الحركات'!A:A,MATCH(360,'بيانات الحركات'!$G:$G,0)),"")</f>
        <v/>
      </c>
      <c r="B361" s="5" t="str">
        <f>IFERROR(INDEX('بيانات الحركات'!B:B,MATCH(360,'بيانات الحركات'!$G:$G,0)),"")</f>
        <v/>
      </c>
      <c r="C361" s="3" t="str">
        <f>IFERROR(INDEX('بيانات الحركات'!C:C,MATCH(360,'بيانات الحركات'!$G:$G,0)),"")</f>
        <v/>
      </c>
      <c r="D361" s="3" t="str">
        <f>IFERROR(INDEX('بيانات الحركات'!D:D,MATCH(360,'بيانات الحركات'!$G:$G,0)),"")</f>
        <v/>
      </c>
      <c r="E361" s="21" t="str">
        <f>IF($B361="إنتاج طبخة","",IFERROR(INDEX('بيانات الحركات'!E:E,MATCH(360,'بيانات الحركات'!$G:$G,0)),""))</f>
        <v/>
      </c>
      <c r="F361" s="3" t="str">
        <f>IFERROR(INDEX('بيانات الحركات'!F:F,MATCH(360,'بيانات الحركات'!$G:$G,0)),"")</f>
        <v/>
      </c>
    </row>
    <row r="362" spans="1:6" ht="21.95" customHeight="1">
      <c r="A362" s="8" t="str">
        <f>IFERROR(INDEX('بيانات الحركات'!A:A,MATCH(361,'بيانات الحركات'!$G:$G,0)),"")</f>
        <v/>
      </c>
      <c r="B362" s="5" t="str">
        <f>IFERROR(INDEX('بيانات الحركات'!B:B,MATCH(361,'بيانات الحركات'!$G:$G,0)),"")</f>
        <v/>
      </c>
      <c r="C362" s="3" t="str">
        <f>IFERROR(INDEX('بيانات الحركات'!C:C,MATCH(361,'بيانات الحركات'!$G:$G,0)),"")</f>
        <v/>
      </c>
      <c r="D362" s="3" t="str">
        <f>IFERROR(INDEX('بيانات الحركات'!D:D,MATCH(361,'بيانات الحركات'!$G:$G,0)),"")</f>
        <v/>
      </c>
      <c r="E362" s="21" t="str">
        <f>IF($B362="إنتاج طبخة","",IFERROR(INDEX('بيانات الحركات'!E:E,MATCH(361,'بيانات الحركات'!$G:$G,0)),""))</f>
        <v/>
      </c>
      <c r="F362" s="3" t="str">
        <f>IFERROR(INDEX('بيانات الحركات'!F:F,MATCH(361,'بيانات الحركات'!$G:$G,0)),"")</f>
        <v/>
      </c>
    </row>
    <row r="363" spans="1:6" ht="21.95" customHeight="1">
      <c r="A363" s="8" t="str">
        <f>IFERROR(INDEX('بيانات الحركات'!A:A,MATCH(362,'بيانات الحركات'!$G:$G,0)),"")</f>
        <v/>
      </c>
      <c r="B363" s="5" t="str">
        <f>IFERROR(INDEX('بيانات الحركات'!B:B,MATCH(362,'بيانات الحركات'!$G:$G,0)),"")</f>
        <v/>
      </c>
      <c r="C363" s="3" t="str">
        <f>IFERROR(INDEX('بيانات الحركات'!C:C,MATCH(362,'بيانات الحركات'!$G:$G,0)),"")</f>
        <v/>
      </c>
      <c r="D363" s="3" t="str">
        <f>IFERROR(INDEX('بيانات الحركات'!D:D,MATCH(362,'بيانات الحركات'!$G:$G,0)),"")</f>
        <v/>
      </c>
      <c r="E363" s="21" t="str">
        <f>IF($B363="إنتاج طبخة","",IFERROR(INDEX('بيانات الحركات'!E:E,MATCH(362,'بيانات الحركات'!$G:$G,0)),""))</f>
        <v/>
      </c>
      <c r="F363" s="3" t="str">
        <f>IFERROR(INDEX('بيانات الحركات'!F:F,MATCH(362,'بيانات الحركات'!$G:$G,0)),"")</f>
        <v/>
      </c>
    </row>
    <row r="364" spans="1:6" ht="21.95" customHeight="1">
      <c r="A364" s="8" t="str">
        <f>IFERROR(INDEX('بيانات الحركات'!A:A,MATCH(363,'بيانات الحركات'!$G:$G,0)),"")</f>
        <v/>
      </c>
      <c r="B364" s="5" t="str">
        <f>IFERROR(INDEX('بيانات الحركات'!B:B,MATCH(363,'بيانات الحركات'!$G:$G,0)),"")</f>
        <v/>
      </c>
      <c r="C364" s="3" t="str">
        <f>IFERROR(INDEX('بيانات الحركات'!C:C,MATCH(363,'بيانات الحركات'!$G:$G,0)),"")</f>
        <v/>
      </c>
      <c r="D364" s="3" t="str">
        <f>IFERROR(INDEX('بيانات الحركات'!D:D,MATCH(363,'بيانات الحركات'!$G:$G,0)),"")</f>
        <v/>
      </c>
      <c r="E364" s="21" t="str">
        <f>IF($B364="إنتاج طبخة","",IFERROR(INDEX('بيانات الحركات'!E:E,MATCH(363,'بيانات الحركات'!$G:$G,0)),""))</f>
        <v/>
      </c>
      <c r="F364" s="3" t="str">
        <f>IFERROR(INDEX('بيانات الحركات'!F:F,MATCH(363,'بيانات الحركات'!$G:$G,0)),"")</f>
        <v/>
      </c>
    </row>
    <row r="365" spans="1:6" ht="21.95" customHeight="1">
      <c r="A365" s="8" t="str">
        <f>IFERROR(INDEX('بيانات الحركات'!A:A,MATCH(364,'بيانات الحركات'!$G:$G,0)),"")</f>
        <v/>
      </c>
      <c r="B365" s="5" t="str">
        <f>IFERROR(INDEX('بيانات الحركات'!B:B,MATCH(364,'بيانات الحركات'!$G:$G,0)),"")</f>
        <v/>
      </c>
      <c r="C365" s="3" t="str">
        <f>IFERROR(INDEX('بيانات الحركات'!C:C,MATCH(364,'بيانات الحركات'!$G:$G,0)),"")</f>
        <v/>
      </c>
      <c r="D365" s="3" t="str">
        <f>IFERROR(INDEX('بيانات الحركات'!D:D,MATCH(364,'بيانات الحركات'!$G:$G,0)),"")</f>
        <v/>
      </c>
      <c r="E365" s="21" t="str">
        <f>IF($B365="إنتاج طبخة","",IFERROR(INDEX('بيانات الحركات'!E:E,MATCH(364,'بيانات الحركات'!$G:$G,0)),""))</f>
        <v/>
      </c>
      <c r="F365" s="3" t="str">
        <f>IFERROR(INDEX('بيانات الحركات'!F:F,MATCH(364,'بيانات الحركات'!$G:$G,0)),"")</f>
        <v/>
      </c>
    </row>
    <row r="366" spans="1:6" ht="21.95" customHeight="1">
      <c r="A366" s="8" t="str">
        <f>IFERROR(INDEX('بيانات الحركات'!A:A,MATCH(365,'بيانات الحركات'!$G:$G,0)),"")</f>
        <v/>
      </c>
      <c r="B366" s="5" t="str">
        <f>IFERROR(INDEX('بيانات الحركات'!B:B,MATCH(365,'بيانات الحركات'!$G:$G,0)),"")</f>
        <v/>
      </c>
      <c r="C366" s="3" t="str">
        <f>IFERROR(INDEX('بيانات الحركات'!C:C,MATCH(365,'بيانات الحركات'!$G:$G,0)),"")</f>
        <v/>
      </c>
      <c r="D366" s="3" t="str">
        <f>IFERROR(INDEX('بيانات الحركات'!D:D,MATCH(365,'بيانات الحركات'!$G:$G,0)),"")</f>
        <v/>
      </c>
      <c r="E366" s="21" t="str">
        <f>IF($B366="إنتاج طبخة","",IFERROR(INDEX('بيانات الحركات'!E:E,MATCH(365,'بيانات الحركات'!$G:$G,0)),""))</f>
        <v/>
      </c>
      <c r="F366" s="3" t="str">
        <f>IFERROR(INDEX('بيانات الحركات'!F:F,MATCH(365,'بيانات الحركات'!$G:$G,0)),"")</f>
        <v/>
      </c>
    </row>
    <row r="367" spans="1:6" ht="21.95" customHeight="1">
      <c r="A367" s="8" t="str">
        <f>IFERROR(INDEX('بيانات الحركات'!A:A,MATCH(366,'بيانات الحركات'!$G:$G,0)),"")</f>
        <v/>
      </c>
      <c r="B367" s="5" t="str">
        <f>IFERROR(INDEX('بيانات الحركات'!B:B,MATCH(366,'بيانات الحركات'!$G:$G,0)),"")</f>
        <v/>
      </c>
      <c r="C367" s="3" t="str">
        <f>IFERROR(INDEX('بيانات الحركات'!C:C,MATCH(366,'بيانات الحركات'!$G:$G,0)),"")</f>
        <v/>
      </c>
      <c r="D367" s="3" t="str">
        <f>IFERROR(INDEX('بيانات الحركات'!D:D,MATCH(366,'بيانات الحركات'!$G:$G,0)),"")</f>
        <v/>
      </c>
      <c r="E367" s="21" t="str">
        <f>IF($B367="إنتاج طبخة","",IFERROR(INDEX('بيانات الحركات'!E:E,MATCH(366,'بيانات الحركات'!$G:$G,0)),""))</f>
        <v/>
      </c>
      <c r="F367" s="3" t="str">
        <f>IFERROR(INDEX('بيانات الحركات'!F:F,MATCH(366,'بيانات الحركات'!$G:$G,0)),"")</f>
        <v/>
      </c>
    </row>
    <row r="368" spans="1:6" ht="21.95" customHeight="1">
      <c r="A368" s="8" t="str">
        <f>IFERROR(INDEX('بيانات الحركات'!A:A,MATCH(367,'بيانات الحركات'!$G:$G,0)),"")</f>
        <v/>
      </c>
      <c r="B368" s="5" t="str">
        <f>IFERROR(INDEX('بيانات الحركات'!B:B,MATCH(367,'بيانات الحركات'!$G:$G,0)),"")</f>
        <v/>
      </c>
      <c r="C368" s="3" t="str">
        <f>IFERROR(INDEX('بيانات الحركات'!C:C,MATCH(367,'بيانات الحركات'!$G:$G,0)),"")</f>
        <v/>
      </c>
      <c r="D368" s="3" t="str">
        <f>IFERROR(INDEX('بيانات الحركات'!D:D,MATCH(367,'بيانات الحركات'!$G:$G,0)),"")</f>
        <v/>
      </c>
      <c r="E368" s="21" t="str">
        <f>IF($B368="إنتاج طبخة","",IFERROR(INDEX('بيانات الحركات'!E:E,MATCH(367,'بيانات الحركات'!$G:$G,0)),""))</f>
        <v/>
      </c>
      <c r="F368" s="3" t="str">
        <f>IFERROR(INDEX('بيانات الحركات'!F:F,MATCH(367,'بيانات الحركات'!$G:$G,0)),"")</f>
        <v/>
      </c>
    </row>
    <row r="369" spans="1:6" ht="21.95" customHeight="1">
      <c r="A369" s="8" t="str">
        <f>IFERROR(INDEX('بيانات الحركات'!A:A,MATCH(368,'بيانات الحركات'!$G:$G,0)),"")</f>
        <v/>
      </c>
      <c r="B369" s="5" t="str">
        <f>IFERROR(INDEX('بيانات الحركات'!B:B,MATCH(368,'بيانات الحركات'!$G:$G,0)),"")</f>
        <v/>
      </c>
      <c r="C369" s="3" t="str">
        <f>IFERROR(INDEX('بيانات الحركات'!C:C,MATCH(368,'بيانات الحركات'!$G:$G,0)),"")</f>
        <v/>
      </c>
      <c r="D369" s="3" t="str">
        <f>IFERROR(INDEX('بيانات الحركات'!D:D,MATCH(368,'بيانات الحركات'!$G:$G,0)),"")</f>
        <v/>
      </c>
      <c r="E369" s="21" t="str">
        <f>IF($B369="إنتاج طبخة","",IFERROR(INDEX('بيانات الحركات'!E:E,MATCH(368,'بيانات الحركات'!$G:$G,0)),""))</f>
        <v/>
      </c>
      <c r="F369" s="3" t="str">
        <f>IFERROR(INDEX('بيانات الحركات'!F:F,MATCH(368,'بيانات الحركات'!$G:$G,0)),"")</f>
        <v/>
      </c>
    </row>
    <row r="370" spans="1:6" ht="21.95" customHeight="1">
      <c r="A370" s="8" t="str">
        <f>IFERROR(INDEX('بيانات الحركات'!A:A,MATCH(369,'بيانات الحركات'!$G:$G,0)),"")</f>
        <v/>
      </c>
      <c r="B370" s="5" t="str">
        <f>IFERROR(INDEX('بيانات الحركات'!B:B,MATCH(369,'بيانات الحركات'!$G:$G,0)),"")</f>
        <v/>
      </c>
      <c r="C370" s="3" t="str">
        <f>IFERROR(INDEX('بيانات الحركات'!C:C,MATCH(369,'بيانات الحركات'!$G:$G,0)),"")</f>
        <v/>
      </c>
      <c r="D370" s="3" t="str">
        <f>IFERROR(INDEX('بيانات الحركات'!D:D,MATCH(369,'بيانات الحركات'!$G:$G,0)),"")</f>
        <v/>
      </c>
      <c r="E370" s="21" t="str">
        <f>IF($B370="إنتاج طبخة","",IFERROR(INDEX('بيانات الحركات'!E:E,MATCH(369,'بيانات الحركات'!$G:$G,0)),""))</f>
        <v/>
      </c>
      <c r="F370" s="3" t="str">
        <f>IFERROR(INDEX('بيانات الحركات'!F:F,MATCH(369,'بيانات الحركات'!$G:$G,0)),"")</f>
        <v/>
      </c>
    </row>
    <row r="371" spans="1:6" ht="21.95" customHeight="1">
      <c r="A371" s="8" t="str">
        <f>IFERROR(INDEX('بيانات الحركات'!A:A,MATCH(370,'بيانات الحركات'!$G:$G,0)),"")</f>
        <v/>
      </c>
      <c r="B371" s="5" t="str">
        <f>IFERROR(INDEX('بيانات الحركات'!B:B,MATCH(370,'بيانات الحركات'!$G:$G,0)),"")</f>
        <v/>
      </c>
      <c r="C371" s="3" t="str">
        <f>IFERROR(INDEX('بيانات الحركات'!C:C,MATCH(370,'بيانات الحركات'!$G:$G,0)),"")</f>
        <v/>
      </c>
      <c r="D371" s="3" t="str">
        <f>IFERROR(INDEX('بيانات الحركات'!D:D,MATCH(370,'بيانات الحركات'!$G:$G,0)),"")</f>
        <v/>
      </c>
      <c r="E371" s="21" t="str">
        <f>IF($B371="إنتاج طبخة","",IFERROR(INDEX('بيانات الحركات'!E:E,MATCH(370,'بيانات الحركات'!$G:$G,0)),""))</f>
        <v/>
      </c>
      <c r="F371" s="3" t="str">
        <f>IFERROR(INDEX('بيانات الحركات'!F:F,MATCH(370,'بيانات الحركات'!$G:$G,0)),"")</f>
        <v/>
      </c>
    </row>
    <row r="372" spans="1:6" ht="21.95" customHeight="1">
      <c r="A372" s="8" t="str">
        <f>IFERROR(INDEX('بيانات الحركات'!A:A,MATCH(371,'بيانات الحركات'!$G:$G,0)),"")</f>
        <v/>
      </c>
      <c r="B372" s="5" t="str">
        <f>IFERROR(INDEX('بيانات الحركات'!B:B,MATCH(371,'بيانات الحركات'!$G:$G,0)),"")</f>
        <v/>
      </c>
      <c r="C372" s="3" t="str">
        <f>IFERROR(INDEX('بيانات الحركات'!C:C,MATCH(371,'بيانات الحركات'!$G:$G,0)),"")</f>
        <v/>
      </c>
      <c r="D372" s="3" t="str">
        <f>IFERROR(INDEX('بيانات الحركات'!D:D,MATCH(371,'بيانات الحركات'!$G:$G,0)),"")</f>
        <v/>
      </c>
      <c r="E372" s="21" t="str">
        <f>IF($B372="إنتاج طبخة","",IFERROR(INDEX('بيانات الحركات'!E:E,MATCH(371,'بيانات الحركات'!$G:$G,0)),""))</f>
        <v/>
      </c>
      <c r="F372" s="3" t="str">
        <f>IFERROR(INDEX('بيانات الحركات'!F:F,MATCH(371,'بيانات الحركات'!$G:$G,0)),"")</f>
        <v/>
      </c>
    </row>
    <row r="373" spans="1:6" ht="21.95" customHeight="1">
      <c r="A373" s="8" t="str">
        <f>IFERROR(INDEX('بيانات الحركات'!A:A,MATCH(372,'بيانات الحركات'!$G:$G,0)),"")</f>
        <v/>
      </c>
      <c r="B373" s="5" t="str">
        <f>IFERROR(INDEX('بيانات الحركات'!B:B,MATCH(372,'بيانات الحركات'!$G:$G,0)),"")</f>
        <v/>
      </c>
      <c r="C373" s="3" t="str">
        <f>IFERROR(INDEX('بيانات الحركات'!C:C,MATCH(372,'بيانات الحركات'!$G:$G,0)),"")</f>
        <v/>
      </c>
      <c r="D373" s="3" t="str">
        <f>IFERROR(INDEX('بيانات الحركات'!D:D,MATCH(372,'بيانات الحركات'!$G:$G,0)),"")</f>
        <v/>
      </c>
      <c r="E373" s="21" t="str">
        <f>IF($B373="إنتاج طبخة","",IFERROR(INDEX('بيانات الحركات'!E:E,MATCH(372,'بيانات الحركات'!$G:$G,0)),""))</f>
        <v/>
      </c>
      <c r="F373" s="3" t="str">
        <f>IFERROR(INDEX('بيانات الحركات'!F:F,MATCH(372,'بيانات الحركات'!$G:$G,0)),"")</f>
        <v/>
      </c>
    </row>
    <row r="374" spans="1:6" ht="21.95" customHeight="1">
      <c r="A374" s="8" t="str">
        <f>IFERROR(INDEX('بيانات الحركات'!A:A,MATCH(373,'بيانات الحركات'!$G:$G,0)),"")</f>
        <v/>
      </c>
      <c r="B374" s="5" t="str">
        <f>IFERROR(INDEX('بيانات الحركات'!B:B,MATCH(373,'بيانات الحركات'!$G:$G,0)),"")</f>
        <v/>
      </c>
      <c r="C374" s="3" t="str">
        <f>IFERROR(INDEX('بيانات الحركات'!C:C,MATCH(373,'بيانات الحركات'!$G:$G,0)),"")</f>
        <v/>
      </c>
      <c r="D374" s="3" t="str">
        <f>IFERROR(INDEX('بيانات الحركات'!D:D,MATCH(373,'بيانات الحركات'!$G:$G,0)),"")</f>
        <v/>
      </c>
      <c r="E374" s="21" t="str">
        <f>IF($B374="إنتاج طبخة","",IFERROR(INDEX('بيانات الحركات'!E:E,MATCH(373,'بيانات الحركات'!$G:$G,0)),""))</f>
        <v/>
      </c>
      <c r="F374" s="3" t="str">
        <f>IFERROR(INDEX('بيانات الحركات'!F:F,MATCH(373,'بيانات الحركات'!$G:$G,0)),"")</f>
        <v/>
      </c>
    </row>
    <row r="375" spans="1:6" ht="21.95" customHeight="1">
      <c r="A375" s="8" t="str">
        <f>IFERROR(INDEX('بيانات الحركات'!A:A,MATCH(374,'بيانات الحركات'!$G:$G,0)),"")</f>
        <v/>
      </c>
      <c r="B375" s="5" t="str">
        <f>IFERROR(INDEX('بيانات الحركات'!B:B,MATCH(374,'بيانات الحركات'!$G:$G,0)),"")</f>
        <v/>
      </c>
      <c r="C375" s="3" t="str">
        <f>IFERROR(INDEX('بيانات الحركات'!C:C,MATCH(374,'بيانات الحركات'!$G:$G,0)),"")</f>
        <v/>
      </c>
      <c r="D375" s="3" t="str">
        <f>IFERROR(INDEX('بيانات الحركات'!D:D,MATCH(374,'بيانات الحركات'!$G:$G,0)),"")</f>
        <v/>
      </c>
      <c r="E375" s="21" t="str">
        <f>IF($B375="إنتاج طبخة","",IFERROR(INDEX('بيانات الحركات'!E:E,MATCH(374,'بيانات الحركات'!$G:$G,0)),""))</f>
        <v/>
      </c>
      <c r="F375" s="3" t="str">
        <f>IFERROR(INDEX('بيانات الحركات'!F:F,MATCH(374,'بيانات الحركات'!$G:$G,0)),"")</f>
        <v/>
      </c>
    </row>
    <row r="376" spans="1:6" ht="21.95" customHeight="1">
      <c r="A376" s="8" t="str">
        <f>IFERROR(INDEX('بيانات الحركات'!A:A,MATCH(375,'بيانات الحركات'!$G:$G,0)),"")</f>
        <v/>
      </c>
      <c r="B376" s="5" t="str">
        <f>IFERROR(INDEX('بيانات الحركات'!B:B,MATCH(375,'بيانات الحركات'!$G:$G,0)),"")</f>
        <v/>
      </c>
      <c r="C376" s="3" t="str">
        <f>IFERROR(INDEX('بيانات الحركات'!C:C,MATCH(375,'بيانات الحركات'!$G:$G,0)),"")</f>
        <v/>
      </c>
      <c r="D376" s="3" t="str">
        <f>IFERROR(INDEX('بيانات الحركات'!D:D,MATCH(375,'بيانات الحركات'!$G:$G,0)),"")</f>
        <v/>
      </c>
      <c r="E376" s="21" t="str">
        <f>IF($B376="إنتاج طبخة","",IFERROR(INDEX('بيانات الحركات'!E:E,MATCH(375,'بيانات الحركات'!$G:$G,0)),""))</f>
        <v/>
      </c>
      <c r="F376" s="3" t="str">
        <f>IFERROR(INDEX('بيانات الحركات'!F:F,MATCH(375,'بيانات الحركات'!$G:$G,0)),"")</f>
        <v/>
      </c>
    </row>
    <row r="377" spans="1:6" ht="21.95" customHeight="1">
      <c r="A377" s="8" t="str">
        <f>IFERROR(INDEX('بيانات الحركات'!A:A,MATCH(376,'بيانات الحركات'!$G:$G,0)),"")</f>
        <v/>
      </c>
      <c r="B377" s="5" t="str">
        <f>IFERROR(INDEX('بيانات الحركات'!B:B,MATCH(376,'بيانات الحركات'!$G:$G,0)),"")</f>
        <v/>
      </c>
      <c r="C377" s="3" t="str">
        <f>IFERROR(INDEX('بيانات الحركات'!C:C,MATCH(376,'بيانات الحركات'!$G:$G,0)),"")</f>
        <v/>
      </c>
      <c r="D377" s="3" t="str">
        <f>IFERROR(INDEX('بيانات الحركات'!D:D,MATCH(376,'بيانات الحركات'!$G:$G,0)),"")</f>
        <v/>
      </c>
      <c r="E377" s="21" t="str">
        <f>IF($B377="إنتاج طبخة","",IFERROR(INDEX('بيانات الحركات'!E:E,MATCH(376,'بيانات الحركات'!$G:$G,0)),""))</f>
        <v/>
      </c>
      <c r="F377" s="3" t="str">
        <f>IFERROR(INDEX('بيانات الحركات'!F:F,MATCH(376,'بيانات الحركات'!$G:$G,0)),"")</f>
        <v/>
      </c>
    </row>
    <row r="378" spans="1:6" ht="21.95" customHeight="1">
      <c r="A378" s="8" t="str">
        <f>IFERROR(INDEX('بيانات الحركات'!A:A,MATCH(377,'بيانات الحركات'!$G:$G,0)),"")</f>
        <v/>
      </c>
      <c r="B378" s="5" t="str">
        <f>IFERROR(INDEX('بيانات الحركات'!B:B,MATCH(377,'بيانات الحركات'!$G:$G,0)),"")</f>
        <v/>
      </c>
      <c r="C378" s="3" t="str">
        <f>IFERROR(INDEX('بيانات الحركات'!C:C,MATCH(377,'بيانات الحركات'!$G:$G,0)),"")</f>
        <v/>
      </c>
      <c r="D378" s="3" t="str">
        <f>IFERROR(INDEX('بيانات الحركات'!D:D,MATCH(377,'بيانات الحركات'!$G:$G,0)),"")</f>
        <v/>
      </c>
      <c r="E378" s="21" t="str">
        <f>IF($B378="إنتاج طبخة","",IFERROR(INDEX('بيانات الحركات'!E:E,MATCH(377,'بيانات الحركات'!$G:$G,0)),""))</f>
        <v/>
      </c>
      <c r="F378" s="3" t="str">
        <f>IFERROR(INDEX('بيانات الحركات'!F:F,MATCH(377,'بيانات الحركات'!$G:$G,0)),"")</f>
        <v/>
      </c>
    </row>
    <row r="379" spans="1:6" ht="21.95" customHeight="1">
      <c r="A379" s="8" t="str">
        <f>IFERROR(INDEX('بيانات الحركات'!A:A,MATCH(378,'بيانات الحركات'!$G:$G,0)),"")</f>
        <v/>
      </c>
      <c r="B379" s="5" t="str">
        <f>IFERROR(INDEX('بيانات الحركات'!B:B,MATCH(378,'بيانات الحركات'!$G:$G,0)),"")</f>
        <v/>
      </c>
      <c r="C379" s="3" t="str">
        <f>IFERROR(INDEX('بيانات الحركات'!C:C,MATCH(378,'بيانات الحركات'!$G:$G,0)),"")</f>
        <v/>
      </c>
      <c r="D379" s="3" t="str">
        <f>IFERROR(INDEX('بيانات الحركات'!D:D,MATCH(378,'بيانات الحركات'!$G:$G,0)),"")</f>
        <v/>
      </c>
      <c r="E379" s="21" t="str">
        <f>IF($B379="إنتاج طبخة","",IFERROR(INDEX('بيانات الحركات'!E:E,MATCH(378,'بيانات الحركات'!$G:$G,0)),""))</f>
        <v/>
      </c>
      <c r="F379" s="3" t="str">
        <f>IFERROR(INDEX('بيانات الحركات'!F:F,MATCH(378,'بيانات الحركات'!$G:$G,0)),"")</f>
        <v/>
      </c>
    </row>
    <row r="380" spans="1:6" ht="21.95" customHeight="1">
      <c r="A380" s="8" t="str">
        <f>IFERROR(INDEX('بيانات الحركات'!A:A,MATCH(379,'بيانات الحركات'!$G:$G,0)),"")</f>
        <v/>
      </c>
      <c r="B380" s="5" t="str">
        <f>IFERROR(INDEX('بيانات الحركات'!B:B,MATCH(379,'بيانات الحركات'!$G:$G,0)),"")</f>
        <v/>
      </c>
      <c r="C380" s="3" t="str">
        <f>IFERROR(INDEX('بيانات الحركات'!C:C,MATCH(379,'بيانات الحركات'!$G:$G,0)),"")</f>
        <v/>
      </c>
      <c r="D380" s="3" t="str">
        <f>IFERROR(INDEX('بيانات الحركات'!D:D,MATCH(379,'بيانات الحركات'!$G:$G,0)),"")</f>
        <v/>
      </c>
      <c r="E380" s="21" t="str">
        <f>IF($B380="إنتاج طبخة","",IFERROR(INDEX('بيانات الحركات'!E:E,MATCH(379,'بيانات الحركات'!$G:$G,0)),""))</f>
        <v/>
      </c>
      <c r="F380" s="3" t="str">
        <f>IFERROR(INDEX('بيانات الحركات'!F:F,MATCH(379,'بيانات الحركات'!$G:$G,0)),"")</f>
        <v/>
      </c>
    </row>
    <row r="381" spans="1:6" ht="21.95" customHeight="1">
      <c r="A381" s="8" t="str">
        <f>IFERROR(INDEX('بيانات الحركات'!A:A,MATCH(380,'بيانات الحركات'!$G:$G,0)),"")</f>
        <v/>
      </c>
      <c r="B381" s="5" t="str">
        <f>IFERROR(INDEX('بيانات الحركات'!B:B,MATCH(380,'بيانات الحركات'!$G:$G,0)),"")</f>
        <v/>
      </c>
      <c r="C381" s="3" t="str">
        <f>IFERROR(INDEX('بيانات الحركات'!C:C,MATCH(380,'بيانات الحركات'!$G:$G,0)),"")</f>
        <v/>
      </c>
      <c r="D381" s="3" t="str">
        <f>IFERROR(INDEX('بيانات الحركات'!D:D,MATCH(380,'بيانات الحركات'!$G:$G,0)),"")</f>
        <v/>
      </c>
      <c r="E381" s="21" t="str">
        <f>IF($B381="إنتاج طبخة","",IFERROR(INDEX('بيانات الحركات'!E:E,MATCH(380,'بيانات الحركات'!$G:$G,0)),""))</f>
        <v/>
      </c>
      <c r="F381" s="3" t="str">
        <f>IFERROR(INDEX('بيانات الحركات'!F:F,MATCH(380,'بيانات الحركات'!$G:$G,0)),"")</f>
        <v/>
      </c>
    </row>
    <row r="382" spans="1:6" ht="21.95" customHeight="1">
      <c r="A382" s="8" t="str">
        <f>IFERROR(INDEX('بيانات الحركات'!A:A,MATCH(381,'بيانات الحركات'!$G:$G,0)),"")</f>
        <v/>
      </c>
      <c r="B382" s="5" t="str">
        <f>IFERROR(INDEX('بيانات الحركات'!B:B,MATCH(381,'بيانات الحركات'!$G:$G,0)),"")</f>
        <v/>
      </c>
      <c r="C382" s="3" t="str">
        <f>IFERROR(INDEX('بيانات الحركات'!C:C,MATCH(381,'بيانات الحركات'!$G:$G,0)),"")</f>
        <v/>
      </c>
      <c r="D382" s="3" t="str">
        <f>IFERROR(INDEX('بيانات الحركات'!D:D,MATCH(381,'بيانات الحركات'!$G:$G,0)),"")</f>
        <v/>
      </c>
      <c r="E382" s="21" t="str">
        <f>IF($B382="إنتاج طبخة","",IFERROR(INDEX('بيانات الحركات'!E:E,MATCH(381,'بيانات الحركات'!$G:$G,0)),""))</f>
        <v/>
      </c>
      <c r="F382" s="3" t="str">
        <f>IFERROR(INDEX('بيانات الحركات'!F:F,MATCH(381,'بيانات الحركات'!$G:$G,0)),"")</f>
        <v/>
      </c>
    </row>
    <row r="383" spans="1:6" ht="21.95" customHeight="1">
      <c r="A383" s="8" t="str">
        <f>IFERROR(INDEX('بيانات الحركات'!A:A,MATCH(382,'بيانات الحركات'!$G:$G,0)),"")</f>
        <v/>
      </c>
      <c r="B383" s="5" t="str">
        <f>IFERROR(INDEX('بيانات الحركات'!B:B,MATCH(382,'بيانات الحركات'!$G:$G,0)),"")</f>
        <v/>
      </c>
      <c r="C383" s="3" t="str">
        <f>IFERROR(INDEX('بيانات الحركات'!C:C,MATCH(382,'بيانات الحركات'!$G:$G,0)),"")</f>
        <v/>
      </c>
      <c r="D383" s="3" t="str">
        <f>IFERROR(INDEX('بيانات الحركات'!D:D,MATCH(382,'بيانات الحركات'!$G:$G,0)),"")</f>
        <v/>
      </c>
      <c r="E383" s="21" t="str">
        <f>IF($B383="إنتاج طبخة","",IFERROR(INDEX('بيانات الحركات'!E:E,MATCH(382,'بيانات الحركات'!$G:$G,0)),""))</f>
        <v/>
      </c>
      <c r="F383" s="3" t="str">
        <f>IFERROR(INDEX('بيانات الحركات'!F:F,MATCH(382,'بيانات الحركات'!$G:$G,0)),"")</f>
        <v/>
      </c>
    </row>
    <row r="384" spans="1:6" ht="21.95" customHeight="1">
      <c r="A384" s="8" t="str">
        <f>IFERROR(INDEX('بيانات الحركات'!A:A,MATCH(383,'بيانات الحركات'!$G:$G,0)),"")</f>
        <v/>
      </c>
      <c r="B384" s="5" t="str">
        <f>IFERROR(INDEX('بيانات الحركات'!B:B,MATCH(383,'بيانات الحركات'!$G:$G,0)),"")</f>
        <v/>
      </c>
      <c r="C384" s="3" t="str">
        <f>IFERROR(INDEX('بيانات الحركات'!C:C,MATCH(383,'بيانات الحركات'!$G:$G,0)),"")</f>
        <v/>
      </c>
      <c r="D384" s="3" t="str">
        <f>IFERROR(INDEX('بيانات الحركات'!D:D,MATCH(383,'بيانات الحركات'!$G:$G,0)),"")</f>
        <v/>
      </c>
      <c r="E384" s="21" t="str">
        <f>IF($B384="إنتاج طبخة","",IFERROR(INDEX('بيانات الحركات'!E:E,MATCH(383,'بيانات الحركات'!$G:$G,0)),""))</f>
        <v/>
      </c>
      <c r="F384" s="3" t="str">
        <f>IFERROR(INDEX('بيانات الحركات'!F:F,MATCH(383,'بيانات الحركات'!$G:$G,0)),"")</f>
        <v/>
      </c>
    </row>
    <row r="385" spans="1:6" ht="21.95" customHeight="1">
      <c r="A385" s="8" t="str">
        <f>IFERROR(INDEX('بيانات الحركات'!A:A,MATCH(384,'بيانات الحركات'!$G:$G,0)),"")</f>
        <v/>
      </c>
      <c r="B385" s="5" t="str">
        <f>IFERROR(INDEX('بيانات الحركات'!B:B,MATCH(384,'بيانات الحركات'!$G:$G,0)),"")</f>
        <v/>
      </c>
      <c r="C385" s="3" t="str">
        <f>IFERROR(INDEX('بيانات الحركات'!C:C,MATCH(384,'بيانات الحركات'!$G:$G,0)),"")</f>
        <v/>
      </c>
      <c r="D385" s="3" t="str">
        <f>IFERROR(INDEX('بيانات الحركات'!D:D,MATCH(384,'بيانات الحركات'!$G:$G,0)),"")</f>
        <v/>
      </c>
      <c r="E385" s="21" t="str">
        <f>IF($B385="إنتاج طبخة","",IFERROR(INDEX('بيانات الحركات'!E:E,MATCH(384,'بيانات الحركات'!$G:$G,0)),""))</f>
        <v/>
      </c>
      <c r="F385" s="3" t="str">
        <f>IFERROR(INDEX('بيانات الحركات'!F:F,MATCH(384,'بيانات الحركات'!$G:$G,0)),"")</f>
        <v/>
      </c>
    </row>
    <row r="386" spans="1:6" ht="21.95" customHeight="1">
      <c r="A386" s="8" t="str">
        <f>IFERROR(INDEX('بيانات الحركات'!A:A,MATCH(385,'بيانات الحركات'!$G:$G,0)),"")</f>
        <v/>
      </c>
      <c r="B386" s="5" t="str">
        <f>IFERROR(INDEX('بيانات الحركات'!B:B,MATCH(385,'بيانات الحركات'!$G:$G,0)),"")</f>
        <v/>
      </c>
      <c r="C386" s="3" t="str">
        <f>IFERROR(INDEX('بيانات الحركات'!C:C,MATCH(385,'بيانات الحركات'!$G:$G,0)),"")</f>
        <v/>
      </c>
      <c r="D386" s="3" t="str">
        <f>IFERROR(INDEX('بيانات الحركات'!D:D,MATCH(385,'بيانات الحركات'!$G:$G,0)),"")</f>
        <v/>
      </c>
      <c r="E386" s="21" t="str">
        <f>IF($B386="إنتاج طبخة","",IFERROR(INDEX('بيانات الحركات'!E:E,MATCH(385,'بيانات الحركات'!$G:$G,0)),""))</f>
        <v/>
      </c>
      <c r="F386" s="3" t="str">
        <f>IFERROR(INDEX('بيانات الحركات'!F:F,MATCH(385,'بيانات الحركات'!$G:$G,0)),"")</f>
        <v/>
      </c>
    </row>
    <row r="387" spans="1:6" ht="21.95" customHeight="1">
      <c r="A387" s="8" t="str">
        <f>IFERROR(INDEX('بيانات الحركات'!A:A,MATCH(386,'بيانات الحركات'!$G:$G,0)),"")</f>
        <v/>
      </c>
      <c r="B387" s="5" t="str">
        <f>IFERROR(INDEX('بيانات الحركات'!B:B,MATCH(386,'بيانات الحركات'!$G:$G,0)),"")</f>
        <v/>
      </c>
      <c r="C387" s="3" t="str">
        <f>IFERROR(INDEX('بيانات الحركات'!C:C,MATCH(386,'بيانات الحركات'!$G:$G,0)),"")</f>
        <v/>
      </c>
      <c r="D387" s="3" t="str">
        <f>IFERROR(INDEX('بيانات الحركات'!D:D,MATCH(386,'بيانات الحركات'!$G:$G,0)),"")</f>
        <v/>
      </c>
      <c r="E387" s="21" t="str">
        <f>IF($B387="إنتاج طبخة","",IFERROR(INDEX('بيانات الحركات'!E:E,MATCH(386,'بيانات الحركات'!$G:$G,0)),""))</f>
        <v/>
      </c>
      <c r="F387" s="3" t="str">
        <f>IFERROR(INDEX('بيانات الحركات'!F:F,MATCH(386,'بيانات الحركات'!$G:$G,0)),"")</f>
        <v/>
      </c>
    </row>
    <row r="388" spans="1:6" ht="21.95" customHeight="1">
      <c r="A388" s="8" t="str">
        <f>IFERROR(INDEX('بيانات الحركات'!A:A,MATCH(387,'بيانات الحركات'!$G:$G,0)),"")</f>
        <v/>
      </c>
      <c r="B388" s="5" t="str">
        <f>IFERROR(INDEX('بيانات الحركات'!B:B,MATCH(387,'بيانات الحركات'!$G:$G,0)),"")</f>
        <v/>
      </c>
      <c r="C388" s="3" t="str">
        <f>IFERROR(INDEX('بيانات الحركات'!C:C,MATCH(387,'بيانات الحركات'!$G:$G,0)),"")</f>
        <v/>
      </c>
      <c r="D388" s="3" t="str">
        <f>IFERROR(INDEX('بيانات الحركات'!D:D,MATCH(387,'بيانات الحركات'!$G:$G,0)),"")</f>
        <v/>
      </c>
      <c r="E388" s="21" t="str">
        <f>IF($B388="إنتاج طبخة","",IFERROR(INDEX('بيانات الحركات'!E:E,MATCH(387,'بيانات الحركات'!$G:$G,0)),""))</f>
        <v/>
      </c>
      <c r="F388" s="3" t="str">
        <f>IFERROR(INDEX('بيانات الحركات'!F:F,MATCH(387,'بيانات الحركات'!$G:$G,0)),"")</f>
        <v/>
      </c>
    </row>
    <row r="389" spans="1:6" ht="21.95" customHeight="1">
      <c r="A389" s="8" t="str">
        <f>IFERROR(INDEX('بيانات الحركات'!A:A,MATCH(388,'بيانات الحركات'!$G:$G,0)),"")</f>
        <v/>
      </c>
      <c r="B389" s="5" t="str">
        <f>IFERROR(INDEX('بيانات الحركات'!B:B,MATCH(388,'بيانات الحركات'!$G:$G,0)),"")</f>
        <v/>
      </c>
      <c r="C389" s="3" t="str">
        <f>IFERROR(INDEX('بيانات الحركات'!C:C,MATCH(388,'بيانات الحركات'!$G:$G,0)),"")</f>
        <v/>
      </c>
      <c r="D389" s="3" t="str">
        <f>IFERROR(INDEX('بيانات الحركات'!D:D,MATCH(388,'بيانات الحركات'!$G:$G,0)),"")</f>
        <v/>
      </c>
      <c r="E389" s="21" t="str">
        <f>IF($B389="إنتاج طبخة","",IFERROR(INDEX('بيانات الحركات'!E:E,MATCH(388,'بيانات الحركات'!$G:$G,0)),""))</f>
        <v/>
      </c>
      <c r="F389" s="3" t="str">
        <f>IFERROR(INDEX('بيانات الحركات'!F:F,MATCH(388,'بيانات الحركات'!$G:$G,0)),"")</f>
        <v/>
      </c>
    </row>
    <row r="390" spans="1:6" ht="21.95" customHeight="1">
      <c r="A390" s="8" t="str">
        <f>IFERROR(INDEX('بيانات الحركات'!A:A,MATCH(389,'بيانات الحركات'!$G:$G,0)),"")</f>
        <v/>
      </c>
      <c r="B390" s="5" t="str">
        <f>IFERROR(INDEX('بيانات الحركات'!B:B,MATCH(389,'بيانات الحركات'!$G:$G,0)),"")</f>
        <v/>
      </c>
      <c r="C390" s="3" t="str">
        <f>IFERROR(INDEX('بيانات الحركات'!C:C,MATCH(389,'بيانات الحركات'!$G:$G,0)),"")</f>
        <v/>
      </c>
      <c r="D390" s="3" t="str">
        <f>IFERROR(INDEX('بيانات الحركات'!D:D,MATCH(389,'بيانات الحركات'!$G:$G,0)),"")</f>
        <v/>
      </c>
      <c r="E390" s="21" t="str">
        <f>IF($B390="إنتاج طبخة","",IFERROR(INDEX('بيانات الحركات'!E:E,MATCH(389,'بيانات الحركات'!$G:$G,0)),""))</f>
        <v/>
      </c>
      <c r="F390" s="3" t="str">
        <f>IFERROR(INDEX('بيانات الحركات'!F:F,MATCH(389,'بيانات الحركات'!$G:$G,0)),"")</f>
        <v/>
      </c>
    </row>
    <row r="391" spans="1:6" ht="21.95" customHeight="1">
      <c r="A391" s="8" t="str">
        <f>IFERROR(INDEX('بيانات الحركات'!A:A,MATCH(390,'بيانات الحركات'!$G:$G,0)),"")</f>
        <v/>
      </c>
      <c r="B391" s="5" t="str">
        <f>IFERROR(INDEX('بيانات الحركات'!B:B,MATCH(390,'بيانات الحركات'!$G:$G,0)),"")</f>
        <v/>
      </c>
      <c r="C391" s="3" t="str">
        <f>IFERROR(INDEX('بيانات الحركات'!C:C,MATCH(390,'بيانات الحركات'!$G:$G,0)),"")</f>
        <v/>
      </c>
      <c r="D391" s="3" t="str">
        <f>IFERROR(INDEX('بيانات الحركات'!D:D,MATCH(390,'بيانات الحركات'!$G:$G,0)),"")</f>
        <v/>
      </c>
      <c r="E391" s="21" t="str">
        <f>IF($B391="إنتاج طبخة","",IFERROR(INDEX('بيانات الحركات'!E:E,MATCH(390,'بيانات الحركات'!$G:$G,0)),""))</f>
        <v/>
      </c>
      <c r="F391" s="3" t="str">
        <f>IFERROR(INDEX('بيانات الحركات'!F:F,MATCH(390,'بيانات الحركات'!$G:$G,0)),"")</f>
        <v/>
      </c>
    </row>
    <row r="392" spans="1:6" ht="21.95" customHeight="1">
      <c r="A392" s="8" t="str">
        <f>IFERROR(INDEX('بيانات الحركات'!A:A,MATCH(391,'بيانات الحركات'!$G:$G,0)),"")</f>
        <v/>
      </c>
      <c r="B392" s="5" t="str">
        <f>IFERROR(INDEX('بيانات الحركات'!B:B,MATCH(391,'بيانات الحركات'!$G:$G,0)),"")</f>
        <v/>
      </c>
      <c r="C392" s="3" t="str">
        <f>IFERROR(INDEX('بيانات الحركات'!C:C,MATCH(391,'بيانات الحركات'!$G:$G,0)),"")</f>
        <v/>
      </c>
      <c r="D392" s="3" t="str">
        <f>IFERROR(INDEX('بيانات الحركات'!D:D,MATCH(391,'بيانات الحركات'!$G:$G,0)),"")</f>
        <v/>
      </c>
      <c r="E392" s="21" t="str">
        <f>IF($B392="إنتاج طبخة","",IFERROR(INDEX('بيانات الحركات'!E:E,MATCH(391,'بيانات الحركات'!$G:$G,0)),""))</f>
        <v/>
      </c>
      <c r="F392" s="3" t="str">
        <f>IFERROR(INDEX('بيانات الحركات'!F:F,MATCH(391,'بيانات الحركات'!$G:$G,0)),"")</f>
        <v/>
      </c>
    </row>
    <row r="393" spans="1:6" ht="21.95" customHeight="1">
      <c r="A393" s="8" t="str">
        <f>IFERROR(INDEX('بيانات الحركات'!A:A,MATCH(392,'بيانات الحركات'!$G:$G,0)),"")</f>
        <v/>
      </c>
      <c r="B393" s="5" t="str">
        <f>IFERROR(INDEX('بيانات الحركات'!B:B,MATCH(392,'بيانات الحركات'!$G:$G,0)),"")</f>
        <v/>
      </c>
      <c r="C393" s="3" t="str">
        <f>IFERROR(INDEX('بيانات الحركات'!C:C,MATCH(392,'بيانات الحركات'!$G:$G,0)),"")</f>
        <v/>
      </c>
      <c r="D393" s="3" t="str">
        <f>IFERROR(INDEX('بيانات الحركات'!D:D,MATCH(392,'بيانات الحركات'!$G:$G,0)),"")</f>
        <v/>
      </c>
      <c r="E393" s="21" t="str">
        <f>IF($B393="إنتاج طبخة","",IFERROR(INDEX('بيانات الحركات'!E:E,MATCH(392,'بيانات الحركات'!$G:$G,0)),""))</f>
        <v/>
      </c>
      <c r="F393" s="3" t="str">
        <f>IFERROR(INDEX('بيانات الحركات'!F:F,MATCH(392,'بيانات الحركات'!$G:$G,0)),"")</f>
        <v/>
      </c>
    </row>
    <row r="394" spans="1:6" ht="21.95" customHeight="1">
      <c r="A394" s="8" t="str">
        <f>IFERROR(INDEX('بيانات الحركات'!A:A,MATCH(393,'بيانات الحركات'!$G:$G,0)),"")</f>
        <v/>
      </c>
      <c r="B394" s="5" t="str">
        <f>IFERROR(INDEX('بيانات الحركات'!B:B,MATCH(393,'بيانات الحركات'!$G:$G,0)),"")</f>
        <v/>
      </c>
      <c r="C394" s="3" t="str">
        <f>IFERROR(INDEX('بيانات الحركات'!C:C,MATCH(393,'بيانات الحركات'!$G:$G,0)),"")</f>
        <v/>
      </c>
      <c r="D394" s="3" t="str">
        <f>IFERROR(INDEX('بيانات الحركات'!D:D,MATCH(393,'بيانات الحركات'!$G:$G,0)),"")</f>
        <v/>
      </c>
      <c r="E394" s="21" t="str">
        <f>IF($B394="إنتاج طبخة","",IFERROR(INDEX('بيانات الحركات'!E:E,MATCH(393,'بيانات الحركات'!$G:$G,0)),""))</f>
        <v/>
      </c>
      <c r="F394" s="3" t="str">
        <f>IFERROR(INDEX('بيانات الحركات'!F:F,MATCH(393,'بيانات الحركات'!$G:$G,0)),"")</f>
        <v/>
      </c>
    </row>
    <row r="395" spans="1:6" ht="21.95" customHeight="1">
      <c r="A395" s="8" t="str">
        <f>IFERROR(INDEX('بيانات الحركات'!A:A,MATCH(394,'بيانات الحركات'!$G:$G,0)),"")</f>
        <v/>
      </c>
      <c r="B395" s="5" t="str">
        <f>IFERROR(INDEX('بيانات الحركات'!B:B,MATCH(394,'بيانات الحركات'!$G:$G,0)),"")</f>
        <v/>
      </c>
      <c r="C395" s="3" t="str">
        <f>IFERROR(INDEX('بيانات الحركات'!C:C,MATCH(394,'بيانات الحركات'!$G:$G,0)),"")</f>
        <v/>
      </c>
      <c r="D395" s="3" t="str">
        <f>IFERROR(INDEX('بيانات الحركات'!D:D,MATCH(394,'بيانات الحركات'!$G:$G,0)),"")</f>
        <v/>
      </c>
      <c r="E395" s="21" t="str">
        <f>IF($B395="إنتاج طبخة","",IFERROR(INDEX('بيانات الحركات'!E:E,MATCH(394,'بيانات الحركات'!$G:$G,0)),""))</f>
        <v/>
      </c>
      <c r="F395" s="3" t="str">
        <f>IFERROR(INDEX('بيانات الحركات'!F:F,MATCH(394,'بيانات الحركات'!$G:$G,0)),"")</f>
        <v/>
      </c>
    </row>
    <row r="396" spans="1:6" ht="21.95" customHeight="1">
      <c r="A396" s="8" t="str">
        <f>IFERROR(INDEX('بيانات الحركات'!A:A,MATCH(395,'بيانات الحركات'!$G:$G,0)),"")</f>
        <v/>
      </c>
      <c r="B396" s="5" t="str">
        <f>IFERROR(INDEX('بيانات الحركات'!B:B,MATCH(395,'بيانات الحركات'!$G:$G,0)),"")</f>
        <v/>
      </c>
      <c r="C396" s="3" t="str">
        <f>IFERROR(INDEX('بيانات الحركات'!C:C,MATCH(395,'بيانات الحركات'!$G:$G,0)),"")</f>
        <v/>
      </c>
      <c r="D396" s="3" t="str">
        <f>IFERROR(INDEX('بيانات الحركات'!D:D,MATCH(395,'بيانات الحركات'!$G:$G,0)),"")</f>
        <v/>
      </c>
      <c r="E396" s="21" t="str">
        <f>IF($B396="إنتاج طبخة","",IFERROR(INDEX('بيانات الحركات'!E:E,MATCH(395,'بيانات الحركات'!$G:$G,0)),""))</f>
        <v/>
      </c>
      <c r="F396" s="3" t="str">
        <f>IFERROR(INDEX('بيانات الحركات'!F:F,MATCH(395,'بيانات الحركات'!$G:$G,0)),"")</f>
        <v/>
      </c>
    </row>
    <row r="397" spans="1:6" ht="21.95" customHeight="1">
      <c r="A397" s="8" t="str">
        <f>IFERROR(INDEX('بيانات الحركات'!A:A,MATCH(396,'بيانات الحركات'!$G:$G,0)),"")</f>
        <v/>
      </c>
      <c r="B397" s="5" t="str">
        <f>IFERROR(INDEX('بيانات الحركات'!B:B,MATCH(396,'بيانات الحركات'!$G:$G,0)),"")</f>
        <v/>
      </c>
      <c r="C397" s="3" t="str">
        <f>IFERROR(INDEX('بيانات الحركات'!C:C,MATCH(396,'بيانات الحركات'!$G:$G,0)),"")</f>
        <v/>
      </c>
      <c r="D397" s="3" t="str">
        <f>IFERROR(INDEX('بيانات الحركات'!D:D,MATCH(396,'بيانات الحركات'!$G:$G,0)),"")</f>
        <v/>
      </c>
      <c r="E397" s="21" t="str">
        <f>IF($B397="إنتاج طبخة","",IFERROR(INDEX('بيانات الحركات'!E:E,MATCH(396,'بيانات الحركات'!$G:$G,0)),""))</f>
        <v/>
      </c>
      <c r="F397" s="3" t="str">
        <f>IFERROR(INDEX('بيانات الحركات'!F:F,MATCH(396,'بيانات الحركات'!$G:$G,0)),"")</f>
        <v/>
      </c>
    </row>
    <row r="398" spans="1:6" ht="21.95" customHeight="1">
      <c r="A398" s="8" t="str">
        <f>IFERROR(INDEX('بيانات الحركات'!A:A,MATCH(397,'بيانات الحركات'!$G:$G,0)),"")</f>
        <v/>
      </c>
      <c r="B398" s="5" t="str">
        <f>IFERROR(INDEX('بيانات الحركات'!B:B,MATCH(397,'بيانات الحركات'!$G:$G,0)),"")</f>
        <v/>
      </c>
      <c r="C398" s="3" t="str">
        <f>IFERROR(INDEX('بيانات الحركات'!C:C,MATCH(397,'بيانات الحركات'!$G:$G,0)),"")</f>
        <v/>
      </c>
      <c r="D398" s="3" t="str">
        <f>IFERROR(INDEX('بيانات الحركات'!D:D,MATCH(397,'بيانات الحركات'!$G:$G,0)),"")</f>
        <v/>
      </c>
      <c r="E398" s="21" t="str">
        <f>IF($B398="إنتاج طبخة","",IFERROR(INDEX('بيانات الحركات'!E:E,MATCH(397,'بيانات الحركات'!$G:$G,0)),""))</f>
        <v/>
      </c>
      <c r="F398" s="3" t="str">
        <f>IFERROR(INDEX('بيانات الحركات'!F:F,MATCH(397,'بيانات الحركات'!$G:$G,0)),"")</f>
        <v/>
      </c>
    </row>
    <row r="399" spans="1:6" ht="21.95" customHeight="1">
      <c r="A399" s="8" t="str">
        <f>IFERROR(INDEX('بيانات الحركات'!A:A,MATCH(398,'بيانات الحركات'!$G:$G,0)),"")</f>
        <v/>
      </c>
      <c r="B399" s="5" t="str">
        <f>IFERROR(INDEX('بيانات الحركات'!B:B,MATCH(398,'بيانات الحركات'!$G:$G,0)),"")</f>
        <v/>
      </c>
      <c r="C399" s="3" t="str">
        <f>IFERROR(INDEX('بيانات الحركات'!C:C,MATCH(398,'بيانات الحركات'!$G:$G,0)),"")</f>
        <v/>
      </c>
      <c r="D399" s="3" t="str">
        <f>IFERROR(INDEX('بيانات الحركات'!D:D,MATCH(398,'بيانات الحركات'!$G:$G,0)),"")</f>
        <v/>
      </c>
      <c r="E399" s="21" t="str">
        <f>IF($B399="إنتاج طبخة","",IFERROR(INDEX('بيانات الحركات'!E:E,MATCH(398,'بيانات الحركات'!$G:$G,0)),""))</f>
        <v/>
      </c>
      <c r="F399" s="3" t="str">
        <f>IFERROR(INDEX('بيانات الحركات'!F:F,MATCH(398,'بيانات الحركات'!$G:$G,0)),"")</f>
        <v/>
      </c>
    </row>
    <row r="400" spans="1:6" ht="21.95" customHeight="1">
      <c r="A400" s="8" t="str">
        <f>IFERROR(INDEX('بيانات الحركات'!A:A,MATCH(399,'بيانات الحركات'!$G:$G,0)),"")</f>
        <v/>
      </c>
      <c r="B400" s="5" t="str">
        <f>IFERROR(INDEX('بيانات الحركات'!B:B,MATCH(399,'بيانات الحركات'!$G:$G,0)),"")</f>
        <v/>
      </c>
      <c r="C400" s="3" t="str">
        <f>IFERROR(INDEX('بيانات الحركات'!C:C,MATCH(399,'بيانات الحركات'!$G:$G,0)),"")</f>
        <v/>
      </c>
      <c r="D400" s="3" t="str">
        <f>IFERROR(INDEX('بيانات الحركات'!D:D,MATCH(399,'بيانات الحركات'!$G:$G,0)),"")</f>
        <v/>
      </c>
      <c r="E400" s="21" t="str">
        <f>IF($B400="إنتاج طبخة","",IFERROR(INDEX('بيانات الحركات'!E:E,MATCH(399,'بيانات الحركات'!$G:$G,0)),""))</f>
        <v/>
      </c>
      <c r="F400" s="3" t="str">
        <f>IFERROR(INDEX('بيانات الحركات'!F:F,MATCH(399,'بيانات الحركات'!$G:$G,0)),"")</f>
        <v/>
      </c>
    </row>
    <row r="401" spans="1:6" ht="21.95" customHeight="1">
      <c r="A401" s="8" t="str">
        <f>IFERROR(INDEX('بيانات الحركات'!A:A,MATCH(400,'بيانات الحركات'!$G:$G,0)),"")</f>
        <v/>
      </c>
      <c r="B401" s="5" t="str">
        <f>IFERROR(INDEX('بيانات الحركات'!B:B,MATCH(400,'بيانات الحركات'!$G:$G,0)),"")</f>
        <v/>
      </c>
      <c r="C401" s="3" t="str">
        <f>IFERROR(INDEX('بيانات الحركات'!C:C,MATCH(400,'بيانات الحركات'!$G:$G,0)),"")</f>
        <v/>
      </c>
      <c r="D401" s="3" t="str">
        <f>IFERROR(INDEX('بيانات الحركات'!D:D,MATCH(400,'بيانات الحركات'!$G:$G,0)),"")</f>
        <v/>
      </c>
      <c r="E401" s="21" t="str">
        <f>IF($B401="إنتاج طبخة","",IFERROR(INDEX('بيانات الحركات'!E:E,MATCH(400,'بيانات الحركات'!$G:$G,0)),""))</f>
        <v/>
      </c>
      <c r="F401" s="3" t="str">
        <f>IFERROR(INDEX('بيانات الحركات'!F:F,MATCH(400,'بيانات الحركات'!$G:$G,0)),"")</f>
        <v/>
      </c>
    </row>
    <row r="402" spans="1:6" ht="21.95" customHeight="1">
      <c r="A402" s="8" t="str">
        <f>IFERROR(INDEX('بيانات الحركات'!A:A,MATCH(401,'بيانات الحركات'!$G:$G,0)),"")</f>
        <v/>
      </c>
      <c r="B402" s="5" t="str">
        <f>IFERROR(INDEX('بيانات الحركات'!B:B,MATCH(401,'بيانات الحركات'!$G:$G,0)),"")</f>
        <v/>
      </c>
      <c r="C402" s="3" t="str">
        <f>IFERROR(INDEX('بيانات الحركات'!C:C,MATCH(401,'بيانات الحركات'!$G:$G,0)),"")</f>
        <v/>
      </c>
      <c r="D402" s="3" t="str">
        <f>IFERROR(INDEX('بيانات الحركات'!D:D,MATCH(401,'بيانات الحركات'!$G:$G,0)),"")</f>
        <v/>
      </c>
      <c r="E402" s="21" t="str">
        <f>IF($B402="إنتاج طبخة","",IFERROR(INDEX('بيانات الحركات'!E:E,MATCH(401,'بيانات الحركات'!$G:$G,0)),""))</f>
        <v/>
      </c>
      <c r="F402" s="3" t="str">
        <f>IFERROR(INDEX('بيانات الحركات'!F:F,MATCH(401,'بيانات الحركات'!$G:$G,0)),"")</f>
        <v/>
      </c>
    </row>
    <row r="403" spans="1:6" ht="21.95" customHeight="1">
      <c r="A403" s="8" t="str">
        <f>IFERROR(INDEX('بيانات الحركات'!A:A,MATCH(402,'بيانات الحركات'!$G:$G,0)),"")</f>
        <v/>
      </c>
      <c r="B403" s="5" t="str">
        <f>IFERROR(INDEX('بيانات الحركات'!B:B,MATCH(402,'بيانات الحركات'!$G:$G,0)),"")</f>
        <v/>
      </c>
      <c r="C403" s="3" t="str">
        <f>IFERROR(INDEX('بيانات الحركات'!C:C,MATCH(402,'بيانات الحركات'!$G:$G,0)),"")</f>
        <v/>
      </c>
      <c r="D403" s="3" t="str">
        <f>IFERROR(INDEX('بيانات الحركات'!D:D,MATCH(402,'بيانات الحركات'!$G:$G,0)),"")</f>
        <v/>
      </c>
      <c r="E403" s="21" t="str">
        <f>IF($B403="إنتاج طبخة","",IFERROR(INDEX('بيانات الحركات'!E:E,MATCH(402,'بيانات الحركات'!$G:$G,0)),""))</f>
        <v/>
      </c>
      <c r="F403" s="3" t="str">
        <f>IFERROR(INDEX('بيانات الحركات'!F:F,MATCH(402,'بيانات الحركات'!$G:$G,0)),"")</f>
        <v/>
      </c>
    </row>
    <row r="404" spans="1:6" ht="21.95" customHeight="1">
      <c r="A404" s="8" t="str">
        <f>IFERROR(INDEX('بيانات الحركات'!A:A,MATCH(403,'بيانات الحركات'!$G:$G,0)),"")</f>
        <v/>
      </c>
      <c r="B404" s="5" t="str">
        <f>IFERROR(INDEX('بيانات الحركات'!B:B,MATCH(403,'بيانات الحركات'!$G:$G,0)),"")</f>
        <v/>
      </c>
      <c r="C404" s="3" t="str">
        <f>IFERROR(INDEX('بيانات الحركات'!C:C,MATCH(403,'بيانات الحركات'!$G:$G,0)),"")</f>
        <v/>
      </c>
      <c r="D404" s="3" t="str">
        <f>IFERROR(INDEX('بيانات الحركات'!D:D,MATCH(403,'بيانات الحركات'!$G:$G,0)),"")</f>
        <v/>
      </c>
      <c r="E404" s="21" t="str">
        <f>IF($B404="إنتاج طبخة","",IFERROR(INDEX('بيانات الحركات'!E:E,MATCH(403,'بيانات الحركات'!$G:$G,0)),""))</f>
        <v/>
      </c>
      <c r="F404" s="3" t="str">
        <f>IFERROR(INDEX('بيانات الحركات'!F:F,MATCH(403,'بيانات الحركات'!$G:$G,0)),"")</f>
        <v/>
      </c>
    </row>
    <row r="405" spans="1:6" ht="21.95" customHeight="1">
      <c r="A405" s="8" t="str">
        <f>IFERROR(INDEX('بيانات الحركات'!A:A,MATCH(404,'بيانات الحركات'!$G:$G,0)),"")</f>
        <v/>
      </c>
      <c r="B405" s="5" t="str">
        <f>IFERROR(INDEX('بيانات الحركات'!B:B,MATCH(404,'بيانات الحركات'!$G:$G,0)),"")</f>
        <v/>
      </c>
      <c r="C405" s="3" t="str">
        <f>IFERROR(INDEX('بيانات الحركات'!C:C,MATCH(404,'بيانات الحركات'!$G:$G,0)),"")</f>
        <v/>
      </c>
      <c r="D405" s="3" t="str">
        <f>IFERROR(INDEX('بيانات الحركات'!D:D,MATCH(404,'بيانات الحركات'!$G:$G,0)),"")</f>
        <v/>
      </c>
      <c r="E405" s="21" t="str">
        <f>IF($B405="إنتاج طبخة","",IFERROR(INDEX('بيانات الحركات'!E:E,MATCH(404,'بيانات الحركات'!$G:$G,0)),""))</f>
        <v/>
      </c>
      <c r="F405" s="3" t="str">
        <f>IFERROR(INDEX('بيانات الحركات'!F:F,MATCH(404,'بيانات الحركات'!$G:$G,0)),"")</f>
        <v/>
      </c>
    </row>
    <row r="406" spans="1:6" ht="21.95" customHeight="1">
      <c r="A406" s="8" t="str">
        <f>IFERROR(INDEX('بيانات الحركات'!A:A,MATCH(405,'بيانات الحركات'!$G:$G,0)),"")</f>
        <v/>
      </c>
      <c r="B406" s="5" t="str">
        <f>IFERROR(INDEX('بيانات الحركات'!B:B,MATCH(405,'بيانات الحركات'!$G:$G,0)),"")</f>
        <v/>
      </c>
      <c r="C406" s="3" t="str">
        <f>IFERROR(INDEX('بيانات الحركات'!C:C,MATCH(405,'بيانات الحركات'!$G:$G,0)),"")</f>
        <v/>
      </c>
      <c r="D406" s="3" t="str">
        <f>IFERROR(INDEX('بيانات الحركات'!D:D,MATCH(405,'بيانات الحركات'!$G:$G,0)),"")</f>
        <v/>
      </c>
      <c r="E406" s="21" t="str">
        <f>IF($B406="إنتاج طبخة","",IFERROR(INDEX('بيانات الحركات'!E:E,MATCH(405,'بيانات الحركات'!$G:$G,0)),""))</f>
        <v/>
      </c>
      <c r="F406" s="3" t="str">
        <f>IFERROR(INDEX('بيانات الحركات'!F:F,MATCH(405,'بيانات الحركات'!$G:$G,0)),"")</f>
        <v/>
      </c>
    </row>
    <row r="407" spans="1:6" ht="21.95" customHeight="1">
      <c r="A407" s="8" t="str">
        <f>IFERROR(INDEX('بيانات الحركات'!A:A,MATCH(406,'بيانات الحركات'!$G:$G,0)),"")</f>
        <v/>
      </c>
      <c r="B407" s="5" t="str">
        <f>IFERROR(INDEX('بيانات الحركات'!B:B,MATCH(406,'بيانات الحركات'!$G:$G,0)),"")</f>
        <v/>
      </c>
      <c r="C407" s="3" t="str">
        <f>IFERROR(INDEX('بيانات الحركات'!C:C,MATCH(406,'بيانات الحركات'!$G:$G,0)),"")</f>
        <v/>
      </c>
      <c r="D407" s="3" t="str">
        <f>IFERROR(INDEX('بيانات الحركات'!D:D,MATCH(406,'بيانات الحركات'!$G:$G,0)),"")</f>
        <v/>
      </c>
      <c r="E407" s="21" t="str">
        <f>IF($B407="إنتاج طبخة","",IFERROR(INDEX('بيانات الحركات'!E:E,MATCH(406,'بيانات الحركات'!$G:$G,0)),""))</f>
        <v/>
      </c>
      <c r="F407" s="3" t="str">
        <f>IFERROR(INDEX('بيانات الحركات'!F:F,MATCH(406,'بيانات الحركات'!$G:$G,0)),"")</f>
        <v/>
      </c>
    </row>
    <row r="408" spans="1:6" ht="21.95" customHeight="1">
      <c r="A408" s="8" t="str">
        <f>IFERROR(INDEX('بيانات الحركات'!A:A,MATCH(407,'بيانات الحركات'!$G:$G,0)),"")</f>
        <v/>
      </c>
      <c r="B408" s="5" t="str">
        <f>IFERROR(INDEX('بيانات الحركات'!B:B,MATCH(407,'بيانات الحركات'!$G:$G,0)),"")</f>
        <v/>
      </c>
      <c r="C408" s="3" t="str">
        <f>IFERROR(INDEX('بيانات الحركات'!C:C,MATCH(407,'بيانات الحركات'!$G:$G,0)),"")</f>
        <v/>
      </c>
      <c r="D408" s="3" t="str">
        <f>IFERROR(INDEX('بيانات الحركات'!D:D,MATCH(407,'بيانات الحركات'!$G:$G,0)),"")</f>
        <v/>
      </c>
      <c r="E408" s="21" t="str">
        <f>IF($B408="إنتاج طبخة","",IFERROR(INDEX('بيانات الحركات'!E:E,MATCH(407,'بيانات الحركات'!$G:$G,0)),""))</f>
        <v/>
      </c>
      <c r="F408" s="3" t="str">
        <f>IFERROR(INDEX('بيانات الحركات'!F:F,MATCH(407,'بيانات الحركات'!$G:$G,0)),"")</f>
        <v/>
      </c>
    </row>
    <row r="409" spans="1:6" ht="21.95" customHeight="1">
      <c r="A409" s="8" t="str">
        <f>IFERROR(INDEX('بيانات الحركات'!A:A,MATCH(408,'بيانات الحركات'!$G:$G,0)),"")</f>
        <v/>
      </c>
      <c r="B409" s="5" t="str">
        <f>IFERROR(INDEX('بيانات الحركات'!B:B,MATCH(408,'بيانات الحركات'!$G:$G,0)),"")</f>
        <v/>
      </c>
      <c r="C409" s="3" t="str">
        <f>IFERROR(INDEX('بيانات الحركات'!C:C,MATCH(408,'بيانات الحركات'!$G:$G,0)),"")</f>
        <v/>
      </c>
      <c r="D409" s="3" t="str">
        <f>IFERROR(INDEX('بيانات الحركات'!D:D,MATCH(408,'بيانات الحركات'!$G:$G,0)),"")</f>
        <v/>
      </c>
      <c r="E409" s="21" t="str">
        <f>IF($B409="إنتاج طبخة","",IFERROR(INDEX('بيانات الحركات'!E:E,MATCH(408,'بيانات الحركات'!$G:$G,0)),""))</f>
        <v/>
      </c>
      <c r="F409" s="3" t="str">
        <f>IFERROR(INDEX('بيانات الحركات'!F:F,MATCH(408,'بيانات الحركات'!$G:$G,0)),"")</f>
        <v/>
      </c>
    </row>
    <row r="410" spans="1:6" ht="21.95" customHeight="1">
      <c r="A410" s="8" t="str">
        <f>IFERROR(INDEX('بيانات الحركات'!A:A,MATCH(409,'بيانات الحركات'!$G:$G,0)),"")</f>
        <v/>
      </c>
      <c r="B410" s="5" t="str">
        <f>IFERROR(INDEX('بيانات الحركات'!B:B,MATCH(409,'بيانات الحركات'!$G:$G,0)),"")</f>
        <v/>
      </c>
      <c r="C410" s="3" t="str">
        <f>IFERROR(INDEX('بيانات الحركات'!C:C,MATCH(409,'بيانات الحركات'!$G:$G,0)),"")</f>
        <v/>
      </c>
      <c r="D410" s="3" t="str">
        <f>IFERROR(INDEX('بيانات الحركات'!D:D,MATCH(409,'بيانات الحركات'!$G:$G,0)),"")</f>
        <v/>
      </c>
      <c r="E410" s="21" t="str">
        <f>IF($B410="إنتاج طبخة","",IFERROR(INDEX('بيانات الحركات'!E:E,MATCH(409,'بيانات الحركات'!$G:$G,0)),""))</f>
        <v/>
      </c>
      <c r="F410" s="3" t="str">
        <f>IFERROR(INDEX('بيانات الحركات'!F:F,MATCH(409,'بيانات الحركات'!$G:$G,0)),"")</f>
        <v/>
      </c>
    </row>
    <row r="411" spans="1:6" ht="21.95" customHeight="1">
      <c r="A411" s="8" t="str">
        <f>IFERROR(INDEX('بيانات الحركات'!A:A,MATCH(410,'بيانات الحركات'!$G:$G,0)),"")</f>
        <v/>
      </c>
      <c r="B411" s="5" t="str">
        <f>IFERROR(INDEX('بيانات الحركات'!B:B,MATCH(410,'بيانات الحركات'!$G:$G,0)),"")</f>
        <v/>
      </c>
      <c r="C411" s="3" t="str">
        <f>IFERROR(INDEX('بيانات الحركات'!C:C,MATCH(410,'بيانات الحركات'!$G:$G,0)),"")</f>
        <v/>
      </c>
      <c r="D411" s="3" t="str">
        <f>IFERROR(INDEX('بيانات الحركات'!D:D,MATCH(410,'بيانات الحركات'!$G:$G,0)),"")</f>
        <v/>
      </c>
      <c r="E411" s="21" t="str">
        <f>IF($B411="إنتاج طبخة","",IFERROR(INDEX('بيانات الحركات'!E:E,MATCH(410,'بيانات الحركات'!$G:$G,0)),""))</f>
        <v/>
      </c>
      <c r="F411" s="3" t="str">
        <f>IFERROR(INDEX('بيانات الحركات'!F:F,MATCH(410,'بيانات الحركات'!$G:$G,0)),"")</f>
        <v/>
      </c>
    </row>
    <row r="412" spans="1:6" ht="21.95" customHeight="1">
      <c r="A412" s="8" t="str">
        <f>IFERROR(INDEX('بيانات الحركات'!A:A,MATCH(411,'بيانات الحركات'!$G:$G,0)),"")</f>
        <v/>
      </c>
      <c r="B412" s="5" t="str">
        <f>IFERROR(INDEX('بيانات الحركات'!B:B,MATCH(411,'بيانات الحركات'!$G:$G,0)),"")</f>
        <v/>
      </c>
      <c r="C412" s="3" t="str">
        <f>IFERROR(INDEX('بيانات الحركات'!C:C,MATCH(411,'بيانات الحركات'!$G:$G,0)),"")</f>
        <v/>
      </c>
      <c r="D412" s="3" t="str">
        <f>IFERROR(INDEX('بيانات الحركات'!D:D,MATCH(411,'بيانات الحركات'!$G:$G,0)),"")</f>
        <v/>
      </c>
      <c r="E412" s="21" t="str">
        <f>IF($B412="إنتاج طبخة","",IFERROR(INDEX('بيانات الحركات'!E:E,MATCH(411,'بيانات الحركات'!$G:$G,0)),""))</f>
        <v/>
      </c>
      <c r="F412" s="3" t="str">
        <f>IFERROR(INDEX('بيانات الحركات'!F:F,MATCH(411,'بيانات الحركات'!$G:$G,0)),"")</f>
        <v/>
      </c>
    </row>
    <row r="413" spans="1:6" ht="21.95" customHeight="1">
      <c r="A413" s="8" t="str">
        <f>IFERROR(INDEX('بيانات الحركات'!A:A,MATCH(412,'بيانات الحركات'!$G:$G,0)),"")</f>
        <v/>
      </c>
      <c r="B413" s="5" t="str">
        <f>IFERROR(INDEX('بيانات الحركات'!B:B,MATCH(412,'بيانات الحركات'!$G:$G,0)),"")</f>
        <v/>
      </c>
      <c r="C413" s="3" t="str">
        <f>IFERROR(INDEX('بيانات الحركات'!C:C,MATCH(412,'بيانات الحركات'!$G:$G,0)),"")</f>
        <v/>
      </c>
      <c r="D413" s="3" t="str">
        <f>IFERROR(INDEX('بيانات الحركات'!D:D,MATCH(412,'بيانات الحركات'!$G:$G,0)),"")</f>
        <v/>
      </c>
      <c r="E413" s="21" t="str">
        <f>IF($B413="إنتاج طبخة","",IFERROR(INDEX('بيانات الحركات'!E:E,MATCH(412,'بيانات الحركات'!$G:$G,0)),""))</f>
        <v/>
      </c>
      <c r="F413" s="3" t="str">
        <f>IFERROR(INDEX('بيانات الحركات'!F:F,MATCH(412,'بيانات الحركات'!$G:$G,0)),"")</f>
        <v/>
      </c>
    </row>
    <row r="414" spans="1:6" ht="21.95" customHeight="1">
      <c r="A414" s="8" t="str">
        <f>IFERROR(INDEX('بيانات الحركات'!A:A,MATCH(413,'بيانات الحركات'!$G:$G,0)),"")</f>
        <v/>
      </c>
      <c r="B414" s="5" t="str">
        <f>IFERROR(INDEX('بيانات الحركات'!B:B,MATCH(413,'بيانات الحركات'!$G:$G,0)),"")</f>
        <v/>
      </c>
      <c r="C414" s="3" t="str">
        <f>IFERROR(INDEX('بيانات الحركات'!C:C,MATCH(413,'بيانات الحركات'!$G:$G,0)),"")</f>
        <v/>
      </c>
      <c r="D414" s="3" t="str">
        <f>IFERROR(INDEX('بيانات الحركات'!D:D,MATCH(413,'بيانات الحركات'!$G:$G,0)),"")</f>
        <v/>
      </c>
      <c r="E414" s="21" t="str">
        <f>IF($B414="إنتاج طبخة","",IFERROR(INDEX('بيانات الحركات'!E:E,MATCH(413,'بيانات الحركات'!$G:$G,0)),""))</f>
        <v/>
      </c>
      <c r="F414" s="3" t="str">
        <f>IFERROR(INDEX('بيانات الحركات'!F:F,MATCH(413,'بيانات الحركات'!$G:$G,0)),"")</f>
        <v/>
      </c>
    </row>
    <row r="415" spans="1:6" ht="21.95" customHeight="1">
      <c r="A415" s="8" t="str">
        <f>IFERROR(INDEX('بيانات الحركات'!A:A,MATCH(414,'بيانات الحركات'!$G:$G,0)),"")</f>
        <v/>
      </c>
      <c r="B415" s="5" t="str">
        <f>IFERROR(INDEX('بيانات الحركات'!B:B,MATCH(414,'بيانات الحركات'!$G:$G,0)),"")</f>
        <v/>
      </c>
      <c r="C415" s="3" t="str">
        <f>IFERROR(INDEX('بيانات الحركات'!C:C,MATCH(414,'بيانات الحركات'!$G:$G,0)),"")</f>
        <v/>
      </c>
      <c r="D415" s="3" t="str">
        <f>IFERROR(INDEX('بيانات الحركات'!D:D,MATCH(414,'بيانات الحركات'!$G:$G,0)),"")</f>
        <v/>
      </c>
      <c r="E415" s="21" t="str">
        <f>IF($B415="إنتاج طبخة","",IFERROR(INDEX('بيانات الحركات'!E:E,MATCH(414,'بيانات الحركات'!$G:$G,0)),""))</f>
        <v/>
      </c>
      <c r="F415" s="3" t="str">
        <f>IFERROR(INDEX('بيانات الحركات'!F:F,MATCH(414,'بيانات الحركات'!$G:$G,0)),"")</f>
        <v/>
      </c>
    </row>
    <row r="416" spans="1:6" ht="21.95" customHeight="1">
      <c r="A416" s="8" t="str">
        <f>IFERROR(INDEX('بيانات الحركات'!A:A,MATCH(415,'بيانات الحركات'!$G:$G,0)),"")</f>
        <v/>
      </c>
      <c r="B416" s="5" t="str">
        <f>IFERROR(INDEX('بيانات الحركات'!B:B,MATCH(415,'بيانات الحركات'!$G:$G,0)),"")</f>
        <v/>
      </c>
      <c r="C416" s="3" t="str">
        <f>IFERROR(INDEX('بيانات الحركات'!C:C,MATCH(415,'بيانات الحركات'!$G:$G,0)),"")</f>
        <v/>
      </c>
      <c r="D416" s="3" t="str">
        <f>IFERROR(INDEX('بيانات الحركات'!D:D,MATCH(415,'بيانات الحركات'!$G:$G,0)),"")</f>
        <v/>
      </c>
      <c r="E416" s="21" t="str">
        <f>IF($B416="إنتاج طبخة","",IFERROR(INDEX('بيانات الحركات'!E:E,MATCH(415,'بيانات الحركات'!$G:$G,0)),""))</f>
        <v/>
      </c>
      <c r="F416" s="3" t="str">
        <f>IFERROR(INDEX('بيانات الحركات'!F:F,MATCH(415,'بيانات الحركات'!$G:$G,0)),"")</f>
        <v/>
      </c>
    </row>
    <row r="417" spans="1:6" ht="21.95" customHeight="1">
      <c r="A417" s="8" t="str">
        <f>IFERROR(INDEX('بيانات الحركات'!A:A,MATCH(416,'بيانات الحركات'!$G:$G,0)),"")</f>
        <v/>
      </c>
      <c r="B417" s="5" t="str">
        <f>IFERROR(INDEX('بيانات الحركات'!B:B,MATCH(416,'بيانات الحركات'!$G:$G,0)),"")</f>
        <v/>
      </c>
      <c r="C417" s="3" t="str">
        <f>IFERROR(INDEX('بيانات الحركات'!C:C,MATCH(416,'بيانات الحركات'!$G:$G,0)),"")</f>
        <v/>
      </c>
      <c r="D417" s="3" t="str">
        <f>IFERROR(INDEX('بيانات الحركات'!D:D,MATCH(416,'بيانات الحركات'!$G:$G,0)),"")</f>
        <v/>
      </c>
      <c r="E417" s="21" t="str">
        <f>IF($B417="إنتاج طبخة","",IFERROR(INDEX('بيانات الحركات'!E:E,MATCH(416,'بيانات الحركات'!$G:$G,0)),""))</f>
        <v/>
      </c>
      <c r="F417" s="3" t="str">
        <f>IFERROR(INDEX('بيانات الحركات'!F:F,MATCH(416,'بيانات الحركات'!$G:$G,0)),"")</f>
        <v/>
      </c>
    </row>
    <row r="418" spans="1:6" ht="21.95" customHeight="1">
      <c r="A418" s="8" t="str">
        <f>IFERROR(INDEX('بيانات الحركات'!A:A,MATCH(417,'بيانات الحركات'!$G:$G,0)),"")</f>
        <v/>
      </c>
      <c r="B418" s="5" t="str">
        <f>IFERROR(INDEX('بيانات الحركات'!B:B,MATCH(417,'بيانات الحركات'!$G:$G,0)),"")</f>
        <v/>
      </c>
      <c r="C418" s="3" t="str">
        <f>IFERROR(INDEX('بيانات الحركات'!C:C,MATCH(417,'بيانات الحركات'!$G:$G,0)),"")</f>
        <v/>
      </c>
      <c r="D418" s="3" t="str">
        <f>IFERROR(INDEX('بيانات الحركات'!D:D,MATCH(417,'بيانات الحركات'!$G:$G,0)),"")</f>
        <v/>
      </c>
      <c r="E418" s="21" t="str">
        <f>IF($B418="إنتاج طبخة","",IFERROR(INDEX('بيانات الحركات'!E:E,MATCH(417,'بيانات الحركات'!$G:$G,0)),""))</f>
        <v/>
      </c>
      <c r="F418" s="3" t="str">
        <f>IFERROR(INDEX('بيانات الحركات'!F:F,MATCH(417,'بيانات الحركات'!$G:$G,0)),"")</f>
        <v/>
      </c>
    </row>
    <row r="419" spans="1:6" ht="21.95" customHeight="1">
      <c r="A419" s="8" t="str">
        <f>IFERROR(INDEX('بيانات الحركات'!A:A,MATCH(418,'بيانات الحركات'!$G:$G,0)),"")</f>
        <v/>
      </c>
      <c r="B419" s="5" t="str">
        <f>IFERROR(INDEX('بيانات الحركات'!B:B,MATCH(418,'بيانات الحركات'!$G:$G,0)),"")</f>
        <v/>
      </c>
      <c r="C419" s="3" t="str">
        <f>IFERROR(INDEX('بيانات الحركات'!C:C,MATCH(418,'بيانات الحركات'!$G:$G,0)),"")</f>
        <v/>
      </c>
      <c r="D419" s="3" t="str">
        <f>IFERROR(INDEX('بيانات الحركات'!D:D,MATCH(418,'بيانات الحركات'!$G:$G,0)),"")</f>
        <v/>
      </c>
      <c r="E419" s="21" t="str">
        <f>IF($B419="إنتاج طبخة","",IFERROR(INDEX('بيانات الحركات'!E:E,MATCH(418,'بيانات الحركات'!$G:$G,0)),""))</f>
        <v/>
      </c>
      <c r="F419" s="3" t="str">
        <f>IFERROR(INDEX('بيانات الحركات'!F:F,MATCH(418,'بيانات الحركات'!$G:$G,0)),"")</f>
        <v/>
      </c>
    </row>
    <row r="420" spans="1:6" ht="21.95" customHeight="1">
      <c r="A420" s="8" t="str">
        <f>IFERROR(INDEX('بيانات الحركات'!A:A,MATCH(419,'بيانات الحركات'!$G:$G,0)),"")</f>
        <v/>
      </c>
      <c r="B420" s="5" t="str">
        <f>IFERROR(INDEX('بيانات الحركات'!B:B,MATCH(419,'بيانات الحركات'!$G:$G,0)),"")</f>
        <v/>
      </c>
      <c r="C420" s="3" t="str">
        <f>IFERROR(INDEX('بيانات الحركات'!C:C,MATCH(419,'بيانات الحركات'!$G:$G,0)),"")</f>
        <v/>
      </c>
      <c r="D420" s="3" t="str">
        <f>IFERROR(INDEX('بيانات الحركات'!D:D,MATCH(419,'بيانات الحركات'!$G:$G,0)),"")</f>
        <v/>
      </c>
      <c r="E420" s="21" t="str">
        <f>IF($B420="إنتاج طبخة","",IFERROR(INDEX('بيانات الحركات'!E:E,MATCH(419,'بيانات الحركات'!$G:$G,0)),""))</f>
        <v/>
      </c>
      <c r="F420" s="3" t="str">
        <f>IFERROR(INDEX('بيانات الحركات'!F:F,MATCH(419,'بيانات الحركات'!$G:$G,0)),"")</f>
        <v/>
      </c>
    </row>
    <row r="421" spans="1:6" ht="21.95" customHeight="1">
      <c r="A421" s="8" t="str">
        <f>IFERROR(INDEX('بيانات الحركات'!A:A,MATCH(420,'بيانات الحركات'!$G:$G,0)),"")</f>
        <v/>
      </c>
      <c r="B421" s="5" t="str">
        <f>IFERROR(INDEX('بيانات الحركات'!B:B,MATCH(420,'بيانات الحركات'!$G:$G,0)),"")</f>
        <v/>
      </c>
      <c r="C421" s="3" t="str">
        <f>IFERROR(INDEX('بيانات الحركات'!C:C,MATCH(420,'بيانات الحركات'!$G:$G,0)),"")</f>
        <v/>
      </c>
      <c r="D421" s="3" t="str">
        <f>IFERROR(INDEX('بيانات الحركات'!D:D,MATCH(420,'بيانات الحركات'!$G:$G,0)),"")</f>
        <v/>
      </c>
      <c r="E421" s="21" t="str">
        <f>IF($B421="إنتاج طبخة","",IFERROR(INDEX('بيانات الحركات'!E:E,MATCH(420,'بيانات الحركات'!$G:$G,0)),""))</f>
        <v/>
      </c>
      <c r="F421" s="3" t="str">
        <f>IFERROR(INDEX('بيانات الحركات'!F:F,MATCH(420,'بيانات الحركات'!$G:$G,0)),"")</f>
        <v/>
      </c>
    </row>
    <row r="422" spans="1:6" ht="21.95" customHeight="1">
      <c r="A422" s="8" t="str">
        <f>IFERROR(INDEX('بيانات الحركات'!A:A,MATCH(421,'بيانات الحركات'!$G:$G,0)),"")</f>
        <v/>
      </c>
      <c r="B422" s="5" t="str">
        <f>IFERROR(INDEX('بيانات الحركات'!B:B,MATCH(421,'بيانات الحركات'!$G:$G,0)),"")</f>
        <v/>
      </c>
      <c r="C422" s="3" t="str">
        <f>IFERROR(INDEX('بيانات الحركات'!C:C,MATCH(421,'بيانات الحركات'!$G:$G,0)),"")</f>
        <v/>
      </c>
      <c r="D422" s="3" t="str">
        <f>IFERROR(INDEX('بيانات الحركات'!D:D,MATCH(421,'بيانات الحركات'!$G:$G,0)),"")</f>
        <v/>
      </c>
      <c r="E422" s="21" t="str">
        <f>IF($B422="إنتاج طبخة","",IFERROR(INDEX('بيانات الحركات'!E:E,MATCH(421,'بيانات الحركات'!$G:$G,0)),""))</f>
        <v/>
      </c>
      <c r="F422" s="3" t="str">
        <f>IFERROR(INDEX('بيانات الحركات'!F:F,MATCH(421,'بيانات الحركات'!$G:$G,0)),"")</f>
        <v/>
      </c>
    </row>
    <row r="423" spans="1:6" ht="21.95" customHeight="1">
      <c r="A423" s="8" t="str">
        <f>IFERROR(INDEX('بيانات الحركات'!A:A,MATCH(422,'بيانات الحركات'!$G:$G,0)),"")</f>
        <v/>
      </c>
      <c r="B423" s="5" t="str">
        <f>IFERROR(INDEX('بيانات الحركات'!B:B,MATCH(422,'بيانات الحركات'!$G:$G,0)),"")</f>
        <v/>
      </c>
      <c r="C423" s="3" t="str">
        <f>IFERROR(INDEX('بيانات الحركات'!C:C,MATCH(422,'بيانات الحركات'!$G:$G,0)),"")</f>
        <v/>
      </c>
      <c r="D423" s="3" t="str">
        <f>IFERROR(INDEX('بيانات الحركات'!D:D,MATCH(422,'بيانات الحركات'!$G:$G,0)),"")</f>
        <v/>
      </c>
      <c r="E423" s="21" t="str">
        <f>IF($B423="إنتاج طبخة","",IFERROR(INDEX('بيانات الحركات'!E:E,MATCH(422,'بيانات الحركات'!$G:$G,0)),""))</f>
        <v/>
      </c>
      <c r="F423" s="3" t="str">
        <f>IFERROR(INDEX('بيانات الحركات'!F:F,MATCH(422,'بيانات الحركات'!$G:$G,0)),"")</f>
        <v/>
      </c>
    </row>
    <row r="424" spans="1:6" ht="21.95" customHeight="1">
      <c r="A424" s="8" t="str">
        <f>IFERROR(INDEX('بيانات الحركات'!A:A,MATCH(423,'بيانات الحركات'!$G:$G,0)),"")</f>
        <v/>
      </c>
      <c r="B424" s="5" t="str">
        <f>IFERROR(INDEX('بيانات الحركات'!B:B,MATCH(423,'بيانات الحركات'!$G:$G,0)),"")</f>
        <v/>
      </c>
      <c r="C424" s="3" t="str">
        <f>IFERROR(INDEX('بيانات الحركات'!C:C,MATCH(423,'بيانات الحركات'!$G:$G,0)),"")</f>
        <v/>
      </c>
      <c r="D424" s="3" t="str">
        <f>IFERROR(INDEX('بيانات الحركات'!D:D,MATCH(423,'بيانات الحركات'!$G:$G,0)),"")</f>
        <v/>
      </c>
      <c r="E424" s="21" t="str">
        <f>IF($B424="إنتاج طبخة","",IFERROR(INDEX('بيانات الحركات'!E:E,MATCH(423,'بيانات الحركات'!$G:$G,0)),""))</f>
        <v/>
      </c>
      <c r="F424" s="3" t="str">
        <f>IFERROR(INDEX('بيانات الحركات'!F:F,MATCH(423,'بيانات الحركات'!$G:$G,0)),"")</f>
        <v/>
      </c>
    </row>
    <row r="425" spans="1:6" ht="21.95" customHeight="1">
      <c r="A425" s="8" t="str">
        <f>IFERROR(INDEX('بيانات الحركات'!A:A,MATCH(424,'بيانات الحركات'!$G:$G,0)),"")</f>
        <v/>
      </c>
      <c r="B425" s="5" t="str">
        <f>IFERROR(INDEX('بيانات الحركات'!B:B,MATCH(424,'بيانات الحركات'!$G:$G,0)),"")</f>
        <v/>
      </c>
      <c r="C425" s="3" t="str">
        <f>IFERROR(INDEX('بيانات الحركات'!C:C,MATCH(424,'بيانات الحركات'!$G:$G,0)),"")</f>
        <v/>
      </c>
      <c r="D425" s="3" t="str">
        <f>IFERROR(INDEX('بيانات الحركات'!D:D,MATCH(424,'بيانات الحركات'!$G:$G,0)),"")</f>
        <v/>
      </c>
      <c r="E425" s="21" t="str">
        <f>IF($B425="إنتاج طبخة","",IFERROR(INDEX('بيانات الحركات'!E:E,MATCH(424,'بيانات الحركات'!$G:$G,0)),""))</f>
        <v/>
      </c>
      <c r="F425" s="3" t="str">
        <f>IFERROR(INDEX('بيانات الحركات'!F:F,MATCH(424,'بيانات الحركات'!$G:$G,0)),"")</f>
        <v/>
      </c>
    </row>
    <row r="426" spans="1:6" ht="21.95" customHeight="1">
      <c r="A426" s="8" t="str">
        <f>IFERROR(INDEX('بيانات الحركات'!A:A,MATCH(425,'بيانات الحركات'!$G:$G,0)),"")</f>
        <v/>
      </c>
      <c r="B426" s="5" t="str">
        <f>IFERROR(INDEX('بيانات الحركات'!B:B,MATCH(425,'بيانات الحركات'!$G:$G,0)),"")</f>
        <v/>
      </c>
      <c r="C426" s="3" t="str">
        <f>IFERROR(INDEX('بيانات الحركات'!C:C,MATCH(425,'بيانات الحركات'!$G:$G,0)),"")</f>
        <v/>
      </c>
      <c r="D426" s="3" t="str">
        <f>IFERROR(INDEX('بيانات الحركات'!D:D,MATCH(425,'بيانات الحركات'!$G:$G,0)),"")</f>
        <v/>
      </c>
      <c r="E426" s="21" t="str">
        <f>IF($B426="إنتاج طبخة","",IFERROR(INDEX('بيانات الحركات'!E:E,MATCH(425,'بيانات الحركات'!$G:$G,0)),""))</f>
        <v/>
      </c>
      <c r="F426" s="3" t="str">
        <f>IFERROR(INDEX('بيانات الحركات'!F:F,MATCH(425,'بيانات الحركات'!$G:$G,0)),"")</f>
        <v/>
      </c>
    </row>
    <row r="427" spans="1:6" ht="21.95" customHeight="1">
      <c r="A427" s="8" t="str">
        <f>IFERROR(INDEX('بيانات الحركات'!A:A,MATCH(426,'بيانات الحركات'!$G:$G,0)),"")</f>
        <v/>
      </c>
      <c r="B427" s="5" t="str">
        <f>IFERROR(INDEX('بيانات الحركات'!B:B,MATCH(426,'بيانات الحركات'!$G:$G,0)),"")</f>
        <v/>
      </c>
      <c r="C427" s="3" t="str">
        <f>IFERROR(INDEX('بيانات الحركات'!C:C,MATCH(426,'بيانات الحركات'!$G:$G,0)),"")</f>
        <v/>
      </c>
      <c r="D427" s="3" t="str">
        <f>IFERROR(INDEX('بيانات الحركات'!D:D,MATCH(426,'بيانات الحركات'!$G:$G,0)),"")</f>
        <v/>
      </c>
      <c r="E427" s="21" t="str">
        <f>IF($B427="إنتاج طبخة","",IFERROR(INDEX('بيانات الحركات'!E:E,MATCH(426,'بيانات الحركات'!$G:$G,0)),""))</f>
        <v/>
      </c>
      <c r="F427" s="3" t="str">
        <f>IFERROR(INDEX('بيانات الحركات'!F:F,MATCH(426,'بيانات الحركات'!$G:$G,0)),"")</f>
        <v/>
      </c>
    </row>
    <row r="428" spans="1:6" ht="21.95" customHeight="1">
      <c r="A428" s="8" t="str">
        <f>IFERROR(INDEX('بيانات الحركات'!A:A,MATCH(427,'بيانات الحركات'!$G:$G,0)),"")</f>
        <v/>
      </c>
      <c r="B428" s="5" t="str">
        <f>IFERROR(INDEX('بيانات الحركات'!B:B,MATCH(427,'بيانات الحركات'!$G:$G,0)),"")</f>
        <v/>
      </c>
      <c r="C428" s="3" t="str">
        <f>IFERROR(INDEX('بيانات الحركات'!C:C,MATCH(427,'بيانات الحركات'!$G:$G,0)),"")</f>
        <v/>
      </c>
      <c r="D428" s="3" t="str">
        <f>IFERROR(INDEX('بيانات الحركات'!D:D,MATCH(427,'بيانات الحركات'!$G:$G,0)),"")</f>
        <v/>
      </c>
      <c r="E428" s="21" t="str">
        <f>IF($B428="إنتاج طبخة","",IFERROR(INDEX('بيانات الحركات'!E:E,MATCH(427,'بيانات الحركات'!$G:$G,0)),""))</f>
        <v/>
      </c>
      <c r="F428" s="3" t="str">
        <f>IFERROR(INDEX('بيانات الحركات'!F:F,MATCH(427,'بيانات الحركات'!$G:$G,0)),"")</f>
        <v/>
      </c>
    </row>
    <row r="429" spans="1:6" ht="21.95" customHeight="1">
      <c r="A429" s="8" t="str">
        <f>IFERROR(INDEX('بيانات الحركات'!A:A,MATCH(428,'بيانات الحركات'!$G:$G,0)),"")</f>
        <v/>
      </c>
      <c r="B429" s="5" t="str">
        <f>IFERROR(INDEX('بيانات الحركات'!B:B,MATCH(428,'بيانات الحركات'!$G:$G,0)),"")</f>
        <v/>
      </c>
      <c r="C429" s="3" t="str">
        <f>IFERROR(INDEX('بيانات الحركات'!C:C,MATCH(428,'بيانات الحركات'!$G:$G,0)),"")</f>
        <v/>
      </c>
      <c r="D429" s="3" t="str">
        <f>IFERROR(INDEX('بيانات الحركات'!D:D,MATCH(428,'بيانات الحركات'!$G:$G,0)),"")</f>
        <v/>
      </c>
      <c r="E429" s="21" t="str">
        <f>IF($B429="إنتاج طبخة","",IFERROR(INDEX('بيانات الحركات'!E:E,MATCH(428,'بيانات الحركات'!$G:$G,0)),""))</f>
        <v/>
      </c>
      <c r="F429" s="3" t="str">
        <f>IFERROR(INDEX('بيانات الحركات'!F:F,MATCH(428,'بيانات الحركات'!$G:$G,0)),"")</f>
        <v/>
      </c>
    </row>
    <row r="430" spans="1:6" ht="21.95" customHeight="1">
      <c r="A430" s="8" t="str">
        <f>IFERROR(INDEX('بيانات الحركات'!A:A,MATCH(429,'بيانات الحركات'!$G:$G,0)),"")</f>
        <v/>
      </c>
      <c r="B430" s="5" t="str">
        <f>IFERROR(INDEX('بيانات الحركات'!B:B,MATCH(429,'بيانات الحركات'!$G:$G,0)),"")</f>
        <v/>
      </c>
      <c r="C430" s="3" t="str">
        <f>IFERROR(INDEX('بيانات الحركات'!C:C,MATCH(429,'بيانات الحركات'!$G:$G,0)),"")</f>
        <v/>
      </c>
      <c r="D430" s="3" t="str">
        <f>IFERROR(INDEX('بيانات الحركات'!D:D,MATCH(429,'بيانات الحركات'!$G:$G,0)),"")</f>
        <v/>
      </c>
      <c r="E430" s="21" t="str">
        <f>IF($B430="إنتاج طبخة","",IFERROR(INDEX('بيانات الحركات'!E:E,MATCH(429,'بيانات الحركات'!$G:$G,0)),""))</f>
        <v/>
      </c>
      <c r="F430" s="3" t="str">
        <f>IFERROR(INDEX('بيانات الحركات'!F:F,MATCH(429,'بيانات الحركات'!$G:$G,0)),"")</f>
        <v/>
      </c>
    </row>
    <row r="431" spans="1:6" ht="21.95" customHeight="1">
      <c r="A431" s="8" t="str">
        <f>IFERROR(INDEX('بيانات الحركات'!A:A,MATCH(430,'بيانات الحركات'!$G:$G,0)),"")</f>
        <v/>
      </c>
      <c r="B431" s="5" t="str">
        <f>IFERROR(INDEX('بيانات الحركات'!B:B,MATCH(430,'بيانات الحركات'!$G:$G,0)),"")</f>
        <v/>
      </c>
      <c r="C431" s="3" t="str">
        <f>IFERROR(INDEX('بيانات الحركات'!C:C,MATCH(430,'بيانات الحركات'!$G:$G,0)),"")</f>
        <v/>
      </c>
      <c r="D431" s="3" t="str">
        <f>IFERROR(INDEX('بيانات الحركات'!D:D,MATCH(430,'بيانات الحركات'!$G:$G,0)),"")</f>
        <v/>
      </c>
      <c r="E431" s="21" t="str">
        <f>IF($B431="إنتاج طبخة","",IFERROR(INDEX('بيانات الحركات'!E:E,MATCH(430,'بيانات الحركات'!$G:$G,0)),""))</f>
        <v/>
      </c>
      <c r="F431" s="3" t="str">
        <f>IFERROR(INDEX('بيانات الحركات'!F:F,MATCH(430,'بيانات الحركات'!$G:$G,0)),"")</f>
        <v/>
      </c>
    </row>
    <row r="432" spans="1:6" ht="21.95" customHeight="1">
      <c r="A432" s="8" t="str">
        <f>IFERROR(INDEX('بيانات الحركات'!A:A,MATCH(431,'بيانات الحركات'!$G:$G,0)),"")</f>
        <v/>
      </c>
      <c r="B432" s="5" t="str">
        <f>IFERROR(INDEX('بيانات الحركات'!B:B,MATCH(431,'بيانات الحركات'!$G:$G,0)),"")</f>
        <v/>
      </c>
      <c r="C432" s="3" t="str">
        <f>IFERROR(INDEX('بيانات الحركات'!C:C,MATCH(431,'بيانات الحركات'!$G:$G,0)),"")</f>
        <v/>
      </c>
      <c r="D432" s="3" t="str">
        <f>IFERROR(INDEX('بيانات الحركات'!D:D,MATCH(431,'بيانات الحركات'!$G:$G,0)),"")</f>
        <v/>
      </c>
      <c r="E432" s="21" t="str">
        <f>IF($B432="إنتاج طبخة","",IFERROR(INDEX('بيانات الحركات'!E:E,MATCH(431,'بيانات الحركات'!$G:$G,0)),""))</f>
        <v/>
      </c>
      <c r="F432" s="3" t="str">
        <f>IFERROR(INDEX('بيانات الحركات'!F:F,MATCH(431,'بيانات الحركات'!$G:$G,0)),"")</f>
        <v/>
      </c>
    </row>
    <row r="433" spans="1:6" ht="21.95" customHeight="1">
      <c r="A433" s="8" t="str">
        <f>IFERROR(INDEX('بيانات الحركات'!A:A,MATCH(432,'بيانات الحركات'!$G:$G,0)),"")</f>
        <v/>
      </c>
      <c r="B433" s="5" t="str">
        <f>IFERROR(INDEX('بيانات الحركات'!B:B,MATCH(432,'بيانات الحركات'!$G:$G,0)),"")</f>
        <v/>
      </c>
      <c r="C433" s="3" t="str">
        <f>IFERROR(INDEX('بيانات الحركات'!C:C,MATCH(432,'بيانات الحركات'!$G:$G,0)),"")</f>
        <v/>
      </c>
      <c r="D433" s="3" t="str">
        <f>IFERROR(INDEX('بيانات الحركات'!D:D,MATCH(432,'بيانات الحركات'!$G:$G,0)),"")</f>
        <v/>
      </c>
      <c r="E433" s="21" t="str">
        <f>IF($B433="إنتاج طبخة","",IFERROR(INDEX('بيانات الحركات'!E:E,MATCH(432,'بيانات الحركات'!$G:$G,0)),""))</f>
        <v/>
      </c>
      <c r="F433" s="3" t="str">
        <f>IFERROR(INDEX('بيانات الحركات'!F:F,MATCH(432,'بيانات الحركات'!$G:$G,0)),"")</f>
        <v/>
      </c>
    </row>
    <row r="434" spans="1:6" ht="21.95" customHeight="1">
      <c r="A434" s="8" t="str">
        <f>IFERROR(INDEX('بيانات الحركات'!A:A,MATCH(433,'بيانات الحركات'!$G:$G,0)),"")</f>
        <v/>
      </c>
      <c r="B434" s="5" t="str">
        <f>IFERROR(INDEX('بيانات الحركات'!B:B,MATCH(433,'بيانات الحركات'!$G:$G,0)),"")</f>
        <v/>
      </c>
      <c r="C434" s="3" t="str">
        <f>IFERROR(INDEX('بيانات الحركات'!C:C,MATCH(433,'بيانات الحركات'!$G:$G,0)),"")</f>
        <v/>
      </c>
      <c r="D434" s="3" t="str">
        <f>IFERROR(INDEX('بيانات الحركات'!D:D,MATCH(433,'بيانات الحركات'!$G:$G,0)),"")</f>
        <v/>
      </c>
      <c r="E434" s="21" t="str">
        <f>IF($B434="إنتاج طبخة","",IFERROR(INDEX('بيانات الحركات'!E:E,MATCH(433,'بيانات الحركات'!$G:$G,0)),""))</f>
        <v/>
      </c>
      <c r="F434" s="3" t="str">
        <f>IFERROR(INDEX('بيانات الحركات'!F:F,MATCH(433,'بيانات الحركات'!$G:$G,0)),"")</f>
        <v/>
      </c>
    </row>
    <row r="435" spans="1:6" ht="21.95" customHeight="1">
      <c r="A435" s="8" t="str">
        <f>IFERROR(INDEX('بيانات الحركات'!A:A,MATCH(434,'بيانات الحركات'!$G:$G,0)),"")</f>
        <v/>
      </c>
      <c r="B435" s="5" t="str">
        <f>IFERROR(INDEX('بيانات الحركات'!B:B,MATCH(434,'بيانات الحركات'!$G:$G,0)),"")</f>
        <v/>
      </c>
      <c r="C435" s="3" t="str">
        <f>IFERROR(INDEX('بيانات الحركات'!C:C,MATCH(434,'بيانات الحركات'!$G:$G,0)),"")</f>
        <v/>
      </c>
      <c r="D435" s="3" t="str">
        <f>IFERROR(INDEX('بيانات الحركات'!D:D,MATCH(434,'بيانات الحركات'!$G:$G,0)),"")</f>
        <v/>
      </c>
      <c r="E435" s="21" t="str">
        <f>IF($B435="إنتاج طبخة","",IFERROR(INDEX('بيانات الحركات'!E:E,MATCH(434,'بيانات الحركات'!$G:$G,0)),""))</f>
        <v/>
      </c>
      <c r="F435" s="3" t="str">
        <f>IFERROR(INDEX('بيانات الحركات'!F:F,MATCH(434,'بيانات الحركات'!$G:$G,0)),"")</f>
        <v/>
      </c>
    </row>
    <row r="436" spans="1:6" ht="21.95" customHeight="1">
      <c r="A436" s="8" t="str">
        <f>IFERROR(INDEX('بيانات الحركات'!A:A,MATCH(435,'بيانات الحركات'!$G:$G,0)),"")</f>
        <v/>
      </c>
      <c r="B436" s="5" t="str">
        <f>IFERROR(INDEX('بيانات الحركات'!B:B,MATCH(435,'بيانات الحركات'!$G:$G,0)),"")</f>
        <v/>
      </c>
      <c r="C436" s="3" t="str">
        <f>IFERROR(INDEX('بيانات الحركات'!C:C,MATCH(435,'بيانات الحركات'!$G:$G,0)),"")</f>
        <v/>
      </c>
      <c r="D436" s="3" t="str">
        <f>IFERROR(INDEX('بيانات الحركات'!D:D,MATCH(435,'بيانات الحركات'!$G:$G,0)),"")</f>
        <v/>
      </c>
      <c r="E436" s="21" t="str">
        <f>IF($B436="إنتاج طبخة","",IFERROR(INDEX('بيانات الحركات'!E:E,MATCH(435,'بيانات الحركات'!$G:$G,0)),""))</f>
        <v/>
      </c>
      <c r="F436" s="3" t="str">
        <f>IFERROR(INDEX('بيانات الحركات'!F:F,MATCH(435,'بيانات الحركات'!$G:$G,0)),"")</f>
        <v/>
      </c>
    </row>
    <row r="437" spans="1:6" ht="21.95" customHeight="1">
      <c r="A437" s="8" t="str">
        <f>IFERROR(INDEX('بيانات الحركات'!A:A,MATCH(436,'بيانات الحركات'!$G:$G,0)),"")</f>
        <v/>
      </c>
      <c r="B437" s="5" t="str">
        <f>IFERROR(INDEX('بيانات الحركات'!B:B,MATCH(436,'بيانات الحركات'!$G:$G,0)),"")</f>
        <v/>
      </c>
      <c r="C437" s="3" t="str">
        <f>IFERROR(INDEX('بيانات الحركات'!C:C,MATCH(436,'بيانات الحركات'!$G:$G,0)),"")</f>
        <v/>
      </c>
      <c r="D437" s="3" t="str">
        <f>IFERROR(INDEX('بيانات الحركات'!D:D,MATCH(436,'بيانات الحركات'!$G:$G,0)),"")</f>
        <v/>
      </c>
      <c r="E437" s="21" t="str">
        <f>IF($B437="إنتاج طبخة","",IFERROR(INDEX('بيانات الحركات'!E:E,MATCH(436,'بيانات الحركات'!$G:$G,0)),""))</f>
        <v/>
      </c>
      <c r="F437" s="3" t="str">
        <f>IFERROR(INDEX('بيانات الحركات'!F:F,MATCH(436,'بيانات الحركات'!$G:$G,0)),"")</f>
        <v/>
      </c>
    </row>
    <row r="438" spans="1:6" ht="21.95" customHeight="1">
      <c r="A438" s="8" t="str">
        <f>IFERROR(INDEX('بيانات الحركات'!A:A,MATCH(437,'بيانات الحركات'!$G:$G,0)),"")</f>
        <v/>
      </c>
      <c r="B438" s="5" t="str">
        <f>IFERROR(INDEX('بيانات الحركات'!B:B,MATCH(437,'بيانات الحركات'!$G:$G,0)),"")</f>
        <v/>
      </c>
      <c r="C438" s="3" t="str">
        <f>IFERROR(INDEX('بيانات الحركات'!C:C,MATCH(437,'بيانات الحركات'!$G:$G,0)),"")</f>
        <v/>
      </c>
      <c r="D438" s="3" t="str">
        <f>IFERROR(INDEX('بيانات الحركات'!D:D,MATCH(437,'بيانات الحركات'!$G:$G,0)),"")</f>
        <v/>
      </c>
      <c r="E438" s="21" t="str">
        <f>IF($B438="إنتاج طبخة","",IFERROR(INDEX('بيانات الحركات'!E:E,MATCH(437,'بيانات الحركات'!$G:$G,0)),""))</f>
        <v/>
      </c>
      <c r="F438" s="3" t="str">
        <f>IFERROR(INDEX('بيانات الحركات'!F:F,MATCH(437,'بيانات الحركات'!$G:$G,0)),"")</f>
        <v/>
      </c>
    </row>
    <row r="439" spans="1:6" ht="21.95" customHeight="1">
      <c r="A439" s="8" t="str">
        <f>IFERROR(INDEX('بيانات الحركات'!A:A,MATCH(438,'بيانات الحركات'!$G:$G,0)),"")</f>
        <v/>
      </c>
      <c r="B439" s="5" t="str">
        <f>IFERROR(INDEX('بيانات الحركات'!B:B,MATCH(438,'بيانات الحركات'!$G:$G,0)),"")</f>
        <v/>
      </c>
      <c r="C439" s="3" t="str">
        <f>IFERROR(INDEX('بيانات الحركات'!C:C,MATCH(438,'بيانات الحركات'!$G:$G,0)),"")</f>
        <v/>
      </c>
      <c r="D439" s="3" t="str">
        <f>IFERROR(INDEX('بيانات الحركات'!D:D,MATCH(438,'بيانات الحركات'!$G:$G,0)),"")</f>
        <v/>
      </c>
      <c r="E439" s="21" t="str">
        <f>IF($B439="إنتاج طبخة","",IFERROR(INDEX('بيانات الحركات'!E:E,MATCH(438,'بيانات الحركات'!$G:$G,0)),""))</f>
        <v/>
      </c>
      <c r="F439" s="3" t="str">
        <f>IFERROR(INDEX('بيانات الحركات'!F:F,MATCH(438,'بيانات الحركات'!$G:$G,0)),"")</f>
        <v/>
      </c>
    </row>
    <row r="440" spans="1:6" ht="21.95" customHeight="1">
      <c r="A440" s="8" t="str">
        <f>IFERROR(INDEX('بيانات الحركات'!A:A,MATCH(439,'بيانات الحركات'!$G:$G,0)),"")</f>
        <v/>
      </c>
      <c r="B440" s="5" t="str">
        <f>IFERROR(INDEX('بيانات الحركات'!B:B,MATCH(439,'بيانات الحركات'!$G:$G,0)),"")</f>
        <v/>
      </c>
      <c r="C440" s="3" t="str">
        <f>IFERROR(INDEX('بيانات الحركات'!C:C,MATCH(439,'بيانات الحركات'!$G:$G,0)),"")</f>
        <v/>
      </c>
      <c r="D440" s="3" t="str">
        <f>IFERROR(INDEX('بيانات الحركات'!D:D,MATCH(439,'بيانات الحركات'!$G:$G,0)),"")</f>
        <v/>
      </c>
      <c r="E440" s="21" t="str">
        <f>IF($B440="إنتاج طبخة","",IFERROR(INDEX('بيانات الحركات'!E:E,MATCH(439,'بيانات الحركات'!$G:$G,0)),""))</f>
        <v/>
      </c>
      <c r="F440" s="3" t="str">
        <f>IFERROR(INDEX('بيانات الحركات'!F:F,MATCH(439,'بيانات الحركات'!$G:$G,0)),"")</f>
        <v/>
      </c>
    </row>
    <row r="441" spans="1:6" ht="21.95" customHeight="1">
      <c r="A441" s="8" t="str">
        <f>IFERROR(INDEX('بيانات الحركات'!A:A,MATCH(440,'بيانات الحركات'!$G:$G,0)),"")</f>
        <v/>
      </c>
      <c r="B441" s="5" t="str">
        <f>IFERROR(INDEX('بيانات الحركات'!B:B,MATCH(440,'بيانات الحركات'!$G:$G,0)),"")</f>
        <v/>
      </c>
      <c r="C441" s="3" t="str">
        <f>IFERROR(INDEX('بيانات الحركات'!C:C,MATCH(440,'بيانات الحركات'!$G:$G,0)),"")</f>
        <v/>
      </c>
      <c r="D441" s="3" t="str">
        <f>IFERROR(INDEX('بيانات الحركات'!D:D,MATCH(440,'بيانات الحركات'!$G:$G,0)),"")</f>
        <v/>
      </c>
      <c r="E441" s="21" t="str">
        <f>IF($B441="إنتاج طبخة","",IFERROR(INDEX('بيانات الحركات'!E:E,MATCH(440,'بيانات الحركات'!$G:$G,0)),""))</f>
        <v/>
      </c>
      <c r="F441" s="3" t="str">
        <f>IFERROR(INDEX('بيانات الحركات'!F:F,MATCH(440,'بيانات الحركات'!$G:$G,0)),"")</f>
        <v/>
      </c>
    </row>
    <row r="442" spans="1:6" ht="21.95" customHeight="1">
      <c r="A442" s="8" t="str">
        <f>IFERROR(INDEX('بيانات الحركات'!A:A,MATCH(441,'بيانات الحركات'!$G:$G,0)),"")</f>
        <v/>
      </c>
      <c r="B442" s="5" t="str">
        <f>IFERROR(INDEX('بيانات الحركات'!B:B,MATCH(441,'بيانات الحركات'!$G:$G,0)),"")</f>
        <v/>
      </c>
      <c r="C442" s="3" t="str">
        <f>IFERROR(INDEX('بيانات الحركات'!C:C,MATCH(441,'بيانات الحركات'!$G:$G,0)),"")</f>
        <v/>
      </c>
      <c r="D442" s="3" t="str">
        <f>IFERROR(INDEX('بيانات الحركات'!D:D,MATCH(441,'بيانات الحركات'!$G:$G,0)),"")</f>
        <v/>
      </c>
      <c r="E442" s="21" t="str">
        <f>IF($B442="إنتاج طبخة","",IFERROR(INDEX('بيانات الحركات'!E:E,MATCH(441,'بيانات الحركات'!$G:$G,0)),""))</f>
        <v/>
      </c>
      <c r="F442" s="3" t="str">
        <f>IFERROR(INDEX('بيانات الحركات'!F:F,MATCH(441,'بيانات الحركات'!$G:$G,0)),"")</f>
        <v/>
      </c>
    </row>
    <row r="443" spans="1:6" ht="21.95" customHeight="1">
      <c r="A443" s="8" t="str">
        <f>IFERROR(INDEX('بيانات الحركات'!A:A,MATCH(442,'بيانات الحركات'!$G:$G,0)),"")</f>
        <v/>
      </c>
      <c r="B443" s="5" t="str">
        <f>IFERROR(INDEX('بيانات الحركات'!B:B,MATCH(442,'بيانات الحركات'!$G:$G,0)),"")</f>
        <v/>
      </c>
      <c r="C443" s="3" t="str">
        <f>IFERROR(INDEX('بيانات الحركات'!C:C,MATCH(442,'بيانات الحركات'!$G:$G,0)),"")</f>
        <v/>
      </c>
      <c r="D443" s="3" t="str">
        <f>IFERROR(INDEX('بيانات الحركات'!D:D,MATCH(442,'بيانات الحركات'!$G:$G,0)),"")</f>
        <v/>
      </c>
      <c r="E443" s="21" t="str">
        <f>IF($B443="إنتاج طبخة","",IFERROR(INDEX('بيانات الحركات'!E:E,MATCH(442,'بيانات الحركات'!$G:$G,0)),""))</f>
        <v/>
      </c>
      <c r="F443" s="3" t="str">
        <f>IFERROR(INDEX('بيانات الحركات'!F:F,MATCH(442,'بيانات الحركات'!$G:$G,0)),"")</f>
        <v/>
      </c>
    </row>
    <row r="444" spans="1:6" ht="21.95" customHeight="1">
      <c r="A444" s="8" t="str">
        <f>IFERROR(INDEX('بيانات الحركات'!A:A,MATCH(443,'بيانات الحركات'!$G:$G,0)),"")</f>
        <v/>
      </c>
      <c r="B444" s="5" t="str">
        <f>IFERROR(INDEX('بيانات الحركات'!B:B,MATCH(443,'بيانات الحركات'!$G:$G,0)),"")</f>
        <v/>
      </c>
      <c r="C444" s="3" t="str">
        <f>IFERROR(INDEX('بيانات الحركات'!C:C,MATCH(443,'بيانات الحركات'!$G:$G,0)),"")</f>
        <v/>
      </c>
      <c r="D444" s="3" t="str">
        <f>IFERROR(INDEX('بيانات الحركات'!D:D,MATCH(443,'بيانات الحركات'!$G:$G,0)),"")</f>
        <v/>
      </c>
      <c r="E444" s="21" t="str">
        <f>IF($B444="إنتاج طبخة","",IFERROR(INDEX('بيانات الحركات'!E:E,MATCH(443,'بيانات الحركات'!$G:$G,0)),""))</f>
        <v/>
      </c>
      <c r="F444" s="3" t="str">
        <f>IFERROR(INDEX('بيانات الحركات'!F:F,MATCH(443,'بيانات الحركات'!$G:$G,0)),"")</f>
        <v/>
      </c>
    </row>
    <row r="445" spans="1:6" ht="21.95" customHeight="1">
      <c r="A445" s="8" t="str">
        <f>IFERROR(INDEX('بيانات الحركات'!A:A,MATCH(444,'بيانات الحركات'!$G:$G,0)),"")</f>
        <v/>
      </c>
      <c r="B445" s="5" t="str">
        <f>IFERROR(INDEX('بيانات الحركات'!B:B,MATCH(444,'بيانات الحركات'!$G:$G,0)),"")</f>
        <v/>
      </c>
      <c r="C445" s="3" t="str">
        <f>IFERROR(INDEX('بيانات الحركات'!C:C,MATCH(444,'بيانات الحركات'!$G:$G,0)),"")</f>
        <v/>
      </c>
      <c r="D445" s="3" t="str">
        <f>IFERROR(INDEX('بيانات الحركات'!D:D,MATCH(444,'بيانات الحركات'!$G:$G,0)),"")</f>
        <v/>
      </c>
      <c r="E445" s="21" t="str">
        <f>IF($B445="إنتاج طبخة","",IFERROR(INDEX('بيانات الحركات'!E:E,MATCH(444,'بيانات الحركات'!$G:$G,0)),""))</f>
        <v/>
      </c>
      <c r="F445" s="3" t="str">
        <f>IFERROR(INDEX('بيانات الحركات'!F:F,MATCH(444,'بيانات الحركات'!$G:$G,0)),"")</f>
        <v/>
      </c>
    </row>
    <row r="446" spans="1:6" ht="21.95" customHeight="1">
      <c r="A446" s="8" t="str">
        <f>IFERROR(INDEX('بيانات الحركات'!A:A,MATCH(445,'بيانات الحركات'!$G:$G,0)),"")</f>
        <v/>
      </c>
      <c r="B446" s="5" t="str">
        <f>IFERROR(INDEX('بيانات الحركات'!B:B,MATCH(445,'بيانات الحركات'!$G:$G,0)),"")</f>
        <v/>
      </c>
      <c r="C446" s="3" t="str">
        <f>IFERROR(INDEX('بيانات الحركات'!C:C,MATCH(445,'بيانات الحركات'!$G:$G,0)),"")</f>
        <v/>
      </c>
      <c r="D446" s="3" t="str">
        <f>IFERROR(INDEX('بيانات الحركات'!D:D,MATCH(445,'بيانات الحركات'!$G:$G,0)),"")</f>
        <v/>
      </c>
      <c r="E446" s="21" t="str">
        <f>IF($B446="إنتاج طبخة","",IFERROR(INDEX('بيانات الحركات'!E:E,MATCH(445,'بيانات الحركات'!$G:$G,0)),""))</f>
        <v/>
      </c>
      <c r="F446" s="3" t="str">
        <f>IFERROR(INDEX('بيانات الحركات'!F:F,MATCH(445,'بيانات الحركات'!$G:$G,0)),"")</f>
        <v/>
      </c>
    </row>
    <row r="447" spans="1:6" ht="21.95" customHeight="1">
      <c r="A447" s="8" t="str">
        <f>IFERROR(INDEX('بيانات الحركات'!A:A,MATCH(446,'بيانات الحركات'!$G:$G,0)),"")</f>
        <v/>
      </c>
      <c r="B447" s="5" t="str">
        <f>IFERROR(INDEX('بيانات الحركات'!B:B,MATCH(446,'بيانات الحركات'!$G:$G,0)),"")</f>
        <v/>
      </c>
      <c r="C447" s="3" t="str">
        <f>IFERROR(INDEX('بيانات الحركات'!C:C,MATCH(446,'بيانات الحركات'!$G:$G,0)),"")</f>
        <v/>
      </c>
      <c r="D447" s="3" t="str">
        <f>IFERROR(INDEX('بيانات الحركات'!D:D,MATCH(446,'بيانات الحركات'!$G:$G,0)),"")</f>
        <v/>
      </c>
      <c r="E447" s="21" t="str">
        <f>IF($B447="إنتاج طبخة","",IFERROR(INDEX('بيانات الحركات'!E:E,MATCH(446,'بيانات الحركات'!$G:$G,0)),""))</f>
        <v/>
      </c>
      <c r="F447" s="3" t="str">
        <f>IFERROR(INDEX('بيانات الحركات'!F:F,MATCH(446,'بيانات الحركات'!$G:$G,0)),"")</f>
        <v/>
      </c>
    </row>
    <row r="448" spans="1:6" ht="21.95" customHeight="1">
      <c r="A448" s="8" t="str">
        <f>IFERROR(INDEX('بيانات الحركات'!A:A,MATCH(447,'بيانات الحركات'!$G:$G,0)),"")</f>
        <v/>
      </c>
      <c r="B448" s="5" t="str">
        <f>IFERROR(INDEX('بيانات الحركات'!B:B,MATCH(447,'بيانات الحركات'!$G:$G,0)),"")</f>
        <v/>
      </c>
      <c r="C448" s="3" t="str">
        <f>IFERROR(INDEX('بيانات الحركات'!C:C,MATCH(447,'بيانات الحركات'!$G:$G,0)),"")</f>
        <v/>
      </c>
      <c r="D448" s="3" t="str">
        <f>IFERROR(INDEX('بيانات الحركات'!D:D,MATCH(447,'بيانات الحركات'!$G:$G,0)),"")</f>
        <v/>
      </c>
      <c r="E448" s="21" t="str">
        <f>IF($B448="إنتاج طبخة","",IFERROR(INDEX('بيانات الحركات'!E:E,MATCH(447,'بيانات الحركات'!$G:$G,0)),""))</f>
        <v/>
      </c>
      <c r="F448" s="3" t="str">
        <f>IFERROR(INDEX('بيانات الحركات'!F:F,MATCH(447,'بيانات الحركات'!$G:$G,0)),"")</f>
        <v/>
      </c>
    </row>
    <row r="449" spans="1:6" ht="21.95" customHeight="1">
      <c r="A449" s="8" t="str">
        <f>IFERROR(INDEX('بيانات الحركات'!A:A,MATCH(448,'بيانات الحركات'!$G:$G,0)),"")</f>
        <v/>
      </c>
      <c r="B449" s="5" t="str">
        <f>IFERROR(INDEX('بيانات الحركات'!B:B,MATCH(448,'بيانات الحركات'!$G:$G,0)),"")</f>
        <v/>
      </c>
      <c r="C449" s="3" t="str">
        <f>IFERROR(INDEX('بيانات الحركات'!C:C,MATCH(448,'بيانات الحركات'!$G:$G,0)),"")</f>
        <v/>
      </c>
      <c r="D449" s="3" t="str">
        <f>IFERROR(INDEX('بيانات الحركات'!D:D,MATCH(448,'بيانات الحركات'!$G:$G,0)),"")</f>
        <v/>
      </c>
      <c r="E449" s="21" t="str">
        <f>IF($B449="إنتاج طبخة","",IFERROR(INDEX('بيانات الحركات'!E:E,MATCH(448,'بيانات الحركات'!$G:$G,0)),""))</f>
        <v/>
      </c>
      <c r="F449" s="3" t="str">
        <f>IFERROR(INDEX('بيانات الحركات'!F:F,MATCH(448,'بيانات الحركات'!$G:$G,0)),"")</f>
        <v/>
      </c>
    </row>
    <row r="450" spans="1:6" ht="21.95" customHeight="1">
      <c r="A450" s="8" t="str">
        <f>IFERROR(INDEX('بيانات الحركات'!A:A,MATCH(449,'بيانات الحركات'!$G:$G,0)),"")</f>
        <v/>
      </c>
      <c r="B450" s="5" t="str">
        <f>IFERROR(INDEX('بيانات الحركات'!B:B,MATCH(449,'بيانات الحركات'!$G:$G,0)),"")</f>
        <v/>
      </c>
      <c r="C450" s="3" t="str">
        <f>IFERROR(INDEX('بيانات الحركات'!C:C,MATCH(449,'بيانات الحركات'!$G:$G,0)),"")</f>
        <v/>
      </c>
      <c r="D450" s="3" t="str">
        <f>IFERROR(INDEX('بيانات الحركات'!D:D,MATCH(449,'بيانات الحركات'!$G:$G,0)),"")</f>
        <v/>
      </c>
      <c r="E450" s="21" t="str">
        <f>IF($B450="إنتاج طبخة","",IFERROR(INDEX('بيانات الحركات'!E:E,MATCH(449,'بيانات الحركات'!$G:$G,0)),""))</f>
        <v/>
      </c>
      <c r="F450" s="3" t="str">
        <f>IFERROR(INDEX('بيانات الحركات'!F:F,MATCH(449,'بيانات الحركات'!$G:$G,0)),"")</f>
        <v/>
      </c>
    </row>
    <row r="451" spans="1:6" ht="21.95" customHeight="1">
      <c r="A451" s="8" t="str">
        <f>IFERROR(INDEX('بيانات الحركات'!A:A,MATCH(450,'بيانات الحركات'!$G:$G,0)),"")</f>
        <v/>
      </c>
      <c r="B451" s="5" t="str">
        <f>IFERROR(INDEX('بيانات الحركات'!B:B,MATCH(450,'بيانات الحركات'!$G:$G,0)),"")</f>
        <v/>
      </c>
      <c r="C451" s="3" t="str">
        <f>IFERROR(INDEX('بيانات الحركات'!C:C,MATCH(450,'بيانات الحركات'!$G:$G,0)),"")</f>
        <v/>
      </c>
      <c r="D451" s="3" t="str">
        <f>IFERROR(INDEX('بيانات الحركات'!D:D,MATCH(450,'بيانات الحركات'!$G:$G,0)),"")</f>
        <v/>
      </c>
      <c r="E451" s="21" t="str">
        <f>IF($B451="إنتاج طبخة","",IFERROR(INDEX('بيانات الحركات'!E:E,MATCH(450,'بيانات الحركات'!$G:$G,0)),""))</f>
        <v/>
      </c>
      <c r="F451" s="3" t="str">
        <f>IFERROR(INDEX('بيانات الحركات'!F:F,MATCH(450,'بيانات الحركات'!$G:$G,0)),"")</f>
        <v/>
      </c>
    </row>
    <row r="452" spans="1:6" ht="21.95" customHeight="1">
      <c r="A452" s="8" t="str">
        <f>IFERROR(INDEX('بيانات الحركات'!A:A,MATCH(451,'بيانات الحركات'!$G:$G,0)),"")</f>
        <v/>
      </c>
      <c r="B452" s="5" t="str">
        <f>IFERROR(INDEX('بيانات الحركات'!B:B,MATCH(451,'بيانات الحركات'!$G:$G,0)),"")</f>
        <v/>
      </c>
      <c r="C452" s="3" t="str">
        <f>IFERROR(INDEX('بيانات الحركات'!C:C,MATCH(451,'بيانات الحركات'!$G:$G,0)),"")</f>
        <v/>
      </c>
      <c r="D452" s="3" t="str">
        <f>IFERROR(INDEX('بيانات الحركات'!D:D,MATCH(451,'بيانات الحركات'!$G:$G,0)),"")</f>
        <v/>
      </c>
      <c r="E452" s="21" t="str">
        <f>IF($B452="إنتاج طبخة","",IFERROR(INDEX('بيانات الحركات'!E:E,MATCH(451,'بيانات الحركات'!$G:$G,0)),""))</f>
        <v/>
      </c>
      <c r="F452" s="3" t="str">
        <f>IFERROR(INDEX('بيانات الحركات'!F:F,MATCH(451,'بيانات الحركات'!$G:$G,0)),"")</f>
        <v/>
      </c>
    </row>
    <row r="453" spans="1:6" ht="21.95" customHeight="1">
      <c r="A453" s="8" t="str">
        <f>IFERROR(INDEX('بيانات الحركات'!A:A,MATCH(452,'بيانات الحركات'!$G:$G,0)),"")</f>
        <v/>
      </c>
      <c r="B453" s="5" t="str">
        <f>IFERROR(INDEX('بيانات الحركات'!B:B,MATCH(452,'بيانات الحركات'!$G:$G,0)),"")</f>
        <v/>
      </c>
      <c r="C453" s="3" t="str">
        <f>IFERROR(INDEX('بيانات الحركات'!C:C,MATCH(452,'بيانات الحركات'!$G:$G,0)),"")</f>
        <v/>
      </c>
      <c r="D453" s="3" t="str">
        <f>IFERROR(INDEX('بيانات الحركات'!D:D,MATCH(452,'بيانات الحركات'!$G:$G,0)),"")</f>
        <v/>
      </c>
      <c r="E453" s="21" t="str">
        <f>IF($B453="إنتاج طبخة","",IFERROR(INDEX('بيانات الحركات'!E:E,MATCH(452,'بيانات الحركات'!$G:$G,0)),""))</f>
        <v/>
      </c>
      <c r="F453" s="3" t="str">
        <f>IFERROR(INDEX('بيانات الحركات'!F:F,MATCH(452,'بيانات الحركات'!$G:$G,0)),"")</f>
        <v/>
      </c>
    </row>
    <row r="454" spans="1:6" ht="21.95" customHeight="1">
      <c r="A454" s="8" t="str">
        <f>IFERROR(INDEX('بيانات الحركات'!A:A,MATCH(453,'بيانات الحركات'!$G:$G,0)),"")</f>
        <v/>
      </c>
      <c r="B454" s="5" t="str">
        <f>IFERROR(INDEX('بيانات الحركات'!B:B,MATCH(453,'بيانات الحركات'!$G:$G,0)),"")</f>
        <v/>
      </c>
      <c r="C454" s="3" t="str">
        <f>IFERROR(INDEX('بيانات الحركات'!C:C,MATCH(453,'بيانات الحركات'!$G:$G,0)),"")</f>
        <v/>
      </c>
      <c r="D454" s="3" t="str">
        <f>IFERROR(INDEX('بيانات الحركات'!D:D,MATCH(453,'بيانات الحركات'!$G:$G,0)),"")</f>
        <v/>
      </c>
      <c r="E454" s="21" t="str">
        <f>IF($B454="إنتاج طبخة","",IFERROR(INDEX('بيانات الحركات'!E:E,MATCH(453,'بيانات الحركات'!$G:$G,0)),""))</f>
        <v/>
      </c>
      <c r="F454" s="3" t="str">
        <f>IFERROR(INDEX('بيانات الحركات'!F:F,MATCH(453,'بيانات الحركات'!$G:$G,0)),"")</f>
        <v/>
      </c>
    </row>
    <row r="455" spans="1:6" ht="21.95" customHeight="1">
      <c r="A455" s="8" t="str">
        <f>IFERROR(INDEX('بيانات الحركات'!A:A,MATCH(454,'بيانات الحركات'!$G:$G,0)),"")</f>
        <v/>
      </c>
      <c r="B455" s="5" t="str">
        <f>IFERROR(INDEX('بيانات الحركات'!B:B,MATCH(454,'بيانات الحركات'!$G:$G,0)),"")</f>
        <v/>
      </c>
      <c r="C455" s="3" t="str">
        <f>IFERROR(INDEX('بيانات الحركات'!C:C,MATCH(454,'بيانات الحركات'!$G:$G,0)),"")</f>
        <v/>
      </c>
      <c r="D455" s="3" t="str">
        <f>IFERROR(INDEX('بيانات الحركات'!D:D,MATCH(454,'بيانات الحركات'!$G:$G,0)),"")</f>
        <v/>
      </c>
      <c r="E455" s="21" t="str">
        <f>IF($B455="إنتاج طبخة","",IFERROR(INDEX('بيانات الحركات'!E:E,MATCH(454,'بيانات الحركات'!$G:$G,0)),""))</f>
        <v/>
      </c>
      <c r="F455" s="3" t="str">
        <f>IFERROR(INDEX('بيانات الحركات'!F:F,MATCH(454,'بيانات الحركات'!$G:$G,0)),"")</f>
        <v/>
      </c>
    </row>
    <row r="456" spans="1:6" ht="21.95" customHeight="1">
      <c r="A456" s="8" t="str">
        <f>IFERROR(INDEX('بيانات الحركات'!A:A,MATCH(455,'بيانات الحركات'!$G:$G,0)),"")</f>
        <v/>
      </c>
      <c r="B456" s="5" t="str">
        <f>IFERROR(INDEX('بيانات الحركات'!B:B,MATCH(455,'بيانات الحركات'!$G:$G,0)),"")</f>
        <v/>
      </c>
      <c r="C456" s="3" t="str">
        <f>IFERROR(INDEX('بيانات الحركات'!C:C,MATCH(455,'بيانات الحركات'!$G:$G,0)),"")</f>
        <v/>
      </c>
      <c r="D456" s="3" t="str">
        <f>IFERROR(INDEX('بيانات الحركات'!D:D,MATCH(455,'بيانات الحركات'!$G:$G,0)),"")</f>
        <v/>
      </c>
      <c r="E456" s="21" t="str">
        <f>IF($B456="إنتاج طبخة","",IFERROR(INDEX('بيانات الحركات'!E:E,MATCH(455,'بيانات الحركات'!$G:$G,0)),""))</f>
        <v/>
      </c>
      <c r="F456" s="3" t="str">
        <f>IFERROR(INDEX('بيانات الحركات'!F:F,MATCH(455,'بيانات الحركات'!$G:$G,0)),"")</f>
        <v/>
      </c>
    </row>
    <row r="457" spans="1:6" ht="21.95" customHeight="1">
      <c r="A457" s="8" t="str">
        <f>IFERROR(INDEX('بيانات الحركات'!A:A,MATCH(456,'بيانات الحركات'!$G:$G,0)),"")</f>
        <v/>
      </c>
      <c r="B457" s="5" t="str">
        <f>IFERROR(INDEX('بيانات الحركات'!B:B,MATCH(456,'بيانات الحركات'!$G:$G,0)),"")</f>
        <v/>
      </c>
      <c r="C457" s="3" t="str">
        <f>IFERROR(INDEX('بيانات الحركات'!C:C,MATCH(456,'بيانات الحركات'!$G:$G,0)),"")</f>
        <v/>
      </c>
      <c r="D457" s="3" t="str">
        <f>IFERROR(INDEX('بيانات الحركات'!D:D,MATCH(456,'بيانات الحركات'!$G:$G,0)),"")</f>
        <v/>
      </c>
      <c r="E457" s="21" t="str">
        <f>IF($B457="إنتاج طبخة","",IFERROR(INDEX('بيانات الحركات'!E:E,MATCH(456,'بيانات الحركات'!$G:$G,0)),""))</f>
        <v/>
      </c>
      <c r="F457" s="3" t="str">
        <f>IFERROR(INDEX('بيانات الحركات'!F:F,MATCH(456,'بيانات الحركات'!$G:$G,0)),"")</f>
        <v/>
      </c>
    </row>
    <row r="458" spans="1:6" ht="21.95" customHeight="1">
      <c r="A458" s="8" t="str">
        <f>IFERROR(INDEX('بيانات الحركات'!A:A,MATCH(457,'بيانات الحركات'!$G:$G,0)),"")</f>
        <v/>
      </c>
      <c r="B458" s="5" t="str">
        <f>IFERROR(INDEX('بيانات الحركات'!B:B,MATCH(457,'بيانات الحركات'!$G:$G,0)),"")</f>
        <v/>
      </c>
      <c r="C458" s="3" t="str">
        <f>IFERROR(INDEX('بيانات الحركات'!C:C,MATCH(457,'بيانات الحركات'!$G:$G,0)),"")</f>
        <v/>
      </c>
      <c r="D458" s="3" t="str">
        <f>IFERROR(INDEX('بيانات الحركات'!D:D,MATCH(457,'بيانات الحركات'!$G:$G,0)),"")</f>
        <v/>
      </c>
      <c r="E458" s="21" t="str">
        <f>IF($B458="إنتاج طبخة","",IFERROR(INDEX('بيانات الحركات'!E:E,MATCH(457,'بيانات الحركات'!$G:$G,0)),""))</f>
        <v/>
      </c>
      <c r="F458" s="3" t="str">
        <f>IFERROR(INDEX('بيانات الحركات'!F:F,MATCH(457,'بيانات الحركات'!$G:$G,0)),"")</f>
        <v/>
      </c>
    </row>
    <row r="459" spans="1:6" ht="21.95" customHeight="1">
      <c r="A459" s="8" t="str">
        <f>IFERROR(INDEX('بيانات الحركات'!A:A,MATCH(458,'بيانات الحركات'!$G:$G,0)),"")</f>
        <v/>
      </c>
      <c r="B459" s="5" t="str">
        <f>IFERROR(INDEX('بيانات الحركات'!B:B,MATCH(458,'بيانات الحركات'!$G:$G,0)),"")</f>
        <v/>
      </c>
      <c r="C459" s="3" t="str">
        <f>IFERROR(INDEX('بيانات الحركات'!C:C,MATCH(458,'بيانات الحركات'!$G:$G,0)),"")</f>
        <v/>
      </c>
      <c r="D459" s="3" t="str">
        <f>IFERROR(INDEX('بيانات الحركات'!D:D,MATCH(458,'بيانات الحركات'!$G:$G,0)),"")</f>
        <v/>
      </c>
      <c r="E459" s="21" t="str">
        <f>IF($B459="إنتاج طبخة","",IFERROR(INDEX('بيانات الحركات'!E:E,MATCH(458,'بيانات الحركات'!$G:$G,0)),""))</f>
        <v/>
      </c>
      <c r="F459" s="3" t="str">
        <f>IFERROR(INDEX('بيانات الحركات'!F:F,MATCH(458,'بيانات الحركات'!$G:$G,0)),"")</f>
        <v/>
      </c>
    </row>
    <row r="460" spans="1:6" ht="21.95" customHeight="1">
      <c r="A460" s="8" t="str">
        <f>IFERROR(INDEX('بيانات الحركات'!A:A,MATCH(459,'بيانات الحركات'!$G:$G,0)),"")</f>
        <v/>
      </c>
      <c r="B460" s="5" t="str">
        <f>IFERROR(INDEX('بيانات الحركات'!B:B,MATCH(459,'بيانات الحركات'!$G:$G,0)),"")</f>
        <v/>
      </c>
      <c r="C460" s="3" t="str">
        <f>IFERROR(INDEX('بيانات الحركات'!C:C,MATCH(459,'بيانات الحركات'!$G:$G,0)),"")</f>
        <v/>
      </c>
      <c r="D460" s="3" t="str">
        <f>IFERROR(INDEX('بيانات الحركات'!D:D,MATCH(459,'بيانات الحركات'!$G:$G,0)),"")</f>
        <v/>
      </c>
      <c r="E460" s="21" t="str">
        <f>IF($B460="إنتاج طبخة","",IFERROR(INDEX('بيانات الحركات'!E:E,MATCH(459,'بيانات الحركات'!$G:$G,0)),""))</f>
        <v/>
      </c>
      <c r="F460" s="3" t="str">
        <f>IFERROR(INDEX('بيانات الحركات'!F:F,MATCH(459,'بيانات الحركات'!$G:$G,0)),"")</f>
        <v/>
      </c>
    </row>
    <row r="461" spans="1:6" ht="21.95" customHeight="1">
      <c r="A461" s="8" t="str">
        <f>IFERROR(INDEX('بيانات الحركات'!A:A,MATCH(460,'بيانات الحركات'!$G:$G,0)),"")</f>
        <v/>
      </c>
      <c r="B461" s="5" t="str">
        <f>IFERROR(INDEX('بيانات الحركات'!B:B,MATCH(460,'بيانات الحركات'!$G:$G,0)),"")</f>
        <v/>
      </c>
      <c r="C461" s="3" t="str">
        <f>IFERROR(INDEX('بيانات الحركات'!C:C,MATCH(460,'بيانات الحركات'!$G:$G,0)),"")</f>
        <v/>
      </c>
      <c r="D461" s="3" t="str">
        <f>IFERROR(INDEX('بيانات الحركات'!D:D,MATCH(460,'بيانات الحركات'!$G:$G,0)),"")</f>
        <v/>
      </c>
      <c r="E461" s="21" t="str">
        <f>IF($B461="إنتاج طبخة","",IFERROR(INDEX('بيانات الحركات'!E:E,MATCH(460,'بيانات الحركات'!$G:$G,0)),""))</f>
        <v/>
      </c>
      <c r="F461" s="3" t="str">
        <f>IFERROR(INDEX('بيانات الحركات'!F:F,MATCH(460,'بيانات الحركات'!$G:$G,0)),"")</f>
        <v/>
      </c>
    </row>
    <row r="462" spans="1:6" ht="21.95" customHeight="1">
      <c r="A462" s="8" t="str">
        <f>IFERROR(INDEX('بيانات الحركات'!A:A,MATCH(461,'بيانات الحركات'!$G:$G,0)),"")</f>
        <v/>
      </c>
      <c r="B462" s="5" t="str">
        <f>IFERROR(INDEX('بيانات الحركات'!B:B,MATCH(461,'بيانات الحركات'!$G:$G,0)),"")</f>
        <v/>
      </c>
      <c r="C462" s="3" t="str">
        <f>IFERROR(INDEX('بيانات الحركات'!C:C,MATCH(461,'بيانات الحركات'!$G:$G,0)),"")</f>
        <v/>
      </c>
      <c r="D462" s="3" t="str">
        <f>IFERROR(INDEX('بيانات الحركات'!D:D,MATCH(461,'بيانات الحركات'!$G:$G,0)),"")</f>
        <v/>
      </c>
      <c r="E462" s="21" t="str">
        <f>IF($B462="إنتاج طبخة","",IFERROR(INDEX('بيانات الحركات'!E:E,MATCH(461,'بيانات الحركات'!$G:$G,0)),""))</f>
        <v/>
      </c>
      <c r="F462" s="3" t="str">
        <f>IFERROR(INDEX('بيانات الحركات'!F:F,MATCH(461,'بيانات الحركات'!$G:$G,0)),"")</f>
        <v/>
      </c>
    </row>
    <row r="463" spans="1:6" ht="21.95" customHeight="1">
      <c r="A463" s="8" t="str">
        <f>IFERROR(INDEX('بيانات الحركات'!A:A,MATCH(462,'بيانات الحركات'!$G:$G,0)),"")</f>
        <v/>
      </c>
      <c r="B463" s="5" t="str">
        <f>IFERROR(INDEX('بيانات الحركات'!B:B,MATCH(462,'بيانات الحركات'!$G:$G,0)),"")</f>
        <v/>
      </c>
      <c r="C463" s="3" t="str">
        <f>IFERROR(INDEX('بيانات الحركات'!C:C,MATCH(462,'بيانات الحركات'!$G:$G,0)),"")</f>
        <v/>
      </c>
      <c r="D463" s="3" t="str">
        <f>IFERROR(INDEX('بيانات الحركات'!D:D,MATCH(462,'بيانات الحركات'!$G:$G,0)),"")</f>
        <v/>
      </c>
      <c r="E463" s="21" t="str">
        <f>IF($B463="إنتاج طبخة","",IFERROR(INDEX('بيانات الحركات'!E:E,MATCH(462,'بيانات الحركات'!$G:$G,0)),""))</f>
        <v/>
      </c>
      <c r="F463" s="3" t="str">
        <f>IFERROR(INDEX('بيانات الحركات'!F:F,MATCH(462,'بيانات الحركات'!$G:$G,0)),"")</f>
        <v/>
      </c>
    </row>
    <row r="464" spans="1:6" ht="21.95" customHeight="1">
      <c r="A464" s="8" t="str">
        <f>IFERROR(INDEX('بيانات الحركات'!A:A,MATCH(463,'بيانات الحركات'!$G:$G,0)),"")</f>
        <v/>
      </c>
      <c r="B464" s="5" t="str">
        <f>IFERROR(INDEX('بيانات الحركات'!B:B,MATCH(463,'بيانات الحركات'!$G:$G,0)),"")</f>
        <v/>
      </c>
      <c r="C464" s="3" t="str">
        <f>IFERROR(INDEX('بيانات الحركات'!C:C,MATCH(463,'بيانات الحركات'!$G:$G,0)),"")</f>
        <v/>
      </c>
      <c r="D464" s="3" t="str">
        <f>IFERROR(INDEX('بيانات الحركات'!D:D,MATCH(463,'بيانات الحركات'!$G:$G,0)),"")</f>
        <v/>
      </c>
      <c r="E464" s="21" t="str">
        <f>IF($B464="إنتاج طبخة","",IFERROR(INDEX('بيانات الحركات'!E:E,MATCH(463,'بيانات الحركات'!$G:$G,0)),""))</f>
        <v/>
      </c>
      <c r="F464" s="3" t="str">
        <f>IFERROR(INDEX('بيانات الحركات'!F:F,MATCH(463,'بيانات الحركات'!$G:$G,0)),"")</f>
        <v/>
      </c>
    </row>
    <row r="465" spans="1:6" ht="21.95" customHeight="1">
      <c r="A465" s="8" t="str">
        <f>IFERROR(INDEX('بيانات الحركات'!A:A,MATCH(464,'بيانات الحركات'!$G:$G,0)),"")</f>
        <v/>
      </c>
      <c r="B465" s="5" t="str">
        <f>IFERROR(INDEX('بيانات الحركات'!B:B,MATCH(464,'بيانات الحركات'!$G:$G,0)),"")</f>
        <v/>
      </c>
      <c r="C465" s="3" t="str">
        <f>IFERROR(INDEX('بيانات الحركات'!C:C,MATCH(464,'بيانات الحركات'!$G:$G,0)),"")</f>
        <v/>
      </c>
      <c r="D465" s="3" t="str">
        <f>IFERROR(INDEX('بيانات الحركات'!D:D,MATCH(464,'بيانات الحركات'!$G:$G,0)),"")</f>
        <v/>
      </c>
      <c r="E465" s="21" t="str">
        <f>IF($B465="إنتاج طبخة","",IFERROR(INDEX('بيانات الحركات'!E:E,MATCH(464,'بيانات الحركات'!$G:$G,0)),""))</f>
        <v/>
      </c>
      <c r="F465" s="3" t="str">
        <f>IFERROR(INDEX('بيانات الحركات'!F:F,MATCH(464,'بيانات الحركات'!$G:$G,0)),"")</f>
        <v/>
      </c>
    </row>
    <row r="466" spans="1:6" ht="21.95" customHeight="1">
      <c r="A466" s="8" t="str">
        <f>IFERROR(INDEX('بيانات الحركات'!A:A,MATCH(465,'بيانات الحركات'!$G:$G,0)),"")</f>
        <v/>
      </c>
      <c r="B466" s="5" t="str">
        <f>IFERROR(INDEX('بيانات الحركات'!B:B,MATCH(465,'بيانات الحركات'!$G:$G,0)),"")</f>
        <v/>
      </c>
      <c r="C466" s="3" t="str">
        <f>IFERROR(INDEX('بيانات الحركات'!C:C,MATCH(465,'بيانات الحركات'!$G:$G,0)),"")</f>
        <v/>
      </c>
      <c r="D466" s="3" t="str">
        <f>IFERROR(INDEX('بيانات الحركات'!D:D,MATCH(465,'بيانات الحركات'!$G:$G,0)),"")</f>
        <v/>
      </c>
      <c r="E466" s="21" t="str">
        <f>IF($B466="إنتاج طبخة","",IFERROR(INDEX('بيانات الحركات'!E:E,MATCH(465,'بيانات الحركات'!$G:$G,0)),""))</f>
        <v/>
      </c>
      <c r="F466" s="3" t="str">
        <f>IFERROR(INDEX('بيانات الحركات'!F:F,MATCH(465,'بيانات الحركات'!$G:$G,0)),"")</f>
        <v/>
      </c>
    </row>
    <row r="467" spans="1:6" ht="21.95" customHeight="1">
      <c r="A467" s="8" t="str">
        <f>IFERROR(INDEX('بيانات الحركات'!A:A,MATCH(466,'بيانات الحركات'!$G:$G,0)),"")</f>
        <v/>
      </c>
      <c r="B467" s="5" t="str">
        <f>IFERROR(INDEX('بيانات الحركات'!B:B,MATCH(466,'بيانات الحركات'!$G:$G,0)),"")</f>
        <v/>
      </c>
      <c r="C467" s="3" t="str">
        <f>IFERROR(INDEX('بيانات الحركات'!C:C,MATCH(466,'بيانات الحركات'!$G:$G,0)),"")</f>
        <v/>
      </c>
      <c r="D467" s="3" t="str">
        <f>IFERROR(INDEX('بيانات الحركات'!D:D,MATCH(466,'بيانات الحركات'!$G:$G,0)),"")</f>
        <v/>
      </c>
      <c r="E467" s="21" t="str">
        <f>IF($B467="إنتاج طبخة","",IFERROR(INDEX('بيانات الحركات'!E:E,MATCH(466,'بيانات الحركات'!$G:$G,0)),""))</f>
        <v/>
      </c>
      <c r="F467" s="3" t="str">
        <f>IFERROR(INDEX('بيانات الحركات'!F:F,MATCH(466,'بيانات الحركات'!$G:$G,0)),"")</f>
        <v/>
      </c>
    </row>
    <row r="468" spans="1:6" ht="21.95" customHeight="1">
      <c r="A468" s="8" t="str">
        <f>IFERROR(INDEX('بيانات الحركات'!A:A,MATCH(467,'بيانات الحركات'!$G:$G,0)),"")</f>
        <v/>
      </c>
      <c r="B468" s="5" t="str">
        <f>IFERROR(INDEX('بيانات الحركات'!B:B,MATCH(467,'بيانات الحركات'!$G:$G,0)),"")</f>
        <v/>
      </c>
      <c r="C468" s="3" t="str">
        <f>IFERROR(INDEX('بيانات الحركات'!C:C,MATCH(467,'بيانات الحركات'!$G:$G,0)),"")</f>
        <v/>
      </c>
      <c r="D468" s="3" t="str">
        <f>IFERROR(INDEX('بيانات الحركات'!D:D,MATCH(467,'بيانات الحركات'!$G:$G,0)),"")</f>
        <v/>
      </c>
      <c r="E468" s="21" t="str">
        <f>IF($B468="إنتاج طبخة","",IFERROR(INDEX('بيانات الحركات'!E:E,MATCH(467,'بيانات الحركات'!$G:$G,0)),""))</f>
        <v/>
      </c>
      <c r="F468" s="3" t="str">
        <f>IFERROR(INDEX('بيانات الحركات'!F:F,MATCH(467,'بيانات الحركات'!$G:$G,0)),"")</f>
        <v/>
      </c>
    </row>
    <row r="469" spans="1:6" ht="21.95" customHeight="1">
      <c r="A469" s="8" t="str">
        <f>IFERROR(INDEX('بيانات الحركات'!A:A,MATCH(468,'بيانات الحركات'!$G:$G,0)),"")</f>
        <v/>
      </c>
      <c r="B469" s="5" t="str">
        <f>IFERROR(INDEX('بيانات الحركات'!B:B,MATCH(468,'بيانات الحركات'!$G:$G,0)),"")</f>
        <v/>
      </c>
      <c r="C469" s="3" t="str">
        <f>IFERROR(INDEX('بيانات الحركات'!C:C,MATCH(468,'بيانات الحركات'!$G:$G,0)),"")</f>
        <v/>
      </c>
      <c r="D469" s="3" t="str">
        <f>IFERROR(INDEX('بيانات الحركات'!D:D,MATCH(468,'بيانات الحركات'!$G:$G,0)),"")</f>
        <v/>
      </c>
      <c r="E469" s="21" t="str">
        <f>IF($B469="إنتاج طبخة","",IFERROR(INDEX('بيانات الحركات'!E:E,MATCH(468,'بيانات الحركات'!$G:$G,0)),""))</f>
        <v/>
      </c>
      <c r="F469" s="3" t="str">
        <f>IFERROR(INDEX('بيانات الحركات'!F:F,MATCH(468,'بيانات الحركات'!$G:$G,0)),"")</f>
        <v/>
      </c>
    </row>
    <row r="470" spans="1:6" ht="21.95" customHeight="1">
      <c r="A470" s="8" t="str">
        <f>IFERROR(INDEX('بيانات الحركات'!A:A,MATCH(469,'بيانات الحركات'!$G:$G,0)),"")</f>
        <v/>
      </c>
      <c r="B470" s="5" t="str">
        <f>IFERROR(INDEX('بيانات الحركات'!B:B,MATCH(469,'بيانات الحركات'!$G:$G,0)),"")</f>
        <v/>
      </c>
      <c r="C470" s="3" t="str">
        <f>IFERROR(INDEX('بيانات الحركات'!C:C,MATCH(469,'بيانات الحركات'!$G:$G,0)),"")</f>
        <v/>
      </c>
      <c r="D470" s="3" t="str">
        <f>IFERROR(INDEX('بيانات الحركات'!D:D,MATCH(469,'بيانات الحركات'!$G:$G,0)),"")</f>
        <v/>
      </c>
      <c r="E470" s="21" t="str">
        <f>IF($B470="إنتاج طبخة","",IFERROR(INDEX('بيانات الحركات'!E:E,MATCH(469,'بيانات الحركات'!$G:$G,0)),""))</f>
        <v/>
      </c>
      <c r="F470" s="3" t="str">
        <f>IFERROR(INDEX('بيانات الحركات'!F:F,MATCH(469,'بيانات الحركات'!$G:$G,0)),"")</f>
        <v/>
      </c>
    </row>
    <row r="471" spans="1:6" ht="21.95" customHeight="1">
      <c r="A471" s="8" t="str">
        <f>IFERROR(INDEX('بيانات الحركات'!A:A,MATCH(470,'بيانات الحركات'!$G:$G,0)),"")</f>
        <v/>
      </c>
      <c r="B471" s="5" t="str">
        <f>IFERROR(INDEX('بيانات الحركات'!B:B,MATCH(470,'بيانات الحركات'!$G:$G,0)),"")</f>
        <v/>
      </c>
      <c r="C471" s="3" t="str">
        <f>IFERROR(INDEX('بيانات الحركات'!C:C,MATCH(470,'بيانات الحركات'!$G:$G,0)),"")</f>
        <v/>
      </c>
      <c r="D471" s="3" t="str">
        <f>IFERROR(INDEX('بيانات الحركات'!D:D,MATCH(470,'بيانات الحركات'!$G:$G,0)),"")</f>
        <v/>
      </c>
      <c r="E471" s="21" t="str">
        <f>IF($B471="إنتاج طبخة","",IFERROR(INDEX('بيانات الحركات'!E:E,MATCH(470,'بيانات الحركات'!$G:$G,0)),""))</f>
        <v/>
      </c>
      <c r="F471" s="3" t="str">
        <f>IFERROR(INDEX('بيانات الحركات'!F:F,MATCH(470,'بيانات الحركات'!$G:$G,0)),"")</f>
        <v/>
      </c>
    </row>
    <row r="472" spans="1:6" ht="21.95" customHeight="1">
      <c r="A472" s="8" t="str">
        <f>IFERROR(INDEX('بيانات الحركات'!A:A,MATCH(471,'بيانات الحركات'!$G:$G,0)),"")</f>
        <v/>
      </c>
      <c r="B472" s="5" t="str">
        <f>IFERROR(INDEX('بيانات الحركات'!B:B,MATCH(471,'بيانات الحركات'!$G:$G,0)),"")</f>
        <v/>
      </c>
      <c r="C472" s="3" t="str">
        <f>IFERROR(INDEX('بيانات الحركات'!C:C,MATCH(471,'بيانات الحركات'!$G:$G,0)),"")</f>
        <v/>
      </c>
      <c r="D472" s="3" t="str">
        <f>IFERROR(INDEX('بيانات الحركات'!D:D,MATCH(471,'بيانات الحركات'!$G:$G,0)),"")</f>
        <v/>
      </c>
      <c r="E472" s="21" t="str">
        <f>IF($B472="إنتاج طبخة","",IFERROR(INDEX('بيانات الحركات'!E:E,MATCH(471,'بيانات الحركات'!$G:$G,0)),""))</f>
        <v/>
      </c>
      <c r="F472" s="3" t="str">
        <f>IFERROR(INDEX('بيانات الحركات'!F:F,MATCH(471,'بيانات الحركات'!$G:$G,0)),"")</f>
        <v/>
      </c>
    </row>
    <row r="473" spans="1:6" ht="21.95" customHeight="1">
      <c r="A473" s="8" t="str">
        <f>IFERROR(INDEX('بيانات الحركات'!A:A,MATCH(472,'بيانات الحركات'!$G:$G,0)),"")</f>
        <v/>
      </c>
      <c r="B473" s="5" t="str">
        <f>IFERROR(INDEX('بيانات الحركات'!B:B,MATCH(472,'بيانات الحركات'!$G:$G,0)),"")</f>
        <v/>
      </c>
      <c r="C473" s="3" t="str">
        <f>IFERROR(INDEX('بيانات الحركات'!C:C,MATCH(472,'بيانات الحركات'!$G:$G,0)),"")</f>
        <v/>
      </c>
      <c r="D473" s="3" t="str">
        <f>IFERROR(INDEX('بيانات الحركات'!D:D,MATCH(472,'بيانات الحركات'!$G:$G,0)),"")</f>
        <v/>
      </c>
      <c r="E473" s="21" t="str">
        <f>IF($B473="إنتاج طبخة","",IFERROR(INDEX('بيانات الحركات'!E:E,MATCH(472,'بيانات الحركات'!$G:$G,0)),""))</f>
        <v/>
      </c>
      <c r="F473" s="3" t="str">
        <f>IFERROR(INDEX('بيانات الحركات'!F:F,MATCH(472,'بيانات الحركات'!$G:$G,0)),"")</f>
        <v/>
      </c>
    </row>
    <row r="474" spans="1:6" ht="21.95" customHeight="1">
      <c r="A474" s="8" t="str">
        <f>IFERROR(INDEX('بيانات الحركات'!A:A,MATCH(473,'بيانات الحركات'!$G:$G,0)),"")</f>
        <v/>
      </c>
      <c r="B474" s="5" t="str">
        <f>IFERROR(INDEX('بيانات الحركات'!B:B,MATCH(473,'بيانات الحركات'!$G:$G,0)),"")</f>
        <v/>
      </c>
      <c r="C474" s="3" t="str">
        <f>IFERROR(INDEX('بيانات الحركات'!C:C,MATCH(473,'بيانات الحركات'!$G:$G,0)),"")</f>
        <v/>
      </c>
      <c r="D474" s="3" t="str">
        <f>IFERROR(INDEX('بيانات الحركات'!D:D,MATCH(473,'بيانات الحركات'!$G:$G,0)),"")</f>
        <v/>
      </c>
      <c r="E474" s="21" t="str">
        <f>IF($B474="إنتاج طبخة","",IFERROR(INDEX('بيانات الحركات'!E:E,MATCH(473,'بيانات الحركات'!$G:$G,0)),""))</f>
        <v/>
      </c>
      <c r="F474" s="3" t="str">
        <f>IFERROR(INDEX('بيانات الحركات'!F:F,MATCH(473,'بيانات الحركات'!$G:$G,0)),"")</f>
        <v/>
      </c>
    </row>
    <row r="475" spans="1:6" ht="21.95" customHeight="1">
      <c r="A475" s="8" t="str">
        <f>IFERROR(INDEX('بيانات الحركات'!A:A,MATCH(474,'بيانات الحركات'!$G:$G,0)),"")</f>
        <v/>
      </c>
      <c r="B475" s="5" t="str">
        <f>IFERROR(INDEX('بيانات الحركات'!B:B,MATCH(474,'بيانات الحركات'!$G:$G,0)),"")</f>
        <v/>
      </c>
      <c r="C475" s="3" t="str">
        <f>IFERROR(INDEX('بيانات الحركات'!C:C,MATCH(474,'بيانات الحركات'!$G:$G,0)),"")</f>
        <v/>
      </c>
      <c r="D475" s="3" t="str">
        <f>IFERROR(INDEX('بيانات الحركات'!D:D,MATCH(474,'بيانات الحركات'!$G:$G,0)),"")</f>
        <v/>
      </c>
      <c r="E475" s="21" t="str">
        <f>IF($B475="إنتاج طبخة","",IFERROR(INDEX('بيانات الحركات'!E:E,MATCH(474,'بيانات الحركات'!$G:$G,0)),""))</f>
        <v/>
      </c>
      <c r="F475" s="3" t="str">
        <f>IFERROR(INDEX('بيانات الحركات'!F:F,MATCH(474,'بيانات الحركات'!$G:$G,0)),"")</f>
        <v/>
      </c>
    </row>
    <row r="476" spans="1:6" ht="21.95" customHeight="1">
      <c r="A476" s="8" t="str">
        <f>IFERROR(INDEX('بيانات الحركات'!A:A,MATCH(475,'بيانات الحركات'!$G:$G,0)),"")</f>
        <v/>
      </c>
      <c r="B476" s="5" t="str">
        <f>IFERROR(INDEX('بيانات الحركات'!B:B,MATCH(475,'بيانات الحركات'!$G:$G,0)),"")</f>
        <v/>
      </c>
      <c r="C476" s="3" t="str">
        <f>IFERROR(INDEX('بيانات الحركات'!C:C,MATCH(475,'بيانات الحركات'!$G:$G,0)),"")</f>
        <v/>
      </c>
      <c r="D476" s="3" t="str">
        <f>IFERROR(INDEX('بيانات الحركات'!D:D,MATCH(475,'بيانات الحركات'!$G:$G,0)),"")</f>
        <v/>
      </c>
      <c r="E476" s="21" t="str">
        <f>IF($B476="إنتاج طبخة","",IFERROR(INDEX('بيانات الحركات'!E:E,MATCH(475,'بيانات الحركات'!$G:$G,0)),""))</f>
        <v/>
      </c>
      <c r="F476" s="3" t="str">
        <f>IFERROR(INDEX('بيانات الحركات'!F:F,MATCH(475,'بيانات الحركات'!$G:$G,0)),"")</f>
        <v/>
      </c>
    </row>
    <row r="477" spans="1:6" ht="21.95" customHeight="1">
      <c r="A477" s="8" t="str">
        <f>IFERROR(INDEX('بيانات الحركات'!A:A,MATCH(476,'بيانات الحركات'!$G:$G,0)),"")</f>
        <v/>
      </c>
      <c r="B477" s="5" t="str">
        <f>IFERROR(INDEX('بيانات الحركات'!B:B,MATCH(476,'بيانات الحركات'!$G:$G,0)),"")</f>
        <v/>
      </c>
      <c r="C477" s="3" t="str">
        <f>IFERROR(INDEX('بيانات الحركات'!C:C,MATCH(476,'بيانات الحركات'!$G:$G,0)),"")</f>
        <v/>
      </c>
      <c r="D477" s="3" t="str">
        <f>IFERROR(INDEX('بيانات الحركات'!D:D,MATCH(476,'بيانات الحركات'!$G:$G,0)),"")</f>
        <v/>
      </c>
      <c r="E477" s="21" t="str">
        <f>IF($B477="إنتاج طبخة","",IFERROR(INDEX('بيانات الحركات'!E:E,MATCH(476,'بيانات الحركات'!$G:$G,0)),""))</f>
        <v/>
      </c>
      <c r="F477" s="3" t="str">
        <f>IFERROR(INDEX('بيانات الحركات'!F:F,MATCH(476,'بيانات الحركات'!$G:$G,0)),"")</f>
        <v/>
      </c>
    </row>
    <row r="478" spans="1:6" ht="21.95" customHeight="1">
      <c r="A478" s="8" t="str">
        <f>IFERROR(INDEX('بيانات الحركات'!A:A,MATCH(477,'بيانات الحركات'!$G:$G,0)),"")</f>
        <v/>
      </c>
      <c r="B478" s="5" t="str">
        <f>IFERROR(INDEX('بيانات الحركات'!B:B,MATCH(477,'بيانات الحركات'!$G:$G,0)),"")</f>
        <v/>
      </c>
      <c r="C478" s="3" t="str">
        <f>IFERROR(INDEX('بيانات الحركات'!C:C,MATCH(477,'بيانات الحركات'!$G:$G,0)),"")</f>
        <v/>
      </c>
      <c r="D478" s="3" t="str">
        <f>IFERROR(INDEX('بيانات الحركات'!D:D,MATCH(477,'بيانات الحركات'!$G:$G,0)),"")</f>
        <v/>
      </c>
      <c r="E478" s="21" t="str">
        <f>IF($B478="إنتاج طبخة","",IFERROR(INDEX('بيانات الحركات'!E:E,MATCH(477,'بيانات الحركات'!$G:$G,0)),""))</f>
        <v/>
      </c>
      <c r="F478" s="3" t="str">
        <f>IFERROR(INDEX('بيانات الحركات'!F:F,MATCH(477,'بيانات الحركات'!$G:$G,0)),"")</f>
        <v/>
      </c>
    </row>
    <row r="479" spans="1:6" ht="21.95" customHeight="1">
      <c r="A479" s="8" t="str">
        <f>IFERROR(INDEX('بيانات الحركات'!A:A,MATCH(478,'بيانات الحركات'!$G:$G,0)),"")</f>
        <v/>
      </c>
      <c r="B479" s="5" t="str">
        <f>IFERROR(INDEX('بيانات الحركات'!B:B,MATCH(478,'بيانات الحركات'!$G:$G,0)),"")</f>
        <v/>
      </c>
      <c r="C479" s="3" t="str">
        <f>IFERROR(INDEX('بيانات الحركات'!C:C,MATCH(478,'بيانات الحركات'!$G:$G,0)),"")</f>
        <v/>
      </c>
      <c r="D479" s="3" t="str">
        <f>IFERROR(INDEX('بيانات الحركات'!D:D,MATCH(478,'بيانات الحركات'!$G:$G,0)),"")</f>
        <v/>
      </c>
      <c r="E479" s="21" t="str">
        <f>IF($B479="إنتاج طبخة","",IFERROR(INDEX('بيانات الحركات'!E:E,MATCH(478,'بيانات الحركات'!$G:$G,0)),""))</f>
        <v/>
      </c>
      <c r="F479" s="3" t="str">
        <f>IFERROR(INDEX('بيانات الحركات'!F:F,MATCH(478,'بيانات الحركات'!$G:$G,0)),"")</f>
        <v/>
      </c>
    </row>
    <row r="480" spans="1:6" ht="21.95" customHeight="1">
      <c r="A480" s="8" t="str">
        <f>IFERROR(INDEX('بيانات الحركات'!A:A,MATCH(479,'بيانات الحركات'!$G:$G,0)),"")</f>
        <v/>
      </c>
      <c r="B480" s="5" t="str">
        <f>IFERROR(INDEX('بيانات الحركات'!B:B,MATCH(479,'بيانات الحركات'!$G:$G,0)),"")</f>
        <v/>
      </c>
      <c r="C480" s="3" t="str">
        <f>IFERROR(INDEX('بيانات الحركات'!C:C,MATCH(479,'بيانات الحركات'!$G:$G,0)),"")</f>
        <v/>
      </c>
      <c r="D480" s="3" t="str">
        <f>IFERROR(INDEX('بيانات الحركات'!D:D,MATCH(479,'بيانات الحركات'!$G:$G,0)),"")</f>
        <v/>
      </c>
      <c r="E480" s="21" t="str">
        <f>IF($B480="إنتاج طبخة","",IFERROR(INDEX('بيانات الحركات'!E:E,MATCH(479,'بيانات الحركات'!$G:$G,0)),""))</f>
        <v/>
      </c>
      <c r="F480" s="3" t="str">
        <f>IFERROR(INDEX('بيانات الحركات'!F:F,MATCH(479,'بيانات الحركات'!$G:$G,0)),"")</f>
        <v/>
      </c>
    </row>
    <row r="481" spans="1:6" ht="21.95" customHeight="1">
      <c r="A481" s="8" t="str">
        <f>IFERROR(INDEX('بيانات الحركات'!A:A,MATCH(480,'بيانات الحركات'!$G:$G,0)),"")</f>
        <v/>
      </c>
      <c r="B481" s="5" t="str">
        <f>IFERROR(INDEX('بيانات الحركات'!B:B,MATCH(480,'بيانات الحركات'!$G:$G,0)),"")</f>
        <v/>
      </c>
      <c r="C481" s="3" t="str">
        <f>IFERROR(INDEX('بيانات الحركات'!C:C,MATCH(480,'بيانات الحركات'!$G:$G,0)),"")</f>
        <v/>
      </c>
      <c r="D481" s="3" t="str">
        <f>IFERROR(INDEX('بيانات الحركات'!D:D,MATCH(480,'بيانات الحركات'!$G:$G,0)),"")</f>
        <v/>
      </c>
      <c r="E481" s="21" t="str">
        <f>IF($B481="إنتاج طبخة","",IFERROR(INDEX('بيانات الحركات'!E:E,MATCH(480,'بيانات الحركات'!$G:$G,0)),""))</f>
        <v/>
      </c>
      <c r="F481" s="3" t="str">
        <f>IFERROR(INDEX('بيانات الحركات'!F:F,MATCH(480,'بيانات الحركات'!$G:$G,0)),"")</f>
        <v/>
      </c>
    </row>
    <row r="482" spans="1:6" ht="21.95" customHeight="1">
      <c r="A482" s="8" t="str">
        <f>IFERROR(INDEX('بيانات الحركات'!A:A,MATCH(481,'بيانات الحركات'!$G:$G,0)),"")</f>
        <v/>
      </c>
      <c r="B482" s="5" t="str">
        <f>IFERROR(INDEX('بيانات الحركات'!B:B,MATCH(481,'بيانات الحركات'!$G:$G,0)),"")</f>
        <v/>
      </c>
      <c r="C482" s="3" t="str">
        <f>IFERROR(INDEX('بيانات الحركات'!C:C,MATCH(481,'بيانات الحركات'!$G:$G,0)),"")</f>
        <v/>
      </c>
      <c r="D482" s="3" t="str">
        <f>IFERROR(INDEX('بيانات الحركات'!D:D,MATCH(481,'بيانات الحركات'!$G:$G,0)),"")</f>
        <v/>
      </c>
      <c r="E482" s="21" t="str">
        <f>IF($B482="إنتاج طبخة","",IFERROR(INDEX('بيانات الحركات'!E:E,MATCH(481,'بيانات الحركات'!$G:$G,0)),""))</f>
        <v/>
      </c>
      <c r="F482" s="3" t="str">
        <f>IFERROR(INDEX('بيانات الحركات'!F:F,MATCH(481,'بيانات الحركات'!$G:$G,0)),"")</f>
        <v/>
      </c>
    </row>
    <row r="483" spans="1:6" ht="21.95" customHeight="1">
      <c r="A483" s="8" t="str">
        <f>IFERROR(INDEX('بيانات الحركات'!A:A,MATCH(482,'بيانات الحركات'!$G:$G,0)),"")</f>
        <v/>
      </c>
      <c r="B483" s="5" t="str">
        <f>IFERROR(INDEX('بيانات الحركات'!B:B,MATCH(482,'بيانات الحركات'!$G:$G,0)),"")</f>
        <v/>
      </c>
      <c r="C483" s="3" t="str">
        <f>IFERROR(INDEX('بيانات الحركات'!C:C,MATCH(482,'بيانات الحركات'!$G:$G,0)),"")</f>
        <v/>
      </c>
      <c r="D483" s="3" t="str">
        <f>IFERROR(INDEX('بيانات الحركات'!D:D,MATCH(482,'بيانات الحركات'!$G:$G,0)),"")</f>
        <v/>
      </c>
      <c r="E483" s="21" t="str">
        <f>IF($B483="إنتاج طبخة","",IFERROR(INDEX('بيانات الحركات'!E:E,MATCH(482,'بيانات الحركات'!$G:$G,0)),""))</f>
        <v/>
      </c>
      <c r="F483" s="3" t="str">
        <f>IFERROR(INDEX('بيانات الحركات'!F:F,MATCH(482,'بيانات الحركات'!$G:$G,0)),"")</f>
        <v/>
      </c>
    </row>
    <row r="484" spans="1:6" ht="21.95" customHeight="1">
      <c r="A484" s="8" t="str">
        <f>IFERROR(INDEX('بيانات الحركات'!A:A,MATCH(483,'بيانات الحركات'!$G:$G,0)),"")</f>
        <v/>
      </c>
      <c r="B484" s="5" t="str">
        <f>IFERROR(INDEX('بيانات الحركات'!B:B,MATCH(483,'بيانات الحركات'!$G:$G,0)),"")</f>
        <v/>
      </c>
      <c r="C484" s="3" t="str">
        <f>IFERROR(INDEX('بيانات الحركات'!C:C,MATCH(483,'بيانات الحركات'!$G:$G,0)),"")</f>
        <v/>
      </c>
      <c r="D484" s="3" t="str">
        <f>IFERROR(INDEX('بيانات الحركات'!D:D,MATCH(483,'بيانات الحركات'!$G:$G,0)),"")</f>
        <v/>
      </c>
      <c r="E484" s="21" t="str">
        <f>IF($B484="إنتاج طبخة","",IFERROR(INDEX('بيانات الحركات'!E:E,MATCH(483,'بيانات الحركات'!$G:$G,0)),""))</f>
        <v/>
      </c>
      <c r="F484" s="3" t="str">
        <f>IFERROR(INDEX('بيانات الحركات'!F:F,MATCH(483,'بيانات الحركات'!$G:$G,0)),"")</f>
        <v/>
      </c>
    </row>
    <row r="485" spans="1:6" ht="21.95" customHeight="1">
      <c r="A485" s="8" t="str">
        <f>IFERROR(INDEX('بيانات الحركات'!A:A,MATCH(484,'بيانات الحركات'!$G:$G,0)),"")</f>
        <v/>
      </c>
      <c r="B485" s="5" t="str">
        <f>IFERROR(INDEX('بيانات الحركات'!B:B,MATCH(484,'بيانات الحركات'!$G:$G,0)),"")</f>
        <v/>
      </c>
      <c r="C485" s="3" t="str">
        <f>IFERROR(INDEX('بيانات الحركات'!C:C,MATCH(484,'بيانات الحركات'!$G:$G,0)),"")</f>
        <v/>
      </c>
      <c r="D485" s="3" t="str">
        <f>IFERROR(INDEX('بيانات الحركات'!D:D,MATCH(484,'بيانات الحركات'!$G:$G,0)),"")</f>
        <v/>
      </c>
      <c r="E485" s="21" t="str">
        <f>IF($B485="إنتاج طبخة","",IFERROR(INDEX('بيانات الحركات'!E:E,MATCH(484,'بيانات الحركات'!$G:$G,0)),""))</f>
        <v/>
      </c>
      <c r="F485" s="3" t="str">
        <f>IFERROR(INDEX('بيانات الحركات'!F:F,MATCH(484,'بيانات الحركات'!$G:$G,0)),"")</f>
        <v/>
      </c>
    </row>
    <row r="486" spans="1:6" ht="21.95" customHeight="1">
      <c r="A486" s="8" t="str">
        <f>IFERROR(INDEX('بيانات الحركات'!A:A,MATCH(485,'بيانات الحركات'!$G:$G,0)),"")</f>
        <v/>
      </c>
      <c r="B486" s="5" t="str">
        <f>IFERROR(INDEX('بيانات الحركات'!B:B,MATCH(485,'بيانات الحركات'!$G:$G,0)),"")</f>
        <v/>
      </c>
      <c r="C486" s="3" t="str">
        <f>IFERROR(INDEX('بيانات الحركات'!C:C,MATCH(485,'بيانات الحركات'!$G:$G,0)),"")</f>
        <v/>
      </c>
      <c r="D486" s="3" t="str">
        <f>IFERROR(INDEX('بيانات الحركات'!D:D,MATCH(485,'بيانات الحركات'!$G:$G,0)),"")</f>
        <v/>
      </c>
      <c r="E486" s="21" t="str">
        <f>IF($B486="إنتاج طبخة","",IFERROR(INDEX('بيانات الحركات'!E:E,MATCH(485,'بيانات الحركات'!$G:$G,0)),""))</f>
        <v/>
      </c>
      <c r="F486" s="3" t="str">
        <f>IFERROR(INDEX('بيانات الحركات'!F:F,MATCH(485,'بيانات الحركات'!$G:$G,0)),"")</f>
        <v/>
      </c>
    </row>
    <row r="487" spans="1:6" ht="21.95" customHeight="1">
      <c r="A487" s="8" t="str">
        <f>IFERROR(INDEX('بيانات الحركات'!A:A,MATCH(486,'بيانات الحركات'!$G:$G,0)),"")</f>
        <v/>
      </c>
      <c r="B487" s="5" t="str">
        <f>IFERROR(INDEX('بيانات الحركات'!B:B,MATCH(486,'بيانات الحركات'!$G:$G,0)),"")</f>
        <v/>
      </c>
      <c r="C487" s="3" t="str">
        <f>IFERROR(INDEX('بيانات الحركات'!C:C,MATCH(486,'بيانات الحركات'!$G:$G,0)),"")</f>
        <v/>
      </c>
      <c r="D487" s="3" t="str">
        <f>IFERROR(INDEX('بيانات الحركات'!D:D,MATCH(486,'بيانات الحركات'!$G:$G,0)),"")</f>
        <v/>
      </c>
      <c r="E487" s="21" t="str">
        <f>IF($B487="إنتاج طبخة","",IFERROR(INDEX('بيانات الحركات'!E:E,MATCH(486,'بيانات الحركات'!$G:$G,0)),""))</f>
        <v/>
      </c>
      <c r="F487" s="3" t="str">
        <f>IFERROR(INDEX('بيانات الحركات'!F:F,MATCH(486,'بيانات الحركات'!$G:$G,0)),"")</f>
        <v/>
      </c>
    </row>
    <row r="488" spans="1:6" ht="21.95" customHeight="1">
      <c r="A488" s="8" t="str">
        <f>IFERROR(INDEX('بيانات الحركات'!A:A,MATCH(487,'بيانات الحركات'!$G:$G,0)),"")</f>
        <v/>
      </c>
      <c r="B488" s="5" t="str">
        <f>IFERROR(INDEX('بيانات الحركات'!B:B,MATCH(487,'بيانات الحركات'!$G:$G,0)),"")</f>
        <v/>
      </c>
      <c r="C488" s="3" t="str">
        <f>IFERROR(INDEX('بيانات الحركات'!C:C,MATCH(487,'بيانات الحركات'!$G:$G,0)),"")</f>
        <v/>
      </c>
      <c r="D488" s="3" t="str">
        <f>IFERROR(INDEX('بيانات الحركات'!D:D,MATCH(487,'بيانات الحركات'!$G:$G,0)),"")</f>
        <v/>
      </c>
      <c r="E488" s="21" t="str">
        <f>IF($B488="إنتاج طبخة","",IFERROR(INDEX('بيانات الحركات'!E:E,MATCH(487,'بيانات الحركات'!$G:$G,0)),""))</f>
        <v/>
      </c>
      <c r="F488" s="3" t="str">
        <f>IFERROR(INDEX('بيانات الحركات'!F:F,MATCH(487,'بيانات الحركات'!$G:$G,0)),"")</f>
        <v/>
      </c>
    </row>
    <row r="489" spans="1:6" ht="21.95" customHeight="1">
      <c r="A489" s="8" t="str">
        <f>IFERROR(INDEX('بيانات الحركات'!A:A,MATCH(488,'بيانات الحركات'!$G:$G,0)),"")</f>
        <v/>
      </c>
      <c r="B489" s="5" t="str">
        <f>IFERROR(INDEX('بيانات الحركات'!B:B,MATCH(488,'بيانات الحركات'!$G:$G,0)),"")</f>
        <v/>
      </c>
      <c r="C489" s="3" t="str">
        <f>IFERROR(INDEX('بيانات الحركات'!C:C,MATCH(488,'بيانات الحركات'!$G:$G,0)),"")</f>
        <v/>
      </c>
      <c r="D489" s="3" t="str">
        <f>IFERROR(INDEX('بيانات الحركات'!D:D,MATCH(488,'بيانات الحركات'!$G:$G,0)),"")</f>
        <v/>
      </c>
      <c r="E489" s="21" t="str">
        <f>IF($B489="إنتاج طبخة","",IFERROR(INDEX('بيانات الحركات'!E:E,MATCH(488,'بيانات الحركات'!$G:$G,0)),""))</f>
        <v/>
      </c>
      <c r="F489" s="3" t="str">
        <f>IFERROR(INDEX('بيانات الحركات'!F:F,MATCH(488,'بيانات الحركات'!$G:$G,0)),"")</f>
        <v/>
      </c>
    </row>
    <row r="490" spans="1:6" ht="21.95" customHeight="1">
      <c r="A490" s="8" t="str">
        <f>IFERROR(INDEX('بيانات الحركات'!A:A,MATCH(489,'بيانات الحركات'!$G:$G,0)),"")</f>
        <v/>
      </c>
      <c r="B490" s="5" t="str">
        <f>IFERROR(INDEX('بيانات الحركات'!B:B,MATCH(489,'بيانات الحركات'!$G:$G,0)),"")</f>
        <v/>
      </c>
      <c r="C490" s="3" t="str">
        <f>IFERROR(INDEX('بيانات الحركات'!C:C,MATCH(489,'بيانات الحركات'!$G:$G,0)),"")</f>
        <v/>
      </c>
      <c r="D490" s="3" t="str">
        <f>IFERROR(INDEX('بيانات الحركات'!D:D,MATCH(489,'بيانات الحركات'!$G:$G,0)),"")</f>
        <v/>
      </c>
      <c r="E490" s="21" t="str">
        <f>IF($B490="إنتاج طبخة","",IFERROR(INDEX('بيانات الحركات'!E:E,MATCH(489,'بيانات الحركات'!$G:$G,0)),""))</f>
        <v/>
      </c>
      <c r="F490" s="3" t="str">
        <f>IFERROR(INDEX('بيانات الحركات'!F:F,MATCH(489,'بيانات الحركات'!$G:$G,0)),"")</f>
        <v/>
      </c>
    </row>
    <row r="491" spans="1:6" ht="21.95" customHeight="1">
      <c r="A491" s="8" t="str">
        <f>IFERROR(INDEX('بيانات الحركات'!A:A,MATCH(490,'بيانات الحركات'!$G:$G,0)),"")</f>
        <v/>
      </c>
      <c r="B491" s="5" t="str">
        <f>IFERROR(INDEX('بيانات الحركات'!B:B,MATCH(490,'بيانات الحركات'!$G:$G,0)),"")</f>
        <v/>
      </c>
      <c r="C491" s="3" t="str">
        <f>IFERROR(INDEX('بيانات الحركات'!C:C,MATCH(490,'بيانات الحركات'!$G:$G,0)),"")</f>
        <v/>
      </c>
      <c r="D491" s="3" t="str">
        <f>IFERROR(INDEX('بيانات الحركات'!D:D,MATCH(490,'بيانات الحركات'!$G:$G,0)),"")</f>
        <v/>
      </c>
      <c r="E491" s="21" t="str">
        <f>IF($B491="إنتاج طبخة","",IFERROR(INDEX('بيانات الحركات'!E:E,MATCH(490,'بيانات الحركات'!$G:$G,0)),""))</f>
        <v/>
      </c>
      <c r="F491" s="3" t="str">
        <f>IFERROR(INDEX('بيانات الحركات'!F:F,MATCH(490,'بيانات الحركات'!$G:$G,0)),"")</f>
        <v/>
      </c>
    </row>
    <row r="492" spans="1:6" ht="21.95" customHeight="1">
      <c r="A492" s="8" t="str">
        <f>IFERROR(INDEX('بيانات الحركات'!A:A,MATCH(491,'بيانات الحركات'!$G:$G,0)),"")</f>
        <v/>
      </c>
      <c r="B492" s="5" t="str">
        <f>IFERROR(INDEX('بيانات الحركات'!B:B,MATCH(491,'بيانات الحركات'!$G:$G,0)),"")</f>
        <v/>
      </c>
      <c r="C492" s="3" t="str">
        <f>IFERROR(INDEX('بيانات الحركات'!C:C,MATCH(491,'بيانات الحركات'!$G:$G,0)),"")</f>
        <v/>
      </c>
      <c r="D492" s="3" t="str">
        <f>IFERROR(INDEX('بيانات الحركات'!D:D,MATCH(491,'بيانات الحركات'!$G:$G,0)),"")</f>
        <v/>
      </c>
      <c r="E492" s="21" t="str">
        <f>IF($B492="إنتاج طبخة","",IFERROR(INDEX('بيانات الحركات'!E:E,MATCH(491,'بيانات الحركات'!$G:$G,0)),""))</f>
        <v/>
      </c>
      <c r="F492" s="3" t="str">
        <f>IFERROR(INDEX('بيانات الحركات'!F:F,MATCH(491,'بيانات الحركات'!$G:$G,0)),"")</f>
        <v/>
      </c>
    </row>
    <row r="493" spans="1:6" ht="21.95" customHeight="1">
      <c r="A493" s="8" t="str">
        <f>IFERROR(INDEX('بيانات الحركات'!A:A,MATCH(492,'بيانات الحركات'!$G:$G,0)),"")</f>
        <v/>
      </c>
      <c r="B493" s="5" t="str">
        <f>IFERROR(INDEX('بيانات الحركات'!B:B,MATCH(492,'بيانات الحركات'!$G:$G,0)),"")</f>
        <v/>
      </c>
      <c r="C493" s="3" t="str">
        <f>IFERROR(INDEX('بيانات الحركات'!C:C,MATCH(492,'بيانات الحركات'!$G:$G,0)),"")</f>
        <v/>
      </c>
      <c r="D493" s="3" t="str">
        <f>IFERROR(INDEX('بيانات الحركات'!D:D,MATCH(492,'بيانات الحركات'!$G:$G,0)),"")</f>
        <v/>
      </c>
      <c r="E493" s="21" t="str">
        <f>IF($B493="إنتاج طبخة","",IFERROR(INDEX('بيانات الحركات'!E:E,MATCH(492,'بيانات الحركات'!$G:$G,0)),""))</f>
        <v/>
      </c>
      <c r="F493" s="3" t="str">
        <f>IFERROR(INDEX('بيانات الحركات'!F:F,MATCH(492,'بيانات الحركات'!$G:$G,0)),"")</f>
        <v/>
      </c>
    </row>
    <row r="494" spans="1:6" ht="21.95" customHeight="1">
      <c r="A494" s="8" t="str">
        <f>IFERROR(INDEX('بيانات الحركات'!A:A,MATCH(493,'بيانات الحركات'!$G:$G,0)),"")</f>
        <v/>
      </c>
      <c r="B494" s="5" t="str">
        <f>IFERROR(INDEX('بيانات الحركات'!B:B,MATCH(493,'بيانات الحركات'!$G:$G,0)),"")</f>
        <v/>
      </c>
      <c r="C494" s="3" t="str">
        <f>IFERROR(INDEX('بيانات الحركات'!C:C,MATCH(493,'بيانات الحركات'!$G:$G,0)),"")</f>
        <v/>
      </c>
      <c r="D494" s="3" t="str">
        <f>IFERROR(INDEX('بيانات الحركات'!D:D,MATCH(493,'بيانات الحركات'!$G:$G,0)),"")</f>
        <v/>
      </c>
      <c r="E494" s="21" t="str">
        <f>IF($B494="إنتاج طبخة","",IFERROR(INDEX('بيانات الحركات'!E:E,MATCH(493,'بيانات الحركات'!$G:$G,0)),""))</f>
        <v/>
      </c>
      <c r="F494" s="3" t="str">
        <f>IFERROR(INDEX('بيانات الحركات'!F:F,MATCH(493,'بيانات الحركات'!$G:$G,0)),"")</f>
        <v/>
      </c>
    </row>
    <row r="495" spans="1:6" ht="21.95" customHeight="1">
      <c r="A495" s="8" t="str">
        <f>IFERROR(INDEX('بيانات الحركات'!A:A,MATCH(494,'بيانات الحركات'!$G:$G,0)),"")</f>
        <v/>
      </c>
      <c r="B495" s="5" t="str">
        <f>IFERROR(INDEX('بيانات الحركات'!B:B,MATCH(494,'بيانات الحركات'!$G:$G,0)),"")</f>
        <v/>
      </c>
      <c r="C495" s="3" t="str">
        <f>IFERROR(INDEX('بيانات الحركات'!C:C,MATCH(494,'بيانات الحركات'!$G:$G,0)),"")</f>
        <v/>
      </c>
      <c r="D495" s="3" t="str">
        <f>IFERROR(INDEX('بيانات الحركات'!D:D,MATCH(494,'بيانات الحركات'!$G:$G,0)),"")</f>
        <v/>
      </c>
      <c r="E495" s="21" t="str">
        <f>IF($B495="إنتاج طبخة","",IFERROR(INDEX('بيانات الحركات'!E:E,MATCH(494,'بيانات الحركات'!$G:$G,0)),""))</f>
        <v/>
      </c>
      <c r="F495" s="3" t="str">
        <f>IFERROR(INDEX('بيانات الحركات'!F:F,MATCH(494,'بيانات الحركات'!$G:$G,0)),"")</f>
        <v/>
      </c>
    </row>
    <row r="496" spans="1:6" ht="21.95" customHeight="1">
      <c r="A496" s="8" t="str">
        <f>IFERROR(INDEX('بيانات الحركات'!A:A,MATCH(495,'بيانات الحركات'!$G:$G,0)),"")</f>
        <v/>
      </c>
      <c r="B496" s="5" t="str">
        <f>IFERROR(INDEX('بيانات الحركات'!B:B,MATCH(495,'بيانات الحركات'!$G:$G,0)),"")</f>
        <v/>
      </c>
      <c r="C496" s="3" t="str">
        <f>IFERROR(INDEX('بيانات الحركات'!C:C,MATCH(495,'بيانات الحركات'!$G:$G,0)),"")</f>
        <v/>
      </c>
      <c r="D496" s="3" t="str">
        <f>IFERROR(INDEX('بيانات الحركات'!D:D,MATCH(495,'بيانات الحركات'!$G:$G,0)),"")</f>
        <v/>
      </c>
      <c r="E496" s="21" t="str">
        <f>IF($B496="إنتاج طبخة","",IFERROR(INDEX('بيانات الحركات'!E:E,MATCH(495,'بيانات الحركات'!$G:$G,0)),""))</f>
        <v/>
      </c>
      <c r="F496" s="3" t="str">
        <f>IFERROR(INDEX('بيانات الحركات'!F:F,MATCH(495,'بيانات الحركات'!$G:$G,0)),"")</f>
        <v/>
      </c>
    </row>
    <row r="497" spans="1:6" ht="21.95" customHeight="1">
      <c r="A497" s="8" t="str">
        <f>IFERROR(INDEX('بيانات الحركات'!A:A,MATCH(496,'بيانات الحركات'!$G:$G,0)),"")</f>
        <v/>
      </c>
      <c r="B497" s="5" t="str">
        <f>IFERROR(INDEX('بيانات الحركات'!B:B,MATCH(496,'بيانات الحركات'!$G:$G,0)),"")</f>
        <v/>
      </c>
      <c r="C497" s="3" t="str">
        <f>IFERROR(INDEX('بيانات الحركات'!C:C,MATCH(496,'بيانات الحركات'!$G:$G,0)),"")</f>
        <v/>
      </c>
      <c r="D497" s="3" t="str">
        <f>IFERROR(INDEX('بيانات الحركات'!D:D,MATCH(496,'بيانات الحركات'!$G:$G,0)),"")</f>
        <v/>
      </c>
      <c r="E497" s="21" t="str">
        <f>IF($B497="إنتاج طبخة","",IFERROR(INDEX('بيانات الحركات'!E:E,MATCH(496,'بيانات الحركات'!$G:$G,0)),""))</f>
        <v/>
      </c>
      <c r="F497" s="3" t="str">
        <f>IFERROR(INDEX('بيانات الحركات'!F:F,MATCH(496,'بيانات الحركات'!$G:$G,0)),"")</f>
        <v/>
      </c>
    </row>
    <row r="498" spans="1:6" ht="21.95" customHeight="1">
      <c r="A498" s="8" t="str">
        <f>IFERROR(INDEX('بيانات الحركات'!A:A,MATCH(497,'بيانات الحركات'!$G:$G,0)),"")</f>
        <v/>
      </c>
      <c r="B498" s="5" t="str">
        <f>IFERROR(INDEX('بيانات الحركات'!B:B,MATCH(497,'بيانات الحركات'!$G:$G,0)),"")</f>
        <v/>
      </c>
      <c r="C498" s="3" t="str">
        <f>IFERROR(INDEX('بيانات الحركات'!C:C,MATCH(497,'بيانات الحركات'!$G:$G,0)),"")</f>
        <v/>
      </c>
      <c r="D498" s="3" t="str">
        <f>IFERROR(INDEX('بيانات الحركات'!D:D,MATCH(497,'بيانات الحركات'!$G:$G,0)),"")</f>
        <v/>
      </c>
      <c r="E498" s="21" t="str">
        <f>IF($B498="إنتاج طبخة","",IFERROR(INDEX('بيانات الحركات'!E:E,MATCH(497,'بيانات الحركات'!$G:$G,0)),""))</f>
        <v/>
      </c>
      <c r="F498" s="3" t="str">
        <f>IFERROR(INDEX('بيانات الحركات'!F:F,MATCH(497,'بيانات الحركات'!$G:$G,0)),"")</f>
        <v/>
      </c>
    </row>
    <row r="499" spans="1:6" ht="21.95" customHeight="1">
      <c r="A499" s="8" t="str">
        <f>IFERROR(INDEX('بيانات الحركات'!A:A,MATCH(498,'بيانات الحركات'!$G:$G,0)),"")</f>
        <v/>
      </c>
      <c r="B499" s="5" t="str">
        <f>IFERROR(INDEX('بيانات الحركات'!B:B,MATCH(498,'بيانات الحركات'!$G:$G,0)),"")</f>
        <v/>
      </c>
      <c r="C499" s="3" t="str">
        <f>IFERROR(INDEX('بيانات الحركات'!C:C,MATCH(498,'بيانات الحركات'!$G:$G,0)),"")</f>
        <v/>
      </c>
      <c r="D499" s="3" t="str">
        <f>IFERROR(INDEX('بيانات الحركات'!D:D,MATCH(498,'بيانات الحركات'!$G:$G,0)),"")</f>
        <v/>
      </c>
      <c r="E499" s="21" t="str">
        <f>IF($B499="إنتاج طبخة","",IFERROR(INDEX('بيانات الحركات'!E:E,MATCH(498,'بيانات الحركات'!$G:$G,0)),""))</f>
        <v/>
      </c>
      <c r="F499" s="3" t="str">
        <f>IFERROR(INDEX('بيانات الحركات'!F:F,MATCH(498,'بيانات الحركات'!$G:$G,0)),"")</f>
        <v/>
      </c>
    </row>
    <row r="500" spans="1:6" ht="21.95" customHeight="1">
      <c r="A500" s="8" t="str">
        <f>IFERROR(INDEX('بيانات الحركات'!A:A,MATCH(499,'بيانات الحركات'!$G:$G,0)),"")</f>
        <v/>
      </c>
      <c r="B500" s="5" t="str">
        <f>IFERROR(INDEX('بيانات الحركات'!B:B,MATCH(499,'بيانات الحركات'!$G:$G,0)),"")</f>
        <v/>
      </c>
      <c r="C500" s="3" t="str">
        <f>IFERROR(INDEX('بيانات الحركات'!C:C,MATCH(499,'بيانات الحركات'!$G:$G,0)),"")</f>
        <v/>
      </c>
      <c r="D500" s="3" t="str">
        <f>IFERROR(INDEX('بيانات الحركات'!D:D,MATCH(499,'بيانات الحركات'!$G:$G,0)),"")</f>
        <v/>
      </c>
      <c r="E500" s="21" t="str">
        <f>IF($B500="إنتاج طبخة","",IFERROR(INDEX('بيانات الحركات'!E:E,MATCH(499,'بيانات الحركات'!$G:$G,0)),""))</f>
        <v/>
      </c>
      <c r="F500" s="3" t="str">
        <f>IFERROR(INDEX('بيانات الحركات'!F:F,MATCH(499,'بيانات الحركات'!$G:$G,0)),"")</f>
        <v/>
      </c>
    </row>
    <row r="501" spans="1:6" ht="21.95" customHeight="1">
      <c r="A501" s="8" t="str">
        <f>IFERROR(INDEX('بيانات الحركات'!A:A,MATCH(500,'بيانات الحركات'!$G:$G,0)),"")</f>
        <v/>
      </c>
      <c r="B501" s="5" t="str">
        <f>IFERROR(INDEX('بيانات الحركات'!B:B,MATCH(500,'بيانات الحركات'!$G:$G,0)),"")</f>
        <v/>
      </c>
      <c r="C501" s="3" t="str">
        <f>IFERROR(INDEX('بيانات الحركات'!C:C,MATCH(500,'بيانات الحركات'!$G:$G,0)),"")</f>
        <v/>
      </c>
      <c r="D501" s="3" t="str">
        <f>IFERROR(INDEX('بيانات الحركات'!D:D,MATCH(500,'بيانات الحركات'!$G:$G,0)),"")</f>
        <v/>
      </c>
      <c r="E501" s="21" t="str">
        <f>IF($B501="إنتاج طبخة","",IFERROR(INDEX('بيانات الحركات'!E:E,MATCH(500,'بيانات الحركات'!$G:$G,0)),""))</f>
        <v/>
      </c>
      <c r="F501" s="3" t="str">
        <f>IFERROR(INDEX('بيانات الحركات'!F:F,MATCH(500,'بيانات الحركات'!$G:$G,0)),"")</f>
        <v/>
      </c>
    </row>
    <row r="502" spans="1:6" ht="21.95" customHeight="1">
      <c r="A502" s="8" t="str">
        <f>IFERROR(INDEX('بيانات الحركات'!A:A,MATCH(501,'بيانات الحركات'!$G:$G,0)),"")</f>
        <v/>
      </c>
      <c r="B502" s="5" t="str">
        <f>IFERROR(INDEX('بيانات الحركات'!B:B,MATCH(501,'بيانات الحركات'!$G:$G,0)),"")</f>
        <v/>
      </c>
      <c r="C502" s="3" t="str">
        <f>IFERROR(INDEX('بيانات الحركات'!C:C,MATCH(501,'بيانات الحركات'!$G:$G,0)),"")</f>
        <v/>
      </c>
      <c r="D502" s="3" t="str">
        <f>IFERROR(INDEX('بيانات الحركات'!D:D,MATCH(501,'بيانات الحركات'!$G:$G,0)),"")</f>
        <v/>
      </c>
      <c r="E502" s="21" t="str">
        <f>IF($B502="إنتاج طبخة","",IFERROR(INDEX('بيانات الحركات'!E:E,MATCH(501,'بيانات الحركات'!$G:$G,0)),""))</f>
        <v/>
      </c>
      <c r="F502" s="3" t="str">
        <f>IFERROR(INDEX('بيانات الحركات'!F:F,MATCH(501,'بيانات الحركات'!$G:$G,0)),"")</f>
        <v/>
      </c>
    </row>
    <row r="503" spans="1:6" ht="21.95" customHeight="1">
      <c r="A503" s="8" t="str">
        <f>IFERROR(INDEX('بيانات الحركات'!A:A,MATCH(502,'بيانات الحركات'!$G:$G,0)),"")</f>
        <v/>
      </c>
      <c r="B503" s="5" t="str">
        <f>IFERROR(INDEX('بيانات الحركات'!B:B,MATCH(502,'بيانات الحركات'!$G:$G,0)),"")</f>
        <v/>
      </c>
      <c r="C503" s="3" t="str">
        <f>IFERROR(INDEX('بيانات الحركات'!C:C,MATCH(502,'بيانات الحركات'!$G:$G,0)),"")</f>
        <v/>
      </c>
      <c r="D503" s="3" t="str">
        <f>IFERROR(INDEX('بيانات الحركات'!D:D,MATCH(502,'بيانات الحركات'!$G:$G,0)),"")</f>
        <v/>
      </c>
      <c r="E503" s="21" t="str">
        <f>IF($B503="إنتاج طبخة","",IFERROR(INDEX('بيانات الحركات'!E:E,MATCH(502,'بيانات الحركات'!$G:$G,0)),""))</f>
        <v/>
      </c>
      <c r="F503" s="3" t="str">
        <f>IFERROR(INDEX('بيانات الحركات'!F:F,MATCH(502,'بيانات الحركات'!$G:$G,0)),"")</f>
        <v/>
      </c>
    </row>
    <row r="504" spans="1:6" ht="21.95" customHeight="1">
      <c r="A504" s="8" t="str">
        <f>IFERROR(INDEX('بيانات الحركات'!A:A,MATCH(503,'بيانات الحركات'!$G:$G,0)),"")</f>
        <v/>
      </c>
      <c r="B504" s="5" t="str">
        <f>IFERROR(INDEX('بيانات الحركات'!B:B,MATCH(503,'بيانات الحركات'!$G:$G,0)),"")</f>
        <v/>
      </c>
      <c r="C504" s="3" t="str">
        <f>IFERROR(INDEX('بيانات الحركات'!C:C,MATCH(503,'بيانات الحركات'!$G:$G,0)),"")</f>
        <v/>
      </c>
      <c r="D504" s="3" t="str">
        <f>IFERROR(INDEX('بيانات الحركات'!D:D,MATCH(503,'بيانات الحركات'!$G:$G,0)),"")</f>
        <v/>
      </c>
      <c r="E504" s="21" t="str">
        <f>IF($B504="إنتاج طبخة","",IFERROR(INDEX('بيانات الحركات'!E:E,MATCH(503,'بيانات الحركات'!$G:$G,0)),""))</f>
        <v/>
      </c>
      <c r="F504" s="3" t="str">
        <f>IFERROR(INDEX('بيانات الحركات'!F:F,MATCH(503,'بيانات الحركات'!$G:$G,0)),"")</f>
        <v/>
      </c>
    </row>
    <row r="505" spans="1:6" ht="21.95" customHeight="1">
      <c r="A505" s="8" t="str">
        <f>IFERROR(INDEX('بيانات الحركات'!A:A,MATCH(504,'بيانات الحركات'!$G:$G,0)),"")</f>
        <v/>
      </c>
      <c r="B505" s="5" t="str">
        <f>IFERROR(INDEX('بيانات الحركات'!B:B,MATCH(504,'بيانات الحركات'!$G:$G,0)),"")</f>
        <v/>
      </c>
      <c r="C505" s="3" t="str">
        <f>IFERROR(INDEX('بيانات الحركات'!C:C,MATCH(504,'بيانات الحركات'!$G:$G,0)),"")</f>
        <v/>
      </c>
      <c r="D505" s="3" t="str">
        <f>IFERROR(INDEX('بيانات الحركات'!D:D,MATCH(504,'بيانات الحركات'!$G:$G,0)),"")</f>
        <v/>
      </c>
      <c r="E505" s="21" t="str">
        <f>IF($B505="إنتاج طبخة","",IFERROR(INDEX('بيانات الحركات'!E:E,MATCH(504,'بيانات الحركات'!$G:$G,0)),""))</f>
        <v/>
      </c>
      <c r="F505" s="3" t="str">
        <f>IFERROR(INDEX('بيانات الحركات'!F:F,MATCH(504,'بيانات الحركات'!$G:$G,0)),"")</f>
        <v/>
      </c>
    </row>
    <row r="506" spans="1:6" ht="21.95" customHeight="1">
      <c r="A506" s="8" t="str">
        <f>IFERROR(INDEX('بيانات الحركات'!A:A,MATCH(505,'بيانات الحركات'!$G:$G,0)),"")</f>
        <v/>
      </c>
      <c r="B506" s="5" t="str">
        <f>IFERROR(INDEX('بيانات الحركات'!B:B,MATCH(505,'بيانات الحركات'!$G:$G,0)),"")</f>
        <v/>
      </c>
      <c r="C506" s="3" t="str">
        <f>IFERROR(INDEX('بيانات الحركات'!C:C,MATCH(505,'بيانات الحركات'!$G:$G,0)),"")</f>
        <v/>
      </c>
      <c r="D506" s="3" t="str">
        <f>IFERROR(INDEX('بيانات الحركات'!D:D,MATCH(505,'بيانات الحركات'!$G:$G,0)),"")</f>
        <v/>
      </c>
      <c r="E506" s="21" t="str">
        <f>IF($B506="إنتاج طبخة","",IFERROR(INDEX('بيانات الحركات'!E:E,MATCH(505,'بيانات الحركات'!$G:$G,0)),""))</f>
        <v/>
      </c>
      <c r="F506" s="3" t="str">
        <f>IFERROR(INDEX('بيانات الحركات'!F:F,MATCH(505,'بيانات الحركات'!$G:$G,0)),"")</f>
        <v/>
      </c>
    </row>
    <row r="507" spans="1:6" ht="21.95" customHeight="1">
      <c r="A507" s="8" t="str">
        <f>IFERROR(INDEX('بيانات الحركات'!A:A,MATCH(506,'بيانات الحركات'!$G:$G,0)),"")</f>
        <v/>
      </c>
      <c r="B507" s="5" t="str">
        <f>IFERROR(INDEX('بيانات الحركات'!B:B,MATCH(506,'بيانات الحركات'!$G:$G,0)),"")</f>
        <v/>
      </c>
      <c r="C507" s="3" t="str">
        <f>IFERROR(INDEX('بيانات الحركات'!C:C,MATCH(506,'بيانات الحركات'!$G:$G,0)),"")</f>
        <v/>
      </c>
      <c r="D507" s="3" t="str">
        <f>IFERROR(INDEX('بيانات الحركات'!D:D,MATCH(506,'بيانات الحركات'!$G:$G,0)),"")</f>
        <v/>
      </c>
      <c r="E507" s="21" t="str">
        <f>IF($B507="إنتاج طبخة","",IFERROR(INDEX('بيانات الحركات'!E:E,MATCH(506,'بيانات الحركات'!$G:$G,0)),""))</f>
        <v/>
      </c>
      <c r="F507" s="3" t="str">
        <f>IFERROR(INDEX('بيانات الحركات'!F:F,MATCH(506,'بيانات الحركات'!$G:$G,0)),"")</f>
        <v/>
      </c>
    </row>
    <row r="508" spans="1:6" ht="21.95" customHeight="1">
      <c r="A508" s="8" t="str">
        <f>IFERROR(INDEX('بيانات الحركات'!A:A,MATCH(507,'بيانات الحركات'!$G:$G,0)),"")</f>
        <v/>
      </c>
      <c r="B508" s="5" t="str">
        <f>IFERROR(INDEX('بيانات الحركات'!B:B,MATCH(507,'بيانات الحركات'!$G:$G,0)),"")</f>
        <v/>
      </c>
      <c r="C508" s="3" t="str">
        <f>IFERROR(INDEX('بيانات الحركات'!C:C,MATCH(507,'بيانات الحركات'!$G:$G,0)),"")</f>
        <v/>
      </c>
      <c r="D508" s="3" t="str">
        <f>IFERROR(INDEX('بيانات الحركات'!D:D,MATCH(507,'بيانات الحركات'!$G:$G,0)),"")</f>
        <v/>
      </c>
      <c r="E508" s="21" t="str">
        <f>IF($B508="إنتاج طبخة","",IFERROR(INDEX('بيانات الحركات'!E:E,MATCH(507,'بيانات الحركات'!$G:$G,0)),""))</f>
        <v/>
      </c>
      <c r="F508" s="3" t="str">
        <f>IFERROR(INDEX('بيانات الحركات'!F:F,MATCH(507,'بيانات الحركات'!$G:$G,0)),"")</f>
        <v/>
      </c>
    </row>
    <row r="509" spans="1:6" ht="21.95" customHeight="1">
      <c r="A509" s="8" t="str">
        <f>IFERROR(INDEX('بيانات الحركات'!A:A,MATCH(508,'بيانات الحركات'!$G:$G,0)),"")</f>
        <v/>
      </c>
      <c r="B509" s="5" t="str">
        <f>IFERROR(INDEX('بيانات الحركات'!B:B,MATCH(508,'بيانات الحركات'!$G:$G,0)),"")</f>
        <v/>
      </c>
      <c r="C509" s="3" t="str">
        <f>IFERROR(INDEX('بيانات الحركات'!C:C,MATCH(508,'بيانات الحركات'!$G:$G,0)),"")</f>
        <v/>
      </c>
      <c r="D509" s="3" t="str">
        <f>IFERROR(INDEX('بيانات الحركات'!D:D,MATCH(508,'بيانات الحركات'!$G:$G,0)),"")</f>
        <v/>
      </c>
      <c r="E509" s="21" t="str">
        <f>IF($B509="إنتاج طبخة","",IFERROR(INDEX('بيانات الحركات'!E:E,MATCH(508,'بيانات الحركات'!$G:$G,0)),""))</f>
        <v/>
      </c>
      <c r="F509" s="3" t="str">
        <f>IFERROR(INDEX('بيانات الحركات'!F:F,MATCH(508,'بيانات الحركات'!$G:$G,0)),"")</f>
        <v/>
      </c>
    </row>
    <row r="510" spans="1:6" ht="21.95" customHeight="1">
      <c r="A510" s="8" t="str">
        <f>IFERROR(INDEX('بيانات الحركات'!A:A,MATCH(509,'بيانات الحركات'!$G:$G,0)),"")</f>
        <v/>
      </c>
      <c r="B510" s="5" t="str">
        <f>IFERROR(INDEX('بيانات الحركات'!B:B,MATCH(509,'بيانات الحركات'!$G:$G,0)),"")</f>
        <v/>
      </c>
      <c r="C510" s="3" t="str">
        <f>IFERROR(INDEX('بيانات الحركات'!C:C,MATCH(509,'بيانات الحركات'!$G:$G,0)),"")</f>
        <v/>
      </c>
      <c r="D510" s="3" t="str">
        <f>IFERROR(INDEX('بيانات الحركات'!D:D,MATCH(509,'بيانات الحركات'!$G:$G,0)),"")</f>
        <v/>
      </c>
      <c r="E510" s="21" t="str">
        <f>IF($B510="إنتاج طبخة","",IFERROR(INDEX('بيانات الحركات'!E:E,MATCH(509,'بيانات الحركات'!$G:$G,0)),""))</f>
        <v/>
      </c>
      <c r="F510" s="3" t="str">
        <f>IFERROR(INDEX('بيانات الحركات'!F:F,MATCH(509,'بيانات الحركات'!$G:$G,0)),"")</f>
        <v/>
      </c>
    </row>
    <row r="511" spans="1:6" ht="21.95" customHeight="1">
      <c r="A511" s="8" t="str">
        <f>IFERROR(INDEX('بيانات الحركات'!A:A,MATCH(510,'بيانات الحركات'!$G:$G,0)),"")</f>
        <v/>
      </c>
      <c r="B511" s="5" t="str">
        <f>IFERROR(INDEX('بيانات الحركات'!B:B,MATCH(510,'بيانات الحركات'!$G:$G,0)),"")</f>
        <v/>
      </c>
      <c r="C511" s="3" t="str">
        <f>IFERROR(INDEX('بيانات الحركات'!C:C,MATCH(510,'بيانات الحركات'!$G:$G,0)),"")</f>
        <v/>
      </c>
      <c r="D511" s="3" t="str">
        <f>IFERROR(INDEX('بيانات الحركات'!D:D,MATCH(510,'بيانات الحركات'!$G:$G,0)),"")</f>
        <v/>
      </c>
      <c r="E511" s="21" t="str">
        <f>IF($B511="إنتاج طبخة","",IFERROR(INDEX('بيانات الحركات'!E:E,MATCH(510,'بيانات الحركات'!$G:$G,0)),""))</f>
        <v/>
      </c>
      <c r="F511" s="3" t="str">
        <f>IFERROR(INDEX('بيانات الحركات'!F:F,MATCH(510,'بيانات الحركات'!$G:$G,0)),"")</f>
        <v/>
      </c>
    </row>
    <row r="512" spans="1:6" ht="21.95" customHeight="1">
      <c r="A512" s="8" t="str">
        <f>IFERROR(INDEX('بيانات الحركات'!A:A,MATCH(511,'بيانات الحركات'!$G:$G,0)),"")</f>
        <v/>
      </c>
      <c r="B512" s="5" t="str">
        <f>IFERROR(INDEX('بيانات الحركات'!B:B,MATCH(511,'بيانات الحركات'!$G:$G,0)),"")</f>
        <v/>
      </c>
      <c r="C512" s="3" t="str">
        <f>IFERROR(INDEX('بيانات الحركات'!C:C,MATCH(511,'بيانات الحركات'!$G:$G,0)),"")</f>
        <v/>
      </c>
      <c r="D512" s="3" t="str">
        <f>IFERROR(INDEX('بيانات الحركات'!D:D,MATCH(511,'بيانات الحركات'!$G:$G,0)),"")</f>
        <v/>
      </c>
      <c r="E512" s="21" t="str">
        <f>IF($B512="إنتاج طبخة","",IFERROR(INDEX('بيانات الحركات'!E:E,MATCH(511,'بيانات الحركات'!$G:$G,0)),""))</f>
        <v/>
      </c>
      <c r="F512" s="3" t="str">
        <f>IFERROR(INDEX('بيانات الحركات'!F:F,MATCH(511,'بيانات الحركات'!$G:$G,0)),"")</f>
        <v/>
      </c>
    </row>
    <row r="513" spans="1:6" ht="21.95" customHeight="1">
      <c r="A513" s="8" t="str">
        <f>IFERROR(INDEX('بيانات الحركات'!A:A,MATCH(512,'بيانات الحركات'!$G:$G,0)),"")</f>
        <v/>
      </c>
      <c r="B513" s="5" t="str">
        <f>IFERROR(INDEX('بيانات الحركات'!B:B,MATCH(512,'بيانات الحركات'!$G:$G,0)),"")</f>
        <v/>
      </c>
      <c r="C513" s="3" t="str">
        <f>IFERROR(INDEX('بيانات الحركات'!C:C,MATCH(512,'بيانات الحركات'!$G:$G,0)),"")</f>
        <v/>
      </c>
      <c r="D513" s="3" t="str">
        <f>IFERROR(INDEX('بيانات الحركات'!D:D,MATCH(512,'بيانات الحركات'!$G:$G,0)),"")</f>
        <v/>
      </c>
      <c r="E513" s="21" t="str">
        <f>IF($B513="إنتاج طبخة","",IFERROR(INDEX('بيانات الحركات'!E:E,MATCH(512,'بيانات الحركات'!$G:$G,0)),""))</f>
        <v/>
      </c>
      <c r="F513" s="3" t="str">
        <f>IFERROR(INDEX('بيانات الحركات'!F:F,MATCH(512,'بيانات الحركات'!$G:$G,0)),"")</f>
        <v/>
      </c>
    </row>
    <row r="514" spans="1:6" ht="21.95" customHeight="1">
      <c r="A514" s="8" t="str">
        <f>IFERROR(INDEX('بيانات الحركات'!A:A,MATCH(513,'بيانات الحركات'!$G:$G,0)),"")</f>
        <v/>
      </c>
      <c r="B514" s="5" t="str">
        <f>IFERROR(INDEX('بيانات الحركات'!B:B,MATCH(513,'بيانات الحركات'!$G:$G,0)),"")</f>
        <v/>
      </c>
      <c r="C514" s="3" t="str">
        <f>IFERROR(INDEX('بيانات الحركات'!C:C,MATCH(513,'بيانات الحركات'!$G:$G,0)),"")</f>
        <v/>
      </c>
      <c r="D514" s="3" t="str">
        <f>IFERROR(INDEX('بيانات الحركات'!D:D,MATCH(513,'بيانات الحركات'!$G:$G,0)),"")</f>
        <v/>
      </c>
      <c r="E514" s="21" t="str">
        <f>IF($B514="إنتاج طبخة","",IFERROR(INDEX('بيانات الحركات'!E:E,MATCH(513,'بيانات الحركات'!$G:$G,0)),""))</f>
        <v/>
      </c>
      <c r="F514" s="3" t="str">
        <f>IFERROR(INDEX('بيانات الحركات'!F:F,MATCH(513,'بيانات الحركات'!$G:$G,0)),"")</f>
        <v/>
      </c>
    </row>
    <row r="515" spans="1:6" ht="21.95" customHeight="1">
      <c r="A515" s="8" t="str">
        <f>IFERROR(INDEX('بيانات الحركات'!A:A,MATCH(514,'بيانات الحركات'!$G:$G,0)),"")</f>
        <v/>
      </c>
      <c r="B515" s="5" t="str">
        <f>IFERROR(INDEX('بيانات الحركات'!B:B,MATCH(514,'بيانات الحركات'!$G:$G,0)),"")</f>
        <v/>
      </c>
      <c r="C515" s="3" t="str">
        <f>IFERROR(INDEX('بيانات الحركات'!C:C,MATCH(514,'بيانات الحركات'!$G:$G,0)),"")</f>
        <v/>
      </c>
      <c r="D515" s="3" t="str">
        <f>IFERROR(INDEX('بيانات الحركات'!D:D,MATCH(514,'بيانات الحركات'!$G:$G,0)),"")</f>
        <v/>
      </c>
      <c r="E515" s="21" t="str">
        <f>IF($B515="إنتاج طبخة","",IFERROR(INDEX('بيانات الحركات'!E:E,MATCH(514,'بيانات الحركات'!$G:$G,0)),""))</f>
        <v/>
      </c>
      <c r="F515" s="3" t="str">
        <f>IFERROR(INDEX('بيانات الحركات'!F:F,MATCH(514,'بيانات الحركات'!$G:$G,0)),"")</f>
        <v/>
      </c>
    </row>
    <row r="516" spans="1:6" ht="21.95" customHeight="1">
      <c r="A516" s="8" t="str">
        <f>IFERROR(INDEX('بيانات الحركات'!A:A,MATCH(515,'بيانات الحركات'!$G:$G,0)),"")</f>
        <v/>
      </c>
      <c r="B516" s="5" t="str">
        <f>IFERROR(INDEX('بيانات الحركات'!B:B,MATCH(515,'بيانات الحركات'!$G:$G,0)),"")</f>
        <v/>
      </c>
      <c r="C516" s="3" t="str">
        <f>IFERROR(INDEX('بيانات الحركات'!C:C,MATCH(515,'بيانات الحركات'!$G:$G,0)),"")</f>
        <v/>
      </c>
      <c r="D516" s="3" t="str">
        <f>IFERROR(INDEX('بيانات الحركات'!D:D,MATCH(515,'بيانات الحركات'!$G:$G,0)),"")</f>
        <v/>
      </c>
      <c r="E516" s="21" t="str">
        <f>IF($B516="إنتاج طبخة","",IFERROR(INDEX('بيانات الحركات'!E:E,MATCH(515,'بيانات الحركات'!$G:$G,0)),""))</f>
        <v/>
      </c>
      <c r="F516" s="3" t="str">
        <f>IFERROR(INDEX('بيانات الحركات'!F:F,MATCH(515,'بيانات الحركات'!$G:$G,0)),"")</f>
        <v/>
      </c>
    </row>
    <row r="517" spans="1:6" ht="21.95" customHeight="1">
      <c r="A517" s="8" t="str">
        <f>IFERROR(INDEX('بيانات الحركات'!A:A,MATCH(516,'بيانات الحركات'!$G:$G,0)),"")</f>
        <v/>
      </c>
      <c r="B517" s="5" t="str">
        <f>IFERROR(INDEX('بيانات الحركات'!B:B,MATCH(516,'بيانات الحركات'!$G:$G,0)),"")</f>
        <v/>
      </c>
      <c r="C517" s="3" t="str">
        <f>IFERROR(INDEX('بيانات الحركات'!C:C,MATCH(516,'بيانات الحركات'!$G:$G,0)),"")</f>
        <v/>
      </c>
      <c r="D517" s="3" t="str">
        <f>IFERROR(INDEX('بيانات الحركات'!D:D,MATCH(516,'بيانات الحركات'!$G:$G,0)),"")</f>
        <v/>
      </c>
      <c r="E517" s="21" t="str">
        <f>IF($B517="إنتاج طبخة","",IFERROR(INDEX('بيانات الحركات'!E:E,MATCH(516,'بيانات الحركات'!$G:$G,0)),""))</f>
        <v/>
      </c>
      <c r="F517" s="3" t="str">
        <f>IFERROR(INDEX('بيانات الحركات'!F:F,MATCH(516,'بيانات الحركات'!$G:$G,0)),"")</f>
        <v/>
      </c>
    </row>
    <row r="518" spans="1:6" ht="21.95" customHeight="1">
      <c r="A518" s="8" t="str">
        <f>IFERROR(INDEX('بيانات الحركات'!A:A,MATCH(517,'بيانات الحركات'!$G:$G,0)),"")</f>
        <v/>
      </c>
      <c r="B518" s="5" t="str">
        <f>IFERROR(INDEX('بيانات الحركات'!B:B,MATCH(517,'بيانات الحركات'!$G:$G,0)),"")</f>
        <v/>
      </c>
      <c r="C518" s="3" t="str">
        <f>IFERROR(INDEX('بيانات الحركات'!C:C,MATCH(517,'بيانات الحركات'!$G:$G,0)),"")</f>
        <v/>
      </c>
      <c r="D518" s="3" t="str">
        <f>IFERROR(INDEX('بيانات الحركات'!D:D,MATCH(517,'بيانات الحركات'!$G:$G,0)),"")</f>
        <v/>
      </c>
      <c r="E518" s="21" t="str">
        <f>IF($B518="إنتاج طبخة","",IFERROR(INDEX('بيانات الحركات'!E:E,MATCH(517,'بيانات الحركات'!$G:$G,0)),""))</f>
        <v/>
      </c>
      <c r="F518" s="3" t="str">
        <f>IFERROR(INDEX('بيانات الحركات'!F:F,MATCH(517,'بيانات الحركات'!$G:$G,0)),"")</f>
        <v/>
      </c>
    </row>
    <row r="519" spans="1:6" ht="21.95" customHeight="1">
      <c r="A519" s="8" t="str">
        <f>IFERROR(INDEX('بيانات الحركات'!A:A,MATCH(518,'بيانات الحركات'!$G:$G,0)),"")</f>
        <v/>
      </c>
      <c r="B519" s="5" t="str">
        <f>IFERROR(INDEX('بيانات الحركات'!B:B,MATCH(518,'بيانات الحركات'!$G:$G,0)),"")</f>
        <v/>
      </c>
      <c r="C519" s="3" t="str">
        <f>IFERROR(INDEX('بيانات الحركات'!C:C,MATCH(518,'بيانات الحركات'!$G:$G,0)),"")</f>
        <v/>
      </c>
      <c r="D519" s="3" t="str">
        <f>IFERROR(INDEX('بيانات الحركات'!D:D,MATCH(518,'بيانات الحركات'!$G:$G,0)),"")</f>
        <v/>
      </c>
      <c r="E519" s="21" t="str">
        <f>IF($B519="إنتاج طبخة","",IFERROR(INDEX('بيانات الحركات'!E:E,MATCH(518,'بيانات الحركات'!$G:$G,0)),""))</f>
        <v/>
      </c>
      <c r="F519" s="3" t="str">
        <f>IFERROR(INDEX('بيانات الحركات'!F:F,MATCH(518,'بيانات الحركات'!$G:$G,0)),"")</f>
        <v/>
      </c>
    </row>
    <row r="520" spans="1:6" ht="21.95" customHeight="1">
      <c r="A520" s="8" t="str">
        <f>IFERROR(INDEX('بيانات الحركات'!A:A,MATCH(519,'بيانات الحركات'!$G:$G,0)),"")</f>
        <v/>
      </c>
      <c r="B520" s="5" t="str">
        <f>IFERROR(INDEX('بيانات الحركات'!B:B,MATCH(519,'بيانات الحركات'!$G:$G,0)),"")</f>
        <v/>
      </c>
      <c r="C520" s="3" t="str">
        <f>IFERROR(INDEX('بيانات الحركات'!C:C,MATCH(519,'بيانات الحركات'!$G:$G,0)),"")</f>
        <v/>
      </c>
      <c r="D520" s="3" t="str">
        <f>IFERROR(INDEX('بيانات الحركات'!D:D,MATCH(519,'بيانات الحركات'!$G:$G,0)),"")</f>
        <v/>
      </c>
      <c r="E520" s="21" t="str">
        <f>IF($B520="إنتاج طبخة","",IFERROR(INDEX('بيانات الحركات'!E:E,MATCH(519,'بيانات الحركات'!$G:$G,0)),""))</f>
        <v/>
      </c>
      <c r="F520" s="3" t="str">
        <f>IFERROR(INDEX('بيانات الحركات'!F:F,MATCH(519,'بيانات الحركات'!$G:$G,0)),"")</f>
        <v/>
      </c>
    </row>
    <row r="521" spans="1:6" ht="21.95" customHeight="1">
      <c r="A521" s="8" t="str">
        <f>IFERROR(INDEX('بيانات الحركات'!A:A,MATCH(520,'بيانات الحركات'!$G:$G,0)),"")</f>
        <v/>
      </c>
      <c r="B521" s="5" t="str">
        <f>IFERROR(INDEX('بيانات الحركات'!B:B,MATCH(520,'بيانات الحركات'!$G:$G,0)),"")</f>
        <v/>
      </c>
      <c r="C521" s="3" t="str">
        <f>IFERROR(INDEX('بيانات الحركات'!C:C,MATCH(520,'بيانات الحركات'!$G:$G,0)),"")</f>
        <v/>
      </c>
      <c r="D521" s="3" t="str">
        <f>IFERROR(INDEX('بيانات الحركات'!D:D,MATCH(520,'بيانات الحركات'!$G:$G,0)),"")</f>
        <v/>
      </c>
      <c r="E521" s="21" t="str">
        <f>IF($B521="إنتاج طبخة","",IFERROR(INDEX('بيانات الحركات'!E:E,MATCH(520,'بيانات الحركات'!$G:$G,0)),""))</f>
        <v/>
      </c>
      <c r="F521" s="3" t="str">
        <f>IFERROR(INDEX('بيانات الحركات'!F:F,MATCH(520,'بيانات الحركات'!$G:$G,0)),"")</f>
        <v/>
      </c>
    </row>
    <row r="522" spans="1:6" ht="21.95" customHeight="1">
      <c r="A522" s="8" t="str">
        <f>IFERROR(INDEX('بيانات الحركات'!A:A,MATCH(521,'بيانات الحركات'!$G:$G,0)),"")</f>
        <v/>
      </c>
      <c r="B522" s="5" t="str">
        <f>IFERROR(INDEX('بيانات الحركات'!B:B,MATCH(521,'بيانات الحركات'!$G:$G,0)),"")</f>
        <v/>
      </c>
      <c r="C522" s="3" t="str">
        <f>IFERROR(INDEX('بيانات الحركات'!C:C,MATCH(521,'بيانات الحركات'!$G:$G,0)),"")</f>
        <v/>
      </c>
      <c r="D522" s="3" t="str">
        <f>IFERROR(INDEX('بيانات الحركات'!D:D,MATCH(521,'بيانات الحركات'!$G:$G,0)),"")</f>
        <v/>
      </c>
      <c r="E522" s="21" t="str">
        <f>IF($B522="إنتاج طبخة","",IFERROR(INDEX('بيانات الحركات'!E:E,MATCH(521,'بيانات الحركات'!$G:$G,0)),""))</f>
        <v/>
      </c>
      <c r="F522" s="3" t="str">
        <f>IFERROR(INDEX('بيانات الحركات'!F:F,MATCH(521,'بيانات الحركات'!$G:$G,0)),"")</f>
        <v/>
      </c>
    </row>
    <row r="523" spans="1:6" ht="21.95" customHeight="1">
      <c r="A523" s="8" t="str">
        <f>IFERROR(INDEX('بيانات الحركات'!A:A,MATCH(522,'بيانات الحركات'!$G:$G,0)),"")</f>
        <v/>
      </c>
      <c r="B523" s="5" t="str">
        <f>IFERROR(INDEX('بيانات الحركات'!B:B,MATCH(522,'بيانات الحركات'!$G:$G,0)),"")</f>
        <v/>
      </c>
      <c r="C523" s="3" t="str">
        <f>IFERROR(INDEX('بيانات الحركات'!C:C,MATCH(522,'بيانات الحركات'!$G:$G,0)),"")</f>
        <v/>
      </c>
      <c r="D523" s="3" t="str">
        <f>IFERROR(INDEX('بيانات الحركات'!D:D,MATCH(522,'بيانات الحركات'!$G:$G,0)),"")</f>
        <v/>
      </c>
      <c r="E523" s="21" t="str">
        <f>IF($B523="إنتاج طبخة","",IFERROR(INDEX('بيانات الحركات'!E:E,MATCH(522,'بيانات الحركات'!$G:$G,0)),""))</f>
        <v/>
      </c>
      <c r="F523" s="3" t="str">
        <f>IFERROR(INDEX('بيانات الحركات'!F:F,MATCH(522,'بيانات الحركات'!$G:$G,0)),"")</f>
        <v/>
      </c>
    </row>
    <row r="524" spans="1:6" ht="21.95" customHeight="1">
      <c r="A524" s="8" t="str">
        <f>IFERROR(INDEX('بيانات الحركات'!A:A,MATCH(523,'بيانات الحركات'!$G:$G,0)),"")</f>
        <v/>
      </c>
      <c r="B524" s="5" t="str">
        <f>IFERROR(INDEX('بيانات الحركات'!B:B,MATCH(523,'بيانات الحركات'!$G:$G,0)),"")</f>
        <v/>
      </c>
      <c r="C524" s="3" t="str">
        <f>IFERROR(INDEX('بيانات الحركات'!C:C,MATCH(523,'بيانات الحركات'!$G:$G,0)),"")</f>
        <v/>
      </c>
      <c r="D524" s="3" t="str">
        <f>IFERROR(INDEX('بيانات الحركات'!D:D,MATCH(523,'بيانات الحركات'!$G:$G,0)),"")</f>
        <v/>
      </c>
      <c r="E524" s="21" t="str">
        <f>IF($B524="إنتاج طبخة","",IFERROR(INDEX('بيانات الحركات'!E:E,MATCH(523,'بيانات الحركات'!$G:$G,0)),""))</f>
        <v/>
      </c>
      <c r="F524" s="3" t="str">
        <f>IFERROR(INDEX('بيانات الحركات'!F:F,MATCH(523,'بيانات الحركات'!$G:$G,0)),"")</f>
        <v/>
      </c>
    </row>
    <row r="525" spans="1:6" ht="21.95" customHeight="1">
      <c r="A525" s="8" t="str">
        <f>IFERROR(INDEX('بيانات الحركات'!A:A,MATCH(524,'بيانات الحركات'!$G:$G,0)),"")</f>
        <v/>
      </c>
      <c r="B525" s="5" t="str">
        <f>IFERROR(INDEX('بيانات الحركات'!B:B,MATCH(524,'بيانات الحركات'!$G:$G,0)),"")</f>
        <v/>
      </c>
      <c r="C525" s="3" t="str">
        <f>IFERROR(INDEX('بيانات الحركات'!C:C,MATCH(524,'بيانات الحركات'!$G:$G,0)),"")</f>
        <v/>
      </c>
      <c r="D525" s="3" t="str">
        <f>IFERROR(INDEX('بيانات الحركات'!D:D,MATCH(524,'بيانات الحركات'!$G:$G,0)),"")</f>
        <v/>
      </c>
      <c r="E525" s="21" t="str">
        <f>IF($B525="إنتاج طبخة","",IFERROR(INDEX('بيانات الحركات'!E:E,MATCH(524,'بيانات الحركات'!$G:$G,0)),""))</f>
        <v/>
      </c>
      <c r="F525" s="3" t="str">
        <f>IFERROR(INDEX('بيانات الحركات'!F:F,MATCH(524,'بيانات الحركات'!$G:$G,0)),"")</f>
        <v/>
      </c>
    </row>
    <row r="526" spans="1:6" ht="21.95" customHeight="1">
      <c r="A526" s="8" t="str">
        <f>IFERROR(INDEX('بيانات الحركات'!A:A,MATCH(525,'بيانات الحركات'!$G:$G,0)),"")</f>
        <v/>
      </c>
      <c r="B526" s="5" t="str">
        <f>IFERROR(INDEX('بيانات الحركات'!B:B,MATCH(525,'بيانات الحركات'!$G:$G,0)),"")</f>
        <v/>
      </c>
      <c r="C526" s="3" t="str">
        <f>IFERROR(INDEX('بيانات الحركات'!C:C,MATCH(525,'بيانات الحركات'!$G:$G,0)),"")</f>
        <v/>
      </c>
      <c r="D526" s="3" t="str">
        <f>IFERROR(INDEX('بيانات الحركات'!D:D,MATCH(525,'بيانات الحركات'!$G:$G,0)),"")</f>
        <v/>
      </c>
      <c r="E526" s="21" t="str">
        <f>IF($B526="إنتاج طبخة","",IFERROR(INDEX('بيانات الحركات'!E:E,MATCH(525,'بيانات الحركات'!$G:$G,0)),""))</f>
        <v/>
      </c>
      <c r="F526" s="3" t="str">
        <f>IFERROR(INDEX('بيانات الحركات'!F:F,MATCH(525,'بيانات الحركات'!$G:$G,0)),"")</f>
        <v/>
      </c>
    </row>
    <row r="527" spans="1:6" ht="21.95" customHeight="1">
      <c r="A527" s="8" t="str">
        <f>IFERROR(INDEX('بيانات الحركات'!A:A,MATCH(526,'بيانات الحركات'!$G:$G,0)),"")</f>
        <v/>
      </c>
      <c r="B527" s="5" t="str">
        <f>IFERROR(INDEX('بيانات الحركات'!B:B,MATCH(526,'بيانات الحركات'!$G:$G,0)),"")</f>
        <v/>
      </c>
      <c r="C527" s="3" t="str">
        <f>IFERROR(INDEX('بيانات الحركات'!C:C,MATCH(526,'بيانات الحركات'!$G:$G,0)),"")</f>
        <v/>
      </c>
      <c r="D527" s="3" t="str">
        <f>IFERROR(INDEX('بيانات الحركات'!D:D,MATCH(526,'بيانات الحركات'!$G:$G,0)),"")</f>
        <v/>
      </c>
      <c r="E527" s="21" t="str">
        <f>IF($B527="إنتاج طبخة","",IFERROR(INDEX('بيانات الحركات'!E:E,MATCH(526,'بيانات الحركات'!$G:$G,0)),""))</f>
        <v/>
      </c>
      <c r="F527" s="3" t="str">
        <f>IFERROR(INDEX('بيانات الحركات'!F:F,MATCH(526,'بيانات الحركات'!$G:$G,0)),"")</f>
        <v/>
      </c>
    </row>
    <row r="528" spans="1:6" ht="21.95" customHeight="1">
      <c r="A528" s="8" t="str">
        <f>IFERROR(INDEX('بيانات الحركات'!A:A,MATCH(527,'بيانات الحركات'!$G:$G,0)),"")</f>
        <v/>
      </c>
      <c r="B528" s="5" t="str">
        <f>IFERROR(INDEX('بيانات الحركات'!B:B,MATCH(527,'بيانات الحركات'!$G:$G,0)),"")</f>
        <v/>
      </c>
      <c r="C528" s="3" t="str">
        <f>IFERROR(INDEX('بيانات الحركات'!C:C,MATCH(527,'بيانات الحركات'!$G:$G,0)),"")</f>
        <v/>
      </c>
      <c r="D528" s="3" t="str">
        <f>IFERROR(INDEX('بيانات الحركات'!D:D,MATCH(527,'بيانات الحركات'!$G:$G,0)),"")</f>
        <v/>
      </c>
      <c r="E528" s="21" t="str">
        <f>IF($B528="إنتاج طبخة","",IFERROR(INDEX('بيانات الحركات'!E:E,MATCH(527,'بيانات الحركات'!$G:$G,0)),""))</f>
        <v/>
      </c>
      <c r="F528" s="3" t="str">
        <f>IFERROR(INDEX('بيانات الحركات'!F:F,MATCH(527,'بيانات الحركات'!$G:$G,0)),"")</f>
        <v/>
      </c>
    </row>
    <row r="529" spans="1:6" ht="21.95" customHeight="1">
      <c r="A529" s="8" t="str">
        <f>IFERROR(INDEX('بيانات الحركات'!A:A,MATCH(528,'بيانات الحركات'!$G:$G,0)),"")</f>
        <v/>
      </c>
      <c r="B529" s="5" t="str">
        <f>IFERROR(INDEX('بيانات الحركات'!B:B,MATCH(528,'بيانات الحركات'!$G:$G,0)),"")</f>
        <v/>
      </c>
      <c r="C529" s="3" t="str">
        <f>IFERROR(INDEX('بيانات الحركات'!C:C,MATCH(528,'بيانات الحركات'!$G:$G,0)),"")</f>
        <v/>
      </c>
      <c r="D529" s="3" t="str">
        <f>IFERROR(INDEX('بيانات الحركات'!D:D,MATCH(528,'بيانات الحركات'!$G:$G,0)),"")</f>
        <v/>
      </c>
      <c r="E529" s="21" t="str">
        <f>IF($B529="إنتاج طبخة","",IFERROR(INDEX('بيانات الحركات'!E:E,MATCH(528,'بيانات الحركات'!$G:$G,0)),""))</f>
        <v/>
      </c>
      <c r="F529" s="3" t="str">
        <f>IFERROR(INDEX('بيانات الحركات'!F:F,MATCH(528,'بيانات الحركات'!$G:$G,0)),"")</f>
        <v/>
      </c>
    </row>
    <row r="530" spans="1:6" ht="21.95" customHeight="1">
      <c r="A530" s="8" t="str">
        <f>IFERROR(INDEX('بيانات الحركات'!A:A,MATCH(529,'بيانات الحركات'!$G:$G,0)),"")</f>
        <v/>
      </c>
      <c r="B530" s="5" t="str">
        <f>IFERROR(INDEX('بيانات الحركات'!B:B,MATCH(529,'بيانات الحركات'!$G:$G,0)),"")</f>
        <v/>
      </c>
      <c r="C530" s="3" t="str">
        <f>IFERROR(INDEX('بيانات الحركات'!C:C,MATCH(529,'بيانات الحركات'!$G:$G,0)),"")</f>
        <v/>
      </c>
      <c r="D530" s="3" t="str">
        <f>IFERROR(INDEX('بيانات الحركات'!D:D,MATCH(529,'بيانات الحركات'!$G:$G,0)),"")</f>
        <v/>
      </c>
      <c r="E530" s="21" t="str">
        <f>IF($B530="إنتاج طبخة","",IFERROR(INDEX('بيانات الحركات'!E:E,MATCH(529,'بيانات الحركات'!$G:$G,0)),""))</f>
        <v/>
      </c>
      <c r="F530" s="3" t="str">
        <f>IFERROR(INDEX('بيانات الحركات'!F:F,MATCH(529,'بيانات الحركات'!$G:$G,0)),"")</f>
        <v/>
      </c>
    </row>
    <row r="531" spans="1:6" ht="21.95" customHeight="1">
      <c r="A531" s="8" t="str">
        <f>IFERROR(INDEX('بيانات الحركات'!A:A,MATCH(530,'بيانات الحركات'!$G:$G,0)),"")</f>
        <v/>
      </c>
      <c r="B531" s="5" t="str">
        <f>IFERROR(INDEX('بيانات الحركات'!B:B,MATCH(530,'بيانات الحركات'!$G:$G,0)),"")</f>
        <v/>
      </c>
      <c r="C531" s="3" t="str">
        <f>IFERROR(INDEX('بيانات الحركات'!C:C,MATCH(530,'بيانات الحركات'!$G:$G,0)),"")</f>
        <v/>
      </c>
      <c r="D531" s="3" t="str">
        <f>IFERROR(INDEX('بيانات الحركات'!D:D,MATCH(530,'بيانات الحركات'!$G:$G,0)),"")</f>
        <v/>
      </c>
      <c r="E531" s="21" t="str">
        <f>IF($B531="إنتاج طبخة","",IFERROR(INDEX('بيانات الحركات'!E:E,MATCH(530,'بيانات الحركات'!$G:$G,0)),""))</f>
        <v/>
      </c>
      <c r="F531" s="3" t="str">
        <f>IFERROR(INDEX('بيانات الحركات'!F:F,MATCH(530,'بيانات الحركات'!$G:$G,0)),"")</f>
        <v/>
      </c>
    </row>
    <row r="532" spans="1:6" ht="21.95" customHeight="1">
      <c r="A532" s="8" t="str">
        <f>IFERROR(INDEX('بيانات الحركات'!A:A,MATCH(531,'بيانات الحركات'!$G:$G,0)),"")</f>
        <v/>
      </c>
      <c r="B532" s="5" t="str">
        <f>IFERROR(INDEX('بيانات الحركات'!B:B,MATCH(531,'بيانات الحركات'!$G:$G,0)),"")</f>
        <v/>
      </c>
      <c r="C532" s="3" t="str">
        <f>IFERROR(INDEX('بيانات الحركات'!C:C,MATCH(531,'بيانات الحركات'!$G:$G,0)),"")</f>
        <v/>
      </c>
      <c r="D532" s="3" t="str">
        <f>IFERROR(INDEX('بيانات الحركات'!D:D,MATCH(531,'بيانات الحركات'!$G:$G,0)),"")</f>
        <v/>
      </c>
      <c r="E532" s="21" t="str">
        <f>IF($B532="إنتاج طبخة","",IFERROR(INDEX('بيانات الحركات'!E:E,MATCH(531,'بيانات الحركات'!$G:$G,0)),""))</f>
        <v/>
      </c>
      <c r="F532" s="3" t="str">
        <f>IFERROR(INDEX('بيانات الحركات'!F:F,MATCH(531,'بيانات الحركات'!$G:$G,0)),"")</f>
        <v/>
      </c>
    </row>
    <row r="533" spans="1:6" ht="21.95" customHeight="1">
      <c r="A533" s="8" t="str">
        <f>IFERROR(INDEX('بيانات الحركات'!A:A,MATCH(532,'بيانات الحركات'!$G:$G,0)),"")</f>
        <v/>
      </c>
      <c r="B533" s="5" t="str">
        <f>IFERROR(INDEX('بيانات الحركات'!B:B,MATCH(532,'بيانات الحركات'!$G:$G,0)),"")</f>
        <v/>
      </c>
      <c r="C533" s="3" t="str">
        <f>IFERROR(INDEX('بيانات الحركات'!C:C,MATCH(532,'بيانات الحركات'!$G:$G,0)),"")</f>
        <v/>
      </c>
      <c r="D533" s="3" t="str">
        <f>IFERROR(INDEX('بيانات الحركات'!D:D,MATCH(532,'بيانات الحركات'!$G:$G,0)),"")</f>
        <v/>
      </c>
      <c r="E533" s="21" t="str">
        <f>IF($B533="إنتاج طبخة","",IFERROR(INDEX('بيانات الحركات'!E:E,MATCH(532,'بيانات الحركات'!$G:$G,0)),""))</f>
        <v/>
      </c>
      <c r="F533" s="3" t="str">
        <f>IFERROR(INDEX('بيانات الحركات'!F:F,MATCH(532,'بيانات الحركات'!$G:$G,0)),"")</f>
        <v/>
      </c>
    </row>
    <row r="534" spans="1:6" ht="21.95" customHeight="1">
      <c r="A534" s="8" t="str">
        <f>IFERROR(INDEX('بيانات الحركات'!A:A,MATCH(533,'بيانات الحركات'!$G:$G,0)),"")</f>
        <v/>
      </c>
      <c r="B534" s="5" t="str">
        <f>IFERROR(INDEX('بيانات الحركات'!B:B,MATCH(533,'بيانات الحركات'!$G:$G,0)),"")</f>
        <v/>
      </c>
      <c r="C534" s="3" t="str">
        <f>IFERROR(INDEX('بيانات الحركات'!C:C,MATCH(533,'بيانات الحركات'!$G:$G,0)),"")</f>
        <v/>
      </c>
      <c r="D534" s="3" t="str">
        <f>IFERROR(INDEX('بيانات الحركات'!D:D,MATCH(533,'بيانات الحركات'!$G:$G,0)),"")</f>
        <v/>
      </c>
      <c r="E534" s="21" t="str">
        <f>IF($B534="إنتاج طبخة","",IFERROR(INDEX('بيانات الحركات'!E:E,MATCH(533,'بيانات الحركات'!$G:$G,0)),""))</f>
        <v/>
      </c>
      <c r="F534" s="3" t="str">
        <f>IFERROR(INDEX('بيانات الحركات'!F:F,MATCH(533,'بيانات الحركات'!$G:$G,0)),"")</f>
        <v/>
      </c>
    </row>
    <row r="535" spans="1:6" ht="21.95" customHeight="1">
      <c r="A535" s="8" t="str">
        <f>IFERROR(INDEX('بيانات الحركات'!A:A,MATCH(534,'بيانات الحركات'!$G:$G,0)),"")</f>
        <v/>
      </c>
      <c r="B535" s="5" t="str">
        <f>IFERROR(INDEX('بيانات الحركات'!B:B,MATCH(534,'بيانات الحركات'!$G:$G,0)),"")</f>
        <v/>
      </c>
      <c r="C535" s="3" t="str">
        <f>IFERROR(INDEX('بيانات الحركات'!C:C,MATCH(534,'بيانات الحركات'!$G:$G,0)),"")</f>
        <v/>
      </c>
      <c r="D535" s="3" t="str">
        <f>IFERROR(INDEX('بيانات الحركات'!D:D,MATCH(534,'بيانات الحركات'!$G:$G,0)),"")</f>
        <v/>
      </c>
      <c r="E535" s="21" t="str">
        <f>IF($B535="إنتاج طبخة","",IFERROR(INDEX('بيانات الحركات'!E:E,MATCH(534,'بيانات الحركات'!$G:$G,0)),""))</f>
        <v/>
      </c>
      <c r="F535" s="3" t="str">
        <f>IFERROR(INDEX('بيانات الحركات'!F:F,MATCH(534,'بيانات الحركات'!$G:$G,0)),"")</f>
        <v/>
      </c>
    </row>
    <row r="536" spans="1:6" ht="21.95" customHeight="1">
      <c r="A536" s="8" t="str">
        <f>IFERROR(INDEX('بيانات الحركات'!A:A,MATCH(535,'بيانات الحركات'!$G:$G,0)),"")</f>
        <v/>
      </c>
      <c r="B536" s="5" t="str">
        <f>IFERROR(INDEX('بيانات الحركات'!B:B,MATCH(535,'بيانات الحركات'!$G:$G,0)),"")</f>
        <v/>
      </c>
      <c r="C536" s="3" t="str">
        <f>IFERROR(INDEX('بيانات الحركات'!C:C,MATCH(535,'بيانات الحركات'!$G:$G,0)),"")</f>
        <v/>
      </c>
      <c r="D536" s="3" t="str">
        <f>IFERROR(INDEX('بيانات الحركات'!D:D,MATCH(535,'بيانات الحركات'!$G:$G,0)),"")</f>
        <v/>
      </c>
      <c r="E536" s="21" t="str">
        <f>IF($B536="إنتاج طبخة","",IFERROR(INDEX('بيانات الحركات'!E:E,MATCH(535,'بيانات الحركات'!$G:$G,0)),""))</f>
        <v/>
      </c>
      <c r="F536" s="3" t="str">
        <f>IFERROR(INDEX('بيانات الحركات'!F:F,MATCH(535,'بيانات الحركات'!$G:$G,0)),"")</f>
        <v/>
      </c>
    </row>
    <row r="537" spans="1:6" ht="21.95" customHeight="1">
      <c r="A537" s="8" t="str">
        <f>IFERROR(INDEX('بيانات الحركات'!A:A,MATCH(536,'بيانات الحركات'!$G:$G,0)),"")</f>
        <v/>
      </c>
      <c r="B537" s="5" t="str">
        <f>IFERROR(INDEX('بيانات الحركات'!B:B,MATCH(536,'بيانات الحركات'!$G:$G,0)),"")</f>
        <v/>
      </c>
      <c r="C537" s="3" t="str">
        <f>IFERROR(INDEX('بيانات الحركات'!C:C,MATCH(536,'بيانات الحركات'!$G:$G,0)),"")</f>
        <v/>
      </c>
      <c r="D537" s="3" t="str">
        <f>IFERROR(INDEX('بيانات الحركات'!D:D,MATCH(536,'بيانات الحركات'!$G:$G,0)),"")</f>
        <v/>
      </c>
      <c r="E537" s="21" t="str">
        <f>IF($B537="إنتاج طبخة","",IFERROR(INDEX('بيانات الحركات'!E:E,MATCH(536,'بيانات الحركات'!$G:$G,0)),""))</f>
        <v/>
      </c>
      <c r="F537" s="3" t="str">
        <f>IFERROR(INDEX('بيانات الحركات'!F:F,MATCH(536,'بيانات الحركات'!$G:$G,0)),"")</f>
        <v/>
      </c>
    </row>
    <row r="538" spans="1:6" ht="21.95" customHeight="1">
      <c r="A538" s="8" t="str">
        <f>IFERROR(INDEX('بيانات الحركات'!A:A,MATCH(537,'بيانات الحركات'!$G:$G,0)),"")</f>
        <v/>
      </c>
      <c r="B538" s="5" t="str">
        <f>IFERROR(INDEX('بيانات الحركات'!B:B,MATCH(537,'بيانات الحركات'!$G:$G,0)),"")</f>
        <v/>
      </c>
      <c r="C538" s="3" t="str">
        <f>IFERROR(INDEX('بيانات الحركات'!C:C,MATCH(537,'بيانات الحركات'!$G:$G,0)),"")</f>
        <v/>
      </c>
      <c r="D538" s="3" t="str">
        <f>IFERROR(INDEX('بيانات الحركات'!D:D,MATCH(537,'بيانات الحركات'!$G:$G,0)),"")</f>
        <v/>
      </c>
      <c r="E538" s="21" t="str">
        <f>IF($B538="إنتاج طبخة","",IFERROR(INDEX('بيانات الحركات'!E:E,MATCH(537,'بيانات الحركات'!$G:$G,0)),""))</f>
        <v/>
      </c>
      <c r="F538" s="3" t="str">
        <f>IFERROR(INDEX('بيانات الحركات'!F:F,MATCH(537,'بيانات الحركات'!$G:$G,0)),"")</f>
        <v/>
      </c>
    </row>
    <row r="539" spans="1:6" ht="21.95" customHeight="1">
      <c r="A539" s="8" t="str">
        <f>IFERROR(INDEX('بيانات الحركات'!A:A,MATCH(538,'بيانات الحركات'!$G:$G,0)),"")</f>
        <v/>
      </c>
      <c r="B539" s="5" t="str">
        <f>IFERROR(INDEX('بيانات الحركات'!B:B,MATCH(538,'بيانات الحركات'!$G:$G,0)),"")</f>
        <v/>
      </c>
      <c r="C539" s="3" t="str">
        <f>IFERROR(INDEX('بيانات الحركات'!C:C,MATCH(538,'بيانات الحركات'!$G:$G,0)),"")</f>
        <v/>
      </c>
      <c r="D539" s="3" t="str">
        <f>IFERROR(INDEX('بيانات الحركات'!D:D,MATCH(538,'بيانات الحركات'!$G:$G,0)),"")</f>
        <v/>
      </c>
      <c r="E539" s="21" t="str">
        <f>IF($B539="إنتاج طبخة","",IFERROR(INDEX('بيانات الحركات'!E:E,MATCH(538,'بيانات الحركات'!$G:$G,0)),""))</f>
        <v/>
      </c>
      <c r="F539" s="3" t="str">
        <f>IFERROR(INDEX('بيانات الحركات'!F:F,MATCH(538,'بيانات الحركات'!$G:$G,0)),"")</f>
        <v/>
      </c>
    </row>
    <row r="540" spans="1:6" ht="21.95" customHeight="1">
      <c r="A540" s="8" t="str">
        <f>IFERROR(INDEX('بيانات الحركات'!A:A,MATCH(539,'بيانات الحركات'!$G:$G,0)),"")</f>
        <v/>
      </c>
      <c r="B540" s="5" t="str">
        <f>IFERROR(INDEX('بيانات الحركات'!B:B,MATCH(539,'بيانات الحركات'!$G:$G,0)),"")</f>
        <v/>
      </c>
      <c r="C540" s="3" t="str">
        <f>IFERROR(INDEX('بيانات الحركات'!C:C,MATCH(539,'بيانات الحركات'!$G:$G,0)),"")</f>
        <v/>
      </c>
      <c r="D540" s="3" t="str">
        <f>IFERROR(INDEX('بيانات الحركات'!D:D,MATCH(539,'بيانات الحركات'!$G:$G,0)),"")</f>
        <v/>
      </c>
      <c r="E540" s="21" t="str">
        <f>IF($B540="إنتاج طبخة","",IFERROR(INDEX('بيانات الحركات'!E:E,MATCH(539,'بيانات الحركات'!$G:$G,0)),""))</f>
        <v/>
      </c>
      <c r="F540" s="3" t="str">
        <f>IFERROR(INDEX('بيانات الحركات'!F:F,MATCH(539,'بيانات الحركات'!$G:$G,0)),"")</f>
        <v/>
      </c>
    </row>
    <row r="541" spans="1:6" ht="21.95" customHeight="1">
      <c r="A541" s="8" t="str">
        <f>IFERROR(INDEX('بيانات الحركات'!A:A,MATCH(540,'بيانات الحركات'!$G:$G,0)),"")</f>
        <v/>
      </c>
      <c r="B541" s="5" t="str">
        <f>IFERROR(INDEX('بيانات الحركات'!B:B,MATCH(540,'بيانات الحركات'!$G:$G,0)),"")</f>
        <v/>
      </c>
      <c r="C541" s="3" t="str">
        <f>IFERROR(INDEX('بيانات الحركات'!C:C,MATCH(540,'بيانات الحركات'!$G:$G,0)),"")</f>
        <v/>
      </c>
      <c r="D541" s="3" t="str">
        <f>IFERROR(INDEX('بيانات الحركات'!D:D,MATCH(540,'بيانات الحركات'!$G:$G,0)),"")</f>
        <v/>
      </c>
      <c r="E541" s="21" t="str">
        <f>IF($B541="إنتاج طبخة","",IFERROR(INDEX('بيانات الحركات'!E:E,MATCH(540,'بيانات الحركات'!$G:$G,0)),""))</f>
        <v/>
      </c>
      <c r="F541" s="3" t="str">
        <f>IFERROR(INDEX('بيانات الحركات'!F:F,MATCH(540,'بيانات الحركات'!$G:$G,0)),"")</f>
        <v/>
      </c>
    </row>
    <row r="542" spans="1:6" ht="21.95" customHeight="1">
      <c r="A542" s="8" t="str">
        <f>IFERROR(INDEX('بيانات الحركات'!A:A,MATCH(541,'بيانات الحركات'!$G:$G,0)),"")</f>
        <v/>
      </c>
      <c r="B542" s="5" t="str">
        <f>IFERROR(INDEX('بيانات الحركات'!B:B,MATCH(541,'بيانات الحركات'!$G:$G,0)),"")</f>
        <v/>
      </c>
      <c r="C542" s="3" t="str">
        <f>IFERROR(INDEX('بيانات الحركات'!C:C,MATCH(541,'بيانات الحركات'!$G:$G,0)),"")</f>
        <v/>
      </c>
      <c r="D542" s="3" t="str">
        <f>IFERROR(INDEX('بيانات الحركات'!D:D,MATCH(541,'بيانات الحركات'!$G:$G,0)),"")</f>
        <v/>
      </c>
      <c r="E542" s="21" t="str">
        <f>IF($B542="إنتاج طبخة","",IFERROR(INDEX('بيانات الحركات'!E:E,MATCH(541,'بيانات الحركات'!$G:$G,0)),""))</f>
        <v/>
      </c>
      <c r="F542" s="3" t="str">
        <f>IFERROR(INDEX('بيانات الحركات'!F:F,MATCH(541,'بيانات الحركات'!$G:$G,0)),"")</f>
        <v/>
      </c>
    </row>
    <row r="543" spans="1:6" ht="21.95" customHeight="1">
      <c r="A543" s="8" t="str">
        <f>IFERROR(INDEX('بيانات الحركات'!A:A,MATCH(542,'بيانات الحركات'!$G:$G,0)),"")</f>
        <v/>
      </c>
      <c r="B543" s="5" t="str">
        <f>IFERROR(INDEX('بيانات الحركات'!B:B,MATCH(542,'بيانات الحركات'!$G:$G,0)),"")</f>
        <v/>
      </c>
      <c r="C543" s="3" t="str">
        <f>IFERROR(INDEX('بيانات الحركات'!C:C,MATCH(542,'بيانات الحركات'!$G:$G,0)),"")</f>
        <v/>
      </c>
      <c r="D543" s="3" t="str">
        <f>IFERROR(INDEX('بيانات الحركات'!D:D,MATCH(542,'بيانات الحركات'!$G:$G,0)),"")</f>
        <v/>
      </c>
      <c r="E543" s="21" t="str">
        <f>IF($B543="إنتاج طبخة","",IFERROR(INDEX('بيانات الحركات'!E:E,MATCH(542,'بيانات الحركات'!$G:$G,0)),""))</f>
        <v/>
      </c>
      <c r="F543" s="3" t="str">
        <f>IFERROR(INDEX('بيانات الحركات'!F:F,MATCH(542,'بيانات الحركات'!$G:$G,0)),"")</f>
        <v/>
      </c>
    </row>
    <row r="544" spans="1:6" ht="21.95" customHeight="1">
      <c r="A544" s="8" t="str">
        <f>IFERROR(INDEX('بيانات الحركات'!A:A,MATCH(543,'بيانات الحركات'!$G:$G,0)),"")</f>
        <v/>
      </c>
      <c r="B544" s="5" t="str">
        <f>IFERROR(INDEX('بيانات الحركات'!B:B,MATCH(543,'بيانات الحركات'!$G:$G,0)),"")</f>
        <v/>
      </c>
      <c r="C544" s="3" t="str">
        <f>IFERROR(INDEX('بيانات الحركات'!C:C,MATCH(543,'بيانات الحركات'!$G:$G,0)),"")</f>
        <v/>
      </c>
      <c r="D544" s="3" t="str">
        <f>IFERROR(INDEX('بيانات الحركات'!D:D,MATCH(543,'بيانات الحركات'!$G:$G,0)),"")</f>
        <v/>
      </c>
      <c r="E544" s="21" t="str">
        <f>IF($B544="إنتاج طبخة","",IFERROR(INDEX('بيانات الحركات'!E:E,MATCH(543,'بيانات الحركات'!$G:$G,0)),""))</f>
        <v/>
      </c>
      <c r="F544" s="3" t="str">
        <f>IFERROR(INDEX('بيانات الحركات'!F:F,MATCH(543,'بيانات الحركات'!$G:$G,0)),"")</f>
        <v/>
      </c>
    </row>
    <row r="545" spans="1:6" ht="21.95" customHeight="1">
      <c r="A545" s="8" t="str">
        <f>IFERROR(INDEX('بيانات الحركات'!A:A,MATCH(544,'بيانات الحركات'!$G:$G,0)),"")</f>
        <v/>
      </c>
      <c r="B545" s="5" t="str">
        <f>IFERROR(INDEX('بيانات الحركات'!B:B,MATCH(544,'بيانات الحركات'!$G:$G,0)),"")</f>
        <v/>
      </c>
      <c r="C545" s="3" t="str">
        <f>IFERROR(INDEX('بيانات الحركات'!C:C,MATCH(544,'بيانات الحركات'!$G:$G,0)),"")</f>
        <v/>
      </c>
      <c r="D545" s="3" t="str">
        <f>IFERROR(INDEX('بيانات الحركات'!D:D,MATCH(544,'بيانات الحركات'!$G:$G,0)),"")</f>
        <v/>
      </c>
      <c r="E545" s="21" t="str">
        <f>IF($B545="إنتاج طبخة","",IFERROR(INDEX('بيانات الحركات'!E:E,MATCH(544,'بيانات الحركات'!$G:$G,0)),""))</f>
        <v/>
      </c>
      <c r="F545" s="3" t="str">
        <f>IFERROR(INDEX('بيانات الحركات'!F:F,MATCH(544,'بيانات الحركات'!$G:$G,0)),"")</f>
        <v/>
      </c>
    </row>
    <row r="546" spans="1:6" ht="21.95" customHeight="1">
      <c r="A546" s="8" t="str">
        <f>IFERROR(INDEX('بيانات الحركات'!A:A,MATCH(545,'بيانات الحركات'!$G:$G,0)),"")</f>
        <v/>
      </c>
      <c r="B546" s="5" t="str">
        <f>IFERROR(INDEX('بيانات الحركات'!B:B,MATCH(545,'بيانات الحركات'!$G:$G,0)),"")</f>
        <v/>
      </c>
      <c r="C546" s="3" t="str">
        <f>IFERROR(INDEX('بيانات الحركات'!C:C,MATCH(545,'بيانات الحركات'!$G:$G,0)),"")</f>
        <v/>
      </c>
      <c r="D546" s="3" t="str">
        <f>IFERROR(INDEX('بيانات الحركات'!D:D,MATCH(545,'بيانات الحركات'!$G:$G,0)),"")</f>
        <v/>
      </c>
      <c r="E546" s="21" t="str">
        <f>IF($B546="إنتاج طبخة","",IFERROR(INDEX('بيانات الحركات'!E:E,MATCH(545,'بيانات الحركات'!$G:$G,0)),""))</f>
        <v/>
      </c>
      <c r="F546" s="3" t="str">
        <f>IFERROR(INDEX('بيانات الحركات'!F:F,MATCH(545,'بيانات الحركات'!$G:$G,0)),"")</f>
        <v/>
      </c>
    </row>
    <row r="547" spans="1:6" ht="21.95" customHeight="1">
      <c r="A547" s="8" t="str">
        <f>IFERROR(INDEX('بيانات الحركات'!A:A,MATCH(546,'بيانات الحركات'!$G:$G,0)),"")</f>
        <v/>
      </c>
      <c r="B547" s="5" t="str">
        <f>IFERROR(INDEX('بيانات الحركات'!B:B,MATCH(546,'بيانات الحركات'!$G:$G,0)),"")</f>
        <v/>
      </c>
      <c r="C547" s="3" t="str">
        <f>IFERROR(INDEX('بيانات الحركات'!C:C,MATCH(546,'بيانات الحركات'!$G:$G,0)),"")</f>
        <v/>
      </c>
      <c r="D547" s="3" t="str">
        <f>IFERROR(INDEX('بيانات الحركات'!D:D,MATCH(546,'بيانات الحركات'!$G:$G,0)),"")</f>
        <v/>
      </c>
      <c r="E547" s="21" t="str">
        <f>IF($B547="إنتاج طبخة","",IFERROR(INDEX('بيانات الحركات'!E:E,MATCH(546,'بيانات الحركات'!$G:$G,0)),""))</f>
        <v/>
      </c>
      <c r="F547" s="3" t="str">
        <f>IFERROR(INDEX('بيانات الحركات'!F:F,MATCH(546,'بيانات الحركات'!$G:$G,0)),"")</f>
        <v/>
      </c>
    </row>
    <row r="548" spans="1:6" ht="21.95" customHeight="1">
      <c r="A548" s="8" t="str">
        <f>IFERROR(INDEX('بيانات الحركات'!A:A,MATCH(547,'بيانات الحركات'!$G:$G,0)),"")</f>
        <v/>
      </c>
      <c r="B548" s="5" t="str">
        <f>IFERROR(INDEX('بيانات الحركات'!B:B,MATCH(547,'بيانات الحركات'!$G:$G,0)),"")</f>
        <v/>
      </c>
      <c r="C548" s="3" t="str">
        <f>IFERROR(INDEX('بيانات الحركات'!C:C,MATCH(547,'بيانات الحركات'!$G:$G,0)),"")</f>
        <v/>
      </c>
      <c r="D548" s="3" t="str">
        <f>IFERROR(INDEX('بيانات الحركات'!D:D,MATCH(547,'بيانات الحركات'!$G:$G,0)),"")</f>
        <v/>
      </c>
      <c r="E548" s="21" t="str">
        <f>IF($B548="إنتاج طبخة","",IFERROR(INDEX('بيانات الحركات'!E:E,MATCH(547,'بيانات الحركات'!$G:$G,0)),""))</f>
        <v/>
      </c>
      <c r="F548" s="3" t="str">
        <f>IFERROR(INDEX('بيانات الحركات'!F:F,MATCH(547,'بيانات الحركات'!$G:$G,0)),"")</f>
        <v/>
      </c>
    </row>
    <row r="549" spans="1:6" ht="21.95" customHeight="1">
      <c r="A549" s="8" t="str">
        <f>IFERROR(INDEX('بيانات الحركات'!A:A,MATCH(548,'بيانات الحركات'!$G:$G,0)),"")</f>
        <v/>
      </c>
      <c r="B549" s="5" t="str">
        <f>IFERROR(INDEX('بيانات الحركات'!B:B,MATCH(548,'بيانات الحركات'!$G:$G,0)),"")</f>
        <v/>
      </c>
      <c r="C549" s="3" t="str">
        <f>IFERROR(INDEX('بيانات الحركات'!C:C,MATCH(548,'بيانات الحركات'!$G:$G,0)),"")</f>
        <v/>
      </c>
      <c r="D549" s="3" t="str">
        <f>IFERROR(INDEX('بيانات الحركات'!D:D,MATCH(548,'بيانات الحركات'!$G:$G,0)),"")</f>
        <v/>
      </c>
      <c r="E549" s="21" t="str">
        <f>IF($B549="إنتاج طبخة","",IFERROR(INDEX('بيانات الحركات'!E:E,MATCH(548,'بيانات الحركات'!$G:$G,0)),""))</f>
        <v/>
      </c>
      <c r="F549" s="3" t="str">
        <f>IFERROR(INDEX('بيانات الحركات'!F:F,MATCH(548,'بيانات الحركات'!$G:$G,0)),"")</f>
        <v/>
      </c>
    </row>
    <row r="550" spans="1:6" ht="21.95" customHeight="1">
      <c r="A550" s="8" t="str">
        <f>IFERROR(INDEX('بيانات الحركات'!A:A,MATCH(549,'بيانات الحركات'!$G:$G,0)),"")</f>
        <v/>
      </c>
      <c r="B550" s="5" t="str">
        <f>IFERROR(INDEX('بيانات الحركات'!B:B,MATCH(549,'بيانات الحركات'!$G:$G,0)),"")</f>
        <v/>
      </c>
      <c r="C550" s="3" t="str">
        <f>IFERROR(INDEX('بيانات الحركات'!C:C,MATCH(549,'بيانات الحركات'!$G:$G,0)),"")</f>
        <v/>
      </c>
      <c r="D550" s="3" t="str">
        <f>IFERROR(INDEX('بيانات الحركات'!D:D,MATCH(549,'بيانات الحركات'!$G:$G,0)),"")</f>
        <v/>
      </c>
      <c r="E550" s="21" t="str">
        <f>IF($B550="إنتاج طبخة","",IFERROR(INDEX('بيانات الحركات'!E:E,MATCH(549,'بيانات الحركات'!$G:$G,0)),""))</f>
        <v/>
      </c>
      <c r="F550" s="3" t="str">
        <f>IFERROR(INDEX('بيانات الحركات'!F:F,MATCH(549,'بيانات الحركات'!$G:$G,0)),"")</f>
        <v/>
      </c>
    </row>
    <row r="551" spans="1:6" ht="21.95" customHeight="1">
      <c r="A551" s="8" t="str">
        <f>IFERROR(INDEX('بيانات الحركات'!A:A,MATCH(550,'بيانات الحركات'!$G:$G,0)),"")</f>
        <v/>
      </c>
      <c r="B551" s="5" t="str">
        <f>IFERROR(INDEX('بيانات الحركات'!B:B,MATCH(550,'بيانات الحركات'!$G:$G,0)),"")</f>
        <v/>
      </c>
      <c r="C551" s="3" t="str">
        <f>IFERROR(INDEX('بيانات الحركات'!C:C,MATCH(550,'بيانات الحركات'!$G:$G,0)),"")</f>
        <v/>
      </c>
      <c r="D551" s="3" t="str">
        <f>IFERROR(INDEX('بيانات الحركات'!D:D,MATCH(550,'بيانات الحركات'!$G:$G,0)),"")</f>
        <v/>
      </c>
      <c r="E551" s="21" t="str">
        <f>IF($B551="إنتاج طبخة","",IFERROR(INDEX('بيانات الحركات'!E:E,MATCH(550,'بيانات الحركات'!$G:$G,0)),""))</f>
        <v/>
      </c>
      <c r="F551" s="3" t="str">
        <f>IFERROR(INDEX('بيانات الحركات'!F:F,MATCH(550,'بيانات الحركات'!$G:$G,0)),"")</f>
        <v/>
      </c>
    </row>
    <row r="552" spans="1:6" ht="21.95" customHeight="1">
      <c r="A552" s="8" t="str">
        <f>IFERROR(INDEX('بيانات الحركات'!A:A,MATCH(551,'بيانات الحركات'!$G:$G,0)),"")</f>
        <v/>
      </c>
      <c r="B552" s="5" t="str">
        <f>IFERROR(INDEX('بيانات الحركات'!B:B,MATCH(551,'بيانات الحركات'!$G:$G,0)),"")</f>
        <v/>
      </c>
      <c r="C552" s="3" t="str">
        <f>IFERROR(INDEX('بيانات الحركات'!C:C,MATCH(551,'بيانات الحركات'!$G:$G,0)),"")</f>
        <v/>
      </c>
      <c r="D552" s="3" t="str">
        <f>IFERROR(INDEX('بيانات الحركات'!D:D,MATCH(551,'بيانات الحركات'!$G:$G,0)),"")</f>
        <v/>
      </c>
      <c r="E552" s="21" t="str">
        <f>IF($B552="إنتاج طبخة","",IFERROR(INDEX('بيانات الحركات'!E:E,MATCH(551,'بيانات الحركات'!$G:$G,0)),""))</f>
        <v/>
      </c>
      <c r="F552" s="3" t="str">
        <f>IFERROR(INDEX('بيانات الحركات'!F:F,MATCH(551,'بيانات الحركات'!$G:$G,0)),"")</f>
        <v/>
      </c>
    </row>
    <row r="553" spans="1:6" ht="21.95" customHeight="1">
      <c r="A553" s="8" t="str">
        <f>IFERROR(INDEX('بيانات الحركات'!A:A,MATCH(552,'بيانات الحركات'!$G:$G,0)),"")</f>
        <v/>
      </c>
      <c r="B553" s="5" t="str">
        <f>IFERROR(INDEX('بيانات الحركات'!B:B,MATCH(552,'بيانات الحركات'!$G:$G,0)),"")</f>
        <v/>
      </c>
      <c r="C553" s="3" t="str">
        <f>IFERROR(INDEX('بيانات الحركات'!C:C,MATCH(552,'بيانات الحركات'!$G:$G,0)),"")</f>
        <v/>
      </c>
      <c r="D553" s="3" t="str">
        <f>IFERROR(INDEX('بيانات الحركات'!D:D,MATCH(552,'بيانات الحركات'!$G:$G,0)),"")</f>
        <v/>
      </c>
      <c r="E553" s="21" t="str">
        <f>IF($B553="إنتاج طبخة","",IFERROR(INDEX('بيانات الحركات'!E:E,MATCH(552,'بيانات الحركات'!$G:$G,0)),""))</f>
        <v/>
      </c>
      <c r="F553" s="3" t="str">
        <f>IFERROR(INDEX('بيانات الحركات'!F:F,MATCH(552,'بيانات الحركات'!$G:$G,0)),"")</f>
        <v/>
      </c>
    </row>
    <row r="554" spans="1:6" ht="21.95" customHeight="1">
      <c r="A554" s="8" t="str">
        <f>IFERROR(INDEX('بيانات الحركات'!A:A,MATCH(553,'بيانات الحركات'!$G:$G,0)),"")</f>
        <v/>
      </c>
      <c r="B554" s="5" t="str">
        <f>IFERROR(INDEX('بيانات الحركات'!B:B,MATCH(553,'بيانات الحركات'!$G:$G,0)),"")</f>
        <v/>
      </c>
      <c r="C554" s="3" t="str">
        <f>IFERROR(INDEX('بيانات الحركات'!C:C,MATCH(553,'بيانات الحركات'!$G:$G,0)),"")</f>
        <v/>
      </c>
      <c r="D554" s="3" t="str">
        <f>IFERROR(INDEX('بيانات الحركات'!D:D,MATCH(553,'بيانات الحركات'!$G:$G,0)),"")</f>
        <v/>
      </c>
      <c r="E554" s="21" t="str">
        <f>IF($B554="إنتاج طبخة","",IFERROR(INDEX('بيانات الحركات'!E:E,MATCH(553,'بيانات الحركات'!$G:$G,0)),""))</f>
        <v/>
      </c>
      <c r="F554" s="3" t="str">
        <f>IFERROR(INDEX('بيانات الحركات'!F:F,MATCH(553,'بيانات الحركات'!$G:$G,0)),"")</f>
        <v/>
      </c>
    </row>
    <row r="555" spans="1:6" ht="21.95" customHeight="1">
      <c r="A555" s="8" t="str">
        <f>IFERROR(INDEX('بيانات الحركات'!A:A,MATCH(554,'بيانات الحركات'!$G:$G,0)),"")</f>
        <v/>
      </c>
      <c r="B555" s="5" t="str">
        <f>IFERROR(INDEX('بيانات الحركات'!B:B,MATCH(554,'بيانات الحركات'!$G:$G,0)),"")</f>
        <v/>
      </c>
      <c r="C555" s="3" t="str">
        <f>IFERROR(INDEX('بيانات الحركات'!C:C,MATCH(554,'بيانات الحركات'!$G:$G,0)),"")</f>
        <v/>
      </c>
      <c r="D555" s="3" t="str">
        <f>IFERROR(INDEX('بيانات الحركات'!D:D,MATCH(554,'بيانات الحركات'!$G:$G,0)),"")</f>
        <v/>
      </c>
      <c r="E555" s="21" t="str">
        <f>IF($B555="إنتاج طبخة","",IFERROR(INDEX('بيانات الحركات'!E:E,MATCH(554,'بيانات الحركات'!$G:$G,0)),""))</f>
        <v/>
      </c>
      <c r="F555" s="3" t="str">
        <f>IFERROR(INDEX('بيانات الحركات'!F:F,MATCH(554,'بيانات الحركات'!$G:$G,0)),"")</f>
        <v/>
      </c>
    </row>
    <row r="556" spans="1:6" ht="21.95" customHeight="1">
      <c r="A556" s="8" t="str">
        <f>IFERROR(INDEX('بيانات الحركات'!A:A,MATCH(555,'بيانات الحركات'!$G:$G,0)),"")</f>
        <v/>
      </c>
      <c r="B556" s="5" t="str">
        <f>IFERROR(INDEX('بيانات الحركات'!B:B,MATCH(555,'بيانات الحركات'!$G:$G,0)),"")</f>
        <v/>
      </c>
      <c r="C556" s="3" t="str">
        <f>IFERROR(INDEX('بيانات الحركات'!C:C,MATCH(555,'بيانات الحركات'!$G:$G,0)),"")</f>
        <v/>
      </c>
      <c r="D556" s="3" t="str">
        <f>IFERROR(INDEX('بيانات الحركات'!D:D,MATCH(555,'بيانات الحركات'!$G:$G,0)),"")</f>
        <v/>
      </c>
      <c r="E556" s="21" t="str">
        <f>IF($B556="إنتاج طبخة","",IFERROR(INDEX('بيانات الحركات'!E:E,MATCH(555,'بيانات الحركات'!$G:$G,0)),""))</f>
        <v/>
      </c>
      <c r="F556" s="3" t="str">
        <f>IFERROR(INDEX('بيانات الحركات'!F:F,MATCH(555,'بيانات الحركات'!$G:$G,0)),"")</f>
        <v/>
      </c>
    </row>
    <row r="557" spans="1:6" ht="21.95" customHeight="1">
      <c r="A557" s="8" t="str">
        <f>IFERROR(INDEX('بيانات الحركات'!A:A,MATCH(556,'بيانات الحركات'!$G:$G,0)),"")</f>
        <v/>
      </c>
      <c r="B557" s="5" t="str">
        <f>IFERROR(INDEX('بيانات الحركات'!B:B,MATCH(556,'بيانات الحركات'!$G:$G,0)),"")</f>
        <v/>
      </c>
      <c r="C557" s="3" t="str">
        <f>IFERROR(INDEX('بيانات الحركات'!C:C,MATCH(556,'بيانات الحركات'!$G:$G,0)),"")</f>
        <v/>
      </c>
      <c r="D557" s="3" t="str">
        <f>IFERROR(INDEX('بيانات الحركات'!D:D,MATCH(556,'بيانات الحركات'!$G:$G,0)),"")</f>
        <v/>
      </c>
      <c r="E557" s="21" t="str">
        <f>IF($B557="إنتاج طبخة","",IFERROR(INDEX('بيانات الحركات'!E:E,MATCH(556,'بيانات الحركات'!$G:$G,0)),""))</f>
        <v/>
      </c>
      <c r="F557" s="3" t="str">
        <f>IFERROR(INDEX('بيانات الحركات'!F:F,MATCH(556,'بيانات الحركات'!$G:$G,0)),"")</f>
        <v/>
      </c>
    </row>
    <row r="558" spans="1:6" ht="21.95" customHeight="1">
      <c r="A558" s="8" t="str">
        <f>IFERROR(INDEX('بيانات الحركات'!A:A,MATCH(557,'بيانات الحركات'!$G:$G,0)),"")</f>
        <v/>
      </c>
      <c r="B558" s="5" t="str">
        <f>IFERROR(INDEX('بيانات الحركات'!B:B,MATCH(557,'بيانات الحركات'!$G:$G,0)),"")</f>
        <v/>
      </c>
      <c r="C558" s="3" t="str">
        <f>IFERROR(INDEX('بيانات الحركات'!C:C,MATCH(557,'بيانات الحركات'!$G:$G,0)),"")</f>
        <v/>
      </c>
      <c r="D558" s="3" t="str">
        <f>IFERROR(INDEX('بيانات الحركات'!D:D,MATCH(557,'بيانات الحركات'!$G:$G,0)),"")</f>
        <v/>
      </c>
      <c r="E558" s="21" t="str">
        <f>IF($B558="إنتاج طبخة","",IFERROR(INDEX('بيانات الحركات'!E:E,MATCH(557,'بيانات الحركات'!$G:$G,0)),""))</f>
        <v/>
      </c>
      <c r="F558" s="3" t="str">
        <f>IFERROR(INDEX('بيانات الحركات'!F:F,MATCH(557,'بيانات الحركات'!$G:$G,0)),"")</f>
        <v/>
      </c>
    </row>
    <row r="559" spans="1:6" ht="21.95" customHeight="1">
      <c r="A559" s="8" t="str">
        <f>IFERROR(INDEX('بيانات الحركات'!A:A,MATCH(558,'بيانات الحركات'!$G:$G,0)),"")</f>
        <v/>
      </c>
      <c r="B559" s="5" t="str">
        <f>IFERROR(INDEX('بيانات الحركات'!B:B,MATCH(558,'بيانات الحركات'!$G:$G,0)),"")</f>
        <v/>
      </c>
      <c r="C559" s="3" t="str">
        <f>IFERROR(INDEX('بيانات الحركات'!C:C,MATCH(558,'بيانات الحركات'!$G:$G,0)),"")</f>
        <v/>
      </c>
      <c r="D559" s="3" t="str">
        <f>IFERROR(INDEX('بيانات الحركات'!D:D,MATCH(558,'بيانات الحركات'!$G:$G,0)),"")</f>
        <v/>
      </c>
      <c r="E559" s="21" t="str">
        <f>IF($B559="إنتاج طبخة","",IFERROR(INDEX('بيانات الحركات'!E:E,MATCH(558,'بيانات الحركات'!$G:$G,0)),""))</f>
        <v/>
      </c>
      <c r="F559" s="3" t="str">
        <f>IFERROR(INDEX('بيانات الحركات'!F:F,MATCH(558,'بيانات الحركات'!$G:$G,0)),"")</f>
        <v/>
      </c>
    </row>
    <row r="560" spans="1:6" ht="21.95" customHeight="1">
      <c r="A560" s="8" t="str">
        <f>IFERROR(INDEX('بيانات الحركات'!A:A,MATCH(559,'بيانات الحركات'!$G:$G,0)),"")</f>
        <v/>
      </c>
      <c r="B560" s="5" t="str">
        <f>IFERROR(INDEX('بيانات الحركات'!B:B,MATCH(559,'بيانات الحركات'!$G:$G,0)),"")</f>
        <v/>
      </c>
      <c r="C560" s="3" t="str">
        <f>IFERROR(INDEX('بيانات الحركات'!C:C,MATCH(559,'بيانات الحركات'!$G:$G,0)),"")</f>
        <v/>
      </c>
      <c r="D560" s="3" t="str">
        <f>IFERROR(INDEX('بيانات الحركات'!D:D,MATCH(559,'بيانات الحركات'!$G:$G,0)),"")</f>
        <v/>
      </c>
      <c r="E560" s="21" t="str">
        <f>IF($B560="إنتاج طبخة","",IFERROR(INDEX('بيانات الحركات'!E:E,MATCH(559,'بيانات الحركات'!$G:$G,0)),""))</f>
        <v/>
      </c>
      <c r="F560" s="3" t="str">
        <f>IFERROR(INDEX('بيانات الحركات'!F:F,MATCH(559,'بيانات الحركات'!$G:$G,0)),"")</f>
        <v/>
      </c>
    </row>
    <row r="561" spans="1:6" ht="21.95" customHeight="1">
      <c r="A561" s="8" t="str">
        <f>IFERROR(INDEX('بيانات الحركات'!A:A,MATCH(560,'بيانات الحركات'!$G:$G,0)),"")</f>
        <v/>
      </c>
      <c r="B561" s="5" t="str">
        <f>IFERROR(INDEX('بيانات الحركات'!B:B,MATCH(560,'بيانات الحركات'!$G:$G,0)),"")</f>
        <v/>
      </c>
      <c r="C561" s="3" t="str">
        <f>IFERROR(INDEX('بيانات الحركات'!C:C,MATCH(560,'بيانات الحركات'!$G:$G,0)),"")</f>
        <v/>
      </c>
      <c r="D561" s="3" t="str">
        <f>IFERROR(INDEX('بيانات الحركات'!D:D,MATCH(560,'بيانات الحركات'!$G:$G,0)),"")</f>
        <v/>
      </c>
      <c r="E561" s="21" t="str">
        <f>IF($B561="إنتاج طبخة","",IFERROR(INDEX('بيانات الحركات'!E:E,MATCH(560,'بيانات الحركات'!$G:$G,0)),""))</f>
        <v/>
      </c>
      <c r="F561" s="3" t="str">
        <f>IFERROR(INDEX('بيانات الحركات'!F:F,MATCH(560,'بيانات الحركات'!$G:$G,0)),"")</f>
        <v/>
      </c>
    </row>
    <row r="562" spans="1:6" ht="21.95" customHeight="1">
      <c r="A562" s="8" t="str">
        <f>IFERROR(INDEX('بيانات الحركات'!A:A,MATCH(561,'بيانات الحركات'!$G:$G,0)),"")</f>
        <v/>
      </c>
      <c r="B562" s="5" t="str">
        <f>IFERROR(INDEX('بيانات الحركات'!B:B,MATCH(561,'بيانات الحركات'!$G:$G,0)),"")</f>
        <v/>
      </c>
      <c r="C562" s="3" t="str">
        <f>IFERROR(INDEX('بيانات الحركات'!C:C,MATCH(561,'بيانات الحركات'!$G:$G,0)),"")</f>
        <v/>
      </c>
      <c r="D562" s="3" t="str">
        <f>IFERROR(INDEX('بيانات الحركات'!D:D,MATCH(561,'بيانات الحركات'!$G:$G,0)),"")</f>
        <v/>
      </c>
      <c r="E562" s="21" t="str">
        <f>IF($B562="إنتاج طبخة","",IFERROR(INDEX('بيانات الحركات'!E:E,MATCH(561,'بيانات الحركات'!$G:$G,0)),""))</f>
        <v/>
      </c>
      <c r="F562" s="3" t="str">
        <f>IFERROR(INDEX('بيانات الحركات'!F:F,MATCH(561,'بيانات الحركات'!$G:$G,0)),"")</f>
        <v/>
      </c>
    </row>
    <row r="563" spans="1:6" ht="21.95" customHeight="1">
      <c r="A563" s="8" t="str">
        <f>IFERROR(INDEX('بيانات الحركات'!A:A,MATCH(562,'بيانات الحركات'!$G:$G,0)),"")</f>
        <v/>
      </c>
      <c r="B563" s="5" t="str">
        <f>IFERROR(INDEX('بيانات الحركات'!B:B,MATCH(562,'بيانات الحركات'!$G:$G,0)),"")</f>
        <v/>
      </c>
      <c r="C563" s="3" t="str">
        <f>IFERROR(INDEX('بيانات الحركات'!C:C,MATCH(562,'بيانات الحركات'!$G:$G,0)),"")</f>
        <v/>
      </c>
      <c r="D563" s="3" t="str">
        <f>IFERROR(INDEX('بيانات الحركات'!D:D,MATCH(562,'بيانات الحركات'!$G:$G,0)),"")</f>
        <v/>
      </c>
      <c r="E563" s="21" t="str">
        <f>IF($B563="إنتاج طبخة","",IFERROR(INDEX('بيانات الحركات'!E:E,MATCH(562,'بيانات الحركات'!$G:$G,0)),""))</f>
        <v/>
      </c>
      <c r="F563" s="3" t="str">
        <f>IFERROR(INDEX('بيانات الحركات'!F:F,MATCH(562,'بيانات الحركات'!$G:$G,0)),"")</f>
        <v/>
      </c>
    </row>
    <row r="564" spans="1:6" ht="21.95" customHeight="1">
      <c r="A564" s="8" t="str">
        <f>IFERROR(INDEX('بيانات الحركات'!A:A,MATCH(563,'بيانات الحركات'!$G:$G,0)),"")</f>
        <v/>
      </c>
      <c r="B564" s="5" t="str">
        <f>IFERROR(INDEX('بيانات الحركات'!B:B,MATCH(563,'بيانات الحركات'!$G:$G,0)),"")</f>
        <v/>
      </c>
      <c r="C564" s="3" t="str">
        <f>IFERROR(INDEX('بيانات الحركات'!C:C,MATCH(563,'بيانات الحركات'!$G:$G,0)),"")</f>
        <v/>
      </c>
      <c r="D564" s="3" t="str">
        <f>IFERROR(INDEX('بيانات الحركات'!D:D,MATCH(563,'بيانات الحركات'!$G:$G,0)),"")</f>
        <v/>
      </c>
      <c r="E564" s="21" t="str">
        <f>IF($B564="إنتاج طبخة","",IFERROR(INDEX('بيانات الحركات'!E:E,MATCH(563,'بيانات الحركات'!$G:$G,0)),""))</f>
        <v/>
      </c>
      <c r="F564" s="3" t="str">
        <f>IFERROR(INDEX('بيانات الحركات'!F:F,MATCH(563,'بيانات الحركات'!$G:$G,0)),"")</f>
        <v/>
      </c>
    </row>
    <row r="565" spans="1:6" ht="21.95" customHeight="1">
      <c r="A565" s="8" t="str">
        <f>IFERROR(INDEX('بيانات الحركات'!A:A,MATCH(564,'بيانات الحركات'!$G:$G,0)),"")</f>
        <v/>
      </c>
      <c r="B565" s="5" t="str">
        <f>IFERROR(INDEX('بيانات الحركات'!B:B,MATCH(564,'بيانات الحركات'!$G:$G,0)),"")</f>
        <v/>
      </c>
      <c r="C565" s="3" t="str">
        <f>IFERROR(INDEX('بيانات الحركات'!C:C,MATCH(564,'بيانات الحركات'!$G:$G,0)),"")</f>
        <v/>
      </c>
      <c r="D565" s="3" t="str">
        <f>IFERROR(INDEX('بيانات الحركات'!D:D,MATCH(564,'بيانات الحركات'!$G:$G,0)),"")</f>
        <v/>
      </c>
      <c r="E565" s="21" t="str">
        <f>IF($B565="إنتاج طبخة","",IFERROR(INDEX('بيانات الحركات'!E:E,MATCH(564,'بيانات الحركات'!$G:$G,0)),""))</f>
        <v/>
      </c>
      <c r="F565" s="3" t="str">
        <f>IFERROR(INDEX('بيانات الحركات'!F:F,MATCH(564,'بيانات الحركات'!$G:$G,0)),"")</f>
        <v/>
      </c>
    </row>
    <row r="566" spans="1:6" ht="21.95" customHeight="1">
      <c r="A566" s="8" t="str">
        <f>IFERROR(INDEX('بيانات الحركات'!A:A,MATCH(565,'بيانات الحركات'!$G:$G,0)),"")</f>
        <v/>
      </c>
      <c r="B566" s="5" t="str">
        <f>IFERROR(INDEX('بيانات الحركات'!B:B,MATCH(565,'بيانات الحركات'!$G:$G,0)),"")</f>
        <v/>
      </c>
      <c r="C566" s="3" t="str">
        <f>IFERROR(INDEX('بيانات الحركات'!C:C,MATCH(565,'بيانات الحركات'!$G:$G,0)),"")</f>
        <v/>
      </c>
      <c r="D566" s="3" t="str">
        <f>IFERROR(INDEX('بيانات الحركات'!D:D,MATCH(565,'بيانات الحركات'!$G:$G,0)),"")</f>
        <v/>
      </c>
      <c r="E566" s="21" t="str">
        <f>IF($B566="إنتاج طبخة","",IFERROR(INDEX('بيانات الحركات'!E:E,MATCH(565,'بيانات الحركات'!$G:$G,0)),""))</f>
        <v/>
      </c>
      <c r="F566" s="3" t="str">
        <f>IFERROR(INDEX('بيانات الحركات'!F:F,MATCH(565,'بيانات الحركات'!$G:$G,0)),"")</f>
        <v/>
      </c>
    </row>
    <row r="567" spans="1:6" ht="21.95" customHeight="1">
      <c r="A567" s="8" t="str">
        <f>IFERROR(INDEX('بيانات الحركات'!A:A,MATCH(566,'بيانات الحركات'!$G:$G,0)),"")</f>
        <v/>
      </c>
      <c r="B567" s="5" t="str">
        <f>IFERROR(INDEX('بيانات الحركات'!B:B,MATCH(566,'بيانات الحركات'!$G:$G,0)),"")</f>
        <v/>
      </c>
      <c r="C567" s="3" t="str">
        <f>IFERROR(INDEX('بيانات الحركات'!C:C,MATCH(566,'بيانات الحركات'!$G:$G,0)),"")</f>
        <v/>
      </c>
      <c r="D567" s="3" t="str">
        <f>IFERROR(INDEX('بيانات الحركات'!D:D,MATCH(566,'بيانات الحركات'!$G:$G,0)),"")</f>
        <v/>
      </c>
      <c r="E567" s="21" t="str">
        <f>IF($B567="إنتاج طبخة","",IFERROR(INDEX('بيانات الحركات'!E:E,MATCH(566,'بيانات الحركات'!$G:$G,0)),""))</f>
        <v/>
      </c>
      <c r="F567" s="3" t="str">
        <f>IFERROR(INDEX('بيانات الحركات'!F:F,MATCH(566,'بيانات الحركات'!$G:$G,0)),"")</f>
        <v/>
      </c>
    </row>
    <row r="568" spans="1:6" ht="21.95" customHeight="1">
      <c r="A568" s="8" t="str">
        <f>IFERROR(INDEX('بيانات الحركات'!A:A,MATCH(567,'بيانات الحركات'!$G:$G,0)),"")</f>
        <v/>
      </c>
      <c r="B568" s="5" t="str">
        <f>IFERROR(INDEX('بيانات الحركات'!B:B,MATCH(567,'بيانات الحركات'!$G:$G,0)),"")</f>
        <v/>
      </c>
      <c r="C568" s="3" t="str">
        <f>IFERROR(INDEX('بيانات الحركات'!C:C,MATCH(567,'بيانات الحركات'!$G:$G,0)),"")</f>
        <v/>
      </c>
      <c r="D568" s="3" t="str">
        <f>IFERROR(INDEX('بيانات الحركات'!D:D,MATCH(567,'بيانات الحركات'!$G:$G,0)),"")</f>
        <v/>
      </c>
      <c r="E568" s="21" t="str">
        <f>IF($B568="إنتاج طبخة","",IFERROR(INDEX('بيانات الحركات'!E:E,MATCH(567,'بيانات الحركات'!$G:$G,0)),""))</f>
        <v/>
      </c>
      <c r="F568" s="3" t="str">
        <f>IFERROR(INDEX('بيانات الحركات'!F:F,MATCH(567,'بيانات الحركات'!$G:$G,0)),"")</f>
        <v/>
      </c>
    </row>
    <row r="569" spans="1:6" ht="21.95" customHeight="1">
      <c r="A569" s="8" t="str">
        <f>IFERROR(INDEX('بيانات الحركات'!A:A,MATCH(568,'بيانات الحركات'!$G:$G,0)),"")</f>
        <v/>
      </c>
      <c r="B569" s="5" t="str">
        <f>IFERROR(INDEX('بيانات الحركات'!B:B,MATCH(568,'بيانات الحركات'!$G:$G,0)),"")</f>
        <v/>
      </c>
      <c r="C569" s="3" t="str">
        <f>IFERROR(INDEX('بيانات الحركات'!C:C,MATCH(568,'بيانات الحركات'!$G:$G,0)),"")</f>
        <v/>
      </c>
      <c r="D569" s="3" t="str">
        <f>IFERROR(INDEX('بيانات الحركات'!D:D,MATCH(568,'بيانات الحركات'!$G:$G,0)),"")</f>
        <v/>
      </c>
      <c r="E569" s="21" t="str">
        <f>IF($B569="إنتاج طبخة","",IFERROR(INDEX('بيانات الحركات'!E:E,MATCH(568,'بيانات الحركات'!$G:$G,0)),""))</f>
        <v/>
      </c>
      <c r="F569" s="3" t="str">
        <f>IFERROR(INDEX('بيانات الحركات'!F:F,MATCH(568,'بيانات الحركات'!$G:$G,0)),"")</f>
        <v/>
      </c>
    </row>
    <row r="570" spans="1:6" ht="21.95" customHeight="1">
      <c r="A570" s="8" t="str">
        <f>IFERROR(INDEX('بيانات الحركات'!A:A,MATCH(569,'بيانات الحركات'!$G:$G,0)),"")</f>
        <v/>
      </c>
      <c r="B570" s="5" t="str">
        <f>IFERROR(INDEX('بيانات الحركات'!B:B,MATCH(569,'بيانات الحركات'!$G:$G,0)),"")</f>
        <v/>
      </c>
      <c r="C570" s="3" t="str">
        <f>IFERROR(INDEX('بيانات الحركات'!C:C,MATCH(569,'بيانات الحركات'!$G:$G,0)),"")</f>
        <v/>
      </c>
      <c r="D570" s="3" t="str">
        <f>IFERROR(INDEX('بيانات الحركات'!D:D,MATCH(569,'بيانات الحركات'!$G:$G,0)),"")</f>
        <v/>
      </c>
      <c r="E570" s="21" t="str">
        <f>IF($B570="إنتاج طبخة","",IFERROR(INDEX('بيانات الحركات'!E:E,MATCH(569,'بيانات الحركات'!$G:$G,0)),""))</f>
        <v/>
      </c>
      <c r="F570" s="3" t="str">
        <f>IFERROR(INDEX('بيانات الحركات'!F:F,MATCH(569,'بيانات الحركات'!$G:$G,0)),"")</f>
        <v/>
      </c>
    </row>
    <row r="571" spans="1:6" ht="21.95" customHeight="1">
      <c r="A571" s="8" t="str">
        <f>IFERROR(INDEX('بيانات الحركات'!A:A,MATCH(570,'بيانات الحركات'!$G:$G,0)),"")</f>
        <v/>
      </c>
      <c r="B571" s="5" t="str">
        <f>IFERROR(INDEX('بيانات الحركات'!B:B,MATCH(570,'بيانات الحركات'!$G:$G,0)),"")</f>
        <v/>
      </c>
      <c r="C571" s="3" t="str">
        <f>IFERROR(INDEX('بيانات الحركات'!C:C,MATCH(570,'بيانات الحركات'!$G:$G,0)),"")</f>
        <v/>
      </c>
      <c r="D571" s="3" t="str">
        <f>IFERROR(INDEX('بيانات الحركات'!D:D,MATCH(570,'بيانات الحركات'!$G:$G,0)),"")</f>
        <v/>
      </c>
      <c r="E571" s="21" t="str">
        <f>IF($B571="إنتاج طبخة","",IFERROR(INDEX('بيانات الحركات'!E:E,MATCH(570,'بيانات الحركات'!$G:$G,0)),""))</f>
        <v/>
      </c>
      <c r="F571" s="3" t="str">
        <f>IFERROR(INDEX('بيانات الحركات'!F:F,MATCH(570,'بيانات الحركات'!$G:$G,0)),"")</f>
        <v/>
      </c>
    </row>
    <row r="572" spans="1:6" ht="21.95" customHeight="1">
      <c r="A572" s="8" t="str">
        <f>IFERROR(INDEX('بيانات الحركات'!A:A,MATCH(571,'بيانات الحركات'!$G:$G,0)),"")</f>
        <v/>
      </c>
      <c r="B572" s="5" t="str">
        <f>IFERROR(INDEX('بيانات الحركات'!B:B,MATCH(571,'بيانات الحركات'!$G:$G,0)),"")</f>
        <v/>
      </c>
      <c r="C572" s="3" t="str">
        <f>IFERROR(INDEX('بيانات الحركات'!C:C,MATCH(571,'بيانات الحركات'!$G:$G,0)),"")</f>
        <v/>
      </c>
      <c r="D572" s="3" t="str">
        <f>IFERROR(INDEX('بيانات الحركات'!D:D,MATCH(571,'بيانات الحركات'!$G:$G,0)),"")</f>
        <v/>
      </c>
      <c r="E572" s="21" t="str">
        <f>IF($B572="إنتاج طبخة","",IFERROR(INDEX('بيانات الحركات'!E:E,MATCH(571,'بيانات الحركات'!$G:$G,0)),""))</f>
        <v/>
      </c>
      <c r="F572" s="3" t="str">
        <f>IFERROR(INDEX('بيانات الحركات'!F:F,MATCH(571,'بيانات الحركات'!$G:$G,0)),"")</f>
        <v/>
      </c>
    </row>
    <row r="573" spans="1:6" ht="21.95" customHeight="1">
      <c r="A573" s="8" t="str">
        <f>IFERROR(INDEX('بيانات الحركات'!A:A,MATCH(572,'بيانات الحركات'!$G:$G,0)),"")</f>
        <v/>
      </c>
      <c r="B573" s="5" t="str">
        <f>IFERROR(INDEX('بيانات الحركات'!B:B,MATCH(572,'بيانات الحركات'!$G:$G,0)),"")</f>
        <v/>
      </c>
      <c r="C573" s="3" t="str">
        <f>IFERROR(INDEX('بيانات الحركات'!C:C,MATCH(572,'بيانات الحركات'!$G:$G,0)),"")</f>
        <v/>
      </c>
      <c r="D573" s="3" t="str">
        <f>IFERROR(INDEX('بيانات الحركات'!D:D,MATCH(572,'بيانات الحركات'!$G:$G,0)),"")</f>
        <v/>
      </c>
      <c r="E573" s="21" t="str">
        <f>IF($B573="إنتاج طبخة","",IFERROR(INDEX('بيانات الحركات'!E:E,MATCH(572,'بيانات الحركات'!$G:$G,0)),""))</f>
        <v/>
      </c>
      <c r="F573" s="3" t="str">
        <f>IFERROR(INDEX('بيانات الحركات'!F:F,MATCH(572,'بيانات الحركات'!$G:$G,0)),"")</f>
        <v/>
      </c>
    </row>
    <row r="574" spans="1:6" ht="21.95" customHeight="1">
      <c r="A574" s="8" t="str">
        <f>IFERROR(INDEX('بيانات الحركات'!A:A,MATCH(573,'بيانات الحركات'!$G:$G,0)),"")</f>
        <v/>
      </c>
      <c r="B574" s="5" t="str">
        <f>IFERROR(INDEX('بيانات الحركات'!B:B,MATCH(573,'بيانات الحركات'!$G:$G,0)),"")</f>
        <v/>
      </c>
      <c r="C574" s="3" t="str">
        <f>IFERROR(INDEX('بيانات الحركات'!C:C,MATCH(573,'بيانات الحركات'!$G:$G,0)),"")</f>
        <v/>
      </c>
      <c r="D574" s="3" t="str">
        <f>IFERROR(INDEX('بيانات الحركات'!D:D,MATCH(573,'بيانات الحركات'!$G:$G,0)),"")</f>
        <v/>
      </c>
      <c r="E574" s="21" t="str">
        <f>IF($B574="إنتاج طبخة","",IFERROR(INDEX('بيانات الحركات'!E:E,MATCH(573,'بيانات الحركات'!$G:$G,0)),""))</f>
        <v/>
      </c>
      <c r="F574" s="3" t="str">
        <f>IFERROR(INDEX('بيانات الحركات'!F:F,MATCH(573,'بيانات الحركات'!$G:$G,0)),"")</f>
        <v/>
      </c>
    </row>
    <row r="575" spans="1:6" ht="21.95" customHeight="1">
      <c r="A575" s="8" t="str">
        <f>IFERROR(INDEX('بيانات الحركات'!A:A,MATCH(574,'بيانات الحركات'!$G:$G,0)),"")</f>
        <v/>
      </c>
      <c r="B575" s="5" t="str">
        <f>IFERROR(INDEX('بيانات الحركات'!B:B,MATCH(574,'بيانات الحركات'!$G:$G,0)),"")</f>
        <v/>
      </c>
      <c r="C575" s="3" t="str">
        <f>IFERROR(INDEX('بيانات الحركات'!C:C,MATCH(574,'بيانات الحركات'!$G:$G,0)),"")</f>
        <v/>
      </c>
      <c r="D575" s="3" t="str">
        <f>IFERROR(INDEX('بيانات الحركات'!D:D,MATCH(574,'بيانات الحركات'!$G:$G,0)),"")</f>
        <v/>
      </c>
      <c r="E575" s="21" t="str">
        <f>IF($B575="إنتاج طبخة","",IFERROR(INDEX('بيانات الحركات'!E:E,MATCH(574,'بيانات الحركات'!$G:$G,0)),""))</f>
        <v/>
      </c>
      <c r="F575" s="3" t="str">
        <f>IFERROR(INDEX('بيانات الحركات'!F:F,MATCH(574,'بيانات الحركات'!$G:$G,0)),"")</f>
        <v/>
      </c>
    </row>
    <row r="576" spans="1:6" ht="21.95" customHeight="1">
      <c r="A576" s="8" t="str">
        <f>IFERROR(INDEX('بيانات الحركات'!A:A,MATCH(575,'بيانات الحركات'!$G:$G,0)),"")</f>
        <v/>
      </c>
      <c r="B576" s="5" t="str">
        <f>IFERROR(INDEX('بيانات الحركات'!B:B,MATCH(575,'بيانات الحركات'!$G:$G,0)),"")</f>
        <v/>
      </c>
      <c r="C576" s="3" t="str">
        <f>IFERROR(INDEX('بيانات الحركات'!C:C,MATCH(575,'بيانات الحركات'!$G:$G,0)),"")</f>
        <v/>
      </c>
      <c r="D576" s="3" t="str">
        <f>IFERROR(INDEX('بيانات الحركات'!D:D,MATCH(575,'بيانات الحركات'!$G:$G,0)),"")</f>
        <v/>
      </c>
      <c r="E576" s="21" t="str">
        <f>IF($B576="إنتاج طبخة","",IFERROR(INDEX('بيانات الحركات'!E:E,MATCH(575,'بيانات الحركات'!$G:$G,0)),""))</f>
        <v/>
      </c>
      <c r="F576" s="3" t="str">
        <f>IFERROR(INDEX('بيانات الحركات'!F:F,MATCH(575,'بيانات الحركات'!$G:$G,0)),"")</f>
        <v/>
      </c>
    </row>
    <row r="577" spans="1:6" ht="21.95" customHeight="1">
      <c r="A577" s="8" t="str">
        <f>IFERROR(INDEX('بيانات الحركات'!A:A,MATCH(576,'بيانات الحركات'!$G:$G,0)),"")</f>
        <v/>
      </c>
      <c r="B577" s="5" t="str">
        <f>IFERROR(INDEX('بيانات الحركات'!B:B,MATCH(576,'بيانات الحركات'!$G:$G,0)),"")</f>
        <v/>
      </c>
      <c r="C577" s="3" t="str">
        <f>IFERROR(INDEX('بيانات الحركات'!C:C,MATCH(576,'بيانات الحركات'!$G:$G,0)),"")</f>
        <v/>
      </c>
      <c r="D577" s="3" t="str">
        <f>IFERROR(INDEX('بيانات الحركات'!D:D,MATCH(576,'بيانات الحركات'!$G:$G,0)),"")</f>
        <v/>
      </c>
      <c r="E577" s="21" t="str">
        <f>IF($B577="إنتاج طبخة","",IFERROR(INDEX('بيانات الحركات'!E:E,MATCH(576,'بيانات الحركات'!$G:$G,0)),""))</f>
        <v/>
      </c>
      <c r="F577" s="3" t="str">
        <f>IFERROR(INDEX('بيانات الحركات'!F:F,MATCH(576,'بيانات الحركات'!$G:$G,0)),"")</f>
        <v/>
      </c>
    </row>
    <row r="578" spans="1:6" ht="21.95" customHeight="1">
      <c r="A578" s="8" t="str">
        <f>IFERROR(INDEX('بيانات الحركات'!A:A,MATCH(577,'بيانات الحركات'!$G:$G,0)),"")</f>
        <v/>
      </c>
      <c r="B578" s="5" t="str">
        <f>IFERROR(INDEX('بيانات الحركات'!B:B,MATCH(577,'بيانات الحركات'!$G:$G,0)),"")</f>
        <v/>
      </c>
      <c r="C578" s="3" t="str">
        <f>IFERROR(INDEX('بيانات الحركات'!C:C,MATCH(577,'بيانات الحركات'!$G:$G,0)),"")</f>
        <v/>
      </c>
      <c r="D578" s="3" t="str">
        <f>IFERROR(INDEX('بيانات الحركات'!D:D,MATCH(577,'بيانات الحركات'!$G:$G,0)),"")</f>
        <v/>
      </c>
      <c r="E578" s="21" t="str">
        <f>IF($B578="إنتاج طبخة","",IFERROR(INDEX('بيانات الحركات'!E:E,MATCH(577,'بيانات الحركات'!$G:$G,0)),""))</f>
        <v/>
      </c>
      <c r="F578" s="3" t="str">
        <f>IFERROR(INDEX('بيانات الحركات'!F:F,MATCH(577,'بيانات الحركات'!$G:$G,0)),"")</f>
        <v/>
      </c>
    </row>
    <row r="579" spans="1:6" ht="21.95" customHeight="1">
      <c r="A579" s="8" t="str">
        <f>IFERROR(INDEX('بيانات الحركات'!A:A,MATCH(578,'بيانات الحركات'!$G:$G,0)),"")</f>
        <v/>
      </c>
      <c r="B579" s="5" t="str">
        <f>IFERROR(INDEX('بيانات الحركات'!B:B,MATCH(578,'بيانات الحركات'!$G:$G,0)),"")</f>
        <v/>
      </c>
      <c r="C579" s="3" t="str">
        <f>IFERROR(INDEX('بيانات الحركات'!C:C,MATCH(578,'بيانات الحركات'!$G:$G,0)),"")</f>
        <v/>
      </c>
      <c r="D579" s="3" t="str">
        <f>IFERROR(INDEX('بيانات الحركات'!D:D,MATCH(578,'بيانات الحركات'!$G:$G,0)),"")</f>
        <v/>
      </c>
      <c r="E579" s="21" t="str">
        <f>IF($B579="إنتاج طبخة","",IFERROR(INDEX('بيانات الحركات'!E:E,MATCH(578,'بيانات الحركات'!$G:$G,0)),""))</f>
        <v/>
      </c>
      <c r="F579" s="3" t="str">
        <f>IFERROR(INDEX('بيانات الحركات'!F:F,MATCH(578,'بيانات الحركات'!$G:$G,0)),"")</f>
        <v/>
      </c>
    </row>
    <row r="580" spans="1:6" ht="21.95" customHeight="1">
      <c r="A580" s="8" t="str">
        <f>IFERROR(INDEX('بيانات الحركات'!A:A,MATCH(579,'بيانات الحركات'!$G:$G,0)),"")</f>
        <v/>
      </c>
      <c r="B580" s="5" t="str">
        <f>IFERROR(INDEX('بيانات الحركات'!B:B,MATCH(579,'بيانات الحركات'!$G:$G,0)),"")</f>
        <v/>
      </c>
      <c r="C580" s="3" t="str">
        <f>IFERROR(INDEX('بيانات الحركات'!C:C,MATCH(579,'بيانات الحركات'!$G:$G,0)),"")</f>
        <v/>
      </c>
      <c r="D580" s="3" t="str">
        <f>IFERROR(INDEX('بيانات الحركات'!D:D,MATCH(579,'بيانات الحركات'!$G:$G,0)),"")</f>
        <v/>
      </c>
      <c r="E580" s="21" t="str">
        <f>IF($B580="إنتاج طبخة","",IFERROR(INDEX('بيانات الحركات'!E:E,MATCH(579,'بيانات الحركات'!$G:$G,0)),""))</f>
        <v/>
      </c>
      <c r="F580" s="3" t="str">
        <f>IFERROR(INDEX('بيانات الحركات'!F:F,MATCH(579,'بيانات الحركات'!$G:$G,0)),"")</f>
        <v/>
      </c>
    </row>
    <row r="581" spans="1:6" ht="21.95" customHeight="1">
      <c r="A581" s="8" t="str">
        <f>IFERROR(INDEX('بيانات الحركات'!A:A,MATCH(580,'بيانات الحركات'!$G:$G,0)),"")</f>
        <v/>
      </c>
      <c r="B581" s="5" t="str">
        <f>IFERROR(INDEX('بيانات الحركات'!B:B,MATCH(580,'بيانات الحركات'!$G:$G,0)),"")</f>
        <v/>
      </c>
      <c r="C581" s="3" t="str">
        <f>IFERROR(INDEX('بيانات الحركات'!C:C,MATCH(580,'بيانات الحركات'!$G:$G,0)),"")</f>
        <v/>
      </c>
      <c r="D581" s="3" t="str">
        <f>IFERROR(INDEX('بيانات الحركات'!D:D,MATCH(580,'بيانات الحركات'!$G:$G,0)),"")</f>
        <v/>
      </c>
      <c r="E581" s="21" t="str">
        <f>IF($B581="إنتاج طبخة","",IFERROR(INDEX('بيانات الحركات'!E:E,MATCH(580,'بيانات الحركات'!$G:$G,0)),""))</f>
        <v/>
      </c>
      <c r="F581" s="3" t="str">
        <f>IFERROR(INDEX('بيانات الحركات'!F:F,MATCH(580,'بيانات الحركات'!$G:$G,0)),"")</f>
        <v/>
      </c>
    </row>
    <row r="582" spans="1:6" ht="21.95" customHeight="1">
      <c r="A582" s="8" t="str">
        <f>IFERROR(INDEX('بيانات الحركات'!A:A,MATCH(581,'بيانات الحركات'!$G:$G,0)),"")</f>
        <v/>
      </c>
      <c r="B582" s="5" t="str">
        <f>IFERROR(INDEX('بيانات الحركات'!B:B,MATCH(581,'بيانات الحركات'!$G:$G,0)),"")</f>
        <v/>
      </c>
      <c r="C582" s="3" t="str">
        <f>IFERROR(INDEX('بيانات الحركات'!C:C,MATCH(581,'بيانات الحركات'!$G:$G,0)),"")</f>
        <v/>
      </c>
      <c r="D582" s="3" t="str">
        <f>IFERROR(INDEX('بيانات الحركات'!D:D,MATCH(581,'بيانات الحركات'!$G:$G,0)),"")</f>
        <v/>
      </c>
      <c r="E582" s="21" t="str">
        <f>IF($B582="إنتاج طبخة","",IFERROR(INDEX('بيانات الحركات'!E:E,MATCH(581,'بيانات الحركات'!$G:$G,0)),""))</f>
        <v/>
      </c>
      <c r="F582" s="3" t="str">
        <f>IFERROR(INDEX('بيانات الحركات'!F:F,MATCH(581,'بيانات الحركات'!$G:$G,0)),"")</f>
        <v/>
      </c>
    </row>
    <row r="583" spans="1:6" ht="21.95" customHeight="1">
      <c r="A583" s="8" t="str">
        <f>IFERROR(INDEX('بيانات الحركات'!A:A,MATCH(582,'بيانات الحركات'!$G:$G,0)),"")</f>
        <v/>
      </c>
      <c r="B583" s="5" t="str">
        <f>IFERROR(INDEX('بيانات الحركات'!B:B,MATCH(582,'بيانات الحركات'!$G:$G,0)),"")</f>
        <v/>
      </c>
      <c r="C583" s="3" t="str">
        <f>IFERROR(INDEX('بيانات الحركات'!C:C,MATCH(582,'بيانات الحركات'!$G:$G,0)),"")</f>
        <v/>
      </c>
      <c r="D583" s="3" t="str">
        <f>IFERROR(INDEX('بيانات الحركات'!D:D,MATCH(582,'بيانات الحركات'!$G:$G,0)),"")</f>
        <v/>
      </c>
      <c r="E583" s="21" t="str">
        <f>IF($B583="إنتاج طبخة","",IFERROR(INDEX('بيانات الحركات'!E:E,MATCH(582,'بيانات الحركات'!$G:$G,0)),""))</f>
        <v/>
      </c>
      <c r="F583" s="3" t="str">
        <f>IFERROR(INDEX('بيانات الحركات'!F:F,MATCH(582,'بيانات الحركات'!$G:$G,0)),"")</f>
        <v/>
      </c>
    </row>
    <row r="584" spans="1:6" ht="21.95" customHeight="1">
      <c r="A584" s="8" t="str">
        <f>IFERROR(INDEX('بيانات الحركات'!A:A,MATCH(583,'بيانات الحركات'!$G:$G,0)),"")</f>
        <v/>
      </c>
      <c r="B584" s="5" t="str">
        <f>IFERROR(INDEX('بيانات الحركات'!B:B,MATCH(583,'بيانات الحركات'!$G:$G,0)),"")</f>
        <v/>
      </c>
      <c r="C584" s="3" t="str">
        <f>IFERROR(INDEX('بيانات الحركات'!C:C,MATCH(583,'بيانات الحركات'!$G:$G,0)),"")</f>
        <v/>
      </c>
      <c r="D584" s="3" t="str">
        <f>IFERROR(INDEX('بيانات الحركات'!D:D,MATCH(583,'بيانات الحركات'!$G:$G,0)),"")</f>
        <v/>
      </c>
      <c r="E584" s="21" t="str">
        <f>IF($B584="إنتاج طبخة","",IFERROR(INDEX('بيانات الحركات'!E:E,MATCH(583,'بيانات الحركات'!$G:$G,0)),""))</f>
        <v/>
      </c>
      <c r="F584" s="3" t="str">
        <f>IFERROR(INDEX('بيانات الحركات'!F:F,MATCH(583,'بيانات الحركات'!$G:$G,0)),"")</f>
        <v/>
      </c>
    </row>
    <row r="585" spans="1:6" ht="21.95" customHeight="1">
      <c r="A585" s="8" t="str">
        <f>IFERROR(INDEX('بيانات الحركات'!A:A,MATCH(584,'بيانات الحركات'!$G:$G,0)),"")</f>
        <v/>
      </c>
      <c r="B585" s="5" t="str">
        <f>IFERROR(INDEX('بيانات الحركات'!B:B,MATCH(584,'بيانات الحركات'!$G:$G,0)),"")</f>
        <v/>
      </c>
      <c r="C585" s="3" t="str">
        <f>IFERROR(INDEX('بيانات الحركات'!C:C,MATCH(584,'بيانات الحركات'!$G:$G,0)),"")</f>
        <v/>
      </c>
      <c r="D585" s="3" t="str">
        <f>IFERROR(INDEX('بيانات الحركات'!D:D,MATCH(584,'بيانات الحركات'!$G:$G,0)),"")</f>
        <v/>
      </c>
      <c r="E585" s="21" t="str">
        <f>IF($B585="إنتاج طبخة","",IFERROR(INDEX('بيانات الحركات'!E:E,MATCH(584,'بيانات الحركات'!$G:$G,0)),""))</f>
        <v/>
      </c>
      <c r="F585" s="3" t="str">
        <f>IFERROR(INDEX('بيانات الحركات'!F:F,MATCH(584,'بيانات الحركات'!$G:$G,0)),"")</f>
        <v/>
      </c>
    </row>
    <row r="586" spans="1:6" ht="21.95" customHeight="1">
      <c r="A586" s="8" t="str">
        <f>IFERROR(INDEX('بيانات الحركات'!A:A,MATCH(585,'بيانات الحركات'!$G:$G,0)),"")</f>
        <v/>
      </c>
      <c r="B586" s="5" t="str">
        <f>IFERROR(INDEX('بيانات الحركات'!B:B,MATCH(585,'بيانات الحركات'!$G:$G,0)),"")</f>
        <v/>
      </c>
      <c r="C586" s="3" t="str">
        <f>IFERROR(INDEX('بيانات الحركات'!C:C,MATCH(585,'بيانات الحركات'!$G:$G,0)),"")</f>
        <v/>
      </c>
      <c r="D586" s="3" t="str">
        <f>IFERROR(INDEX('بيانات الحركات'!D:D,MATCH(585,'بيانات الحركات'!$G:$G,0)),"")</f>
        <v/>
      </c>
      <c r="E586" s="21" t="str">
        <f>IF($B586="إنتاج طبخة","",IFERROR(INDEX('بيانات الحركات'!E:E,MATCH(585,'بيانات الحركات'!$G:$G,0)),""))</f>
        <v/>
      </c>
      <c r="F586" s="3" t="str">
        <f>IFERROR(INDEX('بيانات الحركات'!F:F,MATCH(585,'بيانات الحركات'!$G:$G,0)),"")</f>
        <v/>
      </c>
    </row>
    <row r="587" spans="1:6" ht="21.95" customHeight="1">
      <c r="A587" s="8" t="str">
        <f>IFERROR(INDEX('بيانات الحركات'!A:A,MATCH(586,'بيانات الحركات'!$G:$G,0)),"")</f>
        <v/>
      </c>
      <c r="B587" s="5" t="str">
        <f>IFERROR(INDEX('بيانات الحركات'!B:B,MATCH(586,'بيانات الحركات'!$G:$G,0)),"")</f>
        <v/>
      </c>
      <c r="C587" s="3" t="str">
        <f>IFERROR(INDEX('بيانات الحركات'!C:C,MATCH(586,'بيانات الحركات'!$G:$G,0)),"")</f>
        <v/>
      </c>
      <c r="D587" s="3" t="str">
        <f>IFERROR(INDEX('بيانات الحركات'!D:D,MATCH(586,'بيانات الحركات'!$G:$G,0)),"")</f>
        <v/>
      </c>
      <c r="E587" s="21" t="str">
        <f>IF($B587="إنتاج طبخة","",IFERROR(INDEX('بيانات الحركات'!E:E,MATCH(586,'بيانات الحركات'!$G:$G,0)),""))</f>
        <v/>
      </c>
      <c r="F587" s="3" t="str">
        <f>IFERROR(INDEX('بيانات الحركات'!F:F,MATCH(586,'بيانات الحركات'!$G:$G,0)),"")</f>
        <v/>
      </c>
    </row>
    <row r="588" spans="1:6" ht="21.95" customHeight="1">
      <c r="A588" s="8" t="str">
        <f>IFERROR(INDEX('بيانات الحركات'!A:A,MATCH(587,'بيانات الحركات'!$G:$G,0)),"")</f>
        <v/>
      </c>
      <c r="B588" s="5" t="str">
        <f>IFERROR(INDEX('بيانات الحركات'!B:B,MATCH(587,'بيانات الحركات'!$G:$G,0)),"")</f>
        <v/>
      </c>
      <c r="C588" s="3" t="str">
        <f>IFERROR(INDEX('بيانات الحركات'!C:C,MATCH(587,'بيانات الحركات'!$G:$G,0)),"")</f>
        <v/>
      </c>
      <c r="D588" s="3" t="str">
        <f>IFERROR(INDEX('بيانات الحركات'!D:D,MATCH(587,'بيانات الحركات'!$G:$G,0)),"")</f>
        <v/>
      </c>
      <c r="E588" s="21" t="str">
        <f>IF($B588="إنتاج طبخة","",IFERROR(INDEX('بيانات الحركات'!E:E,MATCH(587,'بيانات الحركات'!$G:$G,0)),""))</f>
        <v/>
      </c>
      <c r="F588" s="3" t="str">
        <f>IFERROR(INDEX('بيانات الحركات'!F:F,MATCH(587,'بيانات الحركات'!$G:$G,0)),"")</f>
        <v/>
      </c>
    </row>
    <row r="589" spans="1:6" ht="21.95" customHeight="1">
      <c r="A589" s="8" t="str">
        <f>IFERROR(INDEX('بيانات الحركات'!A:A,MATCH(588,'بيانات الحركات'!$G:$G,0)),"")</f>
        <v/>
      </c>
      <c r="B589" s="5" t="str">
        <f>IFERROR(INDEX('بيانات الحركات'!B:B,MATCH(588,'بيانات الحركات'!$G:$G,0)),"")</f>
        <v/>
      </c>
      <c r="C589" s="3" t="str">
        <f>IFERROR(INDEX('بيانات الحركات'!C:C,MATCH(588,'بيانات الحركات'!$G:$G,0)),"")</f>
        <v/>
      </c>
      <c r="D589" s="3" t="str">
        <f>IFERROR(INDEX('بيانات الحركات'!D:D,MATCH(588,'بيانات الحركات'!$G:$G,0)),"")</f>
        <v/>
      </c>
      <c r="E589" s="21" t="str">
        <f>IF($B589="إنتاج طبخة","",IFERROR(INDEX('بيانات الحركات'!E:E,MATCH(588,'بيانات الحركات'!$G:$G,0)),""))</f>
        <v/>
      </c>
      <c r="F589" s="3" t="str">
        <f>IFERROR(INDEX('بيانات الحركات'!F:F,MATCH(588,'بيانات الحركات'!$G:$G,0)),"")</f>
        <v/>
      </c>
    </row>
    <row r="590" spans="1:6" ht="21.95" customHeight="1">
      <c r="A590" s="8" t="str">
        <f>IFERROR(INDEX('بيانات الحركات'!A:A,MATCH(589,'بيانات الحركات'!$G:$G,0)),"")</f>
        <v/>
      </c>
      <c r="B590" s="5" t="str">
        <f>IFERROR(INDEX('بيانات الحركات'!B:B,MATCH(589,'بيانات الحركات'!$G:$G,0)),"")</f>
        <v/>
      </c>
      <c r="C590" s="3" t="str">
        <f>IFERROR(INDEX('بيانات الحركات'!C:C,MATCH(589,'بيانات الحركات'!$G:$G,0)),"")</f>
        <v/>
      </c>
      <c r="D590" s="3" t="str">
        <f>IFERROR(INDEX('بيانات الحركات'!D:D,MATCH(589,'بيانات الحركات'!$G:$G,0)),"")</f>
        <v/>
      </c>
      <c r="E590" s="21" t="str">
        <f>IF($B590="إنتاج طبخة","",IFERROR(INDEX('بيانات الحركات'!E:E,MATCH(589,'بيانات الحركات'!$G:$G,0)),""))</f>
        <v/>
      </c>
      <c r="F590" s="3" t="str">
        <f>IFERROR(INDEX('بيانات الحركات'!F:F,MATCH(589,'بيانات الحركات'!$G:$G,0)),"")</f>
        <v/>
      </c>
    </row>
    <row r="591" spans="1:6" ht="21.95" customHeight="1">
      <c r="A591" s="8" t="str">
        <f>IFERROR(INDEX('بيانات الحركات'!A:A,MATCH(590,'بيانات الحركات'!$G:$G,0)),"")</f>
        <v/>
      </c>
      <c r="B591" s="5" t="str">
        <f>IFERROR(INDEX('بيانات الحركات'!B:B,MATCH(590,'بيانات الحركات'!$G:$G,0)),"")</f>
        <v/>
      </c>
      <c r="C591" s="3" t="str">
        <f>IFERROR(INDEX('بيانات الحركات'!C:C,MATCH(590,'بيانات الحركات'!$G:$G,0)),"")</f>
        <v/>
      </c>
      <c r="D591" s="3" t="str">
        <f>IFERROR(INDEX('بيانات الحركات'!D:D,MATCH(590,'بيانات الحركات'!$G:$G,0)),"")</f>
        <v/>
      </c>
      <c r="E591" s="21" t="str">
        <f>IF($B591="إنتاج طبخة","",IFERROR(INDEX('بيانات الحركات'!E:E,MATCH(590,'بيانات الحركات'!$G:$G,0)),""))</f>
        <v/>
      </c>
      <c r="F591" s="3" t="str">
        <f>IFERROR(INDEX('بيانات الحركات'!F:F,MATCH(590,'بيانات الحركات'!$G:$G,0)),"")</f>
        <v/>
      </c>
    </row>
    <row r="592" spans="1:6" ht="21.95" customHeight="1">
      <c r="A592" s="8" t="str">
        <f>IFERROR(INDEX('بيانات الحركات'!A:A,MATCH(591,'بيانات الحركات'!$G:$G,0)),"")</f>
        <v/>
      </c>
      <c r="B592" s="5" t="str">
        <f>IFERROR(INDEX('بيانات الحركات'!B:B,MATCH(591,'بيانات الحركات'!$G:$G,0)),"")</f>
        <v/>
      </c>
      <c r="C592" s="3" t="str">
        <f>IFERROR(INDEX('بيانات الحركات'!C:C,MATCH(591,'بيانات الحركات'!$G:$G,0)),"")</f>
        <v/>
      </c>
      <c r="D592" s="3" t="str">
        <f>IFERROR(INDEX('بيانات الحركات'!D:D,MATCH(591,'بيانات الحركات'!$G:$G,0)),"")</f>
        <v/>
      </c>
      <c r="E592" s="21" t="str">
        <f>IF($B592="إنتاج طبخة","",IFERROR(INDEX('بيانات الحركات'!E:E,MATCH(591,'بيانات الحركات'!$G:$G,0)),""))</f>
        <v/>
      </c>
      <c r="F592" s="3" t="str">
        <f>IFERROR(INDEX('بيانات الحركات'!F:F,MATCH(591,'بيانات الحركات'!$G:$G,0)),"")</f>
        <v/>
      </c>
    </row>
    <row r="593" spans="1:6" ht="21.95" customHeight="1">
      <c r="A593" s="8" t="str">
        <f>IFERROR(INDEX('بيانات الحركات'!A:A,MATCH(592,'بيانات الحركات'!$G:$G,0)),"")</f>
        <v/>
      </c>
      <c r="B593" s="5" t="str">
        <f>IFERROR(INDEX('بيانات الحركات'!B:B,MATCH(592,'بيانات الحركات'!$G:$G,0)),"")</f>
        <v/>
      </c>
      <c r="C593" s="3" t="str">
        <f>IFERROR(INDEX('بيانات الحركات'!C:C,MATCH(592,'بيانات الحركات'!$G:$G,0)),"")</f>
        <v/>
      </c>
      <c r="D593" s="3" t="str">
        <f>IFERROR(INDEX('بيانات الحركات'!D:D,MATCH(592,'بيانات الحركات'!$G:$G,0)),"")</f>
        <v/>
      </c>
      <c r="E593" s="21" t="str">
        <f>IF($B593="إنتاج طبخة","",IFERROR(INDEX('بيانات الحركات'!E:E,MATCH(592,'بيانات الحركات'!$G:$G,0)),""))</f>
        <v/>
      </c>
      <c r="F593" s="3" t="str">
        <f>IFERROR(INDEX('بيانات الحركات'!F:F,MATCH(592,'بيانات الحركات'!$G:$G,0)),"")</f>
        <v/>
      </c>
    </row>
    <row r="594" spans="1:6" ht="21.95" customHeight="1">
      <c r="A594" s="8" t="str">
        <f>IFERROR(INDEX('بيانات الحركات'!A:A,MATCH(593,'بيانات الحركات'!$G:$G,0)),"")</f>
        <v/>
      </c>
      <c r="B594" s="5" t="str">
        <f>IFERROR(INDEX('بيانات الحركات'!B:B,MATCH(593,'بيانات الحركات'!$G:$G,0)),"")</f>
        <v/>
      </c>
      <c r="C594" s="3" t="str">
        <f>IFERROR(INDEX('بيانات الحركات'!C:C,MATCH(593,'بيانات الحركات'!$G:$G,0)),"")</f>
        <v/>
      </c>
      <c r="D594" s="3" t="str">
        <f>IFERROR(INDEX('بيانات الحركات'!D:D,MATCH(593,'بيانات الحركات'!$G:$G,0)),"")</f>
        <v/>
      </c>
      <c r="E594" s="21" t="str">
        <f>IF($B594="إنتاج طبخة","",IFERROR(INDEX('بيانات الحركات'!E:E,MATCH(593,'بيانات الحركات'!$G:$G,0)),""))</f>
        <v/>
      </c>
      <c r="F594" s="3" t="str">
        <f>IFERROR(INDEX('بيانات الحركات'!F:F,MATCH(593,'بيانات الحركات'!$G:$G,0)),"")</f>
        <v/>
      </c>
    </row>
    <row r="595" spans="1:6" ht="21.95" customHeight="1">
      <c r="A595" s="8" t="str">
        <f>IFERROR(INDEX('بيانات الحركات'!A:A,MATCH(594,'بيانات الحركات'!$G:$G,0)),"")</f>
        <v/>
      </c>
      <c r="B595" s="5" t="str">
        <f>IFERROR(INDEX('بيانات الحركات'!B:B,MATCH(594,'بيانات الحركات'!$G:$G,0)),"")</f>
        <v/>
      </c>
      <c r="C595" s="3" t="str">
        <f>IFERROR(INDEX('بيانات الحركات'!C:C,MATCH(594,'بيانات الحركات'!$G:$G,0)),"")</f>
        <v/>
      </c>
      <c r="D595" s="3" t="str">
        <f>IFERROR(INDEX('بيانات الحركات'!D:D,MATCH(594,'بيانات الحركات'!$G:$G,0)),"")</f>
        <v/>
      </c>
      <c r="E595" s="21" t="str">
        <f>IF($B595="إنتاج طبخة","",IFERROR(INDEX('بيانات الحركات'!E:E,MATCH(594,'بيانات الحركات'!$G:$G,0)),""))</f>
        <v/>
      </c>
      <c r="F595" s="3" t="str">
        <f>IFERROR(INDEX('بيانات الحركات'!F:F,MATCH(594,'بيانات الحركات'!$G:$G,0)),"")</f>
        <v/>
      </c>
    </row>
    <row r="596" spans="1:6" ht="21.95" customHeight="1">
      <c r="A596" s="8" t="str">
        <f>IFERROR(INDEX('بيانات الحركات'!A:A,MATCH(595,'بيانات الحركات'!$G:$G,0)),"")</f>
        <v/>
      </c>
      <c r="B596" s="5" t="str">
        <f>IFERROR(INDEX('بيانات الحركات'!B:B,MATCH(595,'بيانات الحركات'!$G:$G,0)),"")</f>
        <v/>
      </c>
      <c r="C596" s="3" t="str">
        <f>IFERROR(INDEX('بيانات الحركات'!C:C,MATCH(595,'بيانات الحركات'!$G:$G,0)),"")</f>
        <v/>
      </c>
      <c r="D596" s="3" t="str">
        <f>IFERROR(INDEX('بيانات الحركات'!D:D,MATCH(595,'بيانات الحركات'!$G:$G,0)),"")</f>
        <v/>
      </c>
      <c r="E596" s="21" t="str">
        <f>IF($B596="إنتاج طبخة","",IFERROR(INDEX('بيانات الحركات'!E:E,MATCH(595,'بيانات الحركات'!$G:$G,0)),""))</f>
        <v/>
      </c>
      <c r="F596" s="3" t="str">
        <f>IFERROR(INDEX('بيانات الحركات'!F:F,MATCH(595,'بيانات الحركات'!$G:$G,0)),"")</f>
        <v/>
      </c>
    </row>
    <row r="597" spans="1:6" ht="21.95" customHeight="1">
      <c r="A597" s="8" t="str">
        <f>IFERROR(INDEX('بيانات الحركات'!A:A,MATCH(596,'بيانات الحركات'!$G:$G,0)),"")</f>
        <v/>
      </c>
      <c r="B597" s="5" t="str">
        <f>IFERROR(INDEX('بيانات الحركات'!B:B,MATCH(596,'بيانات الحركات'!$G:$G,0)),"")</f>
        <v/>
      </c>
      <c r="C597" s="3" t="str">
        <f>IFERROR(INDEX('بيانات الحركات'!C:C,MATCH(596,'بيانات الحركات'!$G:$G,0)),"")</f>
        <v/>
      </c>
      <c r="D597" s="3" t="str">
        <f>IFERROR(INDEX('بيانات الحركات'!D:D,MATCH(596,'بيانات الحركات'!$G:$G,0)),"")</f>
        <v/>
      </c>
      <c r="E597" s="21" t="str">
        <f>IF($B597="إنتاج طبخة","",IFERROR(INDEX('بيانات الحركات'!E:E,MATCH(596,'بيانات الحركات'!$G:$G,0)),""))</f>
        <v/>
      </c>
      <c r="F597" s="3" t="str">
        <f>IFERROR(INDEX('بيانات الحركات'!F:F,MATCH(596,'بيانات الحركات'!$G:$G,0)),"")</f>
        <v/>
      </c>
    </row>
    <row r="598" spans="1:6" ht="21.95" customHeight="1">
      <c r="A598" s="8" t="str">
        <f>IFERROR(INDEX('بيانات الحركات'!A:A,MATCH(597,'بيانات الحركات'!$G:$G,0)),"")</f>
        <v/>
      </c>
      <c r="B598" s="5" t="str">
        <f>IFERROR(INDEX('بيانات الحركات'!B:B,MATCH(597,'بيانات الحركات'!$G:$G,0)),"")</f>
        <v/>
      </c>
      <c r="C598" s="3" t="str">
        <f>IFERROR(INDEX('بيانات الحركات'!C:C,MATCH(597,'بيانات الحركات'!$G:$G,0)),"")</f>
        <v/>
      </c>
      <c r="D598" s="3" t="str">
        <f>IFERROR(INDEX('بيانات الحركات'!D:D,MATCH(597,'بيانات الحركات'!$G:$G,0)),"")</f>
        <v/>
      </c>
      <c r="E598" s="21" t="str">
        <f>IF($B598="إنتاج طبخة","",IFERROR(INDEX('بيانات الحركات'!E:E,MATCH(597,'بيانات الحركات'!$G:$G,0)),""))</f>
        <v/>
      </c>
      <c r="F598" s="3" t="str">
        <f>IFERROR(INDEX('بيانات الحركات'!F:F,MATCH(597,'بيانات الحركات'!$G:$G,0)),"")</f>
        <v/>
      </c>
    </row>
    <row r="599" spans="1:6" ht="21.95" customHeight="1">
      <c r="A599" s="8" t="str">
        <f>IFERROR(INDEX('بيانات الحركات'!A:A,MATCH(598,'بيانات الحركات'!$G:$G,0)),"")</f>
        <v/>
      </c>
      <c r="B599" s="5" t="str">
        <f>IFERROR(INDEX('بيانات الحركات'!B:B,MATCH(598,'بيانات الحركات'!$G:$G,0)),"")</f>
        <v/>
      </c>
      <c r="C599" s="3" t="str">
        <f>IFERROR(INDEX('بيانات الحركات'!C:C,MATCH(598,'بيانات الحركات'!$G:$G,0)),"")</f>
        <v/>
      </c>
      <c r="D599" s="3" t="str">
        <f>IFERROR(INDEX('بيانات الحركات'!D:D,MATCH(598,'بيانات الحركات'!$G:$G,0)),"")</f>
        <v/>
      </c>
      <c r="E599" s="21" t="str">
        <f>IF($B599="إنتاج طبخة","",IFERROR(INDEX('بيانات الحركات'!E:E,MATCH(598,'بيانات الحركات'!$G:$G,0)),""))</f>
        <v/>
      </c>
      <c r="F599" s="3" t="str">
        <f>IFERROR(INDEX('بيانات الحركات'!F:F,MATCH(598,'بيانات الحركات'!$G:$G,0)),"")</f>
        <v/>
      </c>
    </row>
    <row r="600" spans="1:6" ht="21.95" customHeight="1">
      <c r="A600" s="8" t="str">
        <f>IFERROR(INDEX('بيانات الحركات'!A:A,MATCH(599,'بيانات الحركات'!$G:$G,0)),"")</f>
        <v/>
      </c>
      <c r="B600" s="5" t="str">
        <f>IFERROR(INDEX('بيانات الحركات'!B:B,MATCH(599,'بيانات الحركات'!$G:$G,0)),"")</f>
        <v/>
      </c>
      <c r="C600" s="3" t="str">
        <f>IFERROR(INDEX('بيانات الحركات'!C:C,MATCH(599,'بيانات الحركات'!$G:$G,0)),"")</f>
        <v/>
      </c>
      <c r="D600" s="3" t="str">
        <f>IFERROR(INDEX('بيانات الحركات'!D:D,MATCH(599,'بيانات الحركات'!$G:$G,0)),"")</f>
        <v/>
      </c>
      <c r="E600" s="21" t="str">
        <f>IF($B600="إنتاج طبخة","",IFERROR(INDEX('بيانات الحركات'!E:E,MATCH(599,'بيانات الحركات'!$G:$G,0)),""))</f>
        <v/>
      </c>
      <c r="F600" s="3" t="str">
        <f>IFERROR(INDEX('بيانات الحركات'!F:F,MATCH(599,'بيانات الحركات'!$G:$G,0)),"")</f>
        <v/>
      </c>
    </row>
    <row r="601" spans="1:6" ht="21.95" customHeight="1">
      <c r="A601" s="8" t="str">
        <f>IFERROR(INDEX('بيانات الحركات'!A:A,MATCH(600,'بيانات الحركات'!$G:$G,0)),"")</f>
        <v/>
      </c>
      <c r="B601" s="5" t="str">
        <f>IFERROR(INDEX('بيانات الحركات'!B:B,MATCH(600,'بيانات الحركات'!$G:$G,0)),"")</f>
        <v/>
      </c>
      <c r="C601" s="3" t="str">
        <f>IFERROR(INDEX('بيانات الحركات'!C:C,MATCH(600,'بيانات الحركات'!$G:$G,0)),"")</f>
        <v/>
      </c>
      <c r="D601" s="3" t="str">
        <f>IFERROR(INDEX('بيانات الحركات'!D:D,MATCH(600,'بيانات الحركات'!$G:$G,0)),"")</f>
        <v/>
      </c>
      <c r="E601" s="21" t="str">
        <f>IF($B601="إنتاج طبخة","",IFERROR(INDEX('بيانات الحركات'!E:E,MATCH(600,'بيانات الحركات'!$G:$G,0)),""))</f>
        <v/>
      </c>
      <c r="F601" s="3" t="str">
        <f>IFERROR(INDEX('بيانات الحركات'!F:F,MATCH(600,'بيانات الحركات'!$G:$G,0)),"")</f>
        <v/>
      </c>
    </row>
    <row r="602" spans="1:6" ht="21.95" customHeight="1">
      <c r="A602" s="8" t="str">
        <f>IFERROR(INDEX('بيانات الحركات'!A:A,MATCH(601,'بيانات الحركات'!$G:$G,0)),"")</f>
        <v/>
      </c>
      <c r="B602" s="5" t="str">
        <f>IFERROR(INDEX('بيانات الحركات'!B:B,MATCH(601,'بيانات الحركات'!$G:$G,0)),"")</f>
        <v/>
      </c>
      <c r="C602" s="3" t="str">
        <f>IFERROR(INDEX('بيانات الحركات'!C:C,MATCH(601,'بيانات الحركات'!$G:$G,0)),"")</f>
        <v/>
      </c>
      <c r="D602" s="3" t="str">
        <f>IFERROR(INDEX('بيانات الحركات'!D:D,MATCH(601,'بيانات الحركات'!$G:$G,0)),"")</f>
        <v/>
      </c>
      <c r="E602" s="21" t="str">
        <f>IF($B602="إنتاج طبخة","",IFERROR(INDEX('بيانات الحركات'!E:E,MATCH(601,'بيانات الحركات'!$G:$G,0)),""))</f>
        <v/>
      </c>
      <c r="F602" s="3" t="str">
        <f>IFERROR(INDEX('بيانات الحركات'!F:F,MATCH(601,'بيانات الحركات'!$G:$G,0)),"")</f>
        <v/>
      </c>
    </row>
    <row r="603" spans="1:6" ht="21.95" customHeight="1">
      <c r="A603" s="8" t="str">
        <f>IFERROR(INDEX('بيانات الحركات'!A:A,MATCH(602,'بيانات الحركات'!$G:$G,0)),"")</f>
        <v/>
      </c>
      <c r="B603" s="5" t="str">
        <f>IFERROR(INDEX('بيانات الحركات'!B:B,MATCH(602,'بيانات الحركات'!$G:$G,0)),"")</f>
        <v/>
      </c>
      <c r="C603" s="3" t="str">
        <f>IFERROR(INDEX('بيانات الحركات'!C:C,MATCH(602,'بيانات الحركات'!$G:$G,0)),"")</f>
        <v/>
      </c>
      <c r="D603" s="3" t="str">
        <f>IFERROR(INDEX('بيانات الحركات'!D:D,MATCH(602,'بيانات الحركات'!$G:$G,0)),"")</f>
        <v/>
      </c>
      <c r="E603" s="21" t="str">
        <f>IF($B603="إنتاج طبخة","",IFERROR(INDEX('بيانات الحركات'!E:E,MATCH(602,'بيانات الحركات'!$G:$G,0)),""))</f>
        <v/>
      </c>
      <c r="F603" s="3" t="str">
        <f>IFERROR(INDEX('بيانات الحركات'!F:F,MATCH(602,'بيانات الحركات'!$G:$G,0)),"")</f>
        <v/>
      </c>
    </row>
    <row r="604" spans="1:6" ht="21.95" customHeight="1">
      <c r="A604" s="8" t="str">
        <f>IFERROR(INDEX('بيانات الحركات'!A:A,MATCH(603,'بيانات الحركات'!$G:$G,0)),"")</f>
        <v/>
      </c>
      <c r="B604" s="5" t="str">
        <f>IFERROR(INDEX('بيانات الحركات'!B:B,MATCH(603,'بيانات الحركات'!$G:$G,0)),"")</f>
        <v/>
      </c>
      <c r="C604" s="3" t="str">
        <f>IFERROR(INDEX('بيانات الحركات'!C:C,MATCH(603,'بيانات الحركات'!$G:$G,0)),"")</f>
        <v/>
      </c>
      <c r="D604" s="3" t="str">
        <f>IFERROR(INDEX('بيانات الحركات'!D:D,MATCH(603,'بيانات الحركات'!$G:$G,0)),"")</f>
        <v/>
      </c>
      <c r="E604" s="21" t="str">
        <f>IF($B604="إنتاج طبخة","",IFERROR(INDEX('بيانات الحركات'!E:E,MATCH(603,'بيانات الحركات'!$G:$G,0)),""))</f>
        <v/>
      </c>
      <c r="F604" s="3" t="str">
        <f>IFERROR(INDEX('بيانات الحركات'!F:F,MATCH(603,'بيانات الحركات'!$G:$G,0)),"")</f>
        <v/>
      </c>
    </row>
    <row r="605" spans="1:6" ht="21.95" customHeight="1">
      <c r="A605" s="8" t="str">
        <f>IFERROR(INDEX('بيانات الحركات'!A:A,MATCH(604,'بيانات الحركات'!$G:$G,0)),"")</f>
        <v/>
      </c>
      <c r="B605" s="5" t="str">
        <f>IFERROR(INDEX('بيانات الحركات'!B:B,MATCH(604,'بيانات الحركات'!$G:$G,0)),"")</f>
        <v/>
      </c>
      <c r="C605" s="3" t="str">
        <f>IFERROR(INDEX('بيانات الحركات'!C:C,MATCH(604,'بيانات الحركات'!$G:$G,0)),"")</f>
        <v/>
      </c>
      <c r="D605" s="3" t="str">
        <f>IFERROR(INDEX('بيانات الحركات'!D:D,MATCH(604,'بيانات الحركات'!$G:$G,0)),"")</f>
        <v/>
      </c>
      <c r="E605" s="21" t="str">
        <f>IF($B605="إنتاج طبخة","",IFERROR(INDEX('بيانات الحركات'!E:E,MATCH(604,'بيانات الحركات'!$G:$G,0)),""))</f>
        <v/>
      </c>
      <c r="F605" s="3" t="str">
        <f>IFERROR(INDEX('بيانات الحركات'!F:F,MATCH(604,'بيانات الحركات'!$G:$G,0)),"")</f>
        <v/>
      </c>
    </row>
    <row r="606" spans="1:6" ht="21.95" customHeight="1">
      <c r="A606" s="8" t="str">
        <f>IFERROR(INDEX('بيانات الحركات'!A:A,MATCH(605,'بيانات الحركات'!$G:$G,0)),"")</f>
        <v/>
      </c>
      <c r="B606" s="5" t="str">
        <f>IFERROR(INDEX('بيانات الحركات'!B:B,MATCH(605,'بيانات الحركات'!$G:$G,0)),"")</f>
        <v/>
      </c>
      <c r="C606" s="3" t="str">
        <f>IFERROR(INDEX('بيانات الحركات'!C:C,MATCH(605,'بيانات الحركات'!$G:$G,0)),"")</f>
        <v/>
      </c>
      <c r="D606" s="3" t="str">
        <f>IFERROR(INDEX('بيانات الحركات'!D:D,MATCH(605,'بيانات الحركات'!$G:$G,0)),"")</f>
        <v/>
      </c>
      <c r="E606" s="21" t="str">
        <f>IF($B606="إنتاج طبخة","",IFERROR(INDEX('بيانات الحركات'!E:E,MATCH(605,'بيانات الحركات'!$G:$G,0)),""))</f>
        <v/>
      </c>
      <c r="F606" s="3" t="str">
        <f>IFERROR(INDEX('بيانات الحركات'!F:F,MATCH(605,'بيانات الحركات'!$G:$G,0)),"")</f>
        <v/>
      </c>
    </row>
    <row r="607" spans="1:6" ht="21.95" customHeight="1">
      <c r="A607" s="8" t="str">
        <f>IFERROR(INDEX('بيانات الحركات'!A:A,MATCH(606,'بيانات الحركات'!$G:$G,0)),"")</f>
        <v/>
      </c>
      <c r="B607" s="5" t="str">
        <f>IFERROR(INDEX('بيانات الحركات'!B:B,MATCH(606,'بيانات الحركات'!$G:$G,0)),"")</f>
        <v/>
      </c>
      <c r="C607" s="3" t="str">
        <f>IFERROR(INDEX('بيانات الحركات'!C:C,MATCH(606,'بيانات الحركات'!$G:$G,0)),"")</f>
        <v/>
      </c>
      <c r="D607" s="3" t="str">
        <f>IFERROR(INDEX('بيانات الحركات'!D:D,MATCH(606,'بيانات الحركات'!$G:$G,0)),"")</f>
        <v/>
      </c>
      <c r="E607" s="21" t="str">
        <f>IF($B607="إنتاج طبخة","",IFERROR(INDEX('بيانات الحركات'!E:E,MATCH(606,'بيانات الحركات'!$G:$G,0)),""))</f>
        <v/>
      </c>
      <c r="F607" s="3" t="str">
        <f>IFERROR(INDEX('بيانات الحركات'!F:F,MATCH(606,'بيانات الحركات'!$G:$G,0)),"")</f>
        <v/>
      </c>
    </row>
    <row r="608" spans="1:6" ht="21.95" customHeight="1">
      <c r="A608" s="8" t="str">
        <f>IFERROR(INDEX('بيانات الحركات'!A:A,MATCH(607,'بيانات الحركات'!$G:$G,0)),"")</f>
        <v/>
      </c>
      <c r="B608" s="5" t="str">
        <f>IFERROR(INDEX('بيانات الحركات'!B:B,MATCH(607,'بيانات الحركات'!$G:$G,0)),"")</f>
        <v/>
      </c>
      <c r="C608" s="3" t="str">
        <f>IFERROR(INDEX('بيانات الحركات'!C:C,MATCH(607,'بيانات الحركات'!$G:$G,0)),"")</f>
        <v/>
      </c>
      <c r="D608" s="3" t="str">
        <f>IFERROR(INDEX('بيانات الحركات'!D:D,MATCH(607,'بيانات الحركات'!$G:$G,0)),"")</f>
        <v/>
      </c>
      <c r="E608" s="21" t="str">
        <f>IF($B608="إنتاج طبخة","",IFERROR(INDEX('بيانات الحركات'!E:E,MATCH(607,'بيانات الحركات'!$G:$G,0)),""))</f>
        <v/>
      </c>
      <c r="F608" s="3" t="str">
        <f>IFERROR(INDEX('بيانات الحركات'!F:F,MATCH(607,'بيانات الحركات'!$G:$G,0)),"")</f>
        <v/>
      </c>
    </row>
    <row r="609" spans="1:6" ht="21.95" customHeight="1">
      <c r="A609" s="8" t="str">
        <f>IFERROR(INDEX('بيانات الحركات'!A:A,MATCH(608,'بيانات الحركات'!$G:$G,0)),"")</f>
        <v/>
      </c>
      <c r="B609" s="5" t="str">
        <f>IFERROR(INDEX('بيانات الحركات'!B:B,MATCH(608,'بيانات الحركات'!$G:$G,0)),"")</f>
        <v/>
      </c>
      <c r="C609" s="3" t="str">
        <f>IFERROR(INDEX('بيانات الحركات'!C:C,MATCH(608,'بيانات الحركات'!$G:$G,0)),"")</f>
        <v/>
      </c>
      <c r="D609" s="3" t="str">
        <f>IFERROR(INDEX('بيانات الحركات'!D:D,MATCH(608,'بيانات الحركات'!$G:$G,0)),"")</f>
        <v/>
      </c>
      <c r="E609" s="21" t="str">
        <f>IF($B609="إنتاج طبخة","",IFERROR(INDEX('بيانات الحركات'!E:E,MATCH(608,'بيانات الحركات'!$G:$G,0)),""))</f>
        <v/>
      </c>
      <c r="F609" s="3" t="str">
        <f>IFERROR(INDEX('بيانات الحركات'!F:F,MATCH(608,'بيانات الحركات'!$G:$G,0)),"")</f>
        <v/>
      </c>
    </row>
    <row r="610" spans="1:6" ht="21.95" customHeight="1">
      <c r="A610" s="8" t="str">
        <f>IFERROR(INDEX('بيانات الحركات'!A:A,MATCH(609,'بيانات الحركات'!$G:$G,0)),"")</f>
        <v/>
      </c>
      <c r="B610" s="5" t="str">
        <f>IFERROR(INDEX('بيانات الحركات'!B:B,MATCH(609,'بيانات الحركات'!$G:$G,0)),"")</f>
        <v/>
      </c>
      <c r="C610" s="3" t="str">
        <f>IFERROR(INDEX('بيانات الحركات'!C:C,MATCH(609,'بيانات الحركات'!$G:$G,0)),"")</f>
        <v/>
      </c>
      <c r="D610" s="3" t="str">
        <f>IFERROR(INDEX('بيانات الحركات'!D:D,MATCH(609,'بيانات الحركات'!$G:$G,0)),"")</f>
        <v/>
      </c>
      <c r="E610" s="21" t="str">
        <f>IF($B610="إنتاج طبخة","",IFERROR(INDEX('بيانات الحركات'!E:E,MATCH(609,'بيانات الحركات'!$G:$G,0)),""))</f>
        <v/>
      </c>
      <c r="F610" s="3" t="str">
        <f>IFERROR(INDEX('بيانات الحركات'!F:F,MATCH(609,'بيانات الحركات'!$G:$G,0)),"")</f>
        <v/>
      </c>
    </row>
    <row r="611" spans="1:6" ht="21.95" customHeight="1">
      <c r="A611" s="8" t="str">
        <f>IFERROR(INDEX('بيانات الحركات'!A:A,MATCH(610,'بيانات الحركات'!$G:$G,0)),"")</f>
        <v/>
      </c>
      <c r="B611" s="5" t="str">
        <f>IFERROR(INDEX('بيانات الحركات'!B:B,MATCH(610,'بيانات الحركات'!$G:$G,0)),"")</f>
        <v/>
      </c>
      <c r="C611" s="3" t="str">
        <f>IFERROR(INDEX('بيانات الحركات'!C:C,MATCH(610,'بيانات الحركات'!$G:$G,0)),"")</f>
        <v/>
      </c>
      <c r="D611" s="3" t="str">
        <f>IFERROR(INDEX('بيانات الحركات'!D:D,MATCH(610,'بيانات الحركات'!$G:$G,0)),"")</f>
        <v/>
      </c>
      <c r="E611" s="21" t="str">
        <f>IF($B611="إنتاج طبخة","",IFERROR(INDEX('بيانات الحركات'!E:E,MATCH(610,'بيانات الحركات'!$G:$G,0)),""))</f>
        <v/>
      </c>
      <c r="F611" s="3" t="str">
        <f>IFERROR(INDEX('بيانات الحركات'!F:F,MATCH(610,'بيانات الحركات'!$G:$G,0)),"")</f>
        <v/>
      </c>
    </row>
    <row r="612" spans="1:6" ht="21.95" customHeight="1">
      <c r="A612" s="8" t="str">
        <f>IFERROR(INDEX('بيانات الحركات'!A:A,MATCH(611,'بيانات الحركات'!$G:$G,0)),"")</f>
        <v/>
      </c>
      <c r="B612" s="5" t="str">
        <f>IFERROR(INDEX('بيانات الحركات'!B:B,MATCH(611,'بيانات الحركات'!$G:$G,0)),"")</f>
        <v/>
      </c>
      <c r="C612" s="3" t="str">
        <f>IFERROR(INDEX('بيانات الحركات'!C:C,MATCH(611,'بيانات الحركات'!$G:$G,0)),"")</f>
        <v/>
      </c>
      <c r="D612" s="3" t="str">
        <f>IFERROR(INDEX('بيانات الحركات'!D:D,MATCH(611,'بيانات الحركات'!$G:$G,0)),"")</f>
        <v/>
      </c>
      <c r="E612" s="21" t="str">
        <f>IF($B612="إنتاج طبخة","",IFERROR(INDEX('بيانات الحركات'!E:E,MATCH(611,'بيانات الحركات'!$G:$G,0)),""))</f>
        <v/>
      </c>
      <c r="F612" s="3" t="str">
        <f>IFERROR(INDEX('بيانات الحركات'!F:F,MATCH(611,'بيانات الحركات'!$G:$G,0)),"")</f>
        <v/>
      </c>
    </row>
    <row r="613" spans="1:6" ht="21.95" customHeight="1">
      <c r="A613" s="8" t="str">
        <f>IFERROR(INDEX('بيانات الحركات'!A:A,MATCH(612,'بيانات الحركات'!$G:$G,0)),"")</f>
        <v/>
      </c>
      <c r="B613" s="5" t="str">
        <f>IFERROR(INDEX('بيانات الحركات'!B:B,MATCH(612,'بيانات الحركات'!$G:$G,0)),"")</f>
        <v/>
      </c>
      <c r="C613" s="3" t="str">
        <f>IFERROR(INDEX('بيانات الحركات'!C:C,MATCH(612,'بيانات الحركات'!$G:$G,0)),"")</f>
        <v/>
      </c>
      <c r="D613" s="3" t="str">
        <f>IFERROR(INDEX('بيانات الحركات'!D:D,MATCH(612,'بيانات الحركات'!$G:$G,0)),"")</f>
        <v/>
      </c>
      <c r="E613" s="21" t="str">
        <f>IF($B613="إنتاج طبخة","",IFERROR(INDEX('بيانات الحركات'!E:E,MATCH(612,'بيانات الحركات'!$G:$G,0)),""))</f>
        <v/>
      </c>
      <c r="F613" s="3" t="str">
        <f>IFERROR(INDEX('بيانات الحركات'!F:F,MATCH(612,'بيانات الحركات'!$G:$G,0)),"")</f>
        <v/>
      </c>
    </row>
    <row r="614" spans="1:6" ht="21.95" customHeight="1">
      <c r="A614" s="8" t="str">
        <f>IFERROR(INDEX('بيانات الحركات'!A:A,MATCH(613,'بيانات الحركات'!$G:$G,0)),"")</f>
        <v/>
      </c>
      <c r="B614" s="5" t="str">
        <f>IFERROR(INDEX('بيانات الحركات'!B:B,MATCH(613,'بيانات الحركات'!$G:$G,0)),"")</f>
        <v/>
      </c>
      <c r="C614" s="3" t="str">
        <f>IFERROR(INDEX('بيانات الحركات'!C:C,MATCH(613,'بيانات الحركات'!$G:$G,0)),"")</f>
        <v/>
      </c>
      <c r="D614" s="3" t="str">
        <f>IFERROR(INDEX('بيانات الحركات'!D:D,MATCH(613,'بيانات الحركات'!$G:$G,0)),"")</f>
        <v/>
      </c>
      <c r="E614" s="21" t="str">
        <f>IF($B614="إنتاج طبخة","",IFERROR(INDEX('بيانات الحركات'!E:E,MATCH(613,'بيانات الحركات'!$G:$G,0)),""))</f>
        <v/>
      </c>
      <c r="F614" s="3" t="str">
        <f>IFERROR(INDEX('بيانات الحركات'!F:F,MATCH(613,'بيانات الحركات'!$G:$G,0)),"")</f>
        <v/>
      </c>
    </row>
    <row r="615" spans="1:6" ht="21.95" customHeight="1">
      <c r="A615" s="8" t="str">
        <f>IFERROR(INDEX('بيانات الحركات'!A:A,MATCH(614,'بيانات الحركات'!$G:$G,0)),"")</f>
        <v/>
      </c>
      <c r="B615" s="5" t="str">
        <f>IFERROR(INDEX('بيانات الحركات'!B:B,MATCH(614,'بيانات الحركات'!$G:$G,0)),"")</f>
        <v/>
      </c>
      <c r="C615" s="3" t="str">
        <f>IFERROR(INDEX('بيانات الحركات'!C:C,MATCH(614,'بيانات الحركات'!$G:$G,0)),"")</f>
        <v/>
      </c>
      <c r="D615" s="3" t="str">
        <f>IFERROR(INDEX('بيانات الحركات'!D:D,MATCH(614,'بيانات الحركات'!$G:$G,0)),"")</f>
        <v/>
      </c>
      <c r="E615" s="21" t="str">
        <f>IF($B615="إنتاج طبخة","",IFERROR(INDEX('بيانات الحركات'!E:E,MATCH(614,'بيانات الحركات'!$G:$G,0)),""))</f>
        <v/>
      </c>
      <c r="F615" s="3" t="str">
        <f>IFERROR(INDEX('بيانات الحركات'!F:F,MATCH(614,'بيانات الحركات'!$G:$G,0)),"")</f>
        <v/>
      </c>
    </row>
    <row r="616" spans="1:6" ht="21.95" customHeight="1">
      <c r="A616" s="8" t="str">
        <f>IFERROR(INDEX('بيانات الحركات'!A:A,MATCH(615,'بيانات الحركات'!$G:$G,0)),"")</f>
        <v/>
      </c>
      <c r="B616" s="5" t="str">
        <f>IFERROR(INDEX('بيانات الحركات'!B:B,MATCH(615,'بيانات الحركات'!$G:$G,0)),"")</f>
        <v/>
      </c>
      <c r="C616" s="3" t="str">
        <f>IFERROR(INDEX('بيانات الحركات'!C:C,MATCH(615,'بيانات الحركات'!$G:$G,0)),"")</f>
        <v/>
      </c>
      <c r="D616" s="3" t="str">
        <f>IFERROR(INDEX('بيانات الحركات'!D:D,MATCH(615,'بيانات الحركات'!$G:$G,0)),"")</f>
        <v/>
      </c>
      <c r="E616" s="21" t="str">
        <f>IF($B616="إنتاج طبخة","",IFERROR(INDEX('بيانات الحركات'!E:E,MATCH(615,'بيانات الحركات'!$G:$G,0)),""))</f>
        <v/>
      </c>
      <c r="F616" s="3" t="str">
        <f>IFERROR(INDEX('بيانات الحركات'!F:F,MATCH(615,'بيانات الحركات'!$G:$G,0)),"")</f>
        <v/>
      </c>
    </row>
    <row r="617" spans="1:6" ht="21.95" customHeight="1">
      <c r="A617" s="8" t="str">
        <f>IFERROR(INDEX('بيانات الحركات'!A:A,MATCH(616,'بيانات الحركات'!$G:$G,0)),"")</f>
        <v/>
      </c>
      <c r="B617" s="5" t="str">
        <f>IFERROR(INDEX('بيانات الحركات'!B:B,MATCH(616,'بيانات الحركات'!$G:$G,0)),"")</f>
        <v/>
      </c>
      <c r="C617" s="3" t="str">
        <f>IFERROR(INDEX('بيانات الحركات'!C:C,MATCH(616,'بيانات الحركات'!$G:$G,0)),"")</f>
        <v/>
      </c>
      <c r="D617" s="3" t="str">
        <f>IFERROR(INDEX('بيانات الحركات'!D:D,MATCH(616,'بيانات الحركات'!$G:$G,0)),"")</f>
        <v/>
      </c>
      <c r="E617" s="21" t="str">
        <f>IF($B617="إنتاج طبخة","",IFERROR(INDEX('بيانات الحركات'!E:E,MATCH(616,'بيانات الحركات'!$G:$G,0)),""))</f>
        <v/>
      </c>
      <c r="F617" s="3" t="str">
        <f>IFERROR(INDEX('بيانات الحركات'!F:F,MATCH(616,'بيانات الحركات'!$G:$G,0)),"")</f>
        <v/>
      </c>
    </row>
    <row r="618" spans="1:6" ht="21.95" customHeight="1">
      <c r="A618" s="8" t="str">
        <f>IFERROR(INDEX('بيانات الحركات'!A:A,MATCH(617,'بيانات الحركات'!$G:$G,0)),"")</f>
        <v/>
      </c>
      <c r="B618" s="5" t="str">
        <f>IFERROR(INDEX('بيانات الحركات'!B:B,MATCH(617,'بيانات الحركات'!$G:$G,0)),"")</f>
        <v/>
      </c>
      <c r="C618" s="3" t="str">
        <f>IFERROR(INDEX('بيانات الحركات'!C:C,MATCH(617,'بيانات الحركات'!$G:$G,0)),"")</f>
        <v/>
      </c>
      <c r="D618" s="3" t="str">
        <f>IFERROR(INDEX('بيانات الحركات'!D:D,MATCH(617,'بيانات الحركات'!$G:$G,0)),"")</f>
        <v/>
      </c>
      <c r="E618" s="21" t="str">
        <f>IF($B618="إنتاج طبخة","",IFERROR(INDEX('بيانات الحركات'!E:E,MATCH(617,'بيانات الحركات'!$G:$G,0)),""))</f>
        <v/>
      </c>
      <c r="F618" s="3" t="str">
        <f>IFERROR(INDEX('بيانات الحركات'!F:F,MATCH(617,'بيانات الحركات'!$G:$G,0)),"")</f>
        <v/>
      </c>
    </row>
    <row r="619" spans="1:6" ht="21.95" customHeight="1">
      <c r="A619" s="8" t="str">
        <f>IFERROR(INDEX('بيانات الحركات'!A:A,MATCH(618,'بيانات الحركات'!$G:$G,0)),"")</f>
        <v/>
      </c>
      <c r="B619" s="5" t="str">
        <f>IFERROR(INDEX('بيانات الحركات'!B:B,MATCH(618,'بيانات الحركات'!$G:$G,0)),"")</f>
        <v/>
      </c>
      <c r="C619" s="3" t="str">
        <f>IFERROR(INDEX('بيانات الحركات'!C:C,MATCH(618,'بيانات الحركات'!$G:$G,0)),"")</f>
        <v/>
      </c>
      <c r="D619" s="3" t="str">
        <f>IFERROR(INDEX('بيانات الحركات'!D:D,MATCH(618,'بيانات الحركات'!$G:$G,0)),"")</f>
        <v/>
      </c>
      <c r="E619" s="21" t="str">
        <f>IF($B619="إنتاج طبخة","",IFERROR(INDEX('بيانات الحركات'!E:E,MATCH(618,'بيانات الحركات'!$G:$G,0)),""))</f>
        <v/>
      </c>
      <c r="F619" s="3" t="str">
        <f>IFERROR(INDEX('بيانات الحركات'!F:F,MATCH(618,'بيانات الحركات'!$G:$G,0)),"")</f>
        <v/>
      </c>
    </row>
    <row r="620" spans="1:6" ht="21.95" customHeight="1">
      <c r="A620" s="8" t="str">
        <f>IFERROR(INDEX('بيانات الحركات'!A:A,MATCH(619,'بيانات الحركات'!$G:$G,0)),"")</f>
        <v/>
      </c>
      <c r="B620" s="5" t="str">
        <f>IFERROR(INDEX('بيانات الحركات'!B:B,MATCH(619,'بيانات الحركات'!$G:$G,0)),"")</f>
        <v/>
      </c>
      <c r="C620" s="3" t="str">
        <f>IFERROR(INDEX('بيانات الحركات'!C:C,MATCH(619,'بيانات الحركات'!$G:$G,0)),"")</f>
        <v/>
      </c>
      <c r="D620" s="3" t="str">
        <f>IFERROR(INDEX('بيانات الحركات'!D:D,MATCH(619,'بيانات الحركات'!$G:$G,0)),"")</f>
        <v/>
      </c>
      <c r="E620" s="21" t="str">
        <f>IF($B620="إنتاج طبخة","",IFERROR(INDEX('بيانات الحركات'!E:E,MATCH(619,'بيانات الحركات'!$G:$G,0)),""))</f>
        <v/>
      </c>
      <c r="F620" s="3" t="str">
        <f>IFERROR(INDEX('بيانات الحركات'!F:F,MATCH(619,'بيانات الحركات'!$G:$G,0)),"")</f>
        <v/>
      </c>
    </row>
    <row r="621" spans="1:6" ht="21.95" customHeight="1">
      <c r="A621" s="8" t="str">
        <f>IFERROR(INDEX('بيانات الحركات'!A:A,MATCH(620,'بيانات الحركات'!$G:$G,0)),"")</f>
        <v/>
      </c>
      <c r="B621" s="5" t="str">
        <f>IFERROR(INDEX('بيانات الحركات'!B:B,MATCH(620,'بيانات الحركات'!$G:$G,0)),"")</f>
        <v/>
      </c>
      <c r="C621" s="3" t="str">
        <f>IFERROR(INDEX('بيانات الحركات'!C:C,MATCH(620,'بيانات الحركات'!$G:$G,0)),"")</f>
        <v/>
      </c>
      <c r="D621" s="3" t="str">
        <f>IFERROR(INDEX('بيانات الحركات'!D:D,MATCH(620,'بيانات الحركات'!$G:$G,0)),"")</f>
        <v/>
      </c>
      <c r="E621" s="21" t="str">
        <f>IF($B621="إنتاج طبخة","",IFERROR(INDEX('بيانات الحركات'!E:E,MATCH(620,'بيانات الحركات'!$G:$G,0)),""))</f>
        <v/>
      </c>
      <c r="F621" s="3" t="str">
        <f>IFERROR(INDEX('بيانات الحركات'!F:F,MATCH(620,'بيانات الحركات'!$G:$G,0)),"")</f>
        <v/>
      </c>
    </row>
    <row r="622" spans="1:6" ht="21.95" customHeight="1">
      <c r="A622" s="8" t="str">
        <f>IFERROR(INDEX('بيانات الحركات'!A:A,MATCH(621,'بيانات الحركات'!$G:$G,0)),"")</f>
        <v/>
      </c>
      <c r="B622" s="5" t="str">
        <f>IFERROR(INDEX('بيانات الحركات'!B:B,MATCH(621,'بيانات الحركات'!$G:$G,0)),"")</f>
        <v/>
      </c>
      <c r="C622" s="3" t="str">
        <f>IFERROR(INDEX('بيانات الحركات'!C:C,MATCH(621,'بيانات الحركات'!$G:$G,0)),"")</f>
        <v/>
      </c>
      <c r="D622" s="3" t="str">
        <f>IFERROR(INDEX('بيانات الحركات'!D:D,MATCH(621,'بيانات الحركات'!$G:$G,0)),"")</f>
        <v/>
      </c>
      <c r="E622" s="21" t="str">
        <f>IF($B622="إنتاج طبخة","",IFERROR(INDEX('بيانات الحركات'!E:E,MATCH(621,'بيانات الحركات'!$G:$G,0)),""))</f>
        <v/>
      </c>
      <c r="F622" s="3" t="str">
        <f>IFERROR(INDEX('بيانات الحركات'!F:F,MATCH(621,'بيانات الحركات'!$G:$G,0)),"")</f>
        <v/>
      </c>
    </row>
    <row r="623" spans="1:6" ht="21.95" customHeight="1">
      <c r="A623" s="8" t="str">
        <f>IFERROR(INDEX('بيانات الحركات'!A:A,MATCH(622,'بيانات الحركات'!$G:$G,0)),"")</f>
        <v/>
      </c>
      <c r="B623" s="5" t="str">
        <f>IFERROR(INDEX('بيانات الحركات'!B:B,MATCH(622,'بيانات الحركات'!$G:$G,0)),"")</f>
        <v/>
      </c>
      <c r="C623" s="3" t="str">
        <f>IFERROR(INDEX('بيانات الحركات'!C:C,MATCH(622,'بيانات الحركات'!$G:$G,0)),"")</f>
        <v/>
      </c>
      <c r="D623" s="3" t="str">
        <f>IFERROR(INDEX('بيانات الحركات'!D:D,MATCH(622,'بيانات الحركات'!$G:$G,0)),"")</f>
        <v/>
      </c>
      <c r="E623" s="21" t="str">
        <f>IF($B623="إنتاج طبخة","",IFERROR(INDEX('بيانات الحركات'!E:E,MATCH(622,'بيانات الحركات'!$G:$G,0)),""))</f>
        <v/>
      </c>
      <c r="F623" s="3" t="str">
        <f>IFERROR(INDEX('بيانات الحركات'!F:F,MATCH(622,'بيانات الحركات'!$G:$G,0)),"")</f>
        <v/>
      </c>
    </row>
    <row r="624" spans="1:6" ht="21.95" customHeight="1">
      <c r="A624" s="8" t="str">
        <f>IFERROR(INDEX('بيانات الحركات'!A:A,MATCH(623,'بيانات الحركات'!$G:$G,0)),"")</f>
        <v/>
      </c>
      <c r="B624" s="5" t="str">
        <f>IFERROR(INDEX('بيانات الحركات'!B:B,MATCH(623,'بيانات الحركات'!$G:$G,0)),"")</f>
        <v/>
      </c>
      <c r="C624" s="3" t="str">
        <f>IFERROR(INDEX('بيانات الحركات'!C:C,MATCH(623,'بيانات الحركات'!$G:$G,0)),"")</f>
        <v/>
      </c>
      <c r="D624" s="3" t="str">
        <f>IFERROR(INDEX('بيانات الحركات'!D:D,MATCH(623,'بيانات الحركات'!$G:$G,0)),"")</f>
        <v/>
      </c>
      <c r="E624" s="21" t="str">
        <f>IF($B624="إنتاج طبخة","",IFERROR(INDEX('بيانات الحركات'!E:E,MATCH(623,'بيانات الحركات'!$G:$G,0)),""))</f>
        <v/>
      </c>
      <c r="F624" s="3" t="str">
        <f>IFERROR(INDEX('بيانات الحركات'!F:F,MATCH(623,'بيانات الحركات'!$G:$G,0)),"")</f>
        <v/>
      </c>
    </row>
    <row r="625" spans="1:6" ht="21.95" customHeight="1">
      <c r="A625" s="8" t="str">
        <f>IFERROR(INDEX('بيانات الحركات'!A:A,MATCH(624,'بيانات الحركات'!$G:$G,0)),"")</f>
        <v/>
      </c>
      <c r="B625" s="5" t="str">
        <f>IFERROR(INDEX('بيانات الحركات'!B:B,MATCH(624,'بيانات الحركات'!$G:$G,0)),"")</f>
        <v/>
      </c>
      <c r="C625" s="3" t="str">
        <f>IFERROR(INDEX('بيانات الحركات'!C:C,MATCH(624,'بيانات الحركات'!$G:$G,0)),"")</f>
        <v/>
      </c>
      <c r="D625" s="3" t="str">
        <f>IFERROR(INDEX('بيانات الحركات'!D:D,MATCH(624,'بيانات الحركات'!$G:$G,0)),"")</f>
        <v/>
      </c>
      <c r="E625" s="21" t="str">
        <f>IF($B625="إنتاج طبخة","",IFERROR(INDEX('بيانات الحركات'!E:E,MATCH(624,'بيانات الحركات'!$G:$G,0)),""))</f>
        <v/>
      </c>
      <c r="F625" s="3" t="str">
        <f>IFERROR(INDEX('بيانات الحركات'!F:F,MATCH(624,'بيانات الحركات'!$G:$G,0)),"")</f>
        <v/>
      </c>
    </row>
    <row r="626" spans="1:6" ht="21.95" customHeight="1">
      <c r="A626" s="8" t="str">
        <f>IFERROR(INDEX('بيانات الحركات'!A:A,MATCH(625,'بيانات الحركات'!$G:$G,0)),"")</f>
        <v/>
      </c>
      <c r="B626" s="5" t="str">
        <f>IFERROR(INDEX('بيانات الحركات'!B:B,MATCH(625,'بيانات الحركات'!$G:$G,0)),"")</f>
        <v/>
      </c>
      <c r="C626" s="3" t="str">
        <f>IFERROR(INDEX('بيانات الحركات'!C:C,MATCH(625,'بيانات الحركات'!$G:$G,0)),"")</f>
        <v/>
      </c>
      <c r="D626" s="3" t="str">
        <f>IFERROR(INDEX('بيانات الحركات'!D:D,MATCH(625,'بيانات الحركات'!$G:$G,0)),"")</f>
        <v/>
      </c>
      <c r="E626" s="21" t="str">
        <f>IF($B626="إنتاج طبخة","",IFERROR(INDEX('بيانات الحركات'!E:E,MATCH(625,'بيانات الحركات'!$G:$G,0)),""))</f>
        <v/>
      </c>
      <c r="F626" s="3" t="str">
        <f>IFERROR(INDEX('بيانات الحركات'!F:F,MATCH(625,'بيانات الحركات'!$G:$G,0)),"")</f>
        <v/>
      </c>
    </row>
    <row r="627" spans="1:6" ht="21.95" customHeight="1">
      <c r="A627" s="8" t="str">
        <f>IFERROR(INDEX('بيانات الحركات'!A:A,MATCH(626,'بيانات الحركات'!$G:$G,0)),"")</f>
        <v/>
      </c>
      <c r="B627" s="5" t="str">
        <f>IFERROR(INDEX('بيانات الحركات'!B:B,MATCH(626,'بيانات الحركات'!$G:$G,0)),"")</f>
        <v/>
      </c>
      <c r="C627" s="3" t="str">
        <f>IFERROR(INDEX('بيانات الحركات'!C:C,MATCH(626,'بيانات الحركات'!$G:$G,0)),"")</f>
        <v/>
      </c>
      <c r="D627" s="3" t="str">
        <f>IFERROR(INDEX('بيانات الحركات'!D:D,MATCH(626,'بيانات الحركات'!$G:$G,0)),"")</f>
        <v/>
      </c>
      <c r="E627" s="21" t="str">
        <f>IF($B627="إنتاج طبخة","",IFERROR(INDEX('بيانات الحركات'!E:E,MATCH(626,'بيانات الحركات'!$G:$G,0)),""))</f>
        <v/>
      </c>
      <c r="F627" s="3" t="str">
        <f>IFERROR(INDEX('بيانات الحركات'!F:F,MATCH(626,'بيانات الحركات'!$G:$G,0)),"")</f>
        <v/>
      </c>
    </row>
    <row r="628" spans="1:6" ht="21.95" customHeight="1">
      <c r="A628" s="8" t="str">
        <f>IFERROR(INDEX('بيانات الحركات'!A:A,MATCH(627,'بيانات الحركات'!$G:$G,0)),"")</f>
        <v/>
      </c>
      <c r="B628" s="5" t="str">
        <f>IFERROR(INDEX('بيانات الحركات'!B:B,MATCH(627,'بيانات الحركات'!$G:$G,0)),"")</f>
        <v/>
      </c>
      <c r="C628" s="3" t="str">
        <f>IFERROR(INDEX('بيانات الحركات'!C:C,MATCH(627,'بيانات الحركات'!$G:$G,0)),"")</f>
        <v/>
      </c>
      <c r="D628" s="3" t="str">
        <f>IFERROR(INDEX('بيانات الحركات'!D:D,MATCH(627,'بيانات الحركات'!$G:$G,0)),"")</f>
        <v/>
      </c>
      <c r="E628" s="21" t="str">
        <f>IF($B628="إنتاج طبخة","",IFERROR(INDEX('بيانات الحركات'!E:E,MATCH(627,'بيانات الحركات'!$G:$G,0)),""))</f>
        <v/>
      </c>
      <c r="F628" s="3" t="str">
        <f>IFERROR(INDEX('بيانات الحركات'!F:F,MATCH(627,'بيانات الحركات'!$G:$G,0)),"")</f>
        <v/>
      </c>
    </row>
    <row r="629" spans="1:6" ht="21.95" customHeight="1">
      <c r="A629" s="8" t="str">
        <f>IFERROR(INDEX('بيانات الحركات'!A:A,MATCH(628,'بيانات الحركات'!$G:$G,0)),"")</f>
        <v/>
      </c>
      <c r="B629" s="5" t="str">
        <f>IFERROR(INDEX('بيانات الحركات'!B:B,MATCH(628,'بيانات الحركات'!$G:$G,0)),"")</f>
        <v/>
      </c>
      <c r="C629" s="3" t="str">
        <f>IFERROR(INDEX('بيانات الحركات'!C:C,MATCH(628,'بيانات الحركات'!$G:$G,0)),"")</f>
        <v/>
      </c>
      <c r="D629" s="3" t="str">
        <f>IFERROR(INDEX('بيانات الحركات'!D:D,MATCH(628,'بيانات الحركات'!$G:$G,0)),"")</f>
        <v/>
      </c>
      <c r="E629" s="21" t="str">
        <f>IF($B629="إنتاج طبخة","",IFERROR(INDEX('بيانات الحركات'!E:E,MATCH(628,'بيانات الحركات'!$G:$G,0)),""))</f>
        <v/>
      </c>
      <c r="F629" s="3" t="str">
        <f>IFERROR(INDEX('بيانات الحركات'!F:F,MATCH(628,'بيانات الحركات'!$G:$G,0)),"")</f>
        <v/>
      </c>
    </row>
    <row r="630" spans="1:6" ht="21.95" customHeight="1">
      <c r="A630" s="8" t="str">
        <f>IFERROR(INDEX('بيانات الحركات'!A:A,MATCH(629,'بيانات الحركات'!$G:$G,0)),"")</f>
        <v/>
      </c>
      <c r="B630" s="5" t="str">
        <f>IFERROR(INDEX('بيانات الحركات'!B:B,MATCH(629,'بيانات الحركات'!$G:$G,0)),"")</f>
        <v/>
      </c>
      <c r="C630" s="3" t="str">
        <f>IFERROR(INDEX('بيانات الحركات'!C:C,MATCH(629,'بيانات الحركات'!$G:$G,0)),"")</f>
        <v/>
      </c>
      <c r="D630" s="3" t="str">
        <f>IFERROR(INDEX('بيانات الحركات'!D:D,MATCH(629,'بيانات الحركات'!$G:$G,0)),"")</f>
        <v/>
      </c>
      <c r="E630" s="21" t="str">
        <f>IF($B630="إنتاج طبخة","",IFERROR(INDEX('بيانات الحركات'!E:E,MATCH(629,'بيانات الحركات'!$G:$G,0)),""))</f>
        <v/>
      </c>
      <c r="F630" s="3" t="str">
        <f>IFERROR(INDEX('بيانات الحركات'!F:F,MATCH(629,'بيانات الحركات'!$G:$G,0)),"")</f>
        <v/>
      </c>
    </row>
    <row r="631" spans="1:6" ht="21.95" customHeight="1">
      <c r="A631" s="8" t="str">
        <f>IFERROR(INDEX('بيانات الحركات'!A:A,MATCH(630,'بيانات الحركات'!$G:$G,0)),"")</f>
        <v/>
      </c>
      <c r="B631" s="5" t="str">
        <f>IFERROR(INDEX('بيانات الحركات'!B:B,MATCH(630,'بيانات الحركات'!$G:$G,0)),"")</f>
        <v/>
      </c>
      <c r="C631" s="3" t="str">
        <f>IFERROR(INDEX('بيانات الحركات'!C:C,MATCH(630,'بيانات الحركات'!$G:$G,0)),"")</f>
        <v/>
      </c>
      <c r="D631" s="3" t="str">
        <f>IFERROR(INDEX('بيانات الحركات'!D:D,MATCH(630,'بيانات الحركات'!$G:$G,0)),"")</f>
        <v/>
      </c>
      <c r="E631" s="21" t="str">
        <f>IF($B631="إنتاج طبخة","",IFERROR(INDEX('بيانات الحركات'!E:E,MATCH(630,'بيانات الحركات'!$G:$G,0)),""))</f>
        <v/>
      </c>
      <c r="F631" s="3" t="str">
        <f>IFERROR(INDEX('بيانات الحركات'!F:F,MATCH(630,'بيانات الحركات'!$G:$G,0)),"")</f>
        <v/>
      </c>
    </row>
    <row r="632" spans="1:6" ht="21.95" customHeight="1">
      <c r="A632" s="8" t="str">
        <f>IFERROR(INDEX('بيانات الحركات'!A:A,MATCH(631,'بيانات الحركات'!$G:$G,0)),"")</f>
        <v/>
      </c>
      <c r="B632" s="5" t="str">
        <f>IFERROR(INDEX('بيانات الحركات'!B:B,MATCH(631,'بيانات الحركات'!$G:$G,0)),"")</f>
        <v/>
      </c>
      <c r="C632" s="3" t="str">
        <f>IFERROR(INDEX('بيانات الحركات'!C:C,MATCH(631,'بيانات الحركات'!$G:$G,0)),"")</f>
        <v/>
      </c>
      <c r="D632" s="3" t="str">
        <f>IFERROR(INDEX('بيانات الحركات'!D:D,MATCH(631,'بيانات الحركات'!$G:$G,0)),"")</f>
        <v/>
      </c>
      <c r="E632" s="21" t="str">
        <f>IF($B632="إنتاج طبخة","",IFERROR(INDEX('بيانات الحركات'!E:E,MATCH(631,'بيانات الحركات'!$G:$G,0)),""))</f>
        <v/>
      </c>
      <c r="F632" s="3" t="str">
        <f>IFERROR(INDEX('بيانات الحركات'!F:F,MATCH(631,'بيانات الحركات'!$G:$G,0)),"")</f>
        <v/>
      </c>
    </row>
    <row r="633" spans="1:6" ht="21.95" customHeight="1">
      <c r="A633" s="8" t="str">
        <f>IFERROR(INDEX('بيانات الحركات'!A:A,MATCH(632,'بيانات الحركات'!$G:$G,0)),"")</f>
        <v/>
      </c>
      <c r="B633" s="5" t="str">
        <f>IFERROR(INDEX('بيانات الحركات'!B:B,MATCH(632,'بيانات الحركات'!$G:$G,0)),"")</f>
        <v/>
      </c>
      <c r="C633" s="3" t="str">
        <f>IFERROR(INDEX('بيانات الحركات'!C:C,MATCH(632,'بيانات الحركات'!$G:$G,0)),"")</f>
        <v/>
      </c>
      <c r="D633" s="3" t="str">
        <f>IFERROR(INDEX('بيانات الحركات'!D:D,MATCH(632,'بيانات الحركات'!$G:$G,0)),"")</f>
        <v/>
      </c>
      <c r="E633" s="21" t="str">
        <f>IF($B633="إنتاج طبخة","",IFERROR(INDEX('بيانات الحركات'!E:E,MATCH(632,'بيانات الحركات'!$G:$G,0)),""))</f>
        <v/>
      </c>
      <c r="F633" s="3" t="str">
        <f>IFERROR(INDEX('بيانات الحركات'!F:F,MATCH(632,'بيانات الحركات'!$G:$G,0)),"")</f>
        <v/>
      </c>
    </row>
    <row r="634" spans="1:6" ht="21.95" customHeight="1">
      <c r="A634" s="8" t="str">
        <f>IFERROR(INDEX('بيانات الحركات'!A:A,MATCH(633,'بيانات الحركات'!$G:$G,0)),"")</f>
        <v/>
      </c>
      <c r="B634" s="5" t="str">
        <f>IFERROR(INDEX('بيانات الحركات'!B:B,MATCH(633,'بيانات الحركات'!$G:$G,0)),"")</f>
        <v/>
      </c>
      <c r="C634" s="3" t="str">
        <f>IFERROR(INDEX('بيانات الحركات'!C:C,MATCH(633,'بيانات الحركات'!$G:$G,0)),"")</f>
        <v/>
      </c>
      <c r="D634" s="3" t="str">
        <f>IFERROR(INDEX('بيانات الحركات'!D:D,MATCH(633,'بيانات الحركات'!$G:$G,0)),"")</f>
        <v/>
      </c>
      <c r="E634" s="21" t="str">
        <f>IF($B634="إنتاج طبخة","",IFERROR(INDEX('بيانات الحركات'!E:E,MATCH(633,'بيانات الحركات'!$G:$G,0)),""))</f>
        <v/>
      </c>
      <c r="F634" s="3" t="str">
        <f>IFERROR(INDEX('بيانات الحركات'!F:F,MATCH(633,'بيانات الحركات'!$G:$G,0)),"")</f>
        <v/>
      </c>
    </row>
    <row r="635" spans="1:6" ht="21.95" customHeight="1">
      <c r="A635" s="8" t="str">
        <f>IFERROR(INDEX('بيانات الحركات'!A:A,MATCH(634,'بيانات الحركات'!$G:$G,0)),"")</f>
        <v/>
      </c>
      <c r="B635" s="5" t="str">
        <f>IFERROR(INDEX('بيانات الحركات'!B:B,MATCH(634,'بيانات الحركات'!$G:$G,0)),"")</f>
        <v/>
      </c>
      <c r="C635" s="3" t="str">
        <f>IFERROR(INDEX('بيانات الحركات'!C:C,MATCH(634,'بيانات الحركات'!$G:$G,0)),"")</f>
        <v/>
      </c>
      <c r="D635" s="3" t="str">
        <f>IFERROR(INDEX('بيانات الحركات'!D:D,MATCH(634,'بيانات الحركات'!$G:$G,0)),"")</f>
        <v/>
      </c>
      <c r="E635" s="21" t="str">
        <f>IF($B635="إنتاج طبخة","",IFERROR(INDEX('بيانات الحركات'!E:E,MATCH(634,'بيانات الحركات'!$G:$G,0)),""))</f>
        <v/>
      </c>
      <c r="F635" s="3" t="str">
        <f>IFERROR(INDEX('بيانات الحركات'!F:F,MATCH(634,'بيانات الحركات'!$G:$G,0)),"")</f>
        <v/>
      </c>
    </row>
    <row r="636" spans="1:6" ht="21.95" customHeight="1">
      <c r="A636" s="8" t="str">
        <f>IFERROR(INDEX('بيانات الحركات'!A:A,MATCH(635,'بيانات الحركات'!$G:$G,0)),"")</f>
        <v/>
      </c>
      <c r="B636" s="5" t="str">
        <f>IFERROR(INDEX('بيانات الحركات'!B:B,MATCH(635,'بيانات الحركات'!$G:$G,0)),"")</f>
        <v/>
      </c>
      <c r="C636" s="3" t="str">
        <f>IFERROR(INDEX('بيانات الحركات'!C:C,MATCH(635,'بيانات الحركات'!$G:$G,0)),"")</f>
        <v/>
      </c>
      <c r="D636" s="3" t="str">
        <f>IFERROR(INDEX('بيانات الحركات'!D:D,MATCH(635,'بيانات الحركات'!$G:$G,0)),"")</f>
        <v/>
      </c>
      <c r="E636" s="21" t="str">
        <f>IF($B636="إنتاج طبخة","",IFERROR(INDEX('بيانات الحركات'!E:E,MATCH(635,'بيانات الحركات'!$G:$G,0)),""))</f>
        <v/>
      </c>
      <c r="F636" s="3" t="str">
        <f>IFERROR(INDEX('بيانات الحركات'!F:F,MATCH(635,'بيانات الحركات'!$G:$G,0)),"")</f>
        <v/>
      </c>
    </row>
    <row r="637" spans="1:6" ht="21.95" customHeight="1">
      <c r="A637" s="8" t="str">
        <f>IFERROR(INDEX('بيانات الحركات'!A:A,MATCH(636,'بيانات الحركات'!$G:$G,0)),"")</f>
        <v/>
      </c>
      <c r="B637" s="5" t="str">
        <f>IFERROR(INDEX('بيانات الحركات'!B:B,MATCH(636,'بيانات الحركات'!$G:$G,0)),"")</f>
        <v/>
      </c>
      <c r="C637" s="3" t="str">
        <f>IFERROR(INDEX('بيانات الحركات'!C:C,MATCH(636,'بيانات الحركات'!$G:$G,0)),"")</f>
        <v/>
      </c>
      <c r="D637" s="3" t="str">
        <f>IFERROR(INDEX('بيانات الحركات'!D:D,MATCH(636,'بيانات الحركات'!$G:$G,0)),"")</f>
        <v/>
      </c>
      <c r="E637" s="21" t="str">
        <f>IF($B637="إنتاج طبخة","",IFERROR(INDEX('بيانات الحركات'!E:E,MATCH(636,'بيانات الحركات'!$G:$G,0)),""))</f>
        <v/>
      </c>
      <c r="F637" s="3" t="str">
        <f>IFERROR(INDEX('بيانات الحركات'!F:F,MATCH(636,'بيانات الحركات'!$G:$G,0)),"")</f>
        <v/>
      </c>
    </row>
    <row r="638" spans="1:6" ht="21.95" customHeight="1">
      <c r="A638" s="8" t="str">
        <f>IFERROR(INDEX('بيانات الحركات'!A:A,MATCH(637,'بيانات الحركات'!$G:$G,0)),"")</f>
        <v/>
      </c>
      <c r="B638" s="5" t="str">
        <f>IFERROR(INDEX('بيانات الحركات'!B:B,MATCH(637,'بيانات الحركات'!$G:$G,0)),"")</f>
        <v/>
      </c>
      <c r="C638" s="3" t="str">
        <f>IFERROR(INDEX('بيانات الحركات'!C:C,MATCH(637,'بيانات الحركات'!$G:$G,0)),"")</f>
        <v/>
      </c>
      <c r="D638" s="3" t="str">
        <f>IFERROR(INDEX('بيانات الحركات'!D:D,MATCH(637,'بيانات الحركات'!$G:$G,0)),"")</f>
        <v/>
      </c>
      <c r="E638" s="21" t="str">
        <f>IF($B638="إنتاج طبخة","",IFERROR(INDEX('بيانات الحركات'!E:E,MATCH(637,'بيانات الحركات'!$G:$G,0)),""))</f>
        <v/>
      </c>
      <c r="F638" s="3" t="str">
        <f>IFERROR(INDEX('بيانات الحركات'!F:F,MATCH(637,'بيانات الحركات'!$G:$G,0)),"")</f>
        <v/>
      </c>
    </row>
    <row r="639" spans="1:6" ht="21.95" customHeight="1">
      <c r="A639" s="8" t="str">
        <f>IFERROR(INDEX('بيانات الحركات'!A:A,MATCH(638,'بيانات الحركات'!$G:$G,0)),"")</f>
        <v/>
      </c>
      <c r="B639" s="5" t="str">
        <f>IFERROR(INDEX('بيانات الحركات'!B:B,MATCH(638,'بيانات الحركات'!$G:$G,0)),"")</f>
        <v/>
      </c>
      <c r="C639" s="3" t="str">
        <f>IFERROR(INDEX('بيانات الحركات'!C:C,MATCH(638,'بيانات الحركات'!$G:$G,0)),"")</f>
        <v/>
      </c>
      <c r="D639" s="3" t="str">
        <f>IFERROR(INDEX('بيانات الحركات'!D:D,MATCH(638,'بيانات الحركات'!$G:$G,0)),"")</f>
        <v/>
      </c>
      <c r="E639" s="21" t="str">
        <f>IF($B639="إنتاج طبخة","",IFERROR(INDEX('بيانات الحركات'!E:E,MATCH(638,'بيانات الحركات'!$G:$G,0)),""))</f>
        <v/>
      </c>
      <c r="F639" s="3" t="str">
        <f>IFERROR(INDEX('بيانات الحركات'!F:F,MATCH(638,'بيانات الحركات'!$G:$G,0)),"")</f>
        <v/>
      </c>
    </row>
    <row r="640" spans="1:6" ht="21.95" customHeight="1">
      <c r="A640" s="8" t="str">
        <f>IFERROR(INDEX('بيانات الحركات'!A:A,MATCH(639,'بيانات الحركات'!$G:$G,0)),"")</f>
        <v/>
      </c>
      <c r="B640" s="5" t="str">
        <f>IFERROR(INDEX('بيانات الحركات'!B:B,MATCH(639,'بيانات الحركات'!$G:$G,0)),"")</f>
        <v/>
      </c>
      <c r="C640" s="3" t="str">
        <f>IFERROR(INDEX('بيانات الحركات'!C:C,MATCH(639,'بيانات الحركات'!$G:$G,0)),"")</f>
        <v/>
      </c>
      <c r="D640" s="3" t="str">
        <f>IFERROR(INDEX('بيانات الحركات'!D:D,MATCH(639,'بيانات الحركات'!$G:$G,0)),"")</f>
        <v/>
      </c>
      <c r="E640" s="21" t="str">
        <f>IF($B640="إنتاج طبخة","",IFERROR(INDEX('بيانات الحركات'!E:E,MATCH(639,'بيانات الحركات'!$G:$G,0)),""))</f>
        <v/>
      </c>
      <c r="F640" s="3" t="str">
        <f>IFERROR(INDEX('بيانات الحركات'!F:F,MATCH(639,'بيانات الحركات'!$G:$G,0)),"")</f>
        <v/>
      </c>
    </row>
    <row r="641" spans="1:6" ht="21.95" customHeight="1">
      <c r="A641" s="8" t="str">
        <f>IFERROR(INDEX('بيانات الحركات'!A:A,MATCH(640,'بيانات الحركات'!$G:$G,0)),"")</f>
        <v/>
      </c>
      <c r="B641" s="5" t="str">
        <f>IFERROR(INDEX('بيانات الحركات'!B:B,MATCH(640,'بيانات الحركات'!$G:$G,0)),"")</f>
        <v/>
      </c>
      <c r="C641" s="3" t="str">
        <f>IFERROR(INDEX('بيانات الحركات'!C:C,MATCH(640,'بيانات الحركات'!$G:$G,0)),"")</f>
        <v/>
      </c>
      <c r="D641" s="3" t="str">
        <f>IFERROR(INDEX('بيانات الحركات'!D:D,MATCH(640,'بيانات الحركات'!$G:$G,0)),"")</f>
        <v/>
      </c>
      <c r="E641" s="21" t="str">
        <f>IF($B641="إنتاج طبخة","",IFERROR(INDEX('بيانات الحركات'!E:E,MATCH(640,'بيانات الحركات'!$G:$G,0)),""))</f>
        <v/>
      </c>
      <c r="F641" s="3" t="str">
        <f>IFERROR(INDEX('بيانات الحركات'!F:F,MATCH(640,'بيانات الحركات'!$G:$G,0)),"")</f>
        <v/>
      </c>
    </row>
    <row r="642" spans="1:6" ht="21.95" customHeight="1">
      <c r="A642" s="8" t="str">
        <f>IFERROR(INDEX('بيانات الحركات'!A:A,MATCH(641,'بيانات الحركات'!$G:$G,0)),"")</f>
        <v/>
      </c>
      <c r="B642" s="5" t="str">
        <f>IFERROR(INDEX('بيانات الحركات'!B:B,MATCH(641,'بيانات الحركات'!$G:$G,0)),"")</f>
        <v/>
      </c>
      <c r="C642" s="3" t="str">
        <f>IFERROR(INDEX('بيانات الحركات'!C:C,MATCH(641,'بيانات الحركات'!$G:$G,0)),"")</f>
        <v/>
      </c>
      <c r="D642" s="3" t="str">
        <f>IFERROR(INDEX('بيانات الحركات'!D:D,MATCH(641,'بيانات الحركات'!$G:$G,0)),"")</f>
        <v/>
      </c>
      <c r="E642" s="21" t="str">
        <f>IF($B642="إنتاج طبخة","",IFERROR(INDEX('بيانات الحركات'!E:E,MATCH(641,'بيانات الحركات'!$G:$G,0)),""))</f>
        <v/>
      </c>
      <c r="F642" s="3" t="str">
        <f>IFERROR(INDEX('بيانات الحركات'!F:F,MATCH(641,'بيانات الحركات'!$G:$G,0)),"")</f>
        <v/>
      </c>
    </row>
    <row r="643" spans="1:6" ht="21.95" customHeight="1">
      <c r="A643" s="8" t="str">
        <f>IFERROR(INDEX('بيانات الحركات'!A:A,MATCH(642,'بيانات الحركات'!$G:$G,0)),"")</f>
        <v/>
      </c>
      <c r="B643" s="5" t="str">
        <f>IFERROR(INDEX('بيانات الحركات'!B:B,MATCH(642,'بيانات الحركات'!$G:$G,0)),"")</f>
        <v/>
      </c>
      <c r="C643" s="3" t="str">
        <f>IFERROR(INDEX('بيانات الحركات'!C:C,MATCH(642,'بيانات الحركات'!$G:$G,0)),"")</f>
        <v/>
      </c>
      <c r="D643" s="3" t="str">
        <f>IFERROR(INDEX('بيانات الحركات'!D:D,MATCH(642,'بيانات الحركات'!$G:$G,0)),"")</f>
        <v/>
      </c>
      <c r="E643" s="21" t="str">
        <f>IF($B643="إنتاج طبخة","",IFERROR(INDEX('بيانات الحركات'!E:E,MATCH(642,'بيانات الحركات'!$G:$G,0)),""))</f>
        <v/>
      </c>
      <c r="F643" s="3" t="str">
        <f>IFERROR(INDEX('بيانات الحركات'!F:F,MATCH(642,'بيانات الحركات'!$G:$G,0)),"")</f>
        <v/>
      </c>
    </row>
    <row r="644" spans="1:6" ht="21.95" customHeight="1">
      <c r="A644" s="8" t="str">
        <f>IFERROR(INDEX('بيانات الحركات'!A:A,MATCH(643,'بيانات الحركات'!$G:$G,0)),"")</f>
        <v/>
      </c>
      <c r="B644" s="5" t="str">
        <f>IFERROR(INDEX('بيانات الحركات'!B:B,MATCH(643,'بيانات الحركات'!$G:$G,0)),"")</f>
        <v/>
      </c>
      <c r="C644" s="3" t="str">
        <f>IFERROR(INDEX('بيانات الحركات'!C:C,MATCH(643,'بيانات الحركات'!$G:$G,0)),"")</f>
        <v/>
      </c>
      <c r="D644" s="3" t="str">
        <f>IFERROR(INDEX('بيانات الحركات'!D:D,MATCH(643,'بيانات الحركات'!$G:$G,0)),"")</f>
        <v/>
      </c>
      <c r="E644" s="21" t="str">
        <f>IF($B644="إنتاج طبخة","",IFERROR(INDEX('بيانات الحركات'!E:E,MATCH(643,'بيانات الحركات'!$G:$G,0)),""))</f>
        <v/>
      </c>
      <c r="F644" s="3" t="str">
        <f>IFERROR(INDEX('بيانات الحركات'!F:F,MATCH(643,'بيانات الحركات'!$G:$G,0)),"")</f>
        <v/>
      </c>
    </row>
    <row r="645" spans="1:6" ht="21.95" customHeight="1">
      <c r="A645" s="8" t="str">
        <f>IFERROR(INDEX('بيانات الحركات'!A:A,MATCH(644,'بيانات الحركات'!$G:$G,0)),"")</f>
        <v/>
      </c>
      <c r="B645" s="5" t="str">
        <f>IFERROR(INDEX('بيانات الحركات'!B:B,MATCH(644,'بيانات الحركات'!$G:$G,0)),"")</f>
        <v/>
      </c>
      <c r="C645" s="3" t="str">
        <f>IFERROR(INDEX('بيانات الحركات'!C:C,MATCH(644,'بيانات الحركات'!$G:$G,0)),"")</f>
        <v/>
      </c>
      <c r="D645" s="3" t="str">
        <f>IFERROR(INDEX('بيانات الحركات'!D:D,MATCH(644,'بيانات الحركات'!$G:$G,0)),"")</f>
        <v/>
      </c>
      <c r="E645" s="21" t="str">
        <f>IF($B645="إنتاج طبخة","",IFERROR(INDEX('بيانات الحركات'!E:E,MATCH(644,'بيانات الحركات'!$G:$G,0)),""))</f>
        <v/>
      </c>
      <c r="F645" s="3" t="str">
        <f>IFERROR(INDEX('بيانات الحركات'!F:F,MATCH(644,'بيانات الحركات'!$G:$G,0)),"")</f>
        <v/>
      </c>
    </row>
    <row r="646" spans="1:6" ht="21.95" customHeight="1">
      <c r="A646" s="8" t="str">
        <f>IFERROR(INDEX('بيانات الحركات'!A:A,MATCH(645,'بيانات الحركات'!$G:$G,0)),"")</f>
        <v/>
      </c>
      <c r="B646" s="5" t="str">
        <f>IFERROR(INDEX('بيانات الحركات'!B:B,MATCH(645,'بيانات الحركات'!$G:$G,0)),"")</f>
        <v/>
      </c>
      <c r="C646" s="3" t="str">
        <f>IFERROR(INDEX('بيانات الحركات'!C:C,MATCH(645,'بيانات الحركات'!$G:$G,0)),"")</f>
        <v/>
      </c>
      <c r="D646" s="3" t="str">
        <f>IFERROR(INDEX('بيانات الحركات'!D:D,MATCH(645,'بيانات الحركات'!$G:$G,0)),"")</f>
        <v/>
      </c>
      <c r="E646" s="21" t="str">
        <f>IF($B646="إنتاج طبخة","",IFERROR(INDEX('بيانات الحركات'!E:E,MATCH(645,'بيانات الحركات'!$G:$G,0)),""))</f>
        <v/>
      </c>
      <c r="F646" s="3" t="str">
        <f>IFERROR(INDEX('بيانات الحركات'!F:F,MATCH(645,'بيانات الحركات'!$G:$G,0)),"")</f>
        <v/>
      </c>
    </row>
    <row r="647" spans="1:6" ht="21.95" customHeight="1">
      <c r="A647" s="8" t="str">
        <f>IFERROR(INDEX('بيانات الحركات'!A:A,MATCH(646,'بيانات الحركات'!$G:$G,0)),"")</f>
        <v/>
      </c>
      <c r="B647" s="5" t="str">
        <f>IFERROR(INDEX('بيانات الحركات'!B:B,MATCH(646,'بيانات الحركات'!$G:$G,0)),"")</f>
        <v/>
      </c>
      <c r="C647" s="3" t="str">
        <f>IFERROR(INDEX('بيانات الحركات'!C:C,MATCH(646,'بيانات الحركات'!$G:$G,0)),"")</f>
        <v/>
      </c>
      <c r="D647" s="3" t="str">
        <f>IFERROR(INDEX('بيانات الحركات'!D:D,MATCH(646,'بيانات الحركات'!$G:$G,0)),"")</f>
        <v/>
      </c>
      <c r="E647" s="21" t="str">
        <f>IF($B647="إنتاج طبخة","",IFERROR(INDEX('بيانات الحركات'!E:E,MATCH(646,'بيانات الحركات'!$G:$G,0)),""))</f>
        <v/>
      </c>
      <c r="F647" s="3" t="str">
        <f>IFERROR(INDEX('بيانات الحركات'!F:F,MATCH(646,'بيانات الحركات'!$G:$G,0)),"")</f>
        <v/>
      </c>
    </row>
    <row r="648" spans="1:6" ht="21.95" customHeight="1">
      <c r="A648" s="8" t="str">
        <f>IFERROR(INDEX('بيانات الحركات'!A:A,MATCH(647,'بيانات الحركات'!$G:$G,0)),"")</f>
        <v/>
      </c>
      <c r="B648" s="5" t="str">
        <f>IFERROR(INDEX('بيانات الحركات'!B:B,MATCH(647,'بيانات الحركات'!$G:$G,0)),"")</f>
        <v/>
      </c>
      <c r="C648" s="3" t="str">
        <f>IFERROR(INDEX('بيانات الحركات'!C:C,MATCH(647,'بيانات الحركات'!$G:$G,0)),"")</f>
        <v/>
      </c>
      <c r="D648" s="3" t="str">
        <f>IFERROR(INDEX('بيانات الحركات'!D:D,MATCH(647,'بيانات الحركات'!$G:$G,0)),"")</f>
        <v/>
      </c>
      <c r="E648" s="21" t="str">
        <f>IF($B648="إنتاج طبخة","",IFERROR(INDEX('بيانات الحركات'!E:E,MATCH(647,'بيانات الحركات'!$G:$G,0)),""))</f>
        <v/>
      </c>
      <c r="F648" s="3" t="str">
        <f>IFERROR(INDEX('بيانات الحركات'!F:F,MATCH(647,'بيانات الحركات'!$G:$G,0)),"")</f>
        <v/>
      </c>
    </row>
    <row r="649" spans="1:6" ht="21.95" customHeight="1">
      <c r="A649" s="8" t="str">
        <f>IFERROR(INDEX('بيانات الحركات'!A:A,MATCH(648,'بيانات الحركات'!$G:$G,0)),"")</f>
        <v/>
      </c>
      <c r="B649" s="5" t="str">
        <f>IFERROR(INDEX('بيانات الحركات'!B:B,MATCH(648,'بيانات الحركات'!$G:$G,0)),"")</f>
        <v/>
      </c>
      <c r="C649" s="3" t="str">
        <f>IFERROR(INDEX('بيانات الحركات'!C:C,MATCH(648,'بيانات الحركات'!$G:$G,0)),"")</f>
        <v/>
      </c>
      <c r="D649" s="3" t="str">
        <f>IFERROR(INDEX('بيانات الحركات'!D:D,MATCH(648,'بيانات الحركات'!$G:$G,0)),"")</f>
        <v/>
      </c>
      <c r="E649" s="21" t="str">
        <f>IF($B649="إنتاج طبخة","",IFERROR(INDEX('بيانات الحركات'!E:E,MATCH(648,'بيانات الحركات'!$G:$G,0)),""))</f>
        <v/>
      </c>
      <c r="F649" s="3" t="str">
        <f>IFERROR(INDEX('بيانات الحركات'!F:F,MATCH(648,'بيانات الحركات'!$G:$G,0)),"")</f>
        <v/>
      </c>
    </row>
    <row r="650" spans="1:6" ht="21.95" customHeight="1">
      <c r="A650" s="8" t="str">
        <f>IFERROR(INDEX('بيانات الحركات'!A:A,MATCH(649,'بيانات الحركات'!$G:$G,0)),"")</f>
        <v/>
      </c>
      <c r="B650" s="5" t="str">
        <f>IFERROR(INDEX('بيانات الحركات'!B:B,MATCH(649,'بيانات الحركات'!$G:$G,0)),"")</f>
        <v/>
      </c>
      <c r="C650" s="3" t="str">
        <f>IFERROR(INDEX('بيانات الحركات'!C:C,MATCH(649,'بيانات الحركات'!$G:$G,0)),"")</f>
        <v/>
      </c>
      <c r="D650" s="3" t="str">
        <f>IFERROR(INDEX('بيانات الحركات'!D:D,MATCH(649,'بيانات الحركات'!$G:$G,0)),"")</f>
        <v/>
      </c>
      <c r="E650" s="21" t="str">
        <f>IF($B650="إنتاج طبخة","",IFERROR(INDEX('بيانات الحركات'!E:E,MATCH(649,'بيانات الحركات'!$G:$G,0)),""))</f>
        <v/>
      </c>
      <c r="F650" s="3" t="str">
        <f>IFERROR(INDEX('بيانات الحركات'!F:F,MATCH(649,'بيانات الحركات'!$G:$G,0)),"")</f>
        <v/>
      </c>
    </row>
    <row r="651" spans="1:6" ht="21.95" customHeight="1">
      <c r="A651" s="8" t="str">
        <f>IFERROR(INDEX('بيانات الحركات'!A:A,MATCH(650,'بيانات الحركات'!$G:$G,0)),"")</f>
        <v/>
      </c>
      <c r="B651" s="5" t="str">
        <f>IFERROR(INDEX('بيانات الحركات'!B:B,MATCH(650,'بيانات الحركات'!$G:$G,0)),"")</f>
        <v/>
      </c>
      <c r="C651" s="3" t="str">
        <f>IFERROR(INDEX('بيانات الحركات'!C:C,MATCH(650,'بيانات الحركات'!$G:$G,0)),"")</f>
        <v/>
      </c>
      <c r="D651" s="3" t="str">
        <f>IFERROR(INDEX('بيانات الحركات'!D:D,MATCH(650,'بيانات الحركات'!$G:$G,0)),"")</f>
        <v/>
      </c>
      <c r="E651" s="21" t="str">
        <f>IF($B651="إنتاج طبخة","",IFERROR(INDEX('بيانات الحركات'!E:E,MATCH(650,'بيانات الحركات'!$G:$G,0)),""))</f>
        <v/>
      </c>
      <c r="F651" s="3" t="str">
        <f>IFERROR(INDEX('بيانات الحركات'!F:F,MATCH(650,'بيانات الحركات'!$G:$G,0)),"")</f>
        <v/>
      </c>
    </row>
    <row r="652" spans="1:6" ht="21.95" customHeight="1">
      <c r="A652" s="8" t="str">
        <f>IFERROR(INDEX('بيانات الحركات'!A:A,MATCH(651,'بيانات الحركات'!$G:$G,0)),"")</f>
        <v/>
      </c>
      <c r="B652" s="5" t="str">
        <f>IFERROR(INDEX('بيانات الحركات'!B:B,MATCH(651,'بيانات الحركات'!$G:$G,0)),"")</f>
        <v/>
      </c>
      <c r="C652" s="3" t="str">
        <f>IFERROR(INDEX('بيانات الحركات'!C:C,MATCH(651,'بيانات الحركات'!$G:$G,0)),"")</f>
        <v/>
      </c>
      <c r="D652" s="3" t="str">
        <f>IFERROR(INDEX('بيانات الحركات'!D:D,MATCH(651,'بيانات الحركات'!$G:$G,0)),"")</f>
        <v/>
      </c>
      <c r="E652" s="21" t="str">
        <f>IF($B652="إنتاج طبخة","",IFERROR(INDEX('بيانات الحركات'!E:E,MATCH(651,'بيانات الحركات'!$G:$G,0)),""))</f>
        <v/>
      </c>
      <c r="F652" s="3" t="str">
        <f>IFERROR(INDEX('بيانات الحركات'!F:F,MATCH(651,'بيانات الحركات'!$G:$G,0)),"")</f>
        <v/>
      </c>
    </row>
    <row r="653" spans="1:6" ht="21.95" customHeight="1">
      <c r="A653" s="8" t="str">
        <f>IFERROR(INDEX('بيانات الحركات'!A:A,MATCH(652,'بيانات الحركات'!$G:$G,0)),"")</f>
        <v/>
      </c>
      <c r="B653" s="5" t="str">
        <f>IFERROR(INDEX('بيانات الحركات'!B:B,MATCH(652,'بيانات الحركات'!$G:$G,0)),"")</f>
        <v/>
      </c>
      <c r="C653" s="3" t="str">
        <f>IFERROR(INDEX('بيانات الحركات'!C:C,MATCH(652,'بيانات الحركات'!$G:$G,0)),"")</f>
        <v/>
      </c>
      <c r="D653" s="3" t="str">
        <f>IFERROR(INDEX('بيانات الحركات'!D:D,MATCH(652,'بيانات الحركات'!$G:$G,0)),"")</f>
        <v/>
      </c>
      <c r="E653" s="21" t="str">
        <f>IF($B653="إنتاج طبخة","",IFERROR(INDEX('بيانات الحركات'!E:E,MATCH(652,'بيانات الحركات'!$G:$G,0)),""))</f>
        <v/>
      </c>
      <c r="F653" s="3" t="str">
        <f>IFERROR(INDEX('بيانات الحركات'!F:F,MATCH(652,'بيانات الحركات'!$G:$G,0)),"")</f>
        <v/>
      </c>
    </row>
    <row r="654" spans="1:6" ht="21.95" customHeight="1">
      <c r="A654" s="8" t="str">
        <f>IFERROR(INDEX('بيانات الحركات'!A:A,MATCH(653,'بيانات الحركات'!$G:$G,0)),"")</f>
        <v/>
      </c>
      <c r="B654" s="5" t="str">
        <f>IFERROR(INDEX('بيانات الحركات'!B:B,MATCH(653,'بيانات الحركات'!$G:$G,0)),"")</f>
        <v/>
      </c>
      <c r="C654" s="3" t="str">
        <f>IFERROR(INDEX('بيانات الحركات'!C:C,MATCH(653,'بيانات الحركات'!$G:$G,0)),"")</f>
        <v/>
      </c>
      <c r="D654" s="3" t="str">
        <f>IFERROR(INDEX('بيانات الحركات'!D:D,MATCH(653,'بيانات الحركات'!$G:$G,0)),"")</f>
        <v/>
      </c>
      <c r="E654" s="21" t="str">
        <f>IF($B654="إنتاج طبخة","",IFERROR(INDEX('بيانات الحركات'!E:E,MATCH(653,'بيانات الحركات'!$G:$G,0)),""))</f>
        <v/>
      </c>
      <c r="F654" s="3" t="str">
        <f>IFERROR(INDEX('بيانات الحركات'!F:F,MATCH(653,'بيانات الحركات'!$G:$G,0)),"")</f>
        <v/>
      </c>
    </row>
    <row r="655" spans="1:6" ht="21.95" customHeight="1">
      <c r="A655" s="8" t="str">
        <f>IFERROR(INDEX('بيانات الحركات'!A:A,MATCH(654,'بيانات الحركات'!$G:$G,0)),"")</f>
        <v/>
      </c>
      <c r="B655" s="5" t="str">
        <f>IFERROR(INDEX('بيانات الحركات'!B:B,MATCH(654,'بيانات الحركات'!$G:$G,0)),"")</f>
        <v/>
      </c>
      <c r="C655" s="3" t="str">
        <f>IFERROR(INDEX('بيانات الحركات'!C:C,MATCH(654,'بيانات الحركات'!$G:$G,0)),"")</f>
        <v/>
      </c>
      <c r="D655" s="3" t="str">
        <f>IFERROR(INDEX('بيانات الحركات'!D:D,MATCH(654,'بيانات الحركات'!$G:$G,0)),"")</f>
        <v/>
      </c>
      <c r="E655" s="21" t="str">
        <f>IF($B655="إنتاج طبخة","",IFERROR(INDEX('بيانات الحركات'!E:E,MATCH(654,'بيانات الحركات'!$G:$G,0)),""))</f>
        <v/>
      </c>
      <c r="F655" s="3" t="str">
        <f>IFERROR(INDEX('بيانات الحركات'!F:F,MATCH(654,'بيانات الحركات'!$G:$G,0)),"")</f>
        <v/>
      </c>
    </row>
    <row r="656" spans="1:6" ht="21.95" customHeight="1">
      <c r="A656" s="8" t="str">
        <f>IFERROR(INDEX('بيانات الحركات'!A:A,MATCH(655,'بيانات الحركات'!$G:$G,0)),"")</f>
        <v/>
      </c>
      <c r="B656" s="5" t="str">
        <f>IFERROR(INDEX('بيانات الحركات'!B:B,MATCH(655,'بيانات الحركات'!$G:$G,0)),"")</f>
        <v/>
      </c>
      <c r="C656" s="3" t="str">
        <f>IFERROR(INDEX('بيانات الحركات'!C:C,MATCH(655,'بيانات الحركات'!$G:$G,0)),"")</f>
        <v/>
      </c>
      <c r="D656" s="3" t="str">
        <f>IFERROR(INDEX('بيانات الحركات'!D:D,MATCH(655,'بيانات الحركات'!$G:$G,0)),"")</f>
        <v/>
      </c>
      <c r="E656" s="21" t="str">
        <f>IF($B656="إنتاج طبخة","",IFERROR(INDEX('بيانات الحركات'!E:E,MATCH(655,'بيانات الحركات'!$G:$G,0)),""))</f>
        <v/>
      </c>
      <c r="F656" s="3" t="str">
        <f>IFERROR(INDEX('بيانات الحركات'!F:F,MATCH(655,'بيانات الحركات'!$G:$G,0)),"")</f>
        <v/>
      </c>
    </row>
    <row r="657" spans="1:6" ht="21.95" customHeight="1">
      <c r="A657" s="8" t="str">
        <f>IFERROR(INDEX('بيانات الحركات'!A:A,MATCH(656,'بيانات الحركات'!$G:$G,0)),"")</f>
        <v/>
      </c>
      <c r="B657" s="5" t="str">
        <f>IFERROR(INDEX('بيانات الحركات'!B:B,MATCH(656,'بيانات الحركات'!$G:$G,0)),"")</f>
        <v/>
      </c>
      <c r="C657" s="3" t="str">
        <f>IFERROR(INDEX('بيانات الحركات'!C:C,MATCH(656,'بيانات الحركات'!$G:$G,0)),"")</f>
        <v/>
      </c>
      <c r="D657" s="3" t="str">
        <f>IFERROR(INDEX('بيانات الحركات'!D:D,MATCH(656,'بيانات الحركات'!$G:$G,0)),"")</f>
        <v/>
      </c>
      <c r="E657" s="21" t="str">
        <f>IF($B657="إنتاج طبخة","",IFERROR(INDEX('بيانات الحركات'!E:E,MATCH(656,'بيانات الحركات'!$G:$G,0)),""))</f>
        <v/>
      </c>
      <c r="F657" s="3" t="str">
        <f>IFERROR(INDEX('بيانات الحركات'!F:F,MATCH(656,'بيانات الحركات'!$G:$G,0)),"")</f>
        <v/>
      </c>
    </row>
    <row r="658" spans="1:6" ht="21.95" customHeight="1">
      <c r="A658" s="8" t="str">
        <f>IFERROR(INDEX('بيانات الحركات'!A:A,MATCH(657,'بيانات الحركات'!$G:$G,0)),"")</f>
        <v/>
      </c>
      <c r="B658" s="5" t="str">
        <f>IFERROR(INDEX('بيانات الحركات'!B:B,MATCH(657,'بيانات الحركات'!$G:$G,0)),"")</f>
        <v/>
      </c>
      <c r="C658" s="3" t="str">
        <f>IFERROR(INDEX('بيانات الحركات'!C:C,MATCH(657,'بيانات الحركات'!$G:$G,0)),"")</f>
        <v/>
      </c>
      <c r="D658" s="3" t="str">
        <f>IFERROR(INDEX('بيانات الحركات'!D:D,MATCH(657,'بيانات الحركات'!$G:$G,0)),"")</f>
        <v/>
      </c>
      <c r="E658" s="21" t="str">
        <f>IF($B658="إنتاج طبخة","",IFERROR(INDEX('بيانات الحركات'!E:E,MATCH(657,'بيانات الحركات'!$G:$G,0)),""))</f>
        <v/>
      </c>
      <c r="F658" s="3" t="str">
        <f>IFERROR(INDEX('بيانات الحركات'!F:F,MATCH(657,'بيانات الحركات'!$G:$G,0)),"")</f>
        <v/>
      </c>
    </row>
    <row r="659" spans="1:6" ht="21.95" customHeight="1">
      <c r="A659" s="8" t="str">
        <f>IFERROR(INDEX('بيانات الحركات'!A:A,MATCH(658,'بيانات الحركات'!$G:$G,0)),"")</f>
        <v/>
      </c>
      <c r="B659" s="5" t="str">
        <f>IFERROR(INDEX('بيانات الحركات'!B:B,MATCH(658,'بيانات الحركات'!$G:$G,0)),"")</f>
        <v/>
      </c>
      <c r="C659" s="3" t="str">
        <f>IFERROR(INDEX('بيانات الحركات'!C:C,MATCH(658,'بيانات الحركات'!$G:$G,0)),"")</f>
        <v/>
      </c>
      <c r="D659" s="3" t="str">
        <f>IFERROR(INDEX('بيانات الحركات'!D:D,MATCH(658,'بيانات الحركات'!$G:$G,0)),"")</f>
        <v/>
      </c>
      <c r="E659" s="21" t="str">
        <f>IF($B659="إنتاج طبخة","",IFERROR(INDEX('بيانات الحركات'!E:E,MATCH(658,'بيانات الحركات'!$G:$G,0)),""))</f>
        <v/>
      </c>
      <c r="F659" s="3" t="str">
        <f>IFERROR(INDEX('بيانات الحركات'!F:F,MATCH(658,'بيانات الحركات'!$G:$G,0)),"")</f>
        <v/>
      </c>
    </row>
    <row r="660" spans="1:6" ht="21.95" customHeight="1">
      <c r="A660" s="8" t="str">
        <f>IFERROR(INDEX('بيانات الحركات'!A:A,MATCH(659,'بيانات الحركات'!$G:$G,0)),"")</f>
        <v/>
      </c>
      <c r="B660" s="5" t="str">
        <f>IFERROR(INDEX('بيانات الحركات'!B:B,MATCH(659,'بيانات الحركات'!$G:$G,0)),"")</f>
        <v/>
      </c>
      <c r="C660" s="3" t="str">
        <f>IFERROR(INDEX('بيانات الحركات'!C:C,MATCH(659,'بيانات الحركات'!$G:$G,0)),"")</f>
        <v/>
      </c>
      <c r="D660" s="3" t="str">
        <f>IFERROR(INDEX('بيانات الحركات'!D:D,MATCH(659,'بيانات الحركات'!$G:$G,0)),"")</f>
        <v/>
      </c>
      <c r="E660" s="21" t="str">
        <f>IF($B660="إنتاج طبخة","",IFERROR(INDEX('بيانات الحركات'!E:E,MATCH(659,'بيانات الحركات'!$G:$G,0)),""))</f>
        <v/>
      </c>
      <c r="F660" s="3" t="str">
        <f>IFERROR(INDEX('بيانات الحركات'!F:F,MATCH(659,'بيانات الحركات'!$G:$G,0)),"")</f>
        <v/>
      </c>
    </row>
    <row r="661" spans="1:6" ht="21.95" customHeight="1">
      <c r="A661" s="8" t="str">
        <f>IFERROR(INDEX('بيانات الحركات'!A:A,MATCH(660,'بيانات الحركات'!$G:$G,0)),"")</f>
        <v/>
      </c>
      <c r="B661" s="5" t="str">
        <f>IFERROR(INDEX('بيانات الحركات'!B:B,MATCH(660,'بيانات الحركات'!$G:$G,0)),"")</f>
        <v/>
      </c>
      <c r="C661" s="3" t="str">
        <f>IFERROR(INDEX('بيانات الحركات'!C:C,MATCH(660,'بيانات الحركات'!$G:$G,0)),"")</f>
        <v/>
      </c>
      <c r="D661" s="3" t="str">
        <f>IFERROR(INDEX('بيانات الحركات'!D:D,MATCH(660,'بيانات الحركات'!$G:$G,0)),"")</f>
        <v/>
      </c>
      <c r="E661" s="21" t="str">
        <f>IF($B661="إنتاج طبخة","",IFERROR(INDEX('بيانات الحركات'!E:E,MATCH(660,'بيانات الحركات'!$G:$G,0)),""))</f>
        <v/>
      </c>
      <c r="F661" s="3" t="str">
        <f>IFERROR(INDEX('بيانات الحركات'!F:F,MATCH(660,'بيانات الحركات'!$G:$G,0)),"")</f>
        <v/>
      </c>
    </row>
    <row r="662" spans="1:6" ht="21.95" customHeight="1">
      <c r="A662" s="8" t="str">
        <f>IFERROR(INDEX('بيانات الحركات'!A:A,MATCH(661,'بيانات الحركات'!$G:$G,0)),"")</f>
        <v/>
      </c>
      <c r="B662" s="5" t="str">
        <f>IFERROR(INDEX('بيانات الحركات'!B:B,MATCH(661,'بيانات الحركات'!$G:$G,0)),"")</f>
        <v/>
      </c>
      <c r="C662" s="3" t="str">
        <f>IFERROR(INDEX('بيانات الحركات'!C:C,MATCH(661,'بيانات الحركات'!$G:$G,0)),"")</f>
        <v/>
      </c>
      <c r="D662" s="3" t="str">
        <f>IFERROR(INDEX('بيانات الحركات'!D:D,MATCH(661,'بيانات الحركات'!$G:$G,0)),"")</f>
        <v/>
      </c>
      <c r="E662" s="21" t="str">
        <f>IF($B662="إنتاج طبخة","",IFERROR(INDEX('بيانات الحركات'!E:E,MATCH(661,'بيانات الحركات'!$G:$G,0)),""))</f>
        <v/>
      </c>
      <c r="F662" s="3" t="str">
        <f>IFERROR(INDEX('بيانات الحركات'!F:F,MATCH(661,'بيانات الحركات'!$G:$G,0)),"")</f>
        <v/>
      </c>
    </row>
    <row r="663" spans="1:6" ht="21.95" customHeight="1">
      <c r="A663" s="8" t="str">
        <f>IFERROR(INDEX('بيانات الحركات'!A:A,MATCH(662,'بيانات الحركات'!$G:$G,0)),"")</f>
        <v/>
      </c>
      <c r="B663" s="5" t="str">
        <f>IFERROR(INDEX('بيانات الحركات'!B:B,MATCH(662,'بيانات الحركات'!$G:$G,0)),"")</f>
        <v/>
      </c>
      <c r="C663" s="3" t="str">
        <f>IFERROR(INDEX('بيانات الحركات'!C:C,MATCH(662,'بيانات الحركات'!$G:$G,0)),"")</f>
        <v/>
      </c>
      <c r="D663" s="3" t="str">
        <f>IFERROR(INDEX('بيانات الحركات'!D:D,MATCH(662,'بيانات الحركات'!$G:$G,0)),"")</f>
        <v/>
      </c>
      <c r="E663" s="21" t="str">
        <f>IF($B663="إنتاج طبخة","",IFERROR(INDEX('بيانات الحركات'!E:E,MATCH(662,'بيانات الحركات'!$G:$G,0)),""))</f>
        <v/>
      </c>
      <c r="F663" s="3" t="str">
        <f>IFERROR(INDEX('بيانات الحركات'!F:F,MATCH(662,'بيانات الحركات'!$G:$G,0)),"")</f>
        <v/>
      </c>
    </row>
    <row r="664" spans="1:6" ht="21.95" customHeight="1">
      <c r="A664" s="8" t="str">
        <f>IFERROR(INDEX('بيانات الحركات'!A:A,MATCH(663,'بيانات الحركات'!$G:$G,0)),"")</f>
        <v/>
      </c>
      <c r="B664" s="5" t="str">
        <f>IFERROR(INDEX('بيانات الحركات'!B:B,MATCH(663,'بيانات الحركات'!$G:$G,0)),"")</f>
        <v/>
      </c>
      <c r="C664" s="3" t="str">
        <f>IFERROR(INDEX('بيانات الحركات'!C:C,MATCH(663,'بيانات الحركات'!$G:$G,0)),"")</f>
        <v/>
      </c>
      <c r="D664" s="3" t="str">
        <f>IFERROR(INDEX('بيانات الحركات'!D:D,MATCH(663,'بيانات الحركات'!$G:$G,0)),"")</f>
        <v/>
      </c>
      <c r="E664" s="21" t="str">
        <f>IF($B664="إنتاج طبخة","",IFERROR(INDEX('بيانات الحركات'!E:E,MATCH(663,'بيانات الحركات'!$G:$G,0)),""))</f>
        <v/>
      </c>
      <c r="F664" s="3" t="str">
        <f>IFERROR(INDEX('بيانات الحركات'!F:F,MATCH(663,'بيانات الحركات'!$G:$G,0)),"")</f>
        <v/>
      </c>
    </row>
    <row r="665" spans="1:6" ht="21.95" customHeight="1">
      <c r="A665" s="8" t="str">
        <f>IFERROR(INDEX('بيانات الحركات'!A:A,MATCH(664,'بيانات الحركات'!$G:$G,0)),"")</f>
        <v/>
      </c>
      <c r="B665" s="5" t="str">
        <f>IFERROR(INDEX('بيانات الحركات'!B:B,MATCH(664,'بيانات الحركات'!$G:$G,0)),"")</f>
        <v/>
      </c>
      <c r="C665" s="3" t="str">
        <f>IFERROR(INDEX('بيانات الحركات'!C:C,MATCH(664,'بيانات الحركات'!$G:$G,0)),"")</f>
        <v/>
      </c>
      <c r="D665" s="3" t="str">
        <f>IFERROR(INDEX('بيانات الحركات'!D:D,MATCH(664,'بيانات الحركات'!$G:$G,0)),"")</f>
        <v/>
      </c>
      <c r="E665" s="21" t="str">
        <f>IF($B665="إنتاج طبخة","",IFERROR(INDEX('بيانات الحركات'!E:E,MATCH(664,'بيانات الحركات'!$G:$G,0)),""))</f>
        <v/>
      </c>
      <c r="F665" s="3" t="str">
        <f>IFERROR(INDEX('بيانات الحركات'!F:F,MATCH(664,'بيانات الحركات'!$G:$G,0)),"")</f>
        <v/>
      </c>
    </row>
    <row r="666" spans="1:6" ht="21.95" customHeight="1">
      <c r="A666" s="8" t="str">
        <f>IFERROR(INDEX('بيانات الحركات'!A:A,MATCH(665,'بيانات الحركات'!$G:$G,0)),"")</f>
        <v/>
      </c>
      <c r="B666" s="5" t="str">
        <f>IFERROR(INDEX('بيانات الحركات'!B:B,MATCH(665,'بيانات الحركات'!$G:$G,0)),"")</f>
        <v/>
      </c>
      <c r="C666" s="3" t="str">
        <f>IFERROR(INDEX('بيانات الحركات'!C:C,MATCH(665,'بيانات الحركات'!$G:$G,0)),"")</f>
        <v/>
      </c>
      <c r="D666" s="3" t="str">
        <f>IFERROR(INDEX('بيانات الحركات'!D:D,MATCH(665,'بيانات الحركات'!$G:$G,0)),"")</f>
        <v/>
      </c>
      <c r="E666" s="21" t="str">
        <f>IF($B666="إنتاج طبخة","",IFERROR(INDEX('بيانات الحركات'!E:E,MATCH(665,'بيانات الحركات'!$G:$G,0)),""))</f>
        <v/>
      </c>
      <c r="F666" s="3" t="str">
        <f>IFERROR(INDEX('بيانات الحركات'!F:F,MATCH(665,'بيانات الحركات'!$G:$G,0)),"")</f>
        <v/>
      </c>
    </row>
    <row r="667" spans="1:6" ht="21.95" customHeight="1">
      <c r="A667" s="8" t="str">
        <f>IFERROR(INDEX('بيانات الحركات'!A:A,MATCH(666,'بيانات الحركات'!$G:$G,0)),"")</f>
        <v/>
      </c>
      <c r="B667" s="5" t="str">
        <f>IFERROR(INDEX('بيانات الحركات'!B:B,MATCH(666,'بيانات الحركات'!$G:$G,0)),"")</f>
        <v/>
      </c>
      <c r="C667" s="3" t="str">
        <f>IFERROR(INDEX('بيانات الحركات'!C:C,MATCH(666,'بيانات الحركات'!$G:$G,0)),"")</f>
        <v/>
      </c>
      <c r="D667" s="3" t="str">
        <f>IFERROR(INDEX('بيانات الحركات'!D:D,MATCH(666,'بيانات الحركات'!$G:$G,0)),"")</f>
        <v/>
      </c>
      <c r="E667" s="21" t="str">
        <f>IF($B667="إنتاج طبخة","",IFERROR(INDEX('بيانات الحركات'!E:E,MATCH(666,'بيانات الحركات'!$G:$G,0)),""))</f>
        <v/>
      </c>
      <c r="F667" s="3" t="str">
        <f>IFERROR(INDEX('بيانات الحركات'!F:F,MATCH(666,'بيانات الحركات'!$G:$G,0)),"")</f>
        <v/>
      </c>
    </row>
    <row r="668" spans="1:6" ht="21.95" customHeight="1">
      <c r="A668" s="8" t="str">
        <f>IFERROR(INDEX('بيانات الحركات'!A:A,MATCH(667,'بيانات الحركات'!$G:$G,0)),"")</f>
        <v/>
      </c>
      <c r="B668" s="5" t="str">
        <f>IFERROR(INDEX('بيانات الحركات'!B:B,MATCH(667,'بيانات الحركات'!$G:$G,0)),"")</f>
        <v/>
      </c>
      <c r="C668" s="3" t="str">
        <f>IFERROR(INDEX('بيانات الحركات'!C:C,MATCH(667,'بيانات الحركات'!$G:$G,0)),"")</f>
        <v/>
      </c>
      <c r="D668" s="3" t="str">
        <f>IFERROR(INDEX('بيانات الحركات'!D:D,MATCH(667,'بيانات الحركات'!$G:$G,0)),"")</f>
        <v/>
      </c>
      <c r="E668" s="21" t="str">
        <f>IF($B668="إنتاج طبخة","",IFERROR(INDEX('بيانات الحركات'!E:E,MATCH(667,'بيانات الحركات'!$G:$G,0)),""))</f>
        <v/>
      </c>
      <c r="F668" s="3" t="str">
        <f>IFERROR(INDEX('بيانات الحركات'!F:F,MATCH(667,'بيانات الحركات'!$G:$G,0)),"")</f>
        <v/>
      </c>
    </row>
    <row r="669" spans="1:6" ht="21.95" customHeight="1">
      <c r="A669" s="8" t="str">
        <f>IFERROR(INDEX('بيانات الحركات'!A:A,MATCH(668,'بيانات الحركات'!$G:$G,0)),"")</f>
        <v/>
      </c>
      <c r="B669" s="5" t="str">
        <f>IFERROR(INDEX('بيانات الحركات'!B:B,MATCH(668,'بيانات الحركات'!$G:$G,0)),"")</f>
        <v/>
      </c>
      <c r="C669" s="3" t="str">
        <f>IFERROR(INDEX('بيانات الحركات'!C:C,MATCH(668,'بيانات الحركات'!$G:$G,0)),"")</f>
        <v/>
      </c>
      <c r="D669" s="3" t="str">
        <f>IFERROR(INDEX('بيانات الحركات'!D:D,MATCH(668,'بيانات الحركات'!$G:$G,0)),"")</f>
        <v/>
      </c>
      <c r="E669" s="21" t="str">
        <f>IF($B669="إنتاج طبخة","",IFERROR(INDEX('بيانات الحركات'!E:E,MATCH(668,'بيانات الحركات'!$G:$G,0)),""))</f>
        <v/>
      </c>
      <c r="F669" s="3" t="str">
        <f>IFERROR(INDEX('بيانات الحركات'!F:F,MATCH(668,'بيانات الحركات'!$G:$G,0)),"")</f>
        <v/>
      </c>
    </row>
    <row r="670" spans="1:6" ht="21.95" customHeight="1">
      <c r="A670" s="8" t="str">
        <f>IFERROR(INDEX('بيانات الحركات'!A:A,MATCH(669,'بيانات الحركات'!$G:$G,0)),"")</f>
        <v/>
      </c>
      <c r="B670" s="5" t="str">
        <f>IFERROR(INDEX('بيانات الحركات'!B:B,MATCH(669,'بيانات الحركات'!$G:$G,0)),"")</f>
        <v/>
      </c>
      <c r="C670" s="3" t="str">
        <f>IFERROR(INDEX('بيانات الحركات'!C:C,MATCH(669,'بيانات الحركات'!$G:$G,0)),"")</f>
        <v/>
      </c>
      <c r="D670" s="3" t="str">
        <f>IFERROR(INDEX('بيانات الحركات'!D:D,MATCH(669,'بيانات الحركات'!$G:$G,0)),"")</f>
        <v/>
      </c>
      <c r="E670" s="21" t="str">
        <f>IF($B670="إنتاج طبخة","",IFERROR(INDEX('بيانات الحركات'!E:E,MATCH(669,'بيانات الحركات'!$G:$G,0)),""))</f>
        <v/>
      </c>
      <c r="F670" s="3" t="str">
        <f>IFERROR(INDEX('بيانات الحركات'!F:F,MATCH(669,'بيانات الحركات'!$G:$G,0)),"")</f>
        <v/>
      </c>
    </row>
    <row r="671" spans="1:6" ht="21.95" customHeight="1">
      <c r="A671" s="8" t="str">
        <f>IFERROR(INDEX('بيانات الحركات'!A:A,MATCH(670,'بيانات الحركات'!$G:$G,0)),"")</f>
        <v/>
      </c>
      <c r="B671" s="5" t="str">
        <f>IFERROR(INDEX('بيانات الحركات'!B:B,MATCH(670,'بيانات الحركات'!$G:$G,0)),"")</f>
        <v/>
      </c>
      <c r="C671" s="3" t="str">
        <f>IFERROR(INDEX('بيانات الحركات'!C:C,MATCH(670,'بيانات الحركات'!$G:$G,0)),"")</f>
        <v/>
      </c>
      <c r="D671" s="3" t="str">
        <f>IFERROR(INDEX('بيانات الحركات'!D:D,MATCH(670,'بيانات الحركات'!$G:$G,0)),"")</f>
        <v/>
      </c>
      <c r="E671" s="21" t="str">
        <f>IF($B671="إنتاج طبخة","",IFERROR(INDEX('بيانات الحركات'!E:E,MATCH(670,'بيانات الحركات'!$G:$G,0)),""))</f>
        <v/>
      </c>
      <c r="F671" s="3" t="str">
        <f>IFERROR(INDEX('بيانات الحركات'!F:F,MATCH(670,'بيانات الحركات'!$G:$G,0)),"")</f>
        <v/>
      </c>
    </row>
    <row r="672" spans="1:6" ht="21.95" customHeight="1">
      <c r="A672" s="8" t="str">
        <f>IFERROR(INDEX('بيانات الحركات'!A:A,MATCH(671,'بيانات الحركات'!$G:$G,0)),"")</f>
        <v/>
      </c>
      <c r="B672" s="5" t="str">
        <f>IFERROR(INDEX('بيانات الحركات'!B:B,MATCH(671,'بيانات الحركات'!$G:$G,0)),"")</f>
        <v/>
      </c>
      <c r="C672" s="3" t="str">
        <f>IFERROR(INDEX('بيانات الحركات'!C:C,MATCH(671,'بيانات الحركات'!$G:$G,0)),"")</f>
        <v/>
      </c>
      <c r="D672" s="3" t="str">
        <f>IFERROR(INDEX('بيانات الحركات'!D:D,MATCH(671,'بيانات الحركات'!$G:$G,0)),"")</f>
        <v/>
      </c>
      <c r="E672" s="21" t="str">
        <f>IF($B672="إنتاج طبخة","",IFERROR(INDEX('بيانات الحركات'!E:E,MATCH(671,'بيانات الحركات'!$G:$G,0)),""))</f>
        <v/>
      </c>
      <c r="F672" s="3" t="str">
        <f>IFERROR(INDEX('بيانات الحركات'!F:F,MATCH(671,'بيانات الحركات'!$G:$G,0)),"")</f>
        <v/>
      </c>
    </row>
    <row r="673" spans="1:6" ht="21.95" customHeight="1">
      <c r="A673" s="8" t="str">
        <f>IFERROR(INDEX('بيانات الحركات'!A:A,MATCH(672,'بيانات الحركات'!$G:$G,0)),"")</f>
        <v/>
      </c>
      <c r="B673" s="5" t="str">
        <f>IFERROR(INDEX('بيانات الحركات'!B:B,MATCH(672,'بيانات الحركات'!$G:$G,0)),"")</f>
        <v/>
      </c>
      <c r="C673" s="3" t="str">
        <f>IFERROR(INDEX('بيانات الحركات'!C:C,MATCH(672,'بيانات الحركات'!$G:$G,0)),"")</f>
        <v/>
      </c>
      <c r="D673" s="3" t="str">
        <f>IFERROR(INDEX('بيانات الحركات'!D:D,MATCH(672,'بيانات الحركات'!$G:$G,0)),"")</f>
        <v/>
      </c>
      <c r="E673" s="21" t="str">
        <f>IF($B673="إنتاج طبخة","",IFERROR(INDEX('بيانات الحركات'!E:E,MATCH(672,'بيانات الحركات'!$G:$G,0)),""))</f>
        <v/>
      </c>
      <c r="F673" s="3" t="str">
        <f>IFERROR(INDEX('بيانات الحركات'!F:F,MATCH(672,'بيانات الحركات'!$G:$G,0)),"")</f>
        <v/>
      </c>
    </row>
    <row r="674" spans="1:6" ht="21.95" customHeight="1">
      <c r="A674" s="8" t="str">
        <f>IFERROR(INDEX('بيانات الحركات'!A:A,MATCH(673,'بيانات الحركات'!$G:$G,0)),"")</f>
        <v/>
      </c>
      <c r="B674" s="5" t="str">
        <f>IFERROR(INDEX('بيانات الحركات'!B:B,MATCH(673,'بيانات الحركات'!$G:$G,0)),"")</f>
        <v/>
      </c>
      <c r="C674" s="3" t="str">
        <f>IFERROR(INDEX('بيانات الحركات'!C:C,MATCH(673,'بيانات الحركات'!$G:$G,0)),"")</f>
        <v/>
      </c>
      <c r="D674" s="3" t="str">
        <f>IFERROR(INDEX('بيانات الحركات'!D:D,MATCH(673,'بيانات الحركات'!$G:$G,0)),"")</f>
        <v/>
      </c>
      <c r="E674" s="21" t="str">
        <f>IF($B674="إنتاج طبخة","",IFERROR(INDEX('بيانات الحركات'!E:E,MATCH(673,'بيانات الحركات'!$G:$G,0)),""))</f>
        <v/>
      </c>
      <c r="F674" s="3" t="str">
        <f>IFERROR(INDEX('بيانات الحركات'!F:F,MATCH(673,'بيانات الحركات'!$G:$G,0)),"")</f>
        <v/>
      </c>
    </row>
    <row r="675" spans="1:6" ht="21.95" customHeight="1">
      <c r="A675" s="8" t="str">
        <f>IFERROR(INDEX('بيانات الحركات'!A:A,MATCH(674,'بيانات الحركات'!$G:$G,0)),"")</f>
        <v/>
      </c>
      <c r="B675" s="5" t="str">
        <f>IFERROR(INDEX('بيانات الحركات'!B:B,MATCH(674,'بيانات الحركات'!$G:$G,0)),"")</f>
        <v/>
      </c>
      <c r="C675" s="3" t="str">
        <f>IFERROR(INDEX('بيانات الحركات'!C:C,MATCH(674,'بيانات الحركات'!$G:$G,0)),"")</f>
        <v/>
      </c>
      <c r="D675" s="3" t="str">
        <f>IFERROR(INDEX('بيانات الحركات'!D:D,MATCH(674,'بيانات الحركات'!$G:$G,0)),"")</f>
        <v/>
      </c>
      <c r="E675" s="21" t="str">
        <f>IF($B675="إنتاج طبخة","",IFERROR(INDEX('بيانات الحركات'!E:E,MATCH(674,'بيانات الحركات'!$G:$G,0)),""))</f>
        <v/>
      </c>
      <c r="F675" s="3" t="str">
        <f>IFERROR(INDEX('بيانات الحركات'!F:F,MATCH(674,'بيانات الحركات'!$G:$G,0)),"")</f>
        <v/>
      </c>
    </row>
    <row r="676" spans="1:6" ht="21.95" customHeight="1">
      <c r="A676" s="8" t="str">
        <f>IFERROR(INDEX('بيانات الحركات'!A:A,MATCH(675,'بيانات الحركات'!$G:$G,0)),"")</f>
        <v/>
      </c>
      <c r="B676" s="5" t="str">
        <f>IFERROR(INDEX('بيانات الحركات'!B:B,MATCH(675,'بيانات الحركات'!$G:$G,0)),"")</f>
        <v/>
      </c>
      <c r="C676" s="3" t="str">
        <f>IFERROR(INDEX('بيانات الحركات'!C:C,MATCH(675,'بيانات الحركات'!$G:$G,0)),"")</f>
        <v/>
      </c>
      <c r="D676" s="3" t="str">
        <f>IFERROR(INDEX('بيانات الحركات'!D:D,MATCH(675,'بيانات الحركات'!$G:$G,0)),"")</f>
        <v/>
      </c>
      <c r="E676" s="21" t="str">
        <f>IF($B676="إنتاج طبخة","",IFERROR(INDEX('بيانات الحركات'!E:E,MATCH(675,'بيانات الحركات'!$G:$G,0)),""))</f>
        <v/>
      </c>
      <c r="F676" s="3" t="str">
        <f>IFERROR(INDEX('بيانات الحركات'!F:F,MATCH(675,'بيانات الحركات'!$G:$G,0)),"")</f>
        <v/>
      </c>
    </row>
    <row r="677" spans="1:6" ht="21.95" customHeight="1">
      <c r="A677" s="8" t="str">
        <f>IFERROR(INDEX('بيانات الحركات'!A:A,MATCH(676,'بيانات الحركات'!$G:$G,0)),"")</f>
        <v/>
      </c>
      <c r="B677" s="5" t="str">
        <f>IFERROR(INDEX('بيانات الحركات'!B:B,MATCH(676,'بيانات الحركات'!$G:$G,0)),"")</f>
        <v/>
      </c>
      <c r="C677" s="3" t="str">
        <f>IFERROR(INDEX('بيانات الحركات'!C:C,MATCH(676,'بيانات الحركات'!$G:$G,0)),"")</f>
        <v/>
      </c>
      <c r="D677" s="3" t="str">
        <f>IFERROR(INDEX('بيانات الحركات'!D:D,MATCH(676,'بيانات الحركات'!$G:$G,0)),"")</f>
        <v/>
      </c>
      <c r="E677" s="21" t="str">
        <f>IF($B677="إنتاج طبخة","",IFERROR(INDEX('بيانات الحركات'!E:E,MATCH(676,'بيانات الحركات'!$G:$G,0)),""))</f>
        <v/>
      </c>
      <c r="F677" s="3" t="str">
        <f>IFERROR(INDEX('بيانات الحركات'!F:F,MATCH(676,'بيانات الحركات'!$G:$G,0)),"")</f>
        <v/>
      </c>
    </row>
    <row r="678" spans="1:6" ht="21.95" customHeight="1">
      <c r="A678" s="8" t="str">
        <f>IFERROR(INDEX('بيانات الحركات'!A:A,MATCH(677,'بيانات الحركات'!$G:$G,0)),"")</f>
        <v/>
      </c>
      <c r="B678" s="5" t="str">
        <f>IFERROR(INDEX('بيانات الحركات'!B:B,MATCH(677,'بيانات الحركات'!$G:$G,0)),"")</f>
        <v/>
      </c>
      <c r="C678" s="3" t="str">
        <f>IFERROR(INDEX('بيانات الحركات'!C:C,MATCH(677,'بيانات الحركات'!$G:$G,0)),"")</f>
        <v/>
      </c>
      <c r="D678" s="3" t="str">
        <f>IFERROR(INDEX('بيانات الحركات'!D:D,MATCH(677,'بيانات الحركات'!$G:$G,0)),"")</f>
        <v/>
      </c>
      <c r="E678" s="21" t="str">
        <f>IF($B678="إنتاج طبخة","",IFERROR(INDEX('بيانات الحركات'!E:E,MATCH(677,'بيانات الحركات'!$G:$G,0)),""))</f>
        <v/>
      </c>
      <c r="F678" s="3" t="str">
        <f>IFERROR(INDEX('بيانات الحركات'!F:F,MATCH(677,'بيانات الحركات'!$G:$G,0)),"")</f>
        <v/>
      </c>
    </row>
    <row r="679" spans="1:6" ht="21.95" customHeight="1">
      <c r="A679" s="8" t="str">
        <f>IFERROR(INDEX('بيانات الحركات'!A:A,MATCH(678,'بيانات الحركات'!$G:$G,0)),"")</f>
        <v/>
      </c>
      <c r="B679" s="5" t="str">
        <f>IFERROR(INDEX('بيانات الحركات'!B:B,MATCH(678,'بيانات الحركات'!$G:$G,0)),"")</f>
        <v/>
      </c>
      <c r="C679" s="3" t="str">
        <f>IFERROR(INDEX('بيانات الحركات'!C:C,MATCH(678,'بيانات الحركات'!$G:$G,0)),"")</f>
        <v/>
      </c>
      <c r="D679" s="3" t="str">
        <f>IFERROR(INDEX('بيانات الحركات'!D:D,MATCH(678,'بيانات الحركات'!$G:$G,0)),"")</f>
        <v/>
      </c>
      <c r="E679" s="21" t="str">
        <f>IF($B679="إنتاج طبخة","",IFERROR(INDEX('بيانات الحركات'!E:E,MATCH(678,'بيانات الحركات'!$G:$G,0)),""))</f>
        <v/>
      </c>
      <c r="F679" s="3" t="str">
        <f>IFERROR(INDEX('بيانات الحركات'!F:F,MATCH(678,'بيانات الحركات'!$G:$G,0)),"")</f>
        <v/>
      </c>
    </row>
    <row r="680" spans="1:6" ht="21.95" customHeight="1">
      <c r="A680" s="8" t="str">
        <f>IFERROR(INDEX('بيانات الحركات'!A:A,MATCH(679,'بيانات الحركات'!$G:$G,0)),"")</f>
        <v/>
      </c>
      <c r="B680" s="5" t="str">
        <f>IFERROR(INDEX('بيانات الحركات'!B:B,MATCH(679,'بيانات الحركات'!$G:$G,0)),"")</f>
        <v/>
      </c>
      <c r="C680" s="3" t="str">
        <f>IFERROR(INDEX('بيانات الحركات'!C:C,MATCH(679,'بيانات الحركات'!$G:$G,0)),"")</f>
        <v/>
      </c>
      <c r="D680" s="3" t="str">
        <f>IFERROR(INDEX('بيانات الحركات'!D:D,MATCH(679,'بيانات الحركات'!$G:$G,0)),"")</f>
        <v/>
      </c>
      <c r="E680" s="21" t="str">
        <f>IF($B680="إنتاج طبخة","",IFERROR(INDEX('بيانات الحركات'!E:E,MATCH(679,'بيانات الحركات'!$G:$G,0)),""))</f>
        <v/>
      </c>
      <c r="F680" s="3" t="str">
        <f>IFERROR(INDEX('بيانات الحركات'!F:F,MATCH(679,'بيانات الحركات'!$G:$G,0)),"")</f>
        <v/>
      </c>
    </row>
    <row r="681" spans="1:6" ht="21.95" customHeight="1">
      <c r="A681" s="8" t="str">
        <f>IFERROR(INDEX('بيانات الحركات'!A:A,MATCH(680,'بيانات الحركات'!$G:$G,0)),"")</f>
        <v/>
      </c>
      <c r="B681" s="5" t="str">
        <f>IFERROR(INDEX('بيانات الحركات'!B:B,MATCH(680,'بيانات الحركات'!$G:$G,0)),"")</f>
        <v/>
      </c>
      <c r="C681" s="3" t="str">
        <f>IFERROR(INDEX('بيانات الحركات'!C:C,MATCH(680,'بيانات الحركات'!$G:$G,0)),"")</f>
        <v/>
      </c>
      <c r="D681" s="3" t="str">
        <f>IFERROR(INDEX('بيانات الحركات'!D:D,MATCH(680,'بيانات الحركات'!$G:$G,0)),"")</f>
        <v/>
      </c>
      <c r="E681" s="21" t="str">
        <f>IF($B681="إنتاج طبخة","",IFERROR(INDEX('بيانات الحركات'!E:E,MATCH(680,'بيانات الحركات'!$G:$G,0)),""))</f>
        <v/>
      </c>
      <c r="F681" s="3" t="str">
        <f>IFERROR(INDEX('بيانات الحركات'!F:F,MATCH(680,'بيانات الحركات'!$G:$G,0)),"")</f>
        <v/>
      </c>
    </row>
    <row r="682" spans="1:6" ht="21.95" customHeight="1">
      <c r="A682" s="8" t="str">
        <f>IFERROR(INDEX('بيانات الحركات'!A:A,MATCH(681,'بيانات الحركات'!$G:$G,0)),"")</f>
        <v/>
      </c>
      <c r="B682" s="5" t="str">
        <f>IFERROR(INDEX('بيانات الحركات'!B:B,MATCH(681,'بيانات الحركات'!$G:$G,0)),"")</f>
        <v/>
      </c>
      <c r="C682" s="3" t="str">
        <f>IFERROR(INDEX('بيانات الحركات'!C:C,MATCH(681,'بيانات الحركات'!$G:$G,0)),"")</f>
        <v/>
      </c>
      <c r="D682" s="3" t="str">
        <f>IFERROR(INDEX('بيانات الحركات'!D:D,MATCH(681,'بيانات الحركات'!$G:$G,0)),"")</f>
        <v/>
      </c>
      <c r="E682" s="21" t="str">
        <f>IF($B682="إنتاج طبخة","",IFERROR(INDEX('بيانات الحركات'!E:E,MATCH(681,'بيانات الحركات'!$G:$G,0)),""))</f>
        <v/>
      </c>
      <c r="F682" s="3" t="str">
        <f>IFERROR(INDEX('بيانات الحركات'!F:F,MATCH(681,'بيانات الحركات'!$G:$G,0)),"")</f>
        <v/>
      </c>
    </row>
    <row r="683" spans="1:6" ht="21.95" customHeight="1">
      <c r="A683" s="8" t="str">
        <f>IFERROR(INDEX('بيانات الحركات'!A:A,MATCH(682,'بيانات الحركات'!$G:$G,0)),"")</f>
        <v/>
      </c>
      <c r="B683" s="5" t="str">
        <f>IFERROR(INDEX('بيانات الحركات'!B:B,MATCH(682,'بيانات الحركات'!$G:$G,0)),"")</f>
        <v/>
      </c>
      <c r="C683" s="3" t="str">
        <f>IFERROR(INDEX('بيانات الحركات'!C:C,MATCH(682,'بيانات الحركات'!$G:$G,0)),"")</f>
        <v/>
      </c>
      <c r="D683" s="3" t="str">
        <f>IFERROR(INDEX('بيانات الحركات'!D:D,MATCH(682,'بيانات الحركات'!$G:$G,0)),"")</f>
        <v/>
      </c>
      <c r="E683" s="21" t="str">
        <f>IF($B683="إنتاج طبخة","",IFERROR(INDEX('بيانات الحركات'!E:E,MATCH(682,'بيانات الحركات'!$G:$G,0)),""))</f>
        <v/>
      </c>
      <c r="F683" s="3" t="str">
        <f>IFERROR(INDEX('بيانات الحركات'!F:F,MATCH(682,'بيانات الحركات'!$G:$G,0)),"")</f>
        <v/>
      </c>
    </row>
    <row r="684" spans="1:6" ht="21.95" customHeight="1">
      <c r="A684" s="8" t="str">
        <f>IFERROR(INDEX('بيانات الحركات'!A:A,MATCH(683,'بيانات الحركات'!$G:$G,0)),"")</f>
        <v/>
      </c>
      <c r="B684" s="5" t="str">
        <f>IFERROR(INDEX('بيانات الحركات'!B:B,MATCH(683,'بيانات الحركات'!$G:$G,0)),"")</f>
        <v/>
      </c>
      <c r="C684" s="3" t="str">
        <f>IFERROR(INDEX('بيانات الحركات'!C:C,MATCH(683,'بيانات الحركات'!$G:$G,0)),"")</f>
        <v/>
      </c>
      <c r="D684" s="3" t="str">
        <f>IFERROR(INDEX('بيانات الحركات'!D:D,MATCH(683,'بيانات الحركات'!$G:$G,0)),"")</f>
        <v/>
      </c>
      <c r="E684" s="21" t="str">
        <f>IF($B684="إنتاج طبخة","",IFERROR(INDEX('بيانات الحركات'!E:E,MATCH(683,'بيانات الحركات'!$G:$G,0)),""))</f>
        <v/>
      </c>
      <c r="F684" s="3" t="str">
        <f>IFERROR(INDEX('بيانات الحركات'!F:F,MATCH(683,'بيانات الحركات'!$G:$G,0)),"")</f>
        <v/>
      </c>
    </row>
    <row r="685" spans="1:6" ht="21.95" customHeight="1">
      <c r="A685" s="8" t="str">
        <f>IFERROR(INDEX('بيانات الحركات'!A:A,MATCH(684,'بيانات الحركات'!$G:$G,0)),"")</f>
        <v/>
      </c>
      <c r="B685" s="5" t="str">
        <f>IFERROR(INDEX('بيانات الحركات'!B:B,MATCH(684,'بيانات الحركات'!$G:$G,0)),"")</f>
        <v/>
      </c>
      <c r="C685" s="3" t="str">
        <f>IFERROR(INDEX('بيانات الحركات'!C:C,MATCH(684,'بيانات الحركات'!$G:$G,0)),"")</f>
        <v/>
      </c>
      <c r="D685" s="3" t="str">
        <f>IFERROR(INDEX('بيانات الحركات'!D:D,MATCH(684,'بيانات الحركات'!$G:$G,0)),"")</f>
        <v/>
      </c>
      <c r="E685" s="21" t="str">
        <f>IF($B685="إنتاج طبخة","",IFERROR(INDEX('بيانات الحركات'!E:E,MATCH(684,'بيانات الحركات'!$G:$G,0)),""))</f>
        <v/>
      </c>
      <c r="F685" s="3" t="str">
        <f>IFERROR(INDEX('بيانات الحركات'!F:F,MATCH(684,'بيانات الحركات'!$G:$G,0)),"")</f>
        <v/>
      </c>
    </row>
    <row r="686" spans="1:6" ht="21.95" customHeight="1">
      <c r="A686" s="8" t="str">
        <f>IFERROR(INDEX('بيانات الحركات'!A:A,MATCH(685,'بيانات الحركات'!$G:$G,0)),"")</f>
        <v/>
      </c>
      <c r="B686" s="5" t="str">
        <f>IFERROR(INDEX('بيانات الحركات'!B:B,MATCH(685,'بيانات الحركات'!$G:$G,0)),"")</f>
        <v/>
      </c>
      <c r="C686" s="3" t="str">
        <f>IFERROR(INDEX('بيانات الحركات'!C:C,MATCH(685,'بيانات الحركات'!$G:$G,0)),"")</f>
        <v/>
      </c>
      <c r="D686" s="3" t="str">
        <f>IFERROR(INDEX('بيانات الحركات'!D:D,MATCH(685,'بيانات الحركات'!$G:$G,0)),"")</f>
        <v/>
      </c>
      <c r="E686" s="21" t="str">
        <f>IF($B686="إنتاج طبخة","",IFERROR(INDEX('بيانات الحركات'!E:E,MATCH(685,'بيانات الحركات'!$G:$G,0)),""))</f>
        <v/>
      </c>
      <c r="F686" s="3" t="str">
        <f>IFERROR(INDEX('بيانات الحركات'!F:F,MATCH(685,'بيانات الحركات'!$G:$G,0)),"")</f>
        <v/>
      </c>
    </row>
    <row r="687" spans="1:6" ht="21.95" customHeight="1">
      <c r="A687" s="8" t="str">
        <f>IFERROR(INDEX('بيانات الحركات'!A:A,MATCH(686,'بيانات الحركات'!$G:$G,0)),"")</f>
        <v/>
      </c>
      <c r="B687" s="5" t="str">
        <f>IFERROR(INDEX('بيانات الحركات'!B:B,MATCH(686,'بيانات الحركات'!$G:$G,0)),"")</f>
        <v/>
      </c>
      <c r="C687" s="3" t="str">
        <f>IFERROR(INDEX('بيانات الحركات'!C:C,MATCH(686,'بيانات الحركات'!$G:$G,0)),"")</f>
        <v/>
      </c>
      <c r="D687" s="3" t="str">
        <f>IFERROR(INDEX('بيانات الحركات'!D:D,MATCH(686,'بيانات الحركات'!$G:$G,0)),"")</f>
        <v/>
      </c>
      <c r="E687" s="21" t="str">
        <f>IF($B687="إنتاج طبخة","",IFERROR(INDEX('بيانات الحركات'!E:E,MATCH(686,'بيانات الحركات'!$G:$G,0)),""))</f>
        <v/>
      </c>
      <c r="F687" s="3" t="str">
        <f>IFERROR(INDEX('بيانات الحركات'!F:F,MATCH(686,'بيانات الحركات'!$G:$G,0)),"")</f>
        <v/>
      </c>
    </row>
    <row r="688" spans="1:6" ht="21.95" customHeight="1">
      <c r="A688" s="8" t="str">
        <f>IFERROR(INDEX('بيانات الحركات'!A:A,MATCH(687,'بيانات الحركات'!$G:$G,0)),"")</f>
        <v/>
      </c>
      <c r="B688" s="5" t="str">
        <f>IFERROR(INDEX('بيانات الحركات'!B:B,MATCH(687,'بيانات الحركات'!$G:$G,0)),"")</f>
        <v/>
      </c>
      <c r="C688" s="3" t="str">
        <f>IFERROR(INDEX('بيانات الحركات'!C:C,MATCH(687,'بيانات الحركات'!$G:$G,0)),"")</f>
        <v/>
      </c>
      <c r="D688" s="3" t="str">
        <f>IFERROR(INDEX('بيانات الحركات'!D:D,MATCH(687,'بيانات الحركات'!$G:$G,0)),"")</f>
        <v/>
      </c>
      <c r="E688" s="21" t="str">
        <f>IF($B688="إنتاج طبخة","",IFERROR(INDEX('بيانات الحركات'!E:E,MATCH(687,'بيانات الحركات'!$G:$G,0)),""))</f>
        <v/>
      </c>
      <c r="F688" s="3" t="str">
        <f>IFERROR(INDEX('بيانات الحركات'!F:F,MATCH(687,'بيانات الحركات'!$G:$G,0)),"")</f>
        <v/>
      </c>
    </row>
    <row r="689" spans="1:6" ht="21.95" customHeight="1">
      <c r="A689" s="8" t="str">
        <f>IFERROR(INDEX('بيانات الحركات'!A:A,MATCH(688,'بيانات الحركات'!$G:$G,0)),"")</f>
        <v/>
      </c>
      <c r="B689" s="5" t="str">
        <f>IFERROR(INDEX('بيانات الحركات'!B:B,MATCH(688,'بيانات الحركات'!$G:$G,0)),"")</f>
        <v/>
      </c>
      <c r="C689" s="3" t="str">
        <f>IFERROR(INDEX('بيانات الحركات'!C:C,MATCH(688,'بيانات الحركات'!$G:$G,0)),"")</f>
        <v/>
      </c>
      <c r="D689" s="3" t="str">
        <f>IFERROR(INDEX('بيانات الحركات'!D:D,MATCH(688,'بيانات الحركات'!$G:$G,0)),"")</f>
        <v/>
      </c>
      <c r="E689" s="21" t="str">
        <f>IF($B689="إنتاج طبخة","",IFERROR(INDEX('بيانات الحركات'!E:E,MATCH(688,'بيانات الحركات'!$G:$G,0)),""))</f>
        <v/>
      </c>
      <c r="F689" s="3" t="str">
        <f>IFERROR(INDEX('بيانات الحركات'!F:F,MATCH(688,'بيانات الحركات'!$G:$G,0)),"")</f>
        <v/>
      </c>
    </row>
    <row r="690" spans="1:6" ht="21.95" customHeight="1">
      <c r="A690" s="8" t="str">
        <f>IFERROR(INDEX('بيانات الحركات'!A:A,MATCH(689,'بيانات الحركات'!$G:$G,0)),"")</f>
        <v/>
      </c>
      <c r="B690" s="5" t="str">
        <f>IFERROR(INDEX('بيانات الحركات'!B:B,MATCH(689,'بيانات الحركات'!$G:$G,0)),"")</f>
        <v/>
      </c>
      <c r="C690" s="3" t="str">
        <f>IFERROR(INDEX('بيانات الحركات'!C:C,MATCH(689,'بيانات الحركات'!$G:$G,0)),"")</f>
        <v/>
      </c>
      <c r="D690" s="3" t="str">
        <f>IFERROR(INDEX('بيانات الحركات'!D:D,MATCH(689,'بيانات الحركات'!$G:$G,0)),"")</f>
        <v/>
      </c>
      <c r="E690" s="21" t="str">
        <f>IF($B690="إنتاج طبخة","",IFERROR(INDEX('بيانات الحركات'!E:E,MATCH(689,'بيانات الحركات'!$G:$G,0)),""))</f>
        <v/>
      </c>
      <c r="F690" s="3" t="str">
        <f>IFERROR(INDEX('بيانات الحركات'!F:F,MATCH(689,'بيانات الحركات'!$G:$G,0)),"")</f>
        <v/>
      </c>
    </row>
    <row r="691" spans="1:6" ht="21.95" customHeight="1">
      <c r="A691" s="8" t="str">
        <f>IFERROR(INDEX('بيانات الحركات'!A:A,MATCH(690,'بيانات الحركات'!$G:$G,0)),"")</f>
        <v/>
      </c>
      <c r="B691" s="5" t="str">
        <f>IFERROR(INDEX('بيانات الحركات'!B:B,MATCH(690,'بيانات الحركات'!$G:$G,0)),"")</f>
        <v/>
      </c>
      <c r="C691" s="3" t="str">
        <f>IFERROR(INDEX('بيانات الحركات'!C:C,MATCH(690,'بيانات الحركات'!$G:$G,0)),"")</f>
        <v/>
      </c>
      <c r="D691" s="3" t="str">
        <f>IFERROR(INDEX('بيانات الحركات'!D:D,MATCH(690,'بيانات الحركات'!$G:$G,0)),"")</f>
        <v/>
      </c>
      <c r="E691" s="21" t="str">
        <f>IF($B691="إنتاج طبخة","",IFERROR(INDEX('بيانات الحركات'!E:E,MATCH(690,'بيانات الحركات'!$G:$G,0)),""))</f>
        <v/>
      </c>
      <c r="F691" s="3" t="str">
        <f>IFERROR(INDEX('بيانات الحركات'!F:F,MATCH(690,'بيانات الحركات'!$G:$G,0)),"")</f>
        <v/>
      </c>
    </row>
    <row r="692" spans="1:6" ht="21.95" customHeight="1">
      <c r="A692" s="8" t="str">
        <f>IFERROR(INDEX('بيانات الحركات'!A:A,MATCH(691,'بيانات الحركات'!$G:$G,0)),"")</f>
        <v/>
      </c>
      <c r="B692" s="5" t="str">
        <f>IFERROR(INDEX('بيانات الحركات'!B:B,MATCH(691,'بيانات الحركات'!$G:$G,0)),"")</f>
        <v/>
      </c>
      <c r="C692" s="3" t="str">
        <f>IFERROR(INDEX('بيانات الحركات'!C:C,MATCH(691,'بيانات الحركات'!$G:$G,0)),"")</f>
        <v/>
      </c>
      <c r="D692" s="3" t="str">
        <f>IFERROR(INDEX('بيانات الحركات'!D:D,MATCH(691,'بيانات الحركات'!$G:$G,0)),"")</f>
        <v/>
      </c>
      <c r="E692" s="21" t="str">
        <f>IF($B692="إنتاج طبخة","",IFERROR(INDEX('بيانات الحركات'!E:E,MATCH(691,'بيانات الحركات'!$G:$G,0)),""))</f>
        <v/>
      </c>
      <c r="F692" s="3" t="str">
        <f>IFERROR(INDEX('بيانات الحركات'!F:F,MATCH(691,'بيانات الحركات'!$G:$G,0)),"")</f>
        <v/>
      </c>
    </row>
    <row r="693" spans="1:6" ht="21.95" customHeight="1">
      <c r="A693" s="8" t="str">
        <f>IFERROR(INDEX('بيانات الحركات'!A:A,MATCH(692,'بيانات الحركات'!$G:$G,0)),"")</f>
        <v/>
      </c>
      <c r="B693" s="5" t="str">
        <f>IFERROR(INDEX('بيانات الحركات'!B:B,MATCH(692,'بيانات الحركات'!$G:$G,0)),"")</f>
        <v/>
      </c>
      <c r="C693" s="3" t="str">
        <f>IFERROR(INDEX('بيانات الحركات'!C:C,MATCH(692,'بيانات الحركات'!$G:$G,0)),"")</f>
        <v/>
      </c>
      <c r="D693" s="3" t="str">
        <f>IFERROR(INDEX('بيانات الحركات'!D:D,MATCH(692,'بيانات الحركات'!$G:$G,0)),"")</f>
        <v/>
      </c>
      <c r="E693" s="21" t="str">
        <f>IF($B693="إنتاج طبخة","",IFERROR(INDEX('بيانات الحركات'!E:E,MATCH(692,'بيانات الحركات'!$G:$G,0)),""))</f>
        <v/>
      </c>
      <c r="F693" s="3" t="str">
        <f>IFERROR(INDEX('بيانات الحركات'!F:F,MATCH(692,'بيانات الحركات'!$G:$G,0)),"")</f>
        <v/>
      </c>
    </row>
    <row r="694" spans="1:6" ht="21.95" customHeight="1">
      <c r="A694" s="8" t="str">
        <f>IFERROR(INDEX('بيانات الحركات'!A:A,MATCH(693,'بيانات الحركات'!$G:$G,0)),"")</f>
        <v/>
      </c>
      <c r="B694" s="5" t="str">
        <f>IFERROR(INDEX('بيانات الحركات'!B:B,MATCH(693,'بيانات الحركات'!$G:$G,0)),"")</f>
        <v/>
      </c>
      <c r="C694" s="3" t="str">
        <f>IFERROR(INDEX('بيانات الحركات'!C:C,MATCH(693,'بيانات الحركات'!$G:$G,0)),"")</f>
        <v/>
      </c>
      <c r="D694" s="3" t="str">
        <f>IFERROR(INDEX('بيانات الحركات'!D:D,MATCH(693,'بيانات الحركات'!$G:$G,0)),"")</f>
        <v/>
      </c>
      <c r="E694" s="21" t="str">
        <f>IF($B694="إنتاج طبخة","",IFERROR(INDEX('بيانات الحركات'!E:E,MATCH(693,'بيانات الحركات'!$G:$G,0)),""))</f>
        <v/>
      </c>
      <c r="F694" s="3" t="str">
        <f>IFERROR(INDEX('بيانات الحركات'!F:F,MATCH(693,'بيانات الحركات'!$G:$G,0)),"")</f>
        <v/>
      </c>
    </row>
    <row r="695" spans="1:6" ht="21.95" customHeight="1">
      <c r="A695" s="8" t="str">
        <f>IFERROR(INDEX('بيانات الحركات'!A:A,MATCH(694,'بيانات الحركات'!$G:$G,0)),"")</f>
        <v/>
      </c>
      <c r="B695" s="5" t="str">
        <f>IFERROR(INDEX('بيانات الحركات'!B:B,MATCH(694,'بيانات الحركات'!$G:$G,0)),"")</f>
        <v/>
      </c>
      <c r="C695" s="3" t="str">
        <f>IFERROR(INDEX('بيانات الحركات'!C:C,MATCH(694,'بيانات الحركات'!$G:$G,0)),"")</f>
        <v/>
      </c>
      <c r="D695" s="3" t="str">
        <f>IFERROR(INDEX('بيانات الحركات'!D:D,MATCH(694,'بيانات الحركات'!$G:$G,0)),"")</f>
        <v/>
      </c>
      <c r="E695" s="21" t="str">
        <f>IF($B695="إنتاج طبخة","",IFERROR(INDEX('بيانات الحركات'!E:E,MATCH(694,'بيانات الحركات'!$G:$G,0)),""))</f>
        <v/>
      </c>
      <c r="F695" s="3" t="str">
        <f>IFERROR(INDEX('بيانات الحركات'!F:F,MATCH(694,'بيانات الحركات'!$G:$G,0)),"")</f>
        <v/>
      </c>
    </row>
    <row r="696" spans="1:6" ht="21.95" customHeight="1">
      <c r="A696" s="8" t="str">
        <f>IFERROR(INDEX('بيانات الحركات'!A:A,MATCH(695,'بيانات الحركات'!$G:$G,0)),"")</f>
        <v/>
      </c>
      <c r="B696" s="5" t="str">
        <f>IFERROR(INDEX('بيانات الحركات'!B:B,MATCH(695,'بيانات الحركات'!$G:$G,0)),"")</f>
        <v/>
      </c>
      <c r="C696" s="3" t="str">
        <f>IFERROR(INDEX('بيانات الحركات'!C:C,MATCH(695,'بيانات الحركات'!$G:$G,0)),"")</f>
        <v/>
      </c>
      <c r="D696" s="3" t="str">
        <f>IFERROR(INDEX('بيانات الحركات'!D:D,MATCH(695,'بيانات الحركات'!$G:$G,0)),"")</f>
        <v/>
      </c>
      <c r="E696" s="21" t="str">
        <f>IF($B696="إنتاج طبخة","",IFERROR(INDEX('بيانات الحركات'!E:E,MATCH(695,'بيانات الحركات'!$G:$G,0)),""))</f>
        <v/>
      </c>
      <c r="F696" s="3" t="str">
        <f>IFERROR(INDEX('بيانات الحركات'!F:F,MATCH(695,'بيانات الحركات'!$G:$G,0)),"")</f>
        <v/>
      </c>
    </row>
    <row r="697" spans="1:6" ht="21.95" customHeight="1">
      <c r="A697" s="8" t="str">
        <f>IFERROR(INDEX('بيانات الحركات'!A:A,MATCH(696,'بيانات الحركات'!$G:$G,0)),"")</f>
        <v/>
      </c>
      <c r="B697" s="5" t="str">
        <f>IFERROR(INDEX('بيانات الحركات'!B:B,MATCH(696,'بيانات الحركات'!$G:$G,0)),"")</f>
        <v/>
      </c>
      <c r="C697" s="3" t="str">
        <f>IFERROR(INDEX('بيانات الحركات'!C:C,MATCH(696,'بيانات الحركات'!$G:$G,0)),"")</f>
        <v/>
      </c>
      <c r="D697" s="3" t="str">
        <f>IFERROR(INDEX('بيانات الحركات'!D:D,MATCH(696,'بيانات الحركات'!$G:$G,0)),"")</f>
        <v/>
      </c>
      <c r="E697" s="21" t="str">
        <f>IF($B697="إنتاج طبخة","",IFERROR(INDEX('بيانات الحركات'!E:E,MATCH(696,'بيانات الحركات'!$G:$G,0)),""))</f>
        <v/>
      </c>
      <c r="F697" s="3" t="str">
        <f>IFERROR(INDEX('بيانات الحركات'!F:F,MATCH(696,'بيانات الحركات'!$G:$G,0)),"")</f>
        <v/>
      </c>
    </row>
    <row r="698" spans="1:6" ht="21.95" customHeight="1">
      <c r="A698" s="8" t="str">
        <f>IFERROR(INDEX('بيانات الحركات'!A:A,MATCH(697,'بيانات الحركات'!$G:$G,0)),"")</f>
        <v/>
      </c>
      <c r="B698" s="5" t="str">
        <f>IFERROR(INDEX('بيانات الحركات'!B:B,MATCH(697,'بيانات الحركات'!$G:$G,0)),"")</f>
        <v/>
      </c>
      <c r="C698" s="3" t="str">
        <f>IFERROR(INDEX('بيانات الحركات'!C:C,MATCH(697,'بيانات الحركات'!$G:$G,0)),"")</f>
        <v/>
      </c>
      <c r="D698" s="3" t="str">
        <f>IFERROR(INDEX('بيانات الحركات'!D:D,MATCH(697,'بيانات الحركات'!$G:$G,0)),"")</f>
        <v/>
      </c>
      <c r="E698" s="21" t="str">
        <f>IF($B698="إنتاج طبخة","",IFERROR(INDEX('بيانات الحركات'!E:E,MATCH(697,'بيانات الحركات'!$G:$G,0)),""))</f>
        <v/>
      </c>
      <c r="F698" s="3" t="str">
        <f>IFERROR(INDEX('بيانات الحركات'!F:F,MATCH(697,'بيانات الحركات'!$G:$G,0)),"")</f>
        <v/>
      </c>
    </row>
    <row r="699" spans="1:6" ht="21.95" customHeight="1">
      <c r="A699" s="8" t="str">
        <f>IFERROR(INDEX('بيانات الحركات'!A:A,MATCH(698,'بيانات الحركات'!$G:$G,0)),"")</f>
        <v/>
      </c>
      <c r="B699" s="5" t="str">
        <f>IFERROR(INDEX('بيانات الحركات'!B:B,MATCH(698,'بيانات الحركات'!$G:$G,0)),"")</f>
        <v/>
      </c>
      <c r="C699" s="3" t="str">
        <f>IFERROR(INDEX('بيانات الحركات'!C:C,MATCH(698,'بيانات الحركات'!$G:$G,0)),"")</f>
        <v/>
      </c>
      <c r="D699" s="3" t="str">
        <f>IFERROR(INDEX('بيانات الحركات'!D:D,MATCH(698,'بيانات الحركات'!$G:$G,0)),"")</f>
        <v/>
      </c>
      <c r="E699" s="21" t="str">
        <f>IF($B699="إنتاج طبخة","",IFERROR(INDEX('بيانات الحركات'!E:E,MATCH(698,'بيانات الحركات'!$G:$G,0)),""))</f>
        <v/>
      </c>
      <c r="F699" s="3" t="str">
        <f>IFERROR(INDEX('بيانات الحركات'!F:F,MATCH(698,'بيانات الحركات'!$G:$G,0)),"")</f>
        <v/>
      </c>
    </row>
    <row r="700" spans="1:6" ht="21.95" customHeight="1">
      <c r="A700" s="8" t="str">
        <f>IFERROR(INDEX('بيانات الحركات'!A:A,MATCH(699,'بيانات الحركات'!$G:$G,0)),"")</f>
        <v/>
      </c>
      <c r="B700" s="5" t="str">
        <f>IFERROR(INDEX('بيانات الحركات'!B:B,MATCH(699,'بيانات الحركات'!$G:$G,0)),"")</f>
        <v/>
      </c>
      <c r="C700" s="3" t="str">
        <f>IFERROR(INDEX('بيانات الحركات'!C:C,MATCH(699,'بيانات الحركات'!$G:$G,0)),"")</f>
        <v/>
      </c>
      <c r="D700" s="3" t="str">
        <f>IFERROR(INDEX('بيانات الحركات'!D:D,MATCH(699,'بيانات الحركات'!$G:$G,0)),"")</f>
        <v/>
      </c>
      <c r="E700" s="21" t="str">
        <f>IF($B700="إنتاج طبخة","",IFERROR(INDEX('بيانات الحركات'!E:E,MATCH(699,'بيانات الحركات'!$G:$G,0)),""))</f>
        <v/>
      </c>
      <c r="F700" s="3" t="str">
        <f>IFERROR(INDEX('بيانات الحركات'!F:F,MATCH(699,'بيانات الحركات'!$G:$G,0)),"")</f>
        <v/>
      </c>
    </row>
    <row r="701" spans="1:6" ht="21.95" customHeight="1">
      <c r="A701" s="8" t="str">
        <f>IFERROR(INDEX('بيانات الحركات'!A:A,MATCH(700,'بيانات الحركات'!$G:$G,0)),"")</f>
        <v/>
      </c>
      <c r="B701" s="5" t="str">
        <f>IFERROR(INDEX('بيانات الحركات'!B:B,MATCH(700,'بيانات الحركات'!$G:$G,0)),"")</f>
        <v/>
      </c>
      <c r="C701" s="3" t="str">
        <f>IFERROR(INDEX('بيانات الحركات'!C:C,MATCH(700,'بيانات الحركات'!$G:$G,0)),"")</f>
        <v/>
      </c>
      <c r="D701" s="3" t="str">
        <f>IFERROR(INDEX('بيانات الحركات'!D:D,MATCH(700,'بيانات الحركات'!$G:$G,0)),"")</f>
        <v/>
      </c>
      <c r="E701" s="21" t="str">
        <f>IF($B701="إنتاج طبخة","",IFERROR(INDEX('بيانات الحركات'!E:E,MATCH(700,'بيانات الحركات'!$G:$G,0)),""))</f>
        <v/>
      </c>
      <c r="F701" s="3" t="str">
        <f>IFERROR(INDEX('بيانات الحركات'!F:F,MATCH(700,'بيانات الحركات'!$G:$G,0)),"")</f>
        <v/>
      </c>
    </row>
    <row r="702" spans="1:6" ht="21.95" customHeight="1">
      <c r="A702" s="8" t="str">
        <f>IFERROR(INDEX('بيانات الحركات'!A:A,MATCH(701,'بيانات الحركات'!$G:$G,0)),"")</f>
        <v/>
      </c>
      <c r="B702" s="5" t="str">
        <f>IFERROR(INDEX('بيانات الحركات'!B:B,MATCH(701,'بيانات الحركات'!$G:$G,0)),"")</f>
        <v/>
      </c>
      <c r="C702" s="3" t="str">
        <f>IFERROR(INDEX('بيانات الحركات'!C:C,MATCH(701,'بيانات الحركات'!$G:$G,0)),"")</f>
        <v/>
      </c>
      <c r="D702" s="3" t="str">
        <f>IFERROR(INDEX('بيانات الحركات'!D:D,MATCH(701,'بيانات الحركات'!$G:$G,0)),"")</f>
        <v/>
      </c>
      <c r="E702" s="21" t="str">
        <f>IF($B702="إنتاج طبخة","",IFERROR(INDEX('بيانات الحركات'!E:E,MATCH(701,'بيانات الحركات'!$G:$G,0)),""))</f>
        <v/>
      </c>
      <c r="F702" s="3" t="str">
        <f>IFERROR(INDEX('بيانات الحركات'!F:F,MATCH(701,'بيانات الحركات'!$G:$G,0)),"")</f>
        <v/>
      </c>
    </row>
    <row r="703" spans="1:6" ht="21.95" customHeight="1">
      <c r="A703" s="8" t="str">
        <f>IFERROR(INDEX('بيانات الحركات'!A:A,MATCH(702,'بيانات الحركات'!$G:$G,0)),"")</f>
        <v/>
      </c>
      <c r="B703" s="5" t="str">
        <f>IFERROR(INDEX('بيانات الحركات'!B:B,MATCH(702,'بيانات الحركات'!$G:$G,0)),"")</f>
        <v/>
      </c>
      <c r="C703" s="3" t="str">
        <f>IFERROR(INDEX('بيانات الحركات'!C:C,MATCH(702,'بيانات الحركات'!$G:$G,0)),"")</f>
        <v/>
      </c>
      <c r="D703" s="3" t="str">
        <f>IFERROR(INDEX('بيانات الحركات'!D:D,MATCH(702,'بيانات الحركات'!$G:$G,0)),"")</f>
        <v/>
      </c>
      <c r="E703" s="21" t="str">
        <f>IF($B703="إنتاج طبخة","",IFERROR(INDEX('بيانات الحركات'!E:E,MATCH(702,'بيانات الحركات'!$G:$G,0)),""))</f>
        <v/>
      </c>
      <c r="F703" s="3" t="str">
        <f>IFERROR(INDEX('بيانات الحركات'!F:F,MATCH(702,'بيانات الحركات'!$G:$G,0)),"")</f>
        <v/>
      </c>
    </row>
    <row r="704" spans="1:6" ht="21.95" customHeight="1">
      <c r="A704" s="8" t="str">
        <f>IFERROR(INDEX('بيانات الحركات'!A:A,MATCH(703,'بيانات الحركات'!$G:$G,0)),"")</f>
        <v/>
      </c>
      <c r="B704" s="5" t="str">
        <f>IFERROR(INDEX('بيانات الحركات'!B:B,MATCH(703,'بيانات الحركات'!$G:$G,0)),"")</f>
        <v/>
      </c>
      <c r="C704" s="3" t="str">
        <f>IFERROR(INDEX('بيانات الحركات'!C:C,MATCH(703,'بيانات الحركات'!$G:$G,0)),"")</f>
        <v/>
      </c>
      <c r="D704" s="3" t="str">
        <f>IFERROR(INDEX('بيانات الحركات'!D:D,MATCH(703,'بيانات الحركات'!$G:$G,0)),"")</f>
        <v/>
      </c>
      <c r="E704" s="21" t="str">
        <f>IF($B704="إنتاج طبخة","",IFERROR(INDEX('بيانات الحركات'!E:E,MATCH(703,'بيانات الحركات'!$G:$G,0)),""))</f>
        <v/>
      </c>
      <c r="F704" s="3" t="str">
        <f>IFERROR(INDEX('بيانات الحركات'!F:F,MATCH(703,'بيانات الحركات'!$G:$G,0)),"")</f>
        <v/>
      </c>
    </row>
    <row r="705" spans="1:6" ht="21.95" customHeight="1">
      <c r="A705" s="8" t="str">
        <f>IFERROR(INDEX('بيانات الحركات'!A:A,MATCH(704,'بيانات الحركات'!$G:$G,0)),"")</f>
        <v/>
      </c>
      <c r="B705" s="5" t="str">
        <f>IFERROR(INDEX('بيانات الحركات'!B:B,MATCH(704,'بيانات الحركات'!$G:$G,0)),"")</f>
        <v/>
      </c>
      <c r="C705" s="3" t="str">
        <f>IFERROR(INDEX('بيانات الحركات'!C:C,MATCH(704,'بيانات الحركات'!$G:$G,0)),"")</f>
        <v/>
      </c>
      <c r="D705" s="3" t="str">
        <f>IFERROR(INDEX('بيانات الحركات'!D:D,MATCH(704,'بيانات الحركات'!$G:$G,0)),"")</f>
        <v/>
      </c>
      <c r="E705" s="21" t="str">
        <f>IF($B705="إنتاج طبخة","",IFERROR(INDEX('بيانات الحركات'!E:E,MATCH(704,'بيانات الحركات'!$G:$G,0)),""))</f>
        <v/>
      </c>
      <c r="F705" s="3" t="str">
        <f>IFERROR(INDEX('بيانات الحركات'!F:F,MATCH(704,'بيانات الحركات'!$G:$G,0)),"")</f>
        <v/>
      </c>
    </row>
    <row r="706" spans="1:6" ht="21.95" customHeight="1">
      <c r="A706" s="8" t="str">
        <f>IFERROR(INDEX('بيانات الحركات'!A:A,MATCH(705,'بيانات الحركات'!$G:$G,0)),"")</f>
        <v/>
      </c>
      <c r="B706" s="5" t="str">
        <f>IFERROR(INDEX('بيانات الحركات'!B:B,MATCH(705,'بيانات الحركات'!$G:$G,0)),"")</f>
        <v/>
      </c>
      <c r="C706" s="3" t="str">
        <f>IFERROR(INDEX('بيانات الحركات'!C:C,MATCH(705,'بيانات الحركات'!$G:$G,0)),"")</f>
        <v/>
      </c>
      <c r="D706" s="3" t="str">
        <f>IFERROR(INDEX('بيانات الحركات'!D:D,MATCH(705,'بيانات الحركات'!$G:$G,0)),"")</f>
        <v/>
      </c>
      <c r="E706" s="21" t="str">
        <f>IF($B706="إنتاج طبخة","",IFERROR(INDEX('بيانات الحركات'!E:E,MATCH(705,'بيانات الحركات'!$G:$G,0)),""))</f>
        <v/>
      </c>
      <c r="F706" s="3" t="str">
        <f>IFERROR(INDEX('بيانات الحركات'!F:F,MATCH(705,'بيانات الحركات'!$G:$G,0)),"")</f>
        <v/>
      </c>
    </row>
    <row r="707" spans="1:6" ht="21.95" customHeight="1">
      <c r="A707" s="8" t="str">
        <f>IFERROR(INDEX('بيانات الحركات'!A:A,MATCH(706,'بيانات الحركات'!$G:$G,0)),"")</f>
        <v/>
      </c>
      <c r="B707" s="5" t="str">
        <f>IFERROR(INDEX('بيانات الحركات'!B:B,MATCH(706,'بيانات الحركات'!$G:$G,0)),"")</f>
        <v/>
      </c>
      <c r="C707" s="3" t="str">
        <f>IFERROR(INDEX('بيانات الحركات'!C:C,MATCH(706,'بيانات الحركات'!$G:$G,0)),"")</f>
        <v/>
      </c>
      <c r="D707" s="3" t="str">
        <f>IFERROR(INDEX('بيانات الحركات'!D:D,MATCH(706,'بيانات الحركات'!$G:$G,0)),"")</f>
        <v/>
      </c>
      <c r="E707" s="21" t="str">
        <f>IF($B707="إنتاج طبخة","",IFERROR(INDEX('بيانات الحركات'!E:E,MATCH(706,'بيانات الحركات'!$G:$G,0)),""))</f>
        <v/>
      </c>
      <c r="F707" s="3" t="str">
        <f>IFERROR(INDEX('بيانات الحركات'!F:F,MATCH(706,'بيانات الحركات'!$G:$G,0)),"")</f>
        <v/>
      </c>
    </row>
    <row r="708" spans="1:6" ht="21.95" customHeight="1">
      <c r="A708" s="8" t="str">
        <f>IFERROR(INDEX('بيانات الحركات'!A:A,MATCH(707,'بيانات الحركات'!$G:$G,0)),"")</f>
        <v/>
      </c>
      <c r="B708" s="5" t="str">
        <f>IFERROR(INDEX('بيانات الحركات'!B:B,MATCH(707,'بيانات الحركات'!$G:$G,0)),"")</f>
        <v/>
      </c>
      <c r="C708" s="3" t="str">
        <f>IFERROR(INDEX('بيانات الحركات'!C:C,MATCH(707,'بيانات الحركات'!$G:$G,0)),"")</f>
        <v/>
      </c>
      <c r="D708" s="3" t="str">
        <f>IFERROR(INDEX('بيانات الحركات'!D:D,MATCH(707,'بيانات الحركات'!$G:$G,0)),"")</f>
        <v/>
      </c>
      <c r="E708" s="21" t="str">
        <f>IF($B708="إنتاج طبخة","",IFERROR(INDEX('بيانات الحركات'!E:E,MATCH(707,'بيانات الحركات'!$G:$G,0)),""))</f>
        <v/>
      </c>
      <c r="F708" s="3" t="str">
        <f>IFERROR(INDEX('بيانات الحركات'!F:F,MATCH(707,'بيانات الحركات'!$G:$G,0)),"")</f>
        <v/>
      </c>
    </row>
    <row r="709" spans="1:6" ht="21.95" customHeight="1">
      <c r="A709" s="8" t="str">
        <f>IFERROR(INDEX('بيانات الحركات'!A:A,MATCH(708,'بيانات الحركات'!$G:$G,0)),"")</f>
        <v/>
      </c>
      <c r="B709" s="5" t="str">
        <f>IFERROR(INDEX('بيانات الحركات'!B:B,MATCH(708,'بيانات الحركات'!$G:$G,0)),"")</f>
        <v/>
      </c>
      <c r="C709" s="3" t="str">
        <f>IFERROR(INDEX('بيانات الحركات'!C:C,MATCH(708,'بيانات الحركات'!$G:$G,0)),"")</f>
        <v/>
      </c>
      <c r="D709" s="3" t="str">
        <f>IFERROR(INDEX('بيانات الحركات'!D:D,MATCH(708,'بيانات الحركات'!$G:$G,0)),"")</f>
        <v/>
      </c>
      <c r="E709" s="21" t="str">
        <f>IF($B709="إنتاج طبخة","",IFERROR(INDEX('بيانات الحركات'!E:E,MATCH(708,'بيانات الحركات'!$G:$G,0)),""))</f>
        <v/>
      </c>
      <c r="F709" s="3" t="str">
        <f>IFERROR(INDEX('بيانات الحركات'!F:F,MATCH(708,'بيانات الحركات'!$G:$G,0)),"")</f>
        <v/>
      </c>
    </row>
    <row r="710" spans="1:6" ht="21.95" customHeight="1">
      <c r="A710" s="8" t="str">
        <f>IFERROR(INDEX('بيانات الحركات'!A:A,MATCH(709,'بيانات الحركات'!$G:$G,0)),"")</f>
        <v/>
      </c>
      <c r="B710" s="5" t="str">
        <f>IFERROR(INDEX('بيانات الحركات'!B:B,MATCH(709,'بيانات الحركات'!$G:$G,0)),"")</f>
        <v/>
      </c>
      <c r="C710" s="3" t="str">
        <f>IFERROR(INDEX('بيانات الحركات'!C:C,MATCH(709,'بيانات الحركات'!$G:$G,0)),"")</f>
        <v/>
      </c>
      <c r="D710" s="3" t="str">
        <f>IFERROR(INDEX('بيانات الحركات'!D:D,MATCH(709,'بيانات الحركات'!$G:$G,0)),"")</f>
        <v/>
      </c>
      <c r="E710" s="21" t="str">
        <f>IF($B710="إنتاج طبخة","",IFERROR(INDEX('بيانات الحركات'!E:E,MATCH(709,'بيانات الحركات'!$G:$G,0)),""))</f>
        <v/>
      </c>
      <c r="F710" s="3" t="str">
        <f>IFERROR(INDEX('بيانات الحركات'!F:F,MATCH(709,'بيانات الحركات'!$G:$G,0)),"")</f>
        <v/>
      </c>
    </row>
    <row r="711" spans="1:6" ht="21.95" customHeight="1">
      <c r="A711" s="8" t="str">
        <f>IFERROR(INDEX('بيانات الحركات'!A:A,MATCH(710,'بيانات الحركات'!$G:$G,0)),"")</f>
        <v/>
      </c>
      <c r="B711" s="5" t="str">
        <f>IFERROR(INDEX('بيانات الحركات'!B:B,MATCH(710,'بيانات الحركات'!$G:$G,0)),"")</f>
        <v/>
      </c>
      <c r="C711" s="3" t="str">
        <f>IFERROR(INDEX('بيانات الحركات'!C:C,MATCH(710,'بيانات الحركات'!$G:$G,0)),"")</f>
        <v/>
      </c>
      <c r="D711" s="3" t="str">
        <f>IFERROR(INDEX('بيانات الحركات'!D:D,MATCH(710,'بيانات الحركات'!$G:$G,0)),"")</f>
        <v/>
      </c>
      <c r="E711" s="21" t="str">
        <f>IF($B711="إنتاج طبخة","",IFERROR(INDEX('بيانات الحركات'!E:E,MATCH(710,'بيانات الحركات'!$G:$G,0)),""))</f>
        <v/>
      </c>
      <c r="F711" s="3" t="str">
        <f>IFERROR(INDEX('بيانات الحركات'!F:F,MATCH(710,'بيانات الحركات'!$G:$G,0)),"")</f>
        <v/>
      </c>
    </row>
    <row r="712" spans="1:6" ht="21.95" customHeight="1">
      <c r="A712" s="8" t="str">
        <f>IFERROR(INDEX('بيانات الحركات'!A:A,MATCH(711,'بيانات الحركات'!$G:$G,0)),"")</f>
        <v/>
      </c>
      <c r="B712" s="5" t="str">
        <f>IFERROR(INDEX('بيانات الحركات'!B:B,MATCH(711,'بيانات الحركات'!$G:$G,0)),"")</f>
        <v/>
      </c>
      <c r="C712" s="3" t="str">
        <f>IFERROR(INDEX('بيانات الحركات'!C:C,MATCH(711,'بيانات الحركات'!$G:$G,0)),"")</f>
        <v/>
      </c>
      <c r="D712" s="3" t="str">
        <f>IFERROR(INDEX('بيانات الحركات'!D:D,MATCH(711,'بيانات الحركات'!$G:$G,0)),"")</f>
        <v/>
      </c>
      <c r="E712" s="21" t="str">
        <f>IF($B712="إنتاج طبخة","",IFERROR(INDEX('بيانات الحركات'!E:E,MATCH(711,'بيانات الحركات'!$G:$G,0)),""))</f>
        <v/>
      </c>
      <c r="F712" s="3" t="str">
        <f>IFERROR(INDEX('بيانات الحركات'!F:F,MATCH(711,'بيانات الحركات'!$G:$G,0)),"")</f>
        <v/>
      </c>
    </row>
    <row r="713" spans="1:6" ht="21.95" customHeight="1">
      <c r="A713" s="8" t="str">
        <f>IFERROR(INDEX('بيانات الحركات'!A:A,MATCH(712,'بيانات الحركات'!$G:$G,0)),"")</f>
        <v/>
      </c>
      <c r="B713" s="5" t="str">
        <f>IFERROR(INDEX('بيانات الحركات'!B:B,MATCH(712,'بيانات الحركات'!$G:$G,0)),"")</f>
        <v/>
      </c>
      <c r="C713" s="3" t="str">
        <f>IFERROR(INDEX('بيانات الحركات'!C:C,MATCH(712,'بيانات الحركات'!$G:$G,0)),"")</f>
        <v/>
      </c>
      <c r="D713" s="3" t="str">
        <f>IFERROR(INDEX('بيانات الحركات'!D:D,MATCH(712,'بيانات الحركات'!$G:$G,0)),"")</f>
        <v/>
      </c>
      <c r="E713" s="21" t="str">
        <f>IF($B713="إنتاج طبخة","",IFERROR(INDEX('بيانات الحركات'!E:E,MATCH(712,'بيانات الحركات'!$G:$G,0)),""))</f>
        <v/>
      </c>
      <c r="F713" s="3" t="str">
        <f>IFERROR(INDEX('بيانات الحركات'!F:F,MATCH(712,'بيانات الحركات'!$G:$G,0)),"")</f>
        <v/>
      </c>
    </row>
    <row r="714" spans="1:6" ht="21.95" customHeight="1">
      <c r="A714" s="8" t="str">
        <f>IFERROR(INDEX('بيانات الحركات'!A:A,MATCH(713,'بيانات الحركات'!$G:$G,0)),"")</f>
        <v/>
      </c>
      <c r="B714" s="5" t="str">
        <f>IFERROR(INDEX('بيانات الحركات'!B:B,MATCH(713,'بيانات الحركات'!$G:$G,0)),"")</f>
        <v/>
      </c>
      <c r="C714" s="3" t="str">
        <f>IFERROR(INDEX('بيانات الحركات'!C:C,MATCH(713,'بيانات الحركات'!$G:$G,0)),"")</f>
        <v/>
      </c>
      <c r="D714" s="3" t="str">
        <f>IFERROR(INDEX('بيانات الحركات'!D:D,MATCH(713,'بيانات الحركات'!$G:$G,0)),"")</f>
        <v/>
      </c>
      <c r="E714" s="21" t="str">
        <f>IF($B714="إنتاج طبخة","",IFERROR(INDEX('بيانات الحركات'!E:E,MATCH(713,'بيانات الحركات'!$G:$G,0)),""))</f>
        <v/>
      </c>
      <c r="F714" s="3" t="str">
        <f>IFERROR(INDEX('بيانات الحركات'!F:F,MATCH(713,'بيانات الحركات'!$G:$G,0)),"")</f>
        <v/>
      </c>
    </row>
    <row r="715" spans="1:6" ht="21.95" customHeight="1">
      <c r="A715" s="8" t="str">
        <f>IFERROR(INDEX('بيانات الحركات'!A:A,MATCH(714,'بيانات الحركات'!$G:$G,0)),"")</f>
        <v/>
      </c>
      <c r="B715" s="5" t="str">
        <f>IFERROR(INDEX('بيانات الحركات'!B:B,MATCH(714,'بيانات الحركات'!$G:$G,0)),"")</f>
        <v/>
      </c>
      <c r="C715" s="3" t="str">
        <f>IFERROR(INDEX('بيانات الحركات'!C:C,MATCH(714,'بيانات الحركات'!$G:$G,0)),"")</f>
        <v/>
      </c>
      <c r="D715" s="3" t="str">
        <f>IFERROR(INDEX('بيانات الحركات'!D:D,MATCH(714,'بيانات الحركات'!$G:$G,0)),"")</f>
        <v/>
      </c>
      <c r="E715" s="21" t="str">
        <f>IF($B715="إنتاج طبخة","",IFERROR(INDEX('بيانات الحركات'!E:E,MATCH(714,'بيانات الحركات'!$G:$G,0)),""))</f>
        <v/>
      </c>
      <c r="F715" s="3" t="str">
        <f>IFERROR(INDEX('بيانات الحركات'!F:F,MATCH(714,'بيانات الحركات'!$G:$G,0)),"")</f>
        <v/>
      </c>
    </row>
    <row r="716" spans="1:6" ht="21.95" customHeight="1">
      <c r="A716" s="8" t="str">
        <f>IFERROR(INDEX('بيانات الحركات'!A:A,MATCH(715,'بيانات الحركات'!$G:$G,0)),"")</f>
        <v/>
      </c>
      <c r="B716" s="5" t="str">
        <f>IFERROR(INDEX('بيانات الحركات'!B:B,MATCH(715,'بيانات الحركات'!$G:$G,0)),"")</f>
        <v/>
      </c>
      <c r="C716" s="3" t="str">
        <f>IFERROR(INDEX('بيانات الحركات'!C:C,MATCH(715,'بيانات الحركات'!$G:$G,0)),"")</f>
        <v/>
      </c>
      <c r="D716" s="3" t="str">
        <f>IFERROR(INDEX('بيانات الحركات'!D:D,MATCH(715,'بيانات الحركات'!$G:$G,0)),"")</f>
        <v/>
      </c>
      <c r="E716" s="21" t="str">
        <f>IF($B716="إنتاج طبخة","",IFERROR(INDEX('بيانات الحركات'!E:E,MATCH(715,'بيانات الحركات'!$G:$G,0)),""))</f>
        <v/>
      </c>
      <c r="F716" s="3" t="str">
        <f>IFERROR(INDEX('بيانات الحركات'!F:F,MATCH(715,'بيانات الحركات'!$G:$G,0)),"")</f>
        <v/>
      </c>
    </row>
    <row r="717" spans="1:6" ht="21.95" customHeight="1">
      <c r="A717" s="8" t="str">
        <f>IFERROR(INDEX('بيانات الحركات'!A:A,MATCH(716,'بيانات الحركات'!$G:$G,0)),"")</f>
        <v/>
      </c>
      <c r="B717" s="5" t="str">
        <f>IFERROR(INDEX('بيانات الحركات'!B:B,MATCH(716,'بيانات الحركات'!$G:$G,0)),"")</f>
        <v/>
      </c>
      <c r="C717" s="3" t="str">
        <f>IFERROR(INDEX('بيانات الحركات'!C:C,MATCH(716,'بيانات الحركات'!$G:$G,0)),"")</f>
        <v/>
      </c>
      <c r="D717" s="3" t="str">
        <f>IFERROR(INDEX('بيانات الحركات'!D:D,MATCH(716,'بيانات الحركات'!$G:$G,0)),"")</f>
        <v/>
      </c>
      <c r="E717" s="21" t="str">
        <f>IF($B717="إنتاج طبخة","",IFERROR(INDEX('بيانات الحركات'!E:E,MATCH(716,'بيانات الحركات'!$G:$G,0)),""))</f>
        <v/>
      </c>
      <c r="F717" s="3" t="str">
        <f>IFERROR(INDEX('بيانات الحركات'!F:F,MATCH(716,'بيانات الحركات'!$G:$G,0)),"")</f>
        <v/>
      </c>
    </row>
    <row r="718" spans="1:6" ht="21.95" customHeight="1">
      <c r="A718" s="8" t="str">
        <f>IFERROR(INDEX('بيانات الحركات'!A:A,MATCH(717,'بيانات الحركات'!$G:$G,0)),"")</f>
        <v/>
      </c>
      <c r="B718" s="5" t="str">
        <f>IFERROR(INDEX('بيانات الحركات'!B:B,MATCH(717,'بيانات الحركات'!$G:$G,0)),"")</f>
        <v/>
      </c>
      <c r="C718" s="3" t="str">
        <f>IFERROR(INDEX('بيانات الحركات'!C:C,MATCH(717,'بيانات الحركات'!$G:$G,0)),"")</f>
        <v/>
      </c>
      <c r="D718" s="3" t="str">
        <f>IFERROR(INDEX('بيانات الحركات'!D:D,MATCH(717,'بيانات الحركات'!$G:$G,0)),"")</f>
        <v/>
      </c>
      <c r="E718" s="21" t="str">
        <f>IF($B718="إنتاج طبخة","",IFERROR(INDEX('بيانات الحركات'!E:E,MATCH(717,'بيانات الحركات'!$G:$G,0)),""))</f>
        <v/>
      </c>
      <c r="F718" s="3" t="str">
        <f>IFERROR(INDEX('بيانات الحركات'!F:F,MATCH(717,'بيانات الحركات'!$G:$G,0)),"")</f>
        <v/>
      </c>
    </row>
    <row r="719" spans="1:6" ht="21.95" customHeight="1">
      <c r="A719" s="8" t="str">
        <f>IFERROR(INDEX('بيانات الحركات'!A:A,MATCH(718,'بيانات الحركات'!$G:$G,0)),"")</f>
        <v/>
      </c>
      <c r="B719" s="5" t="str">
        <f>IFERROR(INDEX('بيانات الحركات'!B:B,MATCH(718,'بيانات الحركات'!$G:$G,0)),"")</f>
        <v/>
      </c>
      <c r="C719" s="3" t="str">
        <f>IFERROR(INDEX('بيانات الحركات'!C:C,MATCH(718,'بيانات الحركات'!$G:$G,0)),"")</f>
        <v/>
      </c>
      <c r="D719" s="3" t="str">
        <f>IFERROR(INDEX('بيانات الحركات'!D:D,MATCH(718,'بيانات الحركات'!$G:$G,0)),"")</f>
        <v/>
      </c>
      <c r="E719" s="21" t="str">
        <f>IF($B719="إنتاج طبخة","",IFERROR(INDEX('بيانات الحركات'!E:E,MATCH(718,'بيانات الحركات'!$G:$G,0)),""))</f>
        <v/>
      </c>
      <c r="F719" s="3" t="str">
        <f>IFERROR(INDEX('بيانات الحركات'!F:F,MATCH(718,'بيانات الحركات'!$G:$G,0)),"")</f>
        <v/>
      </c>
    </row>
    <row r="720" spans="1:6" ht="21.95" customHeight="1">
      <c r="A720" s="8" t="str">
        <f>IFERROR(INDEX('بيانات الحركات'!A:A,MATCH(719,'بيانات الحركات'!$G:$G,0)),"")</f>
        <v/>
      </c>
      <c r="B720" s="5" t="str">
        <f>IFERROR(INDEX('بيانات الحركات'!B:B,MATCH(719,'بيانات الحركات'!$G:$G,0)),"")</f>
        <v/>
      </c>
      <c r="C720" s="3" t="str">
        <f>IFERROR(INDEX('بيانات الحركات'!C:C,MATCH(719,'بيانات الحركات'!$G:$G,0)),"")</f>
        <v/>
      </c>
      <c r="D720" s="3" t="str">
        <f>IFERROR(INDEX('بيانات الحركات'!D:D,MATCH(719,'بيانات الحركات'!$G:$G,0)),"")</f>
        <v/>
      </c>
      <c r="E720" s="21" t="str">
        <f>IF($B720="إنتاج طبخة","",IFERROR(INDEX('بيانات الحركات'!E:E,MATCH(719,'بيانات الحركات'!$G:$G,0)),""))</f>
        <v/>
      </c>
      <c r="F720" s="3" t="str">
        <f>IFERROR(INDEX('بيانات الحركات'!F:F,MATCH(719,'بيانات الحركات'!$G:$G,0)),"")</f>
        <v/>
      </c>
    </row>
    <row r="721" spans="1:6" ht="21.95" customHeight="1">
      <c r="A721" s="8" t="str">
        <f>IFERROR(INDEX('بيانات الحركات'!A:A,MATCH(720,'بيانات الحركات'!$G:$G,0)),"")</f>
        <v/>
      </c>
      <c r="B721" s="5" t="str">
        <f>IFERROR(INDEX('بيانات الحركات'!B:B,MATCH(720,'بيانات الحركات'!$G:$G,0)),"")</f>
        <v/>
      </c>
      <c r="C721" s="3" t="str">
        <f>IFERROR(INDEX('بيانات الحركات'!C:C,MATCH(720,'بيانات الحركات'!$G:$G,0)),"")</f>
        <v/>
      </c>
      <c r="D721" s="3" t="str">
        <f>IFERROR(INDEX('بيانات الحركات'!D:D,MATCH(720,'بيانات الحركات'!$G:$G,0)),"")</f>
        <v/>
      </c>
      <c r="E721" s="21" t="str">
        <f>IF($B721="إنتاج طبخة","",IFERROR(INDEX('بيانات الحركات'!E:E,MATCH(720,'بيانات الحركات'!$G:$G,0)),""))</f>
        <v/>
      </c>
      <c r="F721" s="3" t="str">
        <f>IFERROR(INDEX('بيانات الحركات'!F:F,MATCH(720,'بيانات الحركات'!$G:$G,0)),"")</f>
        <v/>
      </c>
    </row>
    <row r="722" spans="1:6" ht="21.95" customHeight="1">
      <c r="A722" s="8" t="str">
        <f>IFERROR(INDEX('بيانات الحركات'!A:A,MATCH(721,'بيانات الحركات'!$G:$G,0)),"")</f>
        <v/>
      </c>
      <c r="B722" s="5" t="str">
        <f>IFERROR(INDEX('بيانات الحركات'!B:B,MATCH(721,'بيانات الحركات'!$G:$G,0)),"")</f>
        <v/>
      </c>
      <c r="C722" s="3" t="str">
        <f>IFERROR(INDEX('بيانات الحركات'!C:C,MATCH(721,'بيانات الحركات'!$G:$G,0)),"")</f>
        <v/>
      </c>
      <c r="D722" s="3" t="str">
        <f>IFERROR(INDEX('بيانات الحركات'!D:D,MATCH(721,'بيانات الحركات'!$G:$G,0)),"")</f>
        <v/>
      </c>
      <c r="E722" s="21" t="str">
        <f>IF($B722="إنتاج طبخة","",IFERROR(INDEX('بيانات الحركات'!E:E,MATCH(721,'بيانات الحركات'!$G:$G,0)),""))</f>
        <v/>
      </c>
      <c r="F722" s="3" t="str">
        <f>IFERROR(INDEX('بيانات الحركات'!F:F,MATCH(721,'بيانات الحركات'!$G:$G,0)),"")</f>
        <v/>
      </c>
    </row>
    <row r="723" spans="1:6" ht="21.95" customHeight="1">
      <c r="A723" s="8" t="str">
        <f>IFERROR(INDEX('بيانات الحركات'!A:A,MATCH(722,'بيانات الحركات'!$G:$G,0)),"")</f>
        <v/>
      </c>
      <c r="B723" s="5" t="str">
        <f>IFERROR(INDEX('بيانات الحركات'!B:B,MATCH(722,'بيانات الحركات'!$G:$G,0)),"")</f>
        <v/>
      </c>
      <c r="C723" s="3" t="str">
        <f>IFERROR(INDEX('بيانات الحركات'!C:C,MATCH(722,'بيانات الحركات'!$G:$G,0)),"")</f>
        <v/>
      </c>
      <c r="D723" s="3" t="str">
        <f>IFERROR(INDEX('بيانات الحركات'!D:D,MATCH(722,'بيانات الحركات'!$G:$G,0)),"")</f>
        <v/>
      </c>
      <c r="E723" s="21" t="str">
        <f>IF($B723="إنتاج طبخة","",IFERROR(INDEX('بيانات الحركات'!E:E,MATCH(722,'بيانات الحركات'!$G:$G,0)),""))</f>
        <v/>
      </c>
      <c r="F723" s="3" t="str">
        <f>IFERROR(INDEX('بيانات الحركات'!F:F,MATCH(722,'بيانات الحركات'!$G:$G,0)),"")</f>
        <v/>
      </c>
    </row>
    <row r="724" spans="1:6" ht="21.95" customHeight="1">
      <c r="A724" s="8" t="str">
        <f>IFERROR(INDEX('بيانات الحركات'!A:A,MATCH(723,'بيانات الحركات'!$G:$G,0)),"")</f>
        <v/>
      </c>
      <c r="B724" s="5" t="str">
        <f>IFERROR(INDEX('بيانات الحركات'!B:B,MATCH(723,'بيانات الحركات'!$G:$G,0)),"")</f>
        <v/>
      </c>
      <c r="C724" s="3" t="str">
        <f>IFERROR(INDEX('بيانات الحركات'!C:C,MATCH(723,'بيانات الحركات'!$G:$G,0)),"")</f>
        <v/>
      </c>
      <c r="D724" s="3" t="str">
        <f>IFERROR(INDEX('بيانات الحركات'!D:D,MATCH(723,'بيانات الحركات'!$G:$G,0)),"")</f>
        <v/>
      </c>
      <c r="E724" s="21" t="str">
        <f>IF($B724="إنتاج طبخة","",IFERROR(INDEX('بيانات الحركات'!E:E,MATCH(723,'بيانات الحركات'!$G:$G,0)),""))</f>
        <v/>
      </c>
      <c r="F724" s="3" t="str">
        <f>IFERROR(INDEX('بيانات الحركات'!F:F,MATCH(723,'بيانات الحركات'!$G:$G,0)),"")</f>
        <v/>
      </c>
    </row>
    <row r="725" spans="1:6" ht="21.95" customHeight="1">
      <c r="A725" s="8" t="str">
        <f>IFERROR(INDEX('بيانات الحركات'!A:A,MATCH(724,'بيانات الحركات'!$G:$G,0)),"")</f>
        <v/>
      </c>
      <c r="B725" s="5" t="str">
        <f>IFERROR(INDEX('بيانات الحركات'!B:B,MATCH(724,'بيانات الحركات'!$G:$G,0)),"")</f>
        <v/>
      </c>
      <c r="C725" s="3" t="str">
        <f>IFERROR(INDEX('بيانات الحركات'!C:C,MATCH(724,'بيانات الحركات'!$G:$G,0)),"")</f>
        <v/>
      </c>
      <c r="D725" s="3" t="str">
        <f>IFERROR(INDEX('بيانات الحركات'!D:D,MATCH(724,'بيانات الحركات'!$G:$G,0)),"")</f>
        <v/>
      </c>
      <c r="E725" s="21" t="str">
        <f>IF($B725="إنتاج طبخة","",IFERROR(INDEX('بيانات الحركات'!E:E,MATCH(724,'بيانات الحركات'!$G:$G,0)),""))</f>
        <v/>
      </c>
      <c r="F725" s="3" t="str">
        <f>IFERROR(INDEX('بيانات الحركات'!F:F,MATCH(724,'بيانات الحركات'!$G:$G,0)),"")</f>
        <v/>
      </c>
    </row>
    <row r="726" spans="1:6" ht="21.95" customHeight="1">
      <c r="A726" s="8" t="str">
        <f>IFERROR(INDEX('بيانات الحركات'!A:A,MATCH(725,'بيانات الحركات'!$G:$G,0)),"")</f>
        <v/>
      </c>
      <c r="B726" s="5" t="str">
        <f>IFERROR(INDEX('بيانات الحركات'!B:B,MATCH(725,'بيانات الحركات'!$G:$G,0)),"")</f>
        <v/>
      </c>
      <c r="C726" s="3" t="str">
        <f>IFERROR(INDEX('بيانات الحركات'!C:C,MATCH(725,'بيانات الحركات'!$G:$G,0)),"")</f>
        <v/>
      </c>
      <c r="D726" s="3" t="str">
        <f>IFERROR(INDEX('بيانات الحركات'!D:D,MATCH(725,'بيانات الحركات'!$G:$G,0)),"")</f>
        <v/>
      </c>
      <c r="E726" s="21" t="str">
        <f>IF($B726="إنتاج طبخة","",IFERROR(INDEX('بيانات الحركات'!E:E,MATCH(725,'بيانات الحركات'!$G:$G,0)),""))</f>
        <v/>
      </c>
      <c r="F726" s="3" t="str">
        <f>IFERROR(INDEX('بيانات الحركات'!F:F,MATCH(725,'بيانات الحركات'!$G:$G,0)),"")</f>
        <v/>
      </c>
    </row>
    <row r="727" spans="1:6" ht="21.95" customHeight="1">
      <c r="A727" s="8" t="str">
        <f>IFERROR(INDEX('بيانات الحركات'!A:A,MATCH(726,'بيانات الحركات'!$G:$G,0)),"")</f>
        <v/>
      </c>
      <c r="B727" s="5" t="str">
        <f>IFERROR(INDEX('بيانات الحركات'!B:B,MATCH(726,'بيانات الحركات'!$G:$G,0)),"")</f>
        <v/>
      </c>
      <c r="C727" s="3" t="str">
        <f>IFERROR(INDEX('بيانات الحركات'!C:C,MATCH(726,'بيانات الحركات'!$G:$G,0)),"")</f>
        <v/>
      </c>
      <c r="D727" s="3" t="str">
        <f>IFERROR(INDEX('بيانات الحركات'!D:D,MATCH(726,'بيانات الحركات'!$G:$G,0)),"")</f>
        <v/>
      </c>
      <c r="E727" s="21" t="str">
        <f>IF($B727="إنتاج طبخة","",IFERROR(INDEX('بيانات الحركات'!E:E,MATCH(726,'بيانات الحركات'!$G:$G,0)),""))</f>
        <v/>
      </c>
      <c r="F727" s="3" t="str">
        <f>IFERROR(INDEX('بيانات الحركات'!F:F,MATCH(726,'بيانات الحركات'!$G:$G,0)),"")</f>
        <v/>
      </c>
    </row>
    <row r="728" spans="1:6" ht="21.95" customHeight="1">
      <c r="A728" s="8" t="str">
        <f>IFERROR(INDEX('بيانات الحركات'!A:A,MATCH(727,'بيانات الحركات'!$G:$G,0)),"")</f>
        <v/>
      </c>
      <c r="B728" s="5" t="str">
        <f>IFERROR(INDEX('بيانات الحركات'!B:B,MATCH(727,'بيانات الحركات'!$G:$G,0)),"")</f>
        <v/>
      </c>
      <c r="C728" s="3" t="str">
        <f>IFERROR(INDEX('بيانات الحركات'!C:C,MATCH(727,'بيانات الحركات'!$G:$G,0)),"")</f>
        <v/>
      </c>
      <c r="D728" s="3" t="str">
        <f>IFERROR(INDEX('بيانات الحركات'!D:D,MATCH(727,'بيانات الحركات'!$G:$G,0)),"")</f>
        <v/>
      </c>
      <c r="E728" s="21" t="str">
        <f>IF($B728="إنتاج طبخة","",IFERROR(INDEX('بيانات الحركات'!E:E,MATCH(727,'بيانات الحركات'!$G:$G,0)),""))</f>
        <v/>
      </c>
      <c r="F728" s="3" t="str">
        <f>IFERROR(INDEX('بيانات الحركات'!F:F,MATCH(727,'بيانات الحركات'!$G:$G,0)),"")</f>
        <v/>
      </c>
    </row>
    <row r="729" spans="1:6" ht="21.95" customHeight="1">
      <c r="A729" s="8" t="str">
        <f>IFERROR(INDEX('بيانات الحركات'!A:A,MATCH(728,'بيانات الحركات'!$G:$G,0)),"")</f>
        <v/>
      </c>
      <c r="B729" s="5" t="str">
        <f>IFERROR(INDEX('بيانات الحركات'!B:B,MATCH(728,'بيانات الحركات'!$G:$G,0)),"")</f>
        <v/>
      </c>
      <c r="C729" s="3" t="str">
        <f>IFERROR(INDEX('بيانات الحركات'!C:C,MATCH(728,'بيانات الحركات'!$G:$G,0)),"")</f>
        <v/>
      </c>
      <c r="D729" s="3" t="str">
        <f>IFERROR(INDEX('بيانات الحركات'!D:D,MATCH(728,'بيانات الحركات'!$G:$G,0)),"")</f>
        <v/>
      </c>
      <c r="E729" s="21" t="str">
        <f>IF($B729="إنتاج طبخة","",IFERROR(INDEX('بيانات الحركات'!E:E,MATCH(728,'بيانات الحركات'!$G:$G,0)),""))</f>
        <v/>
      </c>
      <c r="F729" s="3" t="str">
        <f>IFERROR(INDEX('بيانات الحركات'!F:F,MATCH(728,'بيانات الحركات'!$G:$G,0)),"")</f>
        <v/>
      </c>
    </row>
    <row r="730" spans="1:6" ht="21.95" customHeight="1">
      <c r="A730" s="8" t="str">
        <f>IFERROR(INDEX('بيانات الحركات'!A:A,MATCH(729,'بيانات الحركات'!$G:$G,0)),"")</f>
        <v/>
      </c>
      <c r="B730" s="5" t="str">
        <f>IFERROR(INDEX('بيانات الحركات'!B:B,MATCH(729,'بيانات الحركات'!$G:$G,0)),"")</f>
        <v/>
      </c>
      <c r="C730" s="3" t="str">
        <f>IFERROR(INDEX('بيانات الحركات'!C:C,MATCH(729,'بيانات الحركات'!$G:$G,0)),"")</f>
        <v/>
      </c>
      <c r="D730" s="3" t="str">
        <f>IFERROR(INDEX('بيانات الحركات'!D:D,MATCH(729,'بيانات الحركات'!$G:$G,0)),"")</f>
        <v/>
      </c>
      <c r="E730" s="21" t="str">
        <f>IF($B730="إنتاج طبخة","",IFERROR(INDEX('بيانات الحركات'!E:E,MATCH(729,'بيانات الحركات'!$G:$G,0)),""))</f>
        <v/>
      </c>
      <c r="F730" s="3" t="str">
        <f>IFERROR(INDEX('بيانات الحركات'!F:F,MATCH(729,'بيانات الحركات'!$G:$G,0)),"")</f>
        <v/>
      </c>
    </row>
    <row r="731" spans="1:6" ht="21.95" customHeight="1">
      <c r="A731" s="8" t="str">
        <f>IFERROR(INDEX('بيانات الحركات'!A:A,MATCH(730,'بيانات الحركات'!$G:$G,0)),"")</f>
        <v/>
      </c>
      <c r="B731" s="5" t="str">
        <f>IFERROR(INDEX('بيانات الحركات'!B:B,MATCH(730,'بيانات الحركات'!$G:$G,0)),"")</f>
        <v/>
      </c>
      <c r="C731" s="3" t="str">
        <f>IFERROR(INDEX('بيانات الحركات'!C:C,MATCH(730,'بيانات الحركات'!$G:$G,0)),"")</f>
        <v/>
      </c>
      <c r="D731" s="3" t="str">
        <f>IFERROR(INDEX('بيانات الحركات'!D:D,MATCH(730,'بيانات الحركات'!$G:$G,0)),"")</f>
        <v/>
      </c>
      <c r="E731" s="21" t="str">
        <f>IF($B731="إنتاج طبخة","",IFERROR(INDEX('بيانات الحركات'!E:E,MATCH(730,'بيانات الحركات'!$G:$G,0)),""))</f>
        <v/>
      </c>
      <c r="F731" s="3" t="str">
        <f>IFERROR(INDEX('بيانات الحركات'!F:F,MATCH(730,'بيانات الحركات'!$G:$G,0)),"")</f>
        <v/>
      </c>
    </row>
    <row r="732" spans="1:6" ht="21.95" customHeight="1">
      <c r="A732" s="8" t="str">
        <f>IFERROR(INDEX('بيانات الحركات'!A:A,MATCH(731,'بيانات الحركات'!$G:$G,0)),"")</f>
        <v/>
      </c>
      <c r="B732" s="5" t="str">
        <f>IFERROR(INDEX('بيانات الحركات'!B:B,MATCH(731,'بيانات الحركات'!$G:$G,0)),"")</f>
        <v/>
      </c>
      <c r="C732" s="3" t="str">
        <f>IFERROR(INDEX('بيانات الحركات'!C:C,MATCH(731,'بيانات الحركات'!$G:$G,0)),"")</f>
        <v/>
      </c>
      <c r="D732" s="3" t="str">
        <f>IFERROR(INDEX('بيانات الحركات'!D:D,MATCH(731,'بيانات الحركات'!$G:$G,0)),"")</f>
        <v/>
      </c>
      <c r="E732" s="21" t="str">
        <f>IF($B732="إنتاج طبخة","",IFERROR(INDEX('بيانات الحركات'!E:E,MATCH(731,'بيانات الحركات'!$G:$G,0)),""))</f>
        <v/>
      </c>
      <c r="F732" s="3" t="str">
        <f>IFERROR(INDEX('بيانات الحركات'!F:F,MATCH(731,'بيانات الحركات'!$G:$G,0)),"")</f>
        <v/>
      </c>
    </row>
    <row r="733" spans="1:6" ht="21.95" customHeight="1">
      <c r="A733" s="8" t="str">
        <f>IFERROR(INDEX('بيانات الحركات'!A:A,MATCH(732,'بيانات الحركات'!$G:$G,0)),"")</f>
        <v/>
      </c>
      <c r="B733" s="5" t="str">
        <f>IFERROR(INDEX('بيانات الحركات'!B:B,MATCH(732,'بيانات الحركات'!$G:$G,0)),"")</f>
        <v/>
      </c>
      <c r="C733" s="3" t="str">
        <f>IFERROR(INDEX('بيانات الحركات'!C:C,MATCH(732,'بيانات الحركات'!$G:$G,0)),"")</f>
        <v/>
      </c>
      <c r="D733" s="3" t="str">
        <f>IFERROR(INDEX('بيانات الحركات'!D:D,MATCH(732,'بيانات الحركات'!$G:$G,0)),"")</f>
        <v/>
      </c>
      <c r="E733" s="21" t="str">
        <f>IF($B733="إنتاج طبخة","",IFERROR(INDEX('بيانات الحركات'!E:E,MATCH(732,'بيانات الحركات'!$G:$G,0)),""))</f>
        <v/>
      </c>
      <c r="F733" s="3" t="str">
        <f>IFERROR(INDEX('بيانات الحركات'!F:F,MATCH(732,'بيانات الحركات'!$G:$G,0)),"")</f>
        <v/>
      </c>
    </row>
    <row r="734" spans="1:6" ht="21.95" customHeight="1">
      <c r="A734" s="8" t="str">
        <f>IFERROR(INDEX('بيانات الحركات'!A:A,MATCH(733,'بيانات الحركات'!$G:$G,0)),"")</f>
        <v/>
      </c>
      <c r="B734" s="5" t="str">
        <f>IFERROR(INDEX('بيانات الحركات'!B:B,MATCH(733,'بيانات الحركات'!$G:$G,0)),"")</f>
        <v/>
      </c>
      <c r="C734" s="3" t="str">
        <f>IFERROR(INDEX('بيانات الحركات'!C:C,MATCH(733,'بيانات الحركات'!$G:$G,0)),"")</f>
        <v/>
      </c>
      <c r="D734" s="3" t="str">
        <f>IFERROR(INDEX('بيانات الحركات'!D:D,MATCH(733,'بيانات الحركات'!$G:$G,0)),"")</f>
        <v/>
      </c>
      <c r="E734" s="21" t="str">
        <f>IF($B734="إنتاج طبخة","",IFERROR(INDEX('بيانات الحركات'!E:E,MATCH(733,'بيانات الحركات'!$G:$G,0)),""))</f>
        <v/>
      </c>
      <c r="F734" s="3" t="str">
        <f>IFERROR(INDEX('بيانات الحركات'!F:F,MATCH(733,'بيانات الحركات'!$G:$G,0)),"")</f>
        <v/>
      </c>
    </row>
    <row r="735" spans="1:6" ht="21.95" customHeight="1">
      <c r="A735" s="8" t="str">
        <f>IFERROR(INDEX('بيانات الحركات'!A:A,MATCH(734,'بيانات الحركات'!$G:$G,0)),"")</f>
        <v/>
      </c>
      <c r="B735" s="5" t="str">
        <f>IFERROR(INDEX('بيانات الحركات'!B:B,MATCH(734,'بيانات الحركات'!$G:$G,0)),"")</f>
        <v/>
      </c>
      <c r="C735" s="3" t="str">
        <f>IFERROR(INDEX('بيانات الحركات'!C:C,MATCH(734,'بيانات الحركات'!$G:$G,0)),"")</f>
        <v/>
      </c>
      <c r="D735" s="3" t="str">
        <f>IFERROR(INDEX('بيانات الحركات'!D:D,MATCH(734,'بيانات الحركات'!$G:$G,0)),"")</f>
        <v/>
      </c>
      <c r="E735" s="21" t="str">
        <f>IF($B735="إنتاج طبخة","",IFERROR(INDEX('بيانات الحركات'!E:E,MATCH(734,'بيانات الحركات'!$G:$G,0)),""))</f>
        <v/>
      </c>
      <c r="F735" s="3" t="str">
        <f>IFERROR(INDEX('بيانات الحركات'!F:F,MATCH(734,'بيانات الحركات'!$G:$G,0)),"")</f>
        <v/>
      </c>
    </row>
    <row r="736" spans="1:6" ht="21.95" customHeight="1">
      <c r="A736" s="8" t="str">
        <f>IFERROR(INDEX('بيانات الحركات'!A:A,MATCH(735,'بيانات الحركات'!$G:$G,0)),"")</f>
        <v/>
      </c>
      <c r="B736" s="5" t="str">
        <f>IFERROR(INDEX('بيانات الحركات'!B:B,MATCH(735,'بيانات الحركات'!$G:$G,0)),"")</f>
        <v/>
      </c>
      <c r="C736" s="3" t="str">
        <f>IFERROR(INDEX('بيانات الحركات'!C:C,MATCH(735,'بيانات الحركات'!$G:$G,0)),"")</f>
        <v/>
      </c>
      <c r="D736" s="3" t="str">
        <f>IFERROR(INDEX('بيانات الحركات'!D:D,MATCH(735,'بيانات الحركات'!$G:$G,0)),"")</f>
        <v/>
      </c>
      <c r="E736" s="21" t="str">
        <f>IF($B736="إنتاج طبخة","",IFERROR(INDEX('بيانات الحركات'!E:E,MATCH(735,'بيانات الحركات'!$G:$G,0)),""))</f>
        <v/>
      </c>
      <c r="F736" s="3" t="str">
        <f>IFERROR(INDEX('بيانات الحركات'!F:F,MATCH(735,'بيانات الحركات'!$G:$G,0)),"")</f>
        <v/>
      </c>
    </row>
    <row r="737" spans="1:6" ht="21.95" customHeight="1">
      <c r="A737" s="8" t="str">
        <f>IFERROR(INDEX('بيانات الحركات'!A:A,MATCH(736,'بيانات الحركات'!$G:$G,0)),"")</f>
        <v/>
      </c>
      <c r="B737" s="5" t="str">
        <f>IFERROR(INDEX('بيانات الحركات'!B:B,MATCH(736,'بيانات الحركات'!$G:$G,0)),"")</f>
        <v/>
      </c>
      <c r="C737" s="3" t="str">
        <f>IFERROR(INDEX('بيانات الحركات'!C:C,MATCH(736,'بيانات الحركات'!$G:$G,0)),"")</f>
        <v/>
      </c>
      <c r="D737" s="3" t="str">
        <f>IFERROR(INDEX('بيانات الحركات'!D:D,MATCH(736,'بيانات الحركات'!$G:$G,0)),"")</f>
        <v/>
      </c>
      <c r="E737" s="21" t="str">
        <f>IF($B737="إنتاج طبخة","",IFERROR(INDEX('بيانات الحركات'!E:E,MATCH(736,'بيانات الحركات'!$G:$G,0)),""))</f>
        <v/>
      </c>
      <c r="F737" s="3" t="str">
        <f>IFERROR(INDEX('بيانات الحركات'!F:F,MATCH(736,'بيانات الحركات'!$G:$G,0)),"")</f>
        <v/>
      </c>
    </row>
    <row r="738" spans="1:6" ht="21.95" customHeight="1">
      <c r="A738" s="8" t="str">
        <f>IFERROR(INDEX('بيانات الحركات'!A:A,MATCH(737,'بيانات الحركات'!$G:$G,0)),"")</f>
        <v/>
      </c>
      <c r="B738" s="5" t="str">
        <f>IFERROR(INDEX('بيانات الحركات'!B:B,MATCH(737,'بيانات الحركات'!$G:$G,0)),"")</f>
        <v/>
      </c>
      <c r="C738" s="3" t="str">
        <f>IFERROR(INDEX('بيانات الحركات'!C:C,MATCH(737,'بيانات الحركات'!$G:$G,0)),"")</f>
        <v/>
      </c>
      <c r="D738" s="3" t="str">
        <f>IFERROR(INDEX('بيانات الحركات'!D:D,MATCH(737,'بيانات الحركات'!$G:$G,0)),"")</f>
        <v/>
      </c>
      <c r="E738" s="21" t="str">
        <f>IF($B738="إنتاج طبخة","",IFERROR(INDEX('بيانات الحركات'!E:E,MATCH(737,'بيانات الحركات'!$G:$G,0)),""))</f>
        <v/>
      </c>
      <c r="F738" s="3" t="str">
        <f>IFERROR(INDEX('بيانات الحركات'!F:F,MATCH(737,'بيانات الحركات'!$G:$G,0)),"")</f>
        <v/>
      </c>
    </row>
    <row r="739" spans="1:6" ht="21.95" customHeight="1">
      <c r="A739" s="8" t="str">
        <f>IFERROR(INDEX('بيانات الحركات'!A:A,MATCH(738,'بيانات الحركات'!$G:$G,0)),"")</f>
        <v/>
      </c>
      <c r="B739" s="5" t="str">
        <f>IFERROR(INDEX('بيانات الحركات'!B:B,MATCH(738,'بيانات الحركات'!$G:$G,0)),"")</f>
        <v/>
      </c>
      <c r="C739" s="3" t="str">
        <f>IFERROR(INDEX('بيانات الحركات'!C:C,MATCH(738,'بيانات الحركات'!$G:$G,0)),"")</f>
        <v/>
      </c>
      <c r="D739" s="3" t="str">
        <f>IFERROR(INDEX('بيانات الحركات'!D:D,MATCH(738,'بيانات الحركات'!$G:$G,0)),"")</f>
        <v/>
      </c>
      <c r="E739" s="21" t="str">
        <f>IF($B739="إنتاج طبخة","",IFERROR(INDEX('بيانات الحركات'!E:E,MATCH(738,'بيانات الحركات'!$G:$G,0)),""))</f>
        <v/>
      </c>
      <c r="F739" s="3" t="str">
        <f>IFERROR(INDEX('بيانات الحركات'!F:F,MATCH(738,'بيانات الحركات'!$G:$G,0)),"")</f>
        <v/>
      </c>
    </row>
    <row r="740" spans="1:6" ht="21.95" customHeight="1">
      <c r="A740" s="8" t="str">
        <f>IFERROR(INDEX('بيانات الحركات'!A:A,MATCH(739,'بيانات الحركات'!$G:$G,0)),"")</f>
        <v/>
      </c>
      <c r="B740" s="5" t="str">
        <f>IFERROR(INDEX('بيانات الحركات'!B:B,MATCH(739,'بيانات الحركات'!$G:$G,0)),"")</f>
        <v/>
      </c>
      <c r="C740" s="3" t="str">
        <f>IFERROR(INDEX('بيانات الحركات'!C:C,MATCH(739,'بيانات الحركات'!$G:$G,0)),"")</f>
        <v/>
      </c>
      <c r="D740" s="3" t="str">
        <f>IFERROR(INDEX('بيانات الحركات'!D:D,MATCH(739,'بيانات الحركات'!$G:$G,0)),"")</f>
        <v/>
      </c>
      <c r="E740" s="21" t="str">
        <f>IF($B740="إنتاج طبخة","",IFERROR(INDEX('بيانات الحركات'!E:E,MATCH(739,'بيانات الحركات'!$G:$G,0)),""))</f>
        <v/>
      </c>
      <c r="F740" s="3" t="str">
        <f>IFERROR(INDEX('بيانات الحركات'!F:F,MATCH(739,'بيانات الحركات'!$G:$G,0)),"")</f>
        <v/>
      </c>
    </row>
    <row r="741" spans="1:6" ht="21.95" customHeight="1">
      <c r="A741" s="8" t="str">
        <f>IFERROR(INDEX('بيانات الحركات'!A:A,MATCH(740,'بيانات الحركات'!$G:$G,0)),"")</f>
        <v/>
      </c>
      <c r="B741" s="5" t="str">
        <f>IFERROR(INDEX('بيانات الحركات'!B:B,MATCH(740,'بيانات الحركات'!$G:$G,0)),"")</f>
        <v/>
      </c>
      <c r="C741" s="3" t="str">
        <f>IFERROR(INDEX('بيانات الحركات'!C:C,MATCH(740,'بيانات الحركات'!$G:$G,0)),"")</f>
        <v/>
      </c>
      <c r="D741" s="3" t="str">
        <f>IFERROR(INDEX('بيانات الحركات'!D:D,MATCH(740,'بيانات الحركات'!$G:$G,0)),"")</f>
        <v/>
      </c>
      <c r="E741" s="21" t="str">
        <f>IF($B741="إنتاج طبخة","",IFERROR(INDEX('بيانات الحركات'!E:E,MATCH(740,'بيانات الحركات'!$G:$G,0)),""))</f>
        <v/>
      </c>
      <c r="F741" s="3" t="str">
        <f>IFERROR(INDEX('بيانات الحركات'!F:F,MATCH(740,'بيانات الحركات'!$G:$G,0)),"")</f>
        <v/>
      </c>
    </row>
    <row r="742" spans="1:6" ht="21.95" customHeight="1">
      <c r="A742" s="8" t="str">
        <f>IFERROR(INDEX('بيانات الحركات'!A:A,MATCH(741,'بيانات الحركات'!$G:$G,0)),"")</f>
        <v/>
      </c>
      <c r="B742" s="5" t="str">
        <f>IFERROR(INDEX('بيانات الحركات'!B:B,MATCH(741,'بيانات الحركات'!$G:$G,0)),"")</f>
        <v/>
      </c>
      <c r="C742" s="3" t="str">
        <f>IFERROR(INDEX('بيانات الحركات'!C:C,MATCH(741,'بيانات الحركات'!$G:$G,0)),"")</f>
        <v/>
      </c>
      <c r="D742" s="3" t="str">
        <f>IFERROR(INDEX('بيانات الحركات'!D:D,MATCH(741,'بيانات الحركات'!$G:$G,0)),"")</f>
        <v/>
      </c>
      <c r="E742" s="21" t="str">
        <f>IF($B742="إنتاج طبخة","",IFERROR(INDEX('بيانات الحركات'!E:E,MATCH(741,'بيانات الحركات'!$G:$G,0)),""))</f>
        <v/>
      </c>
      <c r="F742" s="3" t="str">
        <f>IFERROR(INDEX('بيانات الحركات'!F:F,MATCH(741,'بيانات الحركات'!$G:$G,0)),"")</f>
        <v/>
      </c>
    </row>
    <row r="743" spans="1:6" ht="21.95" customHeight="1">
      <c r="A743" s="8" t="str">
        <f>IFERROR(INDEX('بيانات الحركات'!A:A,MATCH(742,'بيانات الحركات'!$G:$G,0)),"")</f>
        <v/>
      </c>
      <c r="B743" s="5" t="str">
        <f>IFERROR(INDEX('بيانات الحركات'!B:B,MATCH(742,'بيانات الحركات'!$G:$G,0)),"")</f>
        <v/>
      </c>
      <c r="C743" s="3" t="str">
        <f>IFERROR(INDEX('بيانات الحركات'!C:C,MATCH(742,'بيانات الحركات'!$G:$G,0)),"")</f>
        <v/>
      </c>
      <c r="D743" s="3" t="str">
        <f>IFERROR(INDEX('بيانات الحركات'!D:D,MATCH(742,'بيانات الحركات'!$G:$G,0)),"")</f>
        <v/>
      </c>
      <c r="E743" s="21" t="str">
        <f>IF($B743="إنتاج طبخة","",IFERROR(INDEX('بيانات الحركات'!E:E,MATCH(742,'بيانات الحركات'!$G:$G,0)),""))</f>
        <v/>
      </c>
      <c r="F743" s="3" t="str">
        <f>IFERROR(INDEX('بيانات الحركات'!F:F,MATCH(742,'بيانات الحركات'!$G:$G,0)),"")</f>
        <v/>
      </c>
    </row>
    <row r="744" spans="1:6" ht="21.95" customHeight="1">
      <c r="A744" s="8" t="str">
        <f>IFERROR(INDEX('بيانات الحركات'!A:A,MATCH(743,'بيانات الحركات'!$G:$G,0)),"")</f>
        <v/>
      </c>
      <c r="B744" s="5" t="str">
        <f>IFERROR(INDEX('بيانات الحركات'!B:B,MATCH(743,'بيانات الحركات'!$G:$G,0)),"")</f>
        <v/>
      </c>
      <c r="C744" s="3" t="str">
        <f>IFERROR(INDEX('بيانات الحركات'!C:C,MATCH(743,'بيانات الحركات'!$G:$G,0)),"")</f>
        <v/>
      </c>
      <c r="D744" s="3" t="str">
        <f>IFERROR(INDEX('بيانات الحركات'!D:D,MATCH(743,'بيانات الحركات'!$G:$G,0)),"")</f>
        <v/>
      </c>
      <c r="E744" s="21" t="str">
        <f>IF($B744="إنتاج طبخة","",IFERROR(INDEX('بيانات الحركات'!E:E,MATCH(743,'بيانات الحركات'!$G:$G,0)),""))</f>
        <v/>
      </c>
      <c r="F744" s="3" t="str">
        <f>IFERROR(INDEX('بيانات الحركات'!F:F,MATCH(743,'بيانات الحركات'!$G:$G,0)),"")</f>
        <v/>
      </c>
    </row>
    <row r="745" spans="1:6" ht="21.95" customHeight="1">
      <c r="A745" s="8" t="str">
        <f>IFERROR(INDEX('بيانات الحركات'!A:A,MATCH(744,'بيانات الحركات'!$G:$G,0)),"")</f>
        <v/>
      </c>
      <c r="B745" s="5" t="str">
        <f>IFERROR(INDEX('بيانات الحركات'!B:B,MATCH(744,'بيانات الحركات'!$G:$G,0)),"")</f>
        <v/>
      </c>
      <c r="C745" s="3" t="str">
        <f>IFERROR(INDEX('بيانات الحركات'!C:C,MATCH(744,'بيانات الحركات'!$G:$G,0)),"")</f>
        <v/>
      </c>
      <c r="D745" s="3" t="str">
        <f>IFERROR(INDEX('بيانات الحركات'!D:D,MATCH(744,'بيانات الحركات'!$G:$G,0)),"")</f>
        <v/>
      </c>
      <c r="E745" s="21" t="str">
        <f>IF($B745="إنتاج طبخة","",IFERROR(INDEX('بيانات الحركات'!E:E,MATCH(744,'بيانات الحركات'!$G:$G,0)),""))</f>
        <v/>
      </c>
      <c r="F745" s="3" t="str">
        <f>IFERROR(INDEX('بيانات الحركات'!F:F,MATCH(744,'بيانات الحركات'!$G:$G,0)),"")</f>
        <v/>
      </c>
    </row>
    <row r="746" spans="1:6" ht="21.95" customHeight="1">
      <c r="A746" s="8" t="str">
        <f>IFERROR(INDEX('بيانات الحركات'!A:A,MATCH(745,'بيانات الحركات'!$G:$G,0)),"")</f>
        <v/>
      </c>
      <c r="B746" s="5" t="str">
        <f>IFERROR(INDEX('بيانات الحركات'!B:B,MATCH(745,'بيانات الحركات'!$G:$G,0)),"")</f>
        <v/>
      </c>
      <c r="C746" s="3" t="str">
        <f>IFERROR(INDEX('بيانات الحركات'!C:C,MATCH(745,'بيانات الحركات'!$G:$G,0)),"")</f>
        <v/>
      </c>
      <c r="D746" s="3" t="str">
        <f>IFERROR(INDEX('بيانات الحركات'!D:D,MATCH(745,'بيانات الحركات'!$G:$G,0)),"")</f>
        <v/>
      </c>
      <c r="E746" s="21" t="str">
        <f>IF($B746="إنتاج طبخة","",IFERROR(INDEX('بيانات الحركات'!E:E,MATCH(745,'بيانات الحركات'!$G:$G,0)),""))</f>
        <v/>
      </c>
      <c r="F746" s="3" t="str">
        <f>IFERROR(INDEX('بيانات الحركات'!F:F,MATCH(745,'بيانات الحركات'!$G:$G,0)),"")</f>
        <v/>
      </c>
    </row>
    <row r="747" spans="1:6" ht="21.95" customHeight="1">
      <c r="A747" s="8" t="str">
        <f>IFERROR(INDEX('بيانات الحركات'!A:A,MATCH(746,'بيانات الحركات'!$G:$G,0)),"")</f>
        <v/>
      </c>
      <c r="B747" s="5" t="str">
        <f>IFERROR(INDEX('بيانات الحركات'!B:B,MATCH(746,'بيانات الحركات'!$G:$G,0)),"")</f>
        <v/>
      </c>
      <c r="C747" s="3" t="str">
        <f>IFERROR(INDEX('بيانات الحركات'!C:C,MATCH(746,'بيانات الحركات'!$G:$G,0)),"")</f>
        <v/>
      </c>
      <c r="D747" s="3" t="str">
        <f>IFERROR(INDEX('بيانات الحركات'!D:D,MATCH(746,'بيانات الحركات'!$G:$G,0)),"")</f>
        <v/>
      </c>
      <c r="E747" s="21" t="str">
        <f>IF($B747="إنتاج طبخة","",IFERROR(INDEX('بيانات الحركات'!E:E,MATCH(746,'بيانات الحركات'!$G:$G,0)),""))</f>
        <v/>
      </c>
      <c r="F747" s="3" t="str">
        <f>IFERROR(INDEX('بيانات الحركات'!F:F,MATCH(746,'بيانات الحركات'!$G:$G,0)),"")</f>
        <v/>
      </c>
    </row>
    <row r="748" spans="1:6" ht="21.95" customHeight="1">
      <c r="A748" s="8" t="str">
        <f>IFERROR(INDEX('بيانات الحركات'!A:A,MATCH(747,'بيانات الحركات'!$G:$G,0)),"")</f>
        <v/>
      </c>
      <c r="B748" s="5" t="str">
        <f>IFERROR(INDEX('بيانات الحركات'!B:B,MATCH(747,'بيانات الحركات'!$G:$G,0)),"")</f>
        <v/>
      </c>
      <c r="C748" s="3" t="str">
        <f>IFERROR(INDEX('بيانات الحركات'!C:C,MATCH(747,'بيانات الحركات'!$G:$G,0)),"")</f>
        <v/>
      </c>
      <c r="D748" s="3" t="str">
        <f>IFERROR(INDEX('بيانات الحركات'!D:D,MATCH(747,'بيانات الحركات'!$G:$G,0)),"")</f>
        <v/>
      </c>
      <c r="E748" s="21" t="str">
        <f>IF($B748="إنتاج طبخة","",IFERROR(INDEX('بيانات الحركات'!E:E,MATCH(747,'بيانات الحركات'!$G:$G,0)),""))</f>
        <v/>
      </c>
      <c r="F748" s="3" t="str">
        <f>IFERROR(INDEX('بيانات الحركات'!F:F,MATCH(747,'بيانات الحركات'!$G:$G,0)),"")</f>
        <v/>
      </c>
    </row>
    <row r="749" spans="1:6" ht="21.95" customHeight="1">
      <c r="A749" s="8" t="str">
        <f>IFERROR(INDEX('بيانات الحركات'!A:A,MATCH(748,'بيانات الحركات'!$G:$G,0)),"")</f>
        <v/>
      </c>
      <c r="B749" s="5" t="str">
        <f>IFERROR(INDEX('بيانات الحركات'!B:B,MATCH(748,'بيانات الحركات'!$G:$G,0)),"")</f>
        <v/>
      </c>
      <c r="C749" s="3" t="str">
        <f>IFERROR(INDEX('بيانات الحركات'!C:C,MATCH(748,'بيانات الحركات'!$G:$G,0)),"")</f>
        <v/>
      </c>
      <c r="D749" s="3" t="str">
        <f>IFERROR(INDEX('بيانات الحركات'!D:D,MATCH(748,'بيانات الحركات'!$G:$G,0)),"")</f>
        <v/>
      </c>
      <c r="E749" s="21" t="str">
        <f>IF($B749="إنتاج طبخة","",IFERROR(INDEX('بيانات الحركات'!E:E,MATCH(748,'بيانات الحركات'!$G:$G,0)),""))</f>
        <v/>
      </c>
      <c r="F749" s="3" t="str">
        <f>IFERROR(INDEX('بيانات الحركات'!F:F,MATCH(748,'بيانات الحركات'!$G:$G,0)),"")</f>
        <v/>
      </c>
    </row>
    <row r="750" spans="1:6" ht="21.95" customHeight="1">
      <c r="A750" s="8" t="str">
        <f>IFERROR(INDEX('بيانات الحركات'!A:A,MATCH(749,'بيانات الحركات'!$G:$G,0)),"")</f>
        <v/>
      </c>
      <c r="B750" s="5" t="str">
        <f>IFERROR(INDEX('بيانات الحركات'!B:B,MATCH(749,'بيانات الحركات'!$G:$G,0)),"")</f>
        <v/>
      </c>
      <c r="C750" s="3" t="str">
        <f>IFERROR(INDEX('بيانات الحركات'!C:C,MATCH(749,'بيانات الحركات'!$G:$G,0)),"")</f>
        <v/>
      </c>
      <c r="D750" s="3" t="str">
        <f>IFERROR(INDEX('بيانات الحركات'!D:D,MATCH(749,'بيانات الحركات'!$G:$G,0)),"")</f>
        <v/>
      </c>
      <c r="E750" s="21" t="str">
        <f>IF($B750="إنتاج طبخة","",IFERROR(INDEX('بيانات الحركات'!E:E,MATCH(749,'بيانات الحركات'!$G:$G,0)),""))</f>
        <v/>
      </c>
      <c r="F750" s="3" t="str">
        <f>IFERROR(INDEX('بيانات الحركات'!F:F,MATCH(749,'بيانات الحركات'!$G:$G,0)),"")</f>
        <v/>
      </c>
    </row>
    <row r="751" spans="1:6" ht="21.95" customHeight="1">
      <c r="A751" s="8" t="str">
        <f>IFERROR(INDEX('بيانات الحركات'!A:A,MATCH(750,'بيانات الحركات'!$G:$G,0)),"")</f>
        <v/>
      </c>
      <c r="B751" s="5" t="str">
        <f>IFERROR(INDEX('بيانات الحركات'!B:B,MATCH(750,'بيانات الحركات'!$G:$G,0)),"")</f>
        <v/>
      </c>
      <c r="C751" s="3" t="str">
        <f>IFERROR(INDEX('بيانات الحركات'!C:C,MATCH(750,'بيانات الحركات'!$G:$G,0)),"")</f>
        <v/>
      </c>
      <c r="D751" s="3" t="str">
        <f>IFERROR(INDEX('بيانات الحركات'!D:D,MATCH(750,'بيانات الحركات'!$G:$G,0)),"")</f>
        <v/>
      </c>
      <c r="E751" s="21" t="str">
        <f>IF($B751="إنتاج طبخة","",IFERROR(INDEX('بيانات الحركات'!E:E,MATCH(750,'بيانات الحركات'!$G:$G,0)),""))</f>
        <v/>
      </c>
      <c r="F751" s="3" t="str">
        <f>IFERROR(INDEX('بيانات الحركات'!F:F,MATCH(750,'بيانات الحركات'!$G:$G,0)),"")</f>
        <v/>
      </c>
    </row>
    <row r="752" spans="1:6" ht="21.95" customHeight="1">
      <c r="A752" s="8" t="str">
        <f>IFERROR(INDEX('بيانات الحركات'!A:A,MATCH(751,'بيانات الحركات'!$G:$G,0)),"")</f>
        <v/>
      </c>
      <c r="B752" s="5" t="str">
        <f>IFERROR(INDEX('بيانات الحركات'!B:B,MATCH(751,'بيانات الحركات'!$G:$G,0)),"")</f>
        <v/>
      </c>
      <c r="C752" s="3" t="str">
        <f>IFERROR(INDEX('بيانات الحركات'!C:C,MATCH(751,'بيانات الحركات'!$G:$G,0)),"")</f>
        <v/>
      </c>
      <c r="D752" s="3" t="str">
        <f>IFERROR(INDEX('بيانات الحركات'!D:D,MATCH(751,'بيانات الحركات'!$G:$G,0)),"")</f>
        <v/>
      </c>
      <c r="E752" s="21" t="str">
        <f>IF($B752="إنتاج طبخة","",IFERROR(INDEX('بيانات الحركات'!E:E,MATCH(751,'بيانات الحركات'!$G:$G,0)),""))</f>
        <v/>
      </c>
      <c r="F752" s="3" t="str">
        <f>IFERROR(INDEX('بيانات الحركات'!F:F,MATCH(751,'بيانات الحركات'!$G:$G,0)),"")</f>
        <v/>
      </c>
    </row>
    <row r="753" spans="1:6" ht="21.95" customHeight="1">
      <c r="A753" s="8" t="str">
        <f>IFERROR(INDEX('بيانات الحركات'!A:A,MATCH(752,'بيانات الحركات'!$G:$G,0)),"")</f>
        <v/>
      </c>
      <c r="B753" s="5" t="str">
        <f>IFERROR(INDEX('بيانات الحركات'!B:B,MATCH(752,'بيانات الحركات'!$G:$G,0)),"")</f>
        <v/>
      </c>
      <c r="C753" s="3" t="str">
        <f>IFERROR(INDEX('بيانات الحركات'!C:C,MATCH(752,'بيانات الحركات'!$G:$G,0)),"")</f>
        <v/>
      </c>
      <c r="D753" s="3" t="str">
        <f>IFERROR(INDEX('بيانات الحركات'!D:D,MATCH(752,'بيانات الحركات'!$G:$G,0)),"")</f>
        <v/>
      </c>
      <c r="E753" s="21" t="str">
        <f>IF($B753="إنتاج طبخة","",IFERROR(INDEX('بيانات الحركات'!E:E,MATCH(752,'بيانات الحركات'!$G:$G,0)),""))</f>
        <v/>
      </c>
      <c r="F753" s="3" t="str">
        <f>IFERROR(INDEX('بيانات الحركات'!F:F,MATCH(752,'بيانات الحركات'!$G:$G,0)),"")</f>
        <v/>
      </c>
    </row>
    <row r="754" spans="1:6" ht="21.95" customHeight="1">
      <c r="A754" s="8" t="str">
        <f>IFERROR(INDEX('بيانات الحركات'!A:A,MATCH(753,'بيانات الحركات'!$G:$G,0)),"")</f>
        <v/>
      </c>
      <c r="B754" s="5" t="str">
        <f>IFERROR(INDEX('بيانات الحركات'!B:B,MATCH(753,'بيانات الحركات'!$G:$G,0)),"")</f>
        <v/>
      </c>
      <c r="C754" s="3" t="str">
        <f>IFERROR(INDEX('بيانات الحركات'!C:C,MATCH(753,'بيانات الحركات'!$G:$G,0)),"")</f>
        <v/>
      </c>
      <c r="D754" s="3" t="str">
        <f>IFERROR(INDEX('بيانات الحركات'!D:D,MATCH(753,'بيانات الحركات'!$G:$G,0)),"")</f>
        <v/>
      </c>
      <c r="E754" s="21" t="str">
        <f>IF($B754="إنتاج طبخة","",IFERROR(INDEX('بيانات الحركات'!E:E,MATCH(753,'بيانات الحركات'!$G:$G,0)),""))</f>
        <v/>
      </c>
      <c r="F754" s="3" t="str">
        <f>IFERROR(INDEX('بيانات الحركات'!F:F,MATCH(753,'بيانات الحركات'!$G:$G,0)),"")</f>
        <v/>
      </c>
    </row>
    <row r="755" spans="1:6" ht="21.95" customHeight="1">
      <c r="A755" s="8" t="str">
        <f>IFERROR(INDEX('بيانات الحركات'!A:A,MATCH(754,'بيانات الحركات'!$G:$G,0)),"")</f>
        <v/>
      </c>
      <c r="B755" s="5" t="str">
        <f>IFERROR(INDEX('بيانات الحركات'!B:B,MATCH(754,'بيانات الحركات'!$G:$G,0)),"")</f>
        <v/>
      </c>
      <c r="C755" s="3" t="str">
        <f>IFERROR(INDEX('بيانات الحركات'!C:C,MATCH(754,'بيانات الحركات'!$G:$G,0)),"")</f>
        <v/>
      </c>
      <c r="D755" s="3" t="str">
        <f>IFERROR(INDEX('بيانات الحركات'!D:D,MATCH(754,'بيانات الحركات'!$G:$G,0)),"")</f>
        <v/>
      </c>
      <c r="E755" s="21" t="str">
        <f>IF($B755="إنتاج طبخة","",IFERROR(INDEX('بيانات الحركات'!E:E,MATCH(754,'بيانات الحركات'!$G:$G,0)),""))</f>
        <v/>
      </c>
      <c r="F755" s="3" t="str">
        <f>IFERROR(INDEX('بيانات الحركات'!F:F,MATCH(754,'بيانات الحركات'!$G:$G,0)),"")</f>
        <v/>
      </c>
    </row>
    <row r="756" spans="1:6" ht="21.95" customHeight="1">
      <c r="A756" s="8" t="str">
        <f>IFERROR(INDEX('بيانات الحركات'!A:A,MATCH(755,'بيانات الحركات'!$G:$G,0)),"")</f>
        <v/>
      </c>
      <c r="B756" s="5" t="str">
        <f>IFERROR(INDEX('بيانات الحركات'!B:B,MATCH(755,'بيانات الحركات'!$G:$G,0)),"")</f>
        <v/>
      </c>
      <c r="C756" s="3" t="str">
        <f>IFERROR(INDEX('بيانات الحركات'!C:C,MATCH(755,'بيانات الحركات'!$G:$G,0)),"")</f>
        <v/>
      </c>
      <c r="D756" s="3" t="str">
        <f>IFERROR(INDEX('بيانات الحركات'!D:D,MATCH(755,'بيانات الحركات'!$G:$G,0)),"")</f>
        <v/>
      </c>
      <c r="E756" s="21" t="str">
        <f>IF($B756="إنتاج طبخة","",IFERROR(INDEX('بيانات الحركات'!E:E,MATCH(755,'بيانات الحركات'!$G:$G,0)),""))</f>
        <v/>
      </c>
      <c r="F756" s="3" t="str">
        <f>IFERROR(INDEX('بيانات الحركات'!F:F,MATCH(755,'بيانات الحركات'!$G:$G,0)),"")</f>
        <v/>
      </c>
    </row>
    <row r="757" spans="1:6" ht="21.95" customHeight="1">
      <c r="A757" s="8" t="str">
        <f>IFERROR(INDEX('بيانات الحركات'!A:A,MATCH(756,'بيانات الحركات'!$G:$G,0)),"")</f>
        <v/>
      </c>
      <c r="B757" s="5" t="str">
        <f>IFERROR(INDEX('بيانات الحركات'!B:B,MATCH(756,'بيانات الحركات'!$G:$G,0)),"")</f>
        <v/>
      </c>
      <c r="C757" s="3" t="str">
        <f>IFERROR(INDEX('بيانات الحركات'!C:C,MATCH(756,'بيانات الحركات'!$G:$G,0)),"")</f>
        <v/>
      </c>
      <c r="D757" s="3" t="str">
        <f>IFERROR(INDEX('بيانات الحركات'!D:D,MATCH(756,'بيانات الحركات'!$G:$G,0)),"")</f>
        <v/>
      </c>
      <c r="E757" s="21" t="str">
        <f>IF($B757="إنتاج طبخة","",IFERROR(INDEX('بيانات الحركات'!E:E,MATCH(756,'بيانات الحركات'!$G:$G,0)),""))</f>
        <v/>
      </c>
      <c r="F757" s="3" t="str">
        <f>IFERROR(INDEX('بيانات الحركات'!F:F,MATCH(756,'بيانات الحركات'!$G:$G,0)),"")</f>
        <v/>
      </c>
    </row>
    <row r="758" spans="1:6" ht="21.95" customHeight="1">
      <c r="A758" s="8" t="str">
        <f>IFERROR(INDEX('بيانات الحركات'!A:A,MATCH(757,'بيانات الحركات'!$G:$G,0)),"")</f>
        <v/>
      </c>
      <c r="B758" s="5" t="str">
        <f>IFERROR(INDEX('بيانات الحركات'!B:B,MATCH(757,'بيانات الحركات'!$G:$G,0)),"")</f>
        <v/>
      </c>
      <c r="C758" s="3" t="str">
        <f>IFERROR(INDEX('بيانات الحركات'!C:C,MATCH(757,'بيانات الحركات'!$G:$G,0)),"")</f>
        <v/>
      </c>
      <c r="D758" s="3" t="str">
        <f>IFERROR(INDEX('بيانات الحركات'!D:D,MATCH(757,'بيانات الحركات'!$G:$G,0)),"")</f>
        <v/>
      </c>
      <c r="E758" s="21" t="str">
        <f>IF($B758="إنتاج طبخة","",IFERROR(INDEX('بيانات الحركات'!E:E,MATCH(757,'بيانات الحركات'!$G:$G,0)),""))</f>
        <v/>
      </c>
      <c r="F758" s="3" t="str">
        <f>IFERROR(INDEX('بيانات الحركات'!F:F,MATCH(757,'بيانات الحركات'!$G:$G,0)),"")</f>
        <v/>
      </c>
    </row>
    <row r="759" spans="1:6" ht="21.95" customHeight="1">
      <c r="A759" s="8" t="str">
        <f>IFERROR(INDEX('بيانات الحركات'!A:A,MATCH(758,'بيانات الحركات'!$G:$G,0)),"")</f>
        <v/>
      </c>
      <c r="B759" s="5" t="str">
        <f>IFERROR(INDEX('بيانات الحركات'!B:B,MATCH(758,'بيانات الحركات'!$G:$G,0)),"")</f>
        <v/>
      </c>
      <c r="C759" s="3" t="str">
        <f>IFERROR(INDEX('بيانات الحركات'!C:C,MATCH(758,'بيانات الحركات'!$G:$G,0)),"")</f>
        <v/>
      </c>
      <c r="D759" s="3" t="str">
        <f>IFERROR(INDEX('بيانات الحركات'!D:D,MATCH(758,'بيانات الحركات'!$G:$G,0)),"")</f>
        <v/>
      </c>
      <c r="E759" s="21" t="str">
        <f>IF($B759="إنتاج طبخة","",IFERROR(INDEX('بيانات الحركات'!E:E,MATCH(758,'بيانات الحركات'!$G:$G,0)),""))</f>
        <v/>
      </c>
      <c r="F759" s="3" t="str">
        <f>IFERROR(INDEX('بيانات الحركات'!F:F,MATCH(758,'بيانات الحركات'!$G:$G,0)),"")</f>
        <v/>
      </c>
    </row>
    <row r="760" spans="1:6" ht="21.95" customHeight="1">
      <c r="A760" s="8" t="str">
        <f>IFERROR(INDEX('بيانات الحركات'!A:A,MATCH(759,'بيانات الحركات'!$G:$G,0)),"")</f>
        <v/>
      </c>
      <c r="B760" s="5" t="str">
        <f>IFERROR(INDEX('بيانات الحركات'!B:B,MATCH(759,'بيانات الحركات'!$G:$G,0)),"")</f>
        <v/>
      </c>
      <c r="C760" s="3" t="str">
        <f>IFERROR(INDEX('بيانات الحركات'!C:C,MATCH(759,'بيانات الحركات'!$G:$G,0)),"")</f>
        <v/>
      </c>
      <c r="D760" s="3" t="str">
        <f>IFERROR(INDEX('بيانات الحركات'!D:D,MATCH(759,'بيانات الحركات'!$G:$G,0)),"")</f>
        <v/>
      </c>
      <c r="E760" s="21" t="str">
        <f>IF($B760="إنتاج طبخة","",IFERROR(INDEX('بيانات الحركات'!E:E,MATCH(759,'بيانات الحركات'!$G:$G,0)),""))</f>
        <v/>
      </c>
      <c r="F760" s="3" t="str">
        <f>IFERROR(INDEX('بيانات الحركات'!F:F,MATCH(759,'بيانات الحركات'!$G:$G,0)),"")</f>
        <v/>
      </c>
    </row>
    <row r="761" spans="1:6" ht="21.95" customHeight="1">
      <c r="A761" s="8" t="str">
        <f>IFERROR(INDEX('بيانات الحركات'!A:A,MATCH(760,'بيانات الحركات'!$G:$G,0)),"")</f>
        <v/>
      </c>
      <c r="B761" s="5" t="str">
        <f>IFERROR(INDEX('بيانات الحركات'!B:B,MATCH(760,'بيانات الحركات'!$G:$G,0)),"")</f>
        <v/>
      </c>
      <c r="C761" s="3" t="str">
        <f>IFERROR(INDEX('بيانات الحركات'!C:C,MATCH(760,'بيانات الحركات'!$G:$G,0)),"")</f>
        <v/>
      </c>
      <c r="D761" s="3" t="str">
        <f>IFERROR(INDEX('بيانات الحركات'!D:D,MATCH(760,'بيانات الحركات'!$G:$G,0)),"")</f>
        <v/>
      </c>
      <c r="E761" s="21" t="str">
        <f>IF($B761="إنتاج طبخة","",IFERROR(INDEX('بيانات الحركات'!E:E,MATCH(760,'بيانات الحركات'!$G:$G,0)),""))</f>
        <v/>
      </c>
      <c r="F761" s="3" t="str">
        <f>IFERROR(INDEX('بيانات الحركات'!F:F,MATCH(760,'بيانات الحركات'!$G:$G,0)),"")</f>
        <v/>
      </c>
    </row>
    <row r="762" spans="1:6" ht="21.95" customHeight="1">
      <c r="A762" s="8" t="str">
        <f>IFERROR(INDEX('بيانات الحركات'!A:A,MATCH(761,'بيانات الحركات'!$G:$G,0)),"")</f>
        <v/>
      </c>
      <c r="B762" s="5" t="str">
        <f>IFERROR(INDEX('بيانات الحركات'!B:B,MATCH(761,'بيانات الحركات'!$G:$G,0)),"")</f>
        <v/>
      </c>
      <c r="C762" s="3" t="str">
        <f>IFERROR(INDEX('بيانات الحركات'!C:C,MATCH(761,'بيانات الحركات'!$G:$G,0)),"")</f>
        <v/>
      </c>
      <c r="D762" s="3" t="str">
        <f>IFERROR(INDEX('بيانات الحركات'!D:D,MATCH(761,'بيانات الحركات'!$G:$G,0)),"")</f>
        <v/>
      </c>
      <c r="E762" s="21" t="str">
        <f>IF($B762="إنتاج طبخة","",IFERROR(INDEX('بيانات الحركات'!E:E,MATCH(761,'بيانات الحركات'!$G:$G,0)),""))</f>
        <v/>
      </c>
      <c r="F762" s="3" t="str">
        <f>IFERROR(INDEX('بيانات الحركات'!F:F,MATCH(761,'بيانات الحركات'!$G:$G,0)),"")</f>
        <v/>
      </c>
    </row>
    <row r="763" spans="1:6" ht="21.95" customHeight="1">
      <c r="A763" s="8" t="str">
        <f>IFERROR(INDEX('بيانات الحركات'!A:A,MATCH(762,'بيانات الحركات'!$G:$G,0)),"")</f>
        <v/>
      </c>
      <c r="B763" s="5" t="str">
        <f>IFERROR(INDEX('بيانات الحركات'!B:B,MATCH(762,'بيانات الحركات'!$G:$G,0)),"")</f>
        <v/>
      </c>
      <c r="C763" s="3" t="str">
        <f>IFERROR(INDEX('بيانات الحركات'!C:C,MATCH(762,'بيانات الحركات'!$G:$G,0)),"")</f>
        <v/>
      </c>
      <c r="D763" s="3" t="str">
        <f>IFERROR(INDEX('بيانات الحركات'!D:D,MATCH(762,'بيانات الحركات'!$G:$G,0)),"")</f>
        <v/>
      </c>
      <c r="E763" s="21" t="str">
        <f>IF($B763="إنتاج طبخة","",IFERROR(INDEX('بيانات الحركات'!E:E,MATCH(762,'بيانات الحركات'!$G:$G,0)),""))</f>
        <v/>
      </c>
      <c r="F763" s="3" t="str">
        <f>IFERROR(INDEX('بيانات الحركات'!F:F,MATCH(762,'بيانات الحركات'!$G:$G,0)),"")</f>
        <v/>
      </c>
    </row>
    <row r="764" spans="1:6" ht="21.95" customHeight="1">
      <c r="A764" s="8" t="str">
        <f>IFERROR(INDEX('بيانات الحركات'!A:A,MATCH(763,'بيانات الحركات'!$G:$G,0)),"")</f>
        <v/>
      </c>
      <c r="B764" s="5" t="str">
        <f>IFERROR(INDEX('بيانات الحركات'!B:B,MATCH(763,'بيانات الحركات'!$G:$G,0)),"")</f>
        <v/>
      </c>
      <c r="C764" s="3" t="str">
        <f>IFERROR(INDEX('بيانات الحركات'!C:C,MATCH(763,'بيانات الحركات'!$G:$G,0)),"")</f>
        <v/>
      </c>
      <c r="D764" s="3" t="str">
        <f>IFERROR(INDEX('بيانات الحركات'!D:D,MATCH(763,'بيانات الحركات'!$G:$G,0)),"")</f>
        <v/>
      </c>
      <c r="E764" s="21" t="str">
        <f>IF($B764="إنتاج طبخة","",IFERROR(INDEX('بيانات الحركات'!E:E,MATCH(763,'بيانات الحركات'!$G:$G,0)),""))</f>
        <v/>
      </c>
      <c r="F764" s="3" t="str">
        <f>IFERROR(INDEX('بيانات الحركات'!F:F,MATCH(763,'بيانات الحركات'!$G:$G,0)),"")</f>
        <v/>
      </c>
    </row>
    <row r="765" spans="1:6" ht="21.95" customHeight="1">
      <c r="A765" s="8" t="str">
        <f>IFERROR(INDEX('بيانات الحركات'!A:A,MATCH(764,'بيانات الحركات'!$G:$G,0)),"")</f>
        <v/>
      </c>
      <c r="B765" s="5" t="str">
        <f>IFERROR(INDEX('بيانات الحركات'!B:B,MATCH(764,'بيانات الحركات'!$G:$G,0)),"")</f>
        <v/>
      </c>
      <c r="C765" s="3" t="str">
        <f>IFERROR(INDEX('بيانات الحركات'!C:C,MATCH(764,'بيانات الحركات'!$G:$G,0)),"")</f>
        <v/>
      </c>
      <c r="D765" s="3" t="str">
        <f>IFERROR(INDEX('بيانات الحركات'!D:D,MATCH(764,'بيانات الحركات'!$G:$G,0)),"")</f>
        <v/>
      </c>
      <c r="E765" s="21" t="str">
        <f>IF($B765="إنتاج طبخة","",IFERROR(INDEX('بيانات الحركات'!E:E,MATCH(764,'بيانات الحركات'!$G:$G,0)),""))</f>
        <v/>
      </c>
      <c r="F765" s="3" t="str">
        <f>IFERROR(INDEX('بيانات الحركات'!F:F,MATCH(764,'بيانات الحركات'!$G:$G,0)),"")</f>
        <v/>
      </c>
    </row>
    <row r="766" spans="1:6" ht="21.95" customHeight="1">
      <c r="A766" s="8" t="str">
        <f>IFERROR(INDEX('بيانات الحركات'!A:A,MATCH(765,'بيانات الحركات'!$G:$G,0)),"")</f>
        <v/>
      </c>
      <c r="B766" s="5" t="str">
        <f>IFERROR(INDEX('بيانات الحركات'!B:B,MATCH(765,'بيانات الحركات'!$G:$G,0)),"")</f>
        <v/>
      </c>
      <c r="C766" s="3" t="str">
        <f>IFERROR(INDEX('بيانات الحركات'!C:C,MATCH(765,'بيانات الحركات'!$G:$G,0)),"")</f>
        <v/>
      </c>
      <c r="D766" s="3" t="str">
        <f>IFERROR(INDEX('بيانات الحركات'!D:D,MATCH(765,'بيانات الحركات'!$G:$G,0)),"")</f>
        <v/>
      </c>
      <c r="E766" s="21" t="str">
        <f>IF($B766="إنتاج طبخة","",IFERROR(INDEX('بيانات الحركات'!E:E,MATCH(765,'بيانات الحركات'!$G:$G,0)),""))</f>
        <v/>
      </c>
      <c r="F766" s="3" t="str">
        <f>IFERROR(INDEX('بيانات الحركات'!F:F,MATCH(765,'بيانات الحركات'!$G:$G,0)),"")</f>
        <v/>
      </c>
    </row>
    <row r="767" spans="1:6" ht="21.95" customHeight="1">
      <c r="A767" s="8" t="str">
        <f>IFERROR(INDEX('بيانات الحركات'!A:A,MATCH(766,'بيانات الحركات'!$G:$G,0)),"")</f>
        <v/>
      </c>
      <c r="B767" s="5" t="str">
        <f>IFERROR(INDEX('بيانات الحركات'!B:B,MATCH(766,'بيانات الحركات'!$G:$G,0)),"")</f>
        <v/>
      </c>
      <c r="C767" s="3" t="str">
        <f>IFERROR(INDEX('بيانات الحركات'!C:C,MATCH(766,'بيانات الحركات'!$G:$G,0)),"")</f>
        <v/>
      </c>
      <c r="D767" s="3" t="str">
        <f>IFERROR(INDEX('بيانات الحركات'!D:D,MATCH(766,'بيانات الحركات'!$G:$G,0)),"")</f>
        <v/>
      </c>
      <c r="E767" s="21" t="str">
        <f>IF($B767="إنتاج طبخة","",IFERROR(INDEX('بيانات الحركات'!E:E,MATCH(766,'بيانات الحركات'!$G:$G,0)),""))</f>
        <v/>
      </c>
      <c r="F767" s="3" t="str">
        <f>IFERROR(INDEX('بيانات الحركات'!F:F,MATCH(766,'بيانات الحركات'!$G:$G,0)),"")</f>
        <v/>
      </c>
    </row>
    <row r="768" spans="1:6" ht="21.95" customHeight="1">
      <c r="A768" s="8" t="str">
        <f>IFERROR(INDEX('بيانات الحركات'!A:A,MATCH(767,'بيانات الحركات'!$G:$G,0)),"")</f>
        <v/>
      </c>
      <c r="B768" s="5" t="str">
        <f>IFERROR(INDEX('بيانات الحركات'!B:B,MATCH(767,'بيانات الحركات'!$G:$G,0)),"")</f>
        <v/>
      </c>
      <c r="C768" s="3" t="str">
        <f>IFERROR(INDEX('بيانات الحركات'!C:C,MATCH(767,'بيانات الحركات'!$G:$G,0)),"")</f>
        <v/>
      </c>
      <c r="D768" s="3" t="str">
        <f>IFERROR(INDEX('بيانات الحركات'!D:D,MATCH(767,'بيانات الحركات'!$G:$G,0)),"")</f>
        <v/>
      </c>
      <c r="E768" s="21" t="str">
        <f>IF($B768="إنتاج طبخة","",IFERROR(INDEX('بيانات الحركات'!E:E,MATCH(767,'بيانات الحركات'!$G:$G,0)),""))</f>
        <v/>
      </c>
      <c r="F768" s="3" t="str">
        <f>IFERROR(INDEX('بيانات الحركات'!F:F,MATCH(767,'بيانات الحركات'!$G:$G,0)),"")</f>
        <v/>
      </c>
    </row>
    <row r="769" spans="1:6" ht="21.95" customHeight="1">
      <c r="A769" s="8" t="str">
        <f>IFERROR(INDEX('بيانات الحركات'!A:A,MATCH(768,'بيانات الحركات'!$G:$G,0)),"")</f>
        <v/>
      </c>
      <c r="B769" s="5" t="str">
        <f>IFERROR(INDEX('بيانات الحركات'!B:B,MATCH(768,'بيانات الحركات'!$G:$G,0)),"")</f>
        <v/>
      </c>
      <c r="C769" s="3" t="str">
        <f>IFERROR(INDEX('بيانات الحركات'!C:C,MATCH(768,'بيانات الحركات'!$G:$G,0)),"")</f>
        <v/>
      </c>
      <c r="D769" s="3" t="str">
        <f>IFERROR(INDEX('بيانات الحركات'!D:D,MATCH(768,'بيانات الحركات'!$G:$G,0)),"")</f>
        <v/>
      </c>
      <c r="E769" s="21" t="str">
        <f>IF($B769="إنتاج طبخة","",IFERROR(INDEX('بيانات الحركات'!E:E,MATCH(768,'بيانات الحركات'!$G:$G,0)),""))</f>
        <v/>
      </c>
      <c r="F769" s="3" t="str">
        <f>IFERROR(INDEX('بيانات الحركات'!F:F,MATCH(768,'بيانات الحركات'!$G:$G,0)),"")</f>
        <v/>
      </c>
    </row>
    <row r="770" spans="1:6" ht="21.95" customHeight="1">
      <c r="A770" s="8" t="str">
        <f>IFERROR(INDEX('بيانات الحركات'!A:A,MATCH(769,'بيانات الحركات'!$G:$G,0)),"")</f>
        <v/>
      </c>
      <c r="B770" s="5" t="str">
        <f>IFERROR(INDEX('بيانات الحركات'!B:B,MATCH(769,'بيانات الحركات'!$G:$G,0)),"")</f>
        <v/>
      </c>
      <c r="C770" s="3" t="str">
        <f>IFERROR(INDEX('بيانات الحركات'!C:C,MATCH(769,'بيانات الحركات'!$G:$G,0)),"")</f>
        <v/>
      </c>
      <c r="D770" s="3" t="str">
        <f>IFERROR(INDEX('بيانات الحركات'!D:D,MATCH(769,'بيانات الحركات'!$G:$G,0)),"")</f>
        <v/>
      </c>
      <c r="E770" s="21" t="str">
        <f>IF($B770="إنتاج طبخة","",IFERROR(INDEX('بيانات الحركات'!E:E,MATCH(769,'بيانات الحركات'!$G:$G,0)),""))</f>
        <v/>
      </c>
      <c r="F770" s="3" t="str">
        <f>IFERROR(INDEX('بيانات الحركات'!F:F,MATCH(769,'بيانات الحركات'!$G:$G,0)),"")</f>
        <v/>
      </c>
    </row>
    <row r="771" spans="1:6" ht="21.95" customHeight="1">
      <c r="A771" s="8" t="str">
        <f>IFERROR(INDEX('بيانات الحركات'!A:A,MATCH(770,'بيانات الحركات'!$G:$G,0)),"")</f>
        <v/>
      </c>
      <c r="B771" s="5" t="str">
        <f>IFERROR(INDEX('بيانات الحركات'!B:B,MATCH(770,'بيانات الحركات'!$G:$G,0)),"")</f>
        <v/>
      </c>
      <c r="C771" s="3" t="str">
        <f>IFERROR(INDEX('بيانات الحركات'!C:C,MATCH(770,'بيانات الحركات'!$G:$G,0)),"")</f>
        <v/>
      </c>
      <c r="D771" s="3" t="str">
        <f>IFERROR(INDEX('بيانات الحركات'!D:D,MATCH(770,'بيانات الحركات'!$G:$G,0)),"")</f>
        <v/>
      </c>
      <c r="E771" s="21" t="str">
        <f>IF($B771="إنتاج طبخة","",IFERROR(INDEX('بيانات الحركات'!E:E,MATCH(770,'بيانات الحركات'!$G:$G,0)),""))</f>
        <v/>
      </c>
      <c r="F771" s="3" t="str">
        <f>IFERROR(INDEX('بيانات الحركات'!F:F,MATCH(770,'بيانات الحركات'!$G:$G,0)),"")</f>
        <v/>
      </c>
    </row>
    <row r="772" spans="1:6" ht="21.95" customHeight="1">
      <c r="A772" s="8" t="str">
        <f>IFERROR(INDEX('بيانات الحركات'!A:A,MATCH(771,'بيانات الحركات'!$G:$G,0)),"")</f>
        <v/>
      </c>
      <c r="B772" s="5" t="str">
        <f>IFERROR(INDEX('بيانات الحركات'!B:B,MATCH(771,'بيانات الحركات'!$G:$G,0)),"")</f>
        <v/>
      </c>
      <c r="C772" s="3" t="str">
        <f>IFERROR(INDEX('بيانات الحركات'!C:C,MATCH(771,'بيانات الحركات'!$G:$G,0)),"")</f>
        <v/>
      </c>
      <c r="D772" s="3" t="str">
        <f>IFERROR(INDEX('بيانات الحركات'!D:D,MATCH(771,'بيانات الحركات'!$G:$G,0)),"")</f>
        <v/>
      </c>
      <c r="E772" s="21" t="str">
        <f>IF($B772="إنتاج طبخة","",IFERROR(INDEX('بيانات الحركات'!E:E,MATCH(771,'بيانات الحركات'!$G:$G,0)),""))</f>
        <v/>
      </c>
      <c r="F772" s="3" t="str">
        <f>IFERROR(INDEX('بيانات الحركات'!F:F,MATCH(771,'بيانات الحركات'!$G:$G,0)),"")</f>
        <v/>
      </c>
    </row>
    <row r="773" spans="1:6" ht="21.95" customHeight="1">
      <c r="A773" s="8" t="str">
        <f>IFERROR(INDEX('بيانات الحركات'!A:A,MATCH(772,'بيانات الحركات'!$G:$G,0)),"")</f>
        <v/>
      </c>
      <c r="B773" s="5" t="str">
        <f>IFERROR(INDEX('بيانات الحركات'!B:B,MATCH(772,'بيانات الحركات'!$G:$G,0)),"")</f>
        <v/>
      </c>
      <c r="C773" s="3" t="str">
        <f>IFERROR(INDEX('بيانات الحركات'!C:C,MATCH(772,'بيانات الحركات'!$G:$G,0)),"")</f>
        <v/>
      </c>
      <c r="D773" s="3" t="str">
        <f>IFERROR(INDEX('بيانات الحركات'!D:D,MATCH(772,'بيانات الحركات'!$G:$G,0)),"")</f>
        <v/>
      </c>
      <c r="E773" s="21" t="str">
        <f>IF($B773="إنتاج طبخة","",IFERROR(INDEX('بيانات الحركات'!E:E,MATCH(772,'بيانات الحركات'!$G:$G,0)),""))</f>
        <v/>
      </c>
      <c r="F773" s="3" t="str">
        <f>IFERROR(INDEX('بيانات الحركات'!F:F,MATCH(772,'بيانات الحركات'!$G:$G,0)),"")</f>
        <v/>
      </c>
    </row>
    <row r="774" spans="1:6" ht="21.95" customHeight="1">
      <c r="A774" s="8" t="str">
        <f>IFERROR(INDEX('بيانات الحركات'!A:A,MATCH(773,'بيانات الحركات'!$G:$G,0)),"")</f>
        <v/>
      </c>
      <c r="B774" s="5" t="str">
        <f>IFERROR(INDEX('بيانات الحركات'!B:B,MATCH(773,'بيانات الحركات'!$G:$G,0)),"")</f>
        <v/>
      </c>
      <c r="C774" s="3" t="str">
        <f>IFERROR(INDEX('بيانات الحركات'!C:C,MATCH(773,'بيانات الحركات'!$G:$G,0)),"")</f>
        <v/>
      </c>
      <c r="D774" s="3" t="str">
        <f>IFERROR(INDEX('بيانات الحركات'!D:D,MATCH(773,'بيانات الحركات'!$G:$G,0)),"")</f>
        <v/>
      </c>
      <c r="E774" s="21" t="str">
        <f>IF($B774="إنتاج طبخة","",IFERROR(INDEX('بيانات الحركات'!E:E,MATCH(773,'بيانات الحركات'!$G:$G,0)),""))</f>
        <v/>
      </c>
      <c r="F774" s="3" t="str">
        <f>IFERROR(INDEX('بيانات الحركات'!F:F,MATCH(773,'بيانات الحركات'!$G:$G,0)),"")</f>
        <v/>
      </c>
    </row>
    <row r="775" spans="1:6" ht="21.95" customHeight="1">
      <c r="A775" s="8" t="str">
        <f>IFERROR(INDEX('بيانات الحركات'!A:A,MATCH(774,'بيانات الحركات'!$G:$G,0)),"")</f>
        <v/>
      </c>
      <c r="B775" s="5" t="str">
        <f>IFERROR(INDEX('بيانات الحركات'!B:B,MATCH(774,'بيانات الحركات'!$G:$G,0)),"")</f>
        <v/>
      </c>
      <c r="C775" s="3" t="str">
        <f>IFERROR(INDEX('بيانات الحركات'!C:C,MATCH(774,'بيانات الحركات'!$G:$G,0)),"")</f>
        <v/>
      </c>
      <c r="D775" s="3" t="str">
        <f>IFERROR(INDEX('بيانات الحركات'!D:D,MATCH(774,'بيانات الحركات'!$G:$G,0)),"")</f>
        <v/>
      </c>
      <c r="E775" s="21" t="str">
        <f>IF($B775="إنتاج طبخة","",IFERROR(INDEX('بيانات الحركات'!E:E,MATCH(774,'بيانات الحركات'!$G:$G,0)),""))</f>
        <v/>
      </c>
      <c r="F775" s="3" t="str">
        <f>IFERROR(INDEX('بيانات الحركات'!F:F,MATCH(774,'بيانات الحركات'!$G:$G,0)),"")</f>
        <v/>
      </c>
    </row>
    <row r="776" spans="1:6" ht="21.95" customHeight="1">
      <c r="A776" s="8" t="str">
        <f>IFERROR(INDEX('بيانات الحركات'!A:A,MATCH(775,'بيانات الحركات'!$G:$G,0)),"")</f>
        <v/>
      </c>
      <c r="B776" s="5" t="str">
        <f>IFERROR(INDEX('بيانات الحركات'!B:B,MATCH(775,'بيانات الحركات'!$G:$G,0)),"")</f>
        <v/>
      </c>
      <c r="C776" s="3" t="str">
        <f>IFERROR(INDEX('بيانات الحركات'!C:C,MATCH(775,'بيانات الحركات'!$G:$G,0)),"")</f>
        <v/>
      </c>
      <c r="D776" s="3" t="str">
        <f>IFERROR(INDEX('بيانات الحركات'!D:D,MATCH(775,'بيانات الحركات'!$G:$G,0)),"")</f>
        <v/>
      </c>
      <c r="E776" s="21" t="str">
        <f>IF($B776="إنتاج طبخة","",IFERROR(INDEX('بيانات الحركات'!E:E,MATCH(775,'بيانات الحركات'!$G:$G,0)),""))</f>
        <v/>
      </c>
      <c r="F776" s="3" t="str">
        <f>IFERROR(INDEX('بيانات الحركات'!F:F,MATCH(775,'بيانات الحركات'!$G:$G,0)),"")</f>
        <v/>
      </c>
    </row>
    <row r="777" spans="1:6" ht="21.95" customHeight="1">
      <c r="A777" s="8" t="str">
        <f>IFERROR(INDEX('بيانات الحركات'!A:A,MATCH(776,'بيانات الحركات'!$G:$G,0)),"")</f>
        <v/>
      </c>
      <c r="B777" s="5" t="str">
        <f>IFERROR(INDEX('بيانات الحركات'!B:B,MATCH(776,'بيانات الحركات'!$G:$G,0)),"")</f>
        <v/>
      </c>
      <c r="C777" s="3" t="str">
        <f>IFERROR(INDEX('بيانات الحركات'!C:C,MATCH(776,'بيانات الحركات'!$G:$G,0)),"")</f>
        <v/>
      </c>
      <c r="D777" s="3" t="str">
        <f>IFERROR(INDEX('بيانات الحركات'!D:D,MATCH(776,'بيانات الحركات'!$G:$G,0)),"")</f>
        <v/>
      </c>
      <c r="E777" s="21" t="str">
        <f>IF($B777="إنتاج طبخة","",IFERROR(INDEX('بيانات الحركات'!E:E,MATCH(776,'بيانات الحركات'!$G:$G,0)),""))</f>
        <v/>
      </c>
      <c r="F777" s="3" t="str">
        <f>IFERROR(INDEX('بيانات الحركات'!F:F,MATCH(776,'بيانات الحركات'!$G:$G,0)),"")</f>
        <v/>
      </c>
    </row>
    <row r="778" spans="1:6" ht="21.95" customHeight="1">
      <c r="A778" s="8" t="str">
        <f>IFERROR(INDEX('بيانات الحركات'!A:A,MATCH(777,'بيانات الحركات'!$G:$G,0)),"")</f>
        <v/>
      </c>
      <c r="B778" s="5" t="str">
        <f>IFERROR(INDEX('بيانات الحركات'!B:B,MATCH(777,'بيانات الحركات'!$G:$G,0)),"")</f>
        <v/>
      </c>
      <c r="C778" s="3" t="str">
        <f>IFERROR(INDEX('بيانات الحركات'!C:C,MATCH(777,'بيانات الحركات'!$G:$G,0)),"")</f>
        <v/>
      </c>
      <c r="D778" s="3" t="str">
        <f>IFERROR(INDEX('بيانات الحركات'!D:D,MATCH(777,'بيانات الحركات'!$G:$G,0)),"")</f>
        <v/>
      </c>
      <c r="E778" s="21" t="str">
        <f>IF($B778="إنتاج طبخة","",IFERROR(INDEX('بيانات الحركات'!E:E,MATCH(777,'بيانات الحركات'!$G:$G,0)),""))</f>
        <v/>
      </c>
      <c r="F778" s="3" t="str">
        <f>IFERROR(INDEX('بيانات الحركات'!F:F,MATCH(777,'بيانات الحركات'!$G:$G,0)),"")</f>
        <v/>
      </c>
    </row>
    <row r="779" spans="1:6" ht="21.95" customHeight="1">
      <c r="A779" s="8" t="str">
        <f>IFERROR(INDEX('بيانات الحركات'!A:A,MATCH(778,'بيانات الحركات'!$G:$G,0)),"")</f>
        <v/>
      </c>
      <c r="B779" s="5" t="str">
        <f>IFERROR(INDEX('بيانات الحركات'!B:B,MATCH(778,'بيانات الحركات'!$G:$G,0)),"")</f>
        <v/>
      </c>
      <c r="C779" s="3" t="str">
        <f>IFERROR(INDEX('بيانات الحركات'!C:C,MATCH(778,'بيانات الحركات'!$G:$G,0)),"")</f>
        <v/>
      </c>
      <c r="D779" s="3" t="str">
        <f>IFERROR(INDEX('بيانات الحركات'!D:D,MATCH(778,'بيانات الحركات'!$G:$G,0)),"")</f>
        <v/>
      </c>
      <c r="E779" s="21" t="str">
        <f>IF($B779="إنتاج طبخة","",IFERROR(INDEX('بيانات الحركات'!E:E,MATCH(778,'بيانات الحركات'!$G:$G,0)),""))</f>
        <v/>
      </c>
      <c r="F779" s="3" t="str">
        <f>IFERROR(INDEX('بيانات الحركات'!F:F,MATCH(778,'بيانات الحركات'!$G:$G,0)),"")</f>
        <v/>
      </c>
    </row>
    <row r="780" spans="1:6" ht="21.95" customHeight="1">
      <c r="A780" s="8" t="str">
        <f>IFERROR(INDEX('بيانات الحركات'!A:A,MATCH(779,'بيانات الحركات'!$G:$G,0)),"")</f>
        <v/>
      </c>
      <c r="B780" s="5" t="str">
        <f>IFERROR(INDEX('بيانات الحركات'!B:B,MATCH(779,'بيانات الحركات'!$G:$G,0)),"")</f>
        <v/>
      </c>
      <c r="C780" s="3" t="str">
        <f>IFERROR(INDEX('بيانات الحركات'!C:C,MATCH(779,'بيانات الحركات'!$G:$G,0)),"")</f>
        <v/>
      </c>
      <c r="D780" s="3" t="str">
        <f>IFERROR(INDEX('بيانات الحركات'!D:D,MATCH(779,'بيانات الحركات'!$G:$G,0)),"")</f>
        <v/>
      </c>
      <c r="E780" s="21" t="str">
        <f>IF($B780="إنتاج طبخة","",IFERROR(INDEX('بيانات الحركات'!E:E,MATCH(779,'بيانات الحركات'!$G:$G,0)),""))</f>
        <v/>
      </c>
      <c r="F780" s="3" t="str">
        <f>IFERROR(INDEX('بيانات الحركات'!F:F,MATCH(779,'بيانات الحركات'!$G:$G,0)),"")</f>
        <v/>
      </c>
    </row>
    <row r="781" spans="1:6" ht="21.95" customHeight="1">
      <c r="A781" s="8" t="str">
        <f>IFERROR(INDEX('بيانات الحركات'!A:A,MATCH(780,'بيانات الحركات'!$G:$G,0)),"")</f>
        <v/>
      </c>
      <c r="B781" s="5" t="str">
        <f>IFERROR(INDEX('بيانات الحركات'!B:B,MATCH(780,'بيانات الحركات'!$G:$G,0)),"")</f>
        <v/>
      </c>
      <c r="C781" s="3" t="str">
        <f>IFERROR(INDEX('بيانات الحركات'!C:C,MATCH(780,'بيانات الحركات'!$G:$G,0)),"")</f>
        <v/>
      </c>
      <c r="D781" s="3" t="str">
        <f>IFERROR(INDEX('بيانات الحركات'!D:D,MATCH(780,'بيانات الحركات'!$G:$G,0)),"")</f>
        <v/>
      </c>
      <c r="E781" s="21" t="str">
        <f>IF($B781="إنتاج طبخة","",IFERROR(INDEX('بيانات الحركات'!E:E,MATCH(780,'بيانات الحركات'!$G:$G,0)),""))</f>
        <v/>
      </c>
      <c r="F781" s="3" t="str">
        <f>IFERROR(INDEX('بيانات الحركات'!F:F,MATCH(780,'بيانات الحركات'!$G:$G,0)),"")</f>
        <v/>
      </c>
    </row>
    <row r="782" spans="1:6" ht="21.95" customHeight="1">
      <c r="A782" s="8" t="str">
        <f>IFERROR(INDEX('بيانات الحركات'!A:A,MATCH(781,'بيانات الحركات'!$G:$G,0)),"")</f>
        <v/>
      </c>
      <c r="B782" s="5" t="str">
        <f>IFERROR(INDEX('بيانات الحركات'!B:B,MATCH(781,'بيانات الحركات'!$G:$G,0)),"")</f>
        <v/>
      </c>
      <c r="C782" s="3" t="str">
        <f>IFERROR(INDEX('بيانات الحركات'!C:C,MATCH(781,'بيانات الحركات'!$G:$G,0)),"")</f>
        <v/>
      </c>
      <c r="D782" s="3" t="str">
        <f>IFERROR(INDEX('بيانات الحركات'!D:D,MATCH(781,'بيانات الحركات'!$G:$G,0)),"")</f>
        <v/>
      </c>
      <c r="E782" s="21" t="str">
        <f>IF($B782="إنتاج طبخة","",IFERROR(INDEX('بيانات الحركات'!E:E,MATCH(781,'بيانات الحركات'!$G:$G,0)),""))</f>
        <v/>
      </c>
      <c r="F782" s="3" t="str">
        <f>IFERROR(INDEX('بيانات الحركات'!F:F,MATCH(781,'بيانات الحركات'!$G:$G,0)),"")</f>
        <v/>
      </c>
    </row>
    <row r="783" spans="1:6" ht="21.95" customHeight="1">
      <c r="A783" s="8" t="str">
        <f>IFERROR(INDEX('بيانات الحركات'!A:A,MATCH(782,'بيانات الحركات'!$G:$G,0)),"")</f>
        <v/>
      </c>
      <c r="B783" s="5" t="str">
        <f>IFERROR(INDEX('بيانات الحركات'!B:B,MATCH(782,'بيانات الحركات'!$G:$G,0)),"")</f>
        <v/>
      </c>
      <c r="C783" s="3" t="str">
        <f>IFERROR(INDEX('بيانات الحركات'!C:C,MATCH(782,'بيانات الحركات'!$G:$G,0)),"")</f>
        <v/>
      </c>
      <c r="D783" s="3" t="str">
        <f>IFERROR(INDEX('بيانات الحركات'!D:D,MATCH(782,'بيانات الحركات'!$G:$G,0)),"")</f>
        <v/>
      </c>
      <c r="E783" s="21" t="str">
        <f>IF($B783="إنتاج طبخة","",IFERROR(INDEX('بيانات الحركات'!E:E,MATCH(782,'بيانات الحركات'!$G:$G,0)),""))</f>
        <v/>
      </c>
      <c r="F783" s="3" t="str">
        <f>IFERROR(INDEX('بيانات الحركات'!F:F,MATCH(782,'بيانات الحركات'!$G:$G,0)),"")</f>
        <v/>
      </c>
    </row>
    <row r="784" spans="1:6" ht="21.95" customHeight="1">
      <c r="A784" s="8" t="str">
        <f>IFERROR(INDEX('بيانات الحركات'!A:A,MATCH(783,'بيانات الحركات'!$G:$G,0)),"")</f>
        <v/>
      </c>
      <c r="B784" s="5" t="str">
        <f>IFERROR(INDEX('بيانات الحركات'!B:B,MATCH(783,'بيانات الحركات'!$G:$G,0)),"")</f>
        <v/>
      </c>
      <c r="C784" s="3" t="str">
        <f>IFERROR(INDEX('بيانات الحركات'!C:C,MATCH(783,'بيانات الحركات'!$G:$G,0)),"")</f>
        <v/>
      </c>
      <c r="D784" s="3" t="str">
        <f>IFERROR(INDEX('بيانات الحركات'!D:D,MATCH(783,'بيانات الحركات'!$G:$G,0)),"")</f>
        <v/>
      </c>
      <c r="E784" s="21" t="str">
        <f>IF($B784="إنتاج طبخة","",IFERROR(INDEX('بيانات الحركات'!E:E,MATCH(783,'بيانات الحركات'!$G:$G,0)),""))</f>
        <v/>
      </c>
      <c r="F784" s="3" t="str">
        <f>IFERROR(INDEX('بيانات الحركات'!F:F,MATCH(783,'بيانات الحركات'!$G:$G,0)),"")</f>
        <v/>
      </c>
    </row>
    <row r="785" spans="1:6" ht="21.95" customHeight="1">
      <c r="A785" s="8" t="str">
        <f>IFERROR(INDEX('بيانات الحركات'!A:A,MATCH(784,'بيانات الحركات'!$G:$G,0)),"")</f>
        <v/>
      </c>
      <c r="B785" s="5" t="str">
        <f>IFERROR(INDEX('بيانات الحركات'!B:B,MATCH(784,'بيانات الحركات'!$G:$G,0)),"")</f>
        <v/>
      </c>
      <c r="C785" s="3" t="str">
        <f>IFERROR(INDEX('بيانات الحركات'!C:C,MATCH(784,'بيانات الحركات'!$G:$G,0)),"")</f>
        <v/>
      </c>
      <c r="D785" s="3" t="str">
        <f>IFERROR(INDEX('بيانات الحركات'!D:D,MATCH(784,'بيانات الحركات'!$G:$G,0)),"")</f>
        <v/>
      </c>
      <c r="E785" s="21" t="str">
        <f>IF($B785="إنتاج طبخة","",IFERROR(INDEX('بيانات الحركات'!E:E,MATCH(784,'بيانات الحركات'!$G:$G,0)),""))</f>
        <v/>
      </c>
      <c r="F785" s="3" t="str">
        <f>IFERROR(INDEX('بيانات الحركات'!F:F,MATCH(784,'بيانات الحركات'!$G:$G,0)),"")</f>
        <v/>
      </c>
    </row>
    <row r="786" spans="1:6" ht="21.95" customHeight="1">
      <c r="A786" s="8" t="str">
        <f>IFERROR(INDEX('بيانات الحركات'!A:A,MATCH(785,'بيانات الحركات'!$G:$G,0)),"")</f>
        <v/>
      </c>
      <c r="B786" s="5" t="str">
        <f>IFERROR(INDEX('بيانات الحركات'!B:B,MATCH(785,'بيانات الحركات'!$G:$G,0)),"")</f>
        <v/>
      </c>
      <c r="C786" s="3" t="str">
        <f>IFERROR(INDEX('بيانات الحركات'!C:C,MATCH(785,'بيانات الحركات'!$G:$G,0)),"")</f>
        <v/>
      </c>
      <c r="D786" s="3" t="str">
        <f>IFERROR(INDEX('بيانات الحركات'!D:D,MATCH(785,'بيانات الحركات'!$G:$G,0)),"")</f>
        <v/>
      </c>
      <c r="E786" s="21" t="str">
        <f>IF($B786="إنتاج طبخة","",IFERROR(INDEX('بيانات الحركات'!E:E,MATCH(785,'بيانات الحركات'!$G:$G,0)),""))</f>
        <v/>
      </c>
      <c r="F786" s="3" t="str">
        <f>IFERROR(INDEX('بيانات الحركات'!F:F,MATCH(785,'بيانات الحركات'!$G:$G,0)),"")</f>
        <v/>
      </c>
    </row>
    <row r="787" spans="1:6" ht="21.95" customHeight="1">
      <c r="A787" s="8" t="str">
        <f>IFERROR(INDEX('بيانات الحركات'!A:A,MATCH(786,'بيانات الحركات'!$G:$G,0)),"")</f>
        <v/>
      </c>
      <c r="B787" s="5" t="str">
        <f>IFERROR(INDEX('بيانات الحركات'!B:B,MATCH(786,'بيانات الحركات'!$G:$G,0)),"")</f>
        <v/>
      </c>
      <c r="C787" s="3" t="str">
        <f>IFERROR(INDEX('بيانات الحركات'!C:C,MATCH(786,'بيانات الحركات'!$G:$G,0)),"")</f>
        <v/>
      </c>
      <c r="D787" s="3" t="str">
        <f>IFERROR(INDEX('بيانات الحركات'!D:D,MATCH(786,'بيانات الحركات'!$G:$G,0)),"")</f>
        <v/>
      </c>
      <c r="E787" s="21" t="str">
        <f>IF($B787="إنتاج طبخة","",IFERROR(INDEX('بيانات الحركات'!E:E,MATCH(786,'بيانات الحركات'!$G:$G,0)),""))</f>
        <v/>
      </c>
      <c r="F787" s="3" t="str">
        <f>IFERROR(INDEX('بيانات الحركات'!F:F,MATCH(786,'بيانات الحركات'!$G:$G,0)),"")</f>
        <v/>
      </c>
    </row>
    <row r="788" spans="1:6" ht="21.95" customHeight="1">
      <c r="A788" s="8" t="str">
        <f>IFERROR(INDEX('بيانات الحركات'!A:A,MATCH(787,'بيانات الحركات'!$G:$G,0)),"")</f>
        <v/>
      </c>
      <c r="B788" s="5" t="str">
        <f>IFERROR(INDEX('بيانات الحركات'!B:B,MATCH(787,'بيانات الحركات'!$G:$G,0)),"")</f>
        <v/>
      </c>
      <c r="C788" s="3" t="str">
        <f>IFERROR(INDEX('بيانات الحركات'!C:C,MATCH(787,'بيانات الحركات'!$G:$G,0)),"")</f>
        <v/>
      </c>
      <c r="D788" s="3" t="str">
        <f>IFERROR(INDEX('بيانات الحركات'!D:D,MATCH(787,'بيانات الحركات'!$G:$G,0)),"")</f>
        <v/>
      </c>
      <c r="E788" s="21" t="str">
        <f>IF($B788="إنتاج طبخة","",IFERROR(INDEX('بيانات الحركات'!E:E,MATCH(787,'بيانات الحركات'!$G:$G,0)),""))</f>
        <v/>
      </c>
      <c r="F788" s="3" t="str">
        <f>IFERROR(INDEX('بيانات الحركات'!F:F,MATCH(787,'بيانات الحركات'!$G:$G,0)),"")</f>
        <v/>
      </c>
    </row>
    <row r="789" spans="1:6" ht="21.95" customHeight="1">
      <c r="A789" s="8" t="str">
        <f>IFERROR(INDEX('بيانات الحركات'!A:A,MATCH(788,'بيانات الحركات'!$G:$G,0)),"")</f>
        <v/>
      </c>
      <c r="B789" s="5" t="str">
        <f>IFERROR(INDEX('بيانات الحركات'!B:B,MATCH(788,'بيانات الحركات'!$G:$G,0)),"")</f>
        <v/>
      </c>
      <c r="C789" s="3" t="str">
        <f>IFERROR(INDEX('بيانات الحركات'!C:C,MATCH(788,'بيانات الحركات'!$G:$G,0)),"")</f>
        <v/>
      </c>
      <c r="D789" s="3" t="str">
        <f>IFERROR(INDEX('بيانات الحركات'!D:D,MATCH(788,'بيانات الحركات'!$G:$G,0)),"")</f>
        <v/>
      </c>
      <c r="E789" s="21" t="str">
        <f>IF($B789="إنتاج طبخة","",IFERROR(INDEX('بيانات الحركات'!E:E,MATCH(788,'بيانات الحركات'!$G:$G,0)),""))</f>
        <v/>
      </c>
      <c r="F789" s="3" t="str">
        <f>IFERROR(INDEX('بيانات الحركات'!F:F,MATCH(788,'بيانات الحركات'!$G:$G,0)),"")</f>
        <v/>
      </c>
    </row>
    <row r="790" spans="1:6" ht="21.95" customHeight="1">
      <c r="A790" s="8" t="str">
        <f>IFERROR(INDEX('بيانات الحركات'!A:A,MATCH(789,'بيانات الحركات'!$G:$G,0)),"")</f>
        <v/>
      </c>
      <c r="B790" s="5" t="str">
        <f>IFERROR(INDEX('بيانات الحركات'!B:B,MATCH(789,'بيانات الحركات'!$G:$G,0)),"")</f>
        <v/>
      </c>
      <c r="C790" s="3" t="str">
        <f>IFERROR(INDEX('بيانات الحركات'!C:C,MATCH(789,'بيانات الحركات'!$G:$G,0)),"")</f>
        <v/>
      </c>
      <c r="D790" s="3" t="str">
        <f>IFERROR(INDEX('بيانات الحركات'!D:D,MATCH(789,'بيانات الحركات'!$G:$G,0)),"")</f>
        <v/>
      </c>
      <c r="E790" s="21" t="str">
        <f>IF($B790="إنتاج طبخة","",IFERROR(INDEX('بيانات الحركات'!E:E,MATCH(789,'بيانات الحركات'!$G:$G,0)),""))</f>
        <v/>
      </c>
      <c r="F790" s="3" t="str">
        <f>IFERROR(INDEX('بيانات الحركات'!F:F,MATCH(789,'بيانات الحركات'!$G:$G,0)),"")</f>
        <v/>
      </c>
    </row>
    <row r="791" spans="1:6" ht="21.95" customHeight="1">
      <c r="A791" s="8" t="str">
        <f>IFERROR(INDEX('بيانات الحركات'!A:A,MATCH(790,'بيانات الحركات'!$G:$G,0)),"")</f>
        <v/>
      </c>
      <c r="B791" s="5" t="str">
        <f>IFERROR(INDEX('بيانات الحركات'!B:B,MATCH(790,'بيانات الحركات'!$G:$G,0)),"")</f>
        <v/>
      </c>
      <c r="C791" s="3" t="str">
        <f>IFERROR(INDEX('بيانات الحركات'!C:C,MATCH(790,'بيانات الحركات'!$G:$G,0)),"")</f>
        <v/>
      </c>
      <c r="D791" s="3" t="str">
        <f>IFERROR(INDEX('بيانات الحركات'!D:D,MATCH(790,'بيانات الحركات'!$G:$G,0)),"")</f>
        <v/>
      </c>
      <c r="E791" s="21" t="str">
        <f>IF($B791="إنتاج طبخة","",IFERROR(INDEX('بيانات الحركات'!E:E,MATCH(790,'بيانات الحركات'!$G:$G,0)),""))</f>
        <v/>
      </c>
      <c r="F791" s="3" t="str">
        <f>IFERROR(INDEX('بيانات الحركات'!F:F,MATCH(790,'بيانات الحركات'!$G:$G,0)),"")</f>
        <v/>
      </c>
    </row>
    <row r="792" spans="1:6" ht="21.95" customHeight="1">
      <c r="A792" s="8" t="str">
        <f>IFERROR(INDEX('بيانات الحركات'!A:A,MATCH(791,'بيانات الحركات'!$G:$G,0)),"")</f>
        <v/>
      </c>
      <c r="B792" s="5" t="str">
        <f>IFERROR(INDEX('بيانات الحركات'!B:B,MATCH(791,'بيانات الحركات'!$G:$G,0)),"")</f>
        <v/>
      </c>
      <c r="C792" s="3" t="str">
        <f>IFERROR(INDEX('بيانات الحركات'!C:C,MATCH(791,'بيانات الحركات'!$G:$G,0)),"")</f>
        <v/>
      </c>
      <c r="D792" s="3" t="str">
        <f>IFERROR(INDEX('بيانات الحركات'!D:D,MATCH(791,'بيانات الحركات'!$G:$G,0)),"")</f>
        <v/>
      </c>
      <c r="E792" s="21" t="str">
        <f>IF($B792="إنتاج طبخة","",IFERROR(INDEX('بيانات الحركات'!E:E,MATCH(791,'بيانات الحركات'!$G:$G,0)),""))</f>
        <v/>
      </c>
      <c r="F792" s="3" t="str">
        <f>IFERROR(INDEX('بيانات الحركات'!F:F,MATCH(791,'بيانات الحركات'!$G:$G,0)),"")</f>
        <v/>
      </c>
    </row>
    <row r="793" spans="1:6" ht="21.95" customHeight="1">
      <c r="A793" s="8" t="str">
        <f>IFERROR(INDEX('بيانات الحركات'!A:A,MATCH(792,'بيانات الحركات'!$G:$G,0)),"")</f>
        <v/>
      </c>
      <c r="B793" s="5" t="str">
        <f>IFERROR(INDEX('بيانات الحركات'!B:B,MATCH(792,'بيانات الحركات'!$G:$G,0)),"")</f>
        <v/>
      </c>
      <c r="C793" s="3" t="str">
        <f>IFERROR(INDEX('بيانات الحركات'!C:C,MATCH(792,'بيانات الحركات'!$G:$G,0)),"")</f>
        <v/>
      </c>
      <c r="D793" s="3" t="str">
        <f>IFERROR(INDEX('بيانات الحركات'!D:D,MATCH(792,'بيانات الحركات'!$G:$G,0)),"")</f>
        <v/>
      </c>
      <c r="E793" s="21" t="str">
        <f>IF($B793="إنتاج طبخة","",IFERROR(INDEX('بيانات الحركات'!E:E,MATCH(792,'بيانات الحركات'!$G:$G,0)),""))</f>
        <v/>
      </c>
      <c r="F793" s="3" t="str">
        <f>IFERROR(INDEX('بيانات الحركات'!F:F,MATCH(792,'بيانات الحركات'!$G:$G,0)),"")</f>
        <v/>
      </c>
    </row>
    <row r="794" spans="1:6" ht="21.95" customHeight="1">
      <c r="A794" s="8" t="str">
        <f>IFERROR(INDEX('بيانات الحركات'!A:A,MATCH(793,'بيانات الحركات'!$G:$G,0)),"")</f>
        <v/>
      </c>
      <c r="B794" s="5" t="str">
        <f>IFERROR(INDEX('بيانات الحركات'!B:B,MATCH(793,'بيانات الحركات'!$G:$G,0)),"")</f>
        <v/>
      </c>
      <c r="C794" s="3" t="str">
        <f>IFERROR(INDEX('بيانات الحركات'!C:C,MATCH(793,'بيانات الحركات'!$G:$G,0)),"")</f>
        <v/>
      </c>
      <c r="D794" s="3" t="str">
        <f>IFERROR(INDEX('بيانات الحركات'!D:D,MATCH(793,'بيانات الحركات'!$G:$G,0)),"")</f>
        <v/>
      </c>
      <c r="E794" s="21" t="str">
        <f>IF($B794="إنتاج طبخة","",IFERROR(INDEX('بيانات الحركات'!E:E,MATCH(793,'بيانات الحركات'!$G:$G,0)),""))</f>
        <v/>
      </c>
      <c r="F794" s="3" t="str">
        <f>IFERROR(INDEX('بيانات الحركات'!F:F,MATCH(793,'بيانات الحركات'!$G:$G,0)),"")</f>
        <v/>
      </c>
    </row>
    <row r="795" spans="1:6" ht="21.95" customHeight="1">
      <c r="A795" s="8" t="str">
        <f>IFERROR(INDEX('بيانات الحركات'!A:A,MATCH(794,'بيانات الحركات'!$G:$G,0)),"")</f>
        <v/>
      </c>
      <c r="B795" s="5" t="str">
        <f>IFERROR(INDEX('بيانات الحركات'!B:B,MATCH(794,'بيانات الحركات'!$G:$G,0)),"")</f>
        <v/>
      </c>
      <c r="C795" s="3" t="str">
        <f>IFERROR(INDEX('بيانات الحركات'!C:C,MATCH(794,'بيانات الحركات'!$G:$G,0)),"")</f>
        <v/>
      </c>
      <c r="D795" s="3" t="str">
        <f>IFERROR(INDEX('بيانات الحركات'!D:D,MATCH(794,'بيانات الحركات'!$G:$G,0)),"")</f>
        <v/>
      </c>
      <c r="E795" s="21" t="str">
        <f>IF($B795="إنتاج طبخة","",IFERROR(INDEX('بيانات الحركات'!E:E,MATCH(794,'بيانات الحركات'!$G:$G,0)),""))</f>
        <v/>
      </c>
      <c r="F795" s="3" t="str">
        <f>IFERROR(INDEX('بيانات الحركات'!F:F,MATCH(794,'بيانات الحركات'!$G:$G,0)),"")</f>
        <v/>
      </c>
    </row>
    <row r="796" spans="1:6" ht="21.95" customHeight="1">
      <c r="A796" s="8" t="str">
        <f>IFERROR(INDEX('بيانات الحركات'!A:A,MATCH(795,'بيانات الحركات'!$G:$G,0)),"")</f>
        <v/>
      </c>
      <c r="B796" s="5" t="str">
        <f>IFERROR(INDEX('بيانات الحركات'!B:B,MATCH(795,'بيانات الحركات'!$G:$G,0)),"")</f>
        <v/>
      </c>
      <c r="C796" s="3" t="str">
        <f>IFERROR(INDEX('بيانات الحركات'!C:C,MATCH(795,'بيانات الحركات'!$G:$G,0)),"")</f>
        <v/>
      </c>
      <c r="D796" s="3" t="str">
        <f>IFERROR(INDEX('بيانات الحركات'!D:D,MATCH(795,'بيانات الحركات'!$G:$G,0)),"")</f>
        <v/>
      </c>
      <c r="E796" s="21" t="str">
        <f>IF($B796="إنتاج طبخة","",IFERROR(INDEX('بيانات الحركات'!E:E,MATCH(795,'بيانات الحركات'!$G:$G,0)),""))</f>
        <v/>
      </c>
      <c r="F796" s="3" t="str">
        <f>IFERROR(INDEX('بيانات الحركات'!F:F,MATCH(795,'بيانات الحركات'!$G:$G,0)),"")</f>
        <v/>
      </c>
    </row>
    <row r="797" spans="1:6" ht="21.95" customHeight="1">
      <c r="A797" s="8" t="str">
        <f>IFERROR(INDEX('بيانات الحركات'!A:A,MATCH(796,'بيانات الحركات'!$G:$G,0)),"")</f>
        <v/>
      </c>
      <c r="B797" s="5" t="str">
        <f>IFERROR(INDEX('بيانات الحركات'!B:B,MATCH(796,'بيانات الحركات'!$G:$G,0)),"")</f>
        <v/>
      </c>
      <c r="C797" s="3" t="str">
        <f>IFERROR(INDEX('بيانات الحركات'!C:C,MATCH(796,'بيانات الحركات'!$G:$G,0)),"")</f>
        <v/>
      </c>
      <c r="D797" s="3" t="str">
        <f>IFERROR(INDEX('بيانات الحركات'!D:D,MATCH(796,'بيانات الحركات'!$G:$G,0)),"")</f>
        <v/>
      </c>
      <c r="E797" s="21" t="str">
        <f>IF($B797="إنتاج طبخة","",IFERROR(INDEX('بيانات الحركات'!E:E,MATCH(796,'بيانات الحركات'!$G:$G,0)),""))</f>
        <v/>
      </c>
      <c r="F797" s="3" t="str">
        <f>IFERROR(INDEX('بيانات الحركات'!F:F,MATCH(796,'بيانات الحركات'!$G:$G,0)),"")</f>
        <v/>
      </c>
    </row>
    <row r="798" spans="1:6" ht="21.95" customHeight="1">
      <c r="A798" s="8" t="str">
        <f>IFERROR(INDEX('بيانات الحركات'!A:A,MATCH(797,'بيانات الحركات'!$G:$G,0)),"")</f>
        <v/>
      </c>
      <c r="B798" s="5" t="str">
        <f>IFERROR(INDEX('بيانات الحركات'!B:B,MATCH(797,'بيانات الحركات'!$G:$G,0)),"")</f>
        <v/>
      </c>
      <c r="C798" s="3" t="str">
        <f>IFERROR(INDEX('بيانات الحركات'!C:C,MATCH(797,'بيانات الحركات'!$G:$G,0)),"")</f>
        <v/>
      </c>
      <c r="D798" s="3" t="str">
        <f>IFERROR(INDEX('بيانات الحركات'!D:D,MATCH(797,'بيانات الحركات'!$G:$G,0)),"")</f>
        <v/>
      </c>
      <c r="E798" s="21" t="str">
        <f>IF($B798="إنتاج طبخة","",IFERROR(INDEX('بيانات الحركات'!E:E,MATCH(797,'بيانات الحركات'!$G:$G,0)),""))</f>
        <v/>
      </c>
      <c r="F798" s="3" t="str">
        <f>IFERROR(INDEX('بيانات الحركات'!F:F,MATCH(797,'بيانات الحركات'!$G:$G,0)),"")</f>
        <v/>
      </c>
    </row>
    <row r="799" spans="1:6" ht="21.95" customHeight="1">
      <c r="A799" s="8" t="str">
        <f>IFERROR(INDEX('بيانات الحركات'!A:A,MATCH(798,'بيانات الحركات'!$G:$G,0)),"")</f>
        <v/>
      </c>
      <c r="B799" s="5" t="str">
        <f>IFERROR(INDEX('بيانات الحركات'!B:B,MATCH(798,'بيانات الحركات'!$G:$G,0)),"")</f>
        <v/>
      </c>
      <c r="C799" s="3" t="str">
        <f>IFERROR(INDEX('بيانات الحركات'!C:C,MATCH(798,'بيانات الحركات'!$G:$G,0)),"")</f>
        <v/>
      </c>
      <c r="D799" s="3" t="str">
        <f>IFERROR(INDEX('بيانات الحركات'!D:D,MATCH(798,'بيانات الحركات'!$G:$G,0)),"")</f>
        <v/>
      </c>
      <c r="E799" s="21" t="str">
        <f>IF($B799="إنتاج طبخة","",IFERROR(INDEX('بيانات الحركات'!E:E,MATCH(798,'بيانات الحركات'!$G:$G,0)),""))</f>
        <v/>
      </c>
      <c r="F799" s="3" t="str">
        <f>IFERROR(INDEX('بيانات الحركات'!F:F,MATCH(798,'بيانات الحركات'!$G:$G,0)),"")</f>
        <v/>
      </c>
    </row>
    <row r="800" spans="1:6" ht="21.95" customHeight="1">
      <c r="A800" s="8" t="str">
        <f>IFERROR(INDEX('بيانات الحركات'!A:A,MATCH(799,'بيانات الحركات'!$G:$G,0)),"")</f>
        <v/>
      </c>
      <c r="B800" s="5" t="str">
        <f>IFERROR(INDEX('بيانات الحركات'!B:B,MATCH(799,'بيانات الحركات'!$G:$G,0)),"")</f>
        <v/>
      </c>
      <c r="C800" s="3" t="str">
        <f>IFERROR(INDEX('بيانات الحركات'!C:C,MATCH(799,'بيانات الحركات'!$G:$G,0)),"")</f>
        <v/>
      </c>
      <c r="D800" s="3" t="str">
        <f>IFERROR(INDEX('بيانات الحركات'!D:D,MATCH(799,'بيانات الحركات'!$G:$G,0)),"")</f>
        <v/>
      </c>
      <c r="E800" s="21" t="str">
        <f>IF($B800="إنتاج طبخة","",IFERROR(INDEX('بيانات الحركات'!E:E,MATCH(799,'بيانات الحركات'!$G:$G,0)),""))</f>
        <v/>
      </c>
      <c r="F800" s="3" t="str">
        <f>IFERROR(INDEX('بيانات الحركات'!F:F,MATCH(799,'بيانات الحركات'!$G:$G,0)),"")</f>
        <v/>
      </c>
    </row>
    <row r="801" spans="1:6" ht="21.95" customHeight="1">
      <c r="A801" s="8" t="str">
        <f>IFERROR(INDEX('بيانات الحركات'!A:A,MATCH(800,'بيانات الحركات'!$G:$G,0)),"")</f>
        <v/>
      </c>
      <c r="B801" s="5" t="str">
        <f>IFERROR(INDEX('بيانات الحركات'!B:B,MATCH(800,'بيانات الحركات'!$G:$G,0)),"")</f>
        <v/>
      </c>
      <c r="C801" s="3" t="str">
        <f>IFERROR(INDEX('بيانات الحركات'!C:C,MATCH(800,'بيانات الحركات'!$G:$G,0)),"")</f>
        <v/>
      </c>
      <c r="D801" s="3" t="str">
        <f>IFERROR(INDEX('بيانات الحركات'!D:D,MATCH(800,'بيانات الحركات'!$G:$G,0)),"")</f>
        <v/>
      </c>
      <c r="E801" s="21" t="str">
        <f>IF($B801="إنتاج طبخة","",IFERROR(INDEX('بيانات الحركات'!E:E,MATCH(800,'بيانات الحركات'!$G:$G,0)),""))</f>
        <v/>
      </c>
      <c r="F801" s="3" t="str">
        <f>IFERROR(INDEX('بيانات الحركات'!F:F,MATCH(800,'بيانات الحركات'!$G:$G,0)),"")</f>
        <v/>
      </c>
    </row>
    <row r="802" spans="1:6" ht="21.95" customHeight="1">
      <c r="A802" s="8" t="str">
        <f>IFERROR(INDEX('بيانات الحركات'!A:A,MATCH(801,'بيانات الحركات'!$G:$G,0)),"")</f>
        <v/>
      </c>
      <c r="B802" s="5" t="str">
        <f>IFERROR(INDEX('بيانات الحركات'!B:B,MATCH(801,'بيانات الحركات'!$G:$G,0)),"")</f>
        <v/>
      </c>
      <c r="C802" s="3" t="str">
        <f>IFERROR(INDEX('بيانات الحركات'!C:C,MATCH(801,'بيانات الحركات'!$G:$G,0)),"")</f>
        <v/>
      </c>
      <c r="D802" s="3" t="str">
        <f>IFERROR(INDEX('بيانات الحركات'!D:D,MATCH(801,'بيانات الحركات'!$G:$G,0)),"")</f>
        <v/>
      </c>
      <c r="E802" s="21" t="str">
        <f>IF($B802="إنتاج طبخة","",IFERROR(INDEX('بيانات الحركات'!E:E,MATCH(801,'بيانات الحركات'!$G:$G,0)),""))</f>
        <v/>
      </c>
      <c r="F802" s="3" t="str">
        <f>IFERROR(INDEX('بيانات الحركات'!F:F,MATCH(801,'بيانات الحركات'!$G:$G,0)),"")</f>
        <v/>
      </c>
    </row>
    <row r="803" spans="1:6" ht="21.95" customHeight="1">
      <c r="A803" s="8" t="str">
        <f>IFERROR(INDEX('بيانات الحركات'!A:A,MATCH(802,'بيانات الحركات'!$G:$G,0)),"")</f>
        <v/>
      </c>
      <c r="B803" s="5" t="str">
        <f>IFERROR(INDEX('بيانات الحركات'!B:B,MATCH(802,'بيانات الحركات'!$G:$G,0)),"")</f>
        <v/>
      </c>
      <c r="C803" s="3" t="str">
        <f>IFERROR(INDEX('بيانات الحركات'!C:C,MATCH(802,'بيانات الحركات'!$G:$G,0)),"")</f>
        <v/>
      </c>
      <c r="D803" s="3" t="str">
        <f>IFERROR(INDEX('بيانات الحركات'!D:D,MATCH(802,'بيانات الحركات'!$G:$G,0)),"")</f>
        <v/>
      </c>
      <c r="E803" s="21" t="str">
        <f>IF($B803="إنتاج طبخة","",IFERROR(INDEX('بيانات الحركات'!E:E,MATCH(802,'بيانات الحركات'!$G:$G,0)),""))</f>
        <v/>
      </c>
      <c r="F803" s="3" t="str">
        <f>IFERROR(INDEX('بيانات الحركات'!F:F,MATCH(802,'بيانات الحركات'!$G:$G,0)),"")</f>
        <v/>
      </c>
    </row>
    <row r="804" spans="1:6" ht="21.95" customHeight="1">
      <c r="A804" s="8" t="str">
        <f>IFERROR(INDEX('بيانات الحركات'!A:A,MATCH(803,'بيانات الحركات'!$G:$G,0)),"")</f>
        <v/>
      </c>
      <c r="B804" s="5" t="str">
        <f>IFERROR(INDEX('بيانات الحركات'!B:B,MATCH(803,'بيانات الحركات'!$G:$G,0)),"")</f>
        <v/>
      </c>
      <c r="C804" s="3" t="str">
        <f>IFERROR(INDEX('بيانات الحركات'!C:C,MATCH(803,'بيانات الحركات'!$G:$G,0)),"")</f>
        <v/>
      </c>
      <c r="D804" s="3" t="str">
        <f>IFERROR(INDEX('بيانات الحركات'!D:D,MATCH(803,'بيانات الحركات'!$G:$G,0)),"")</f>
        <v/>
      </c>
      <c r="E804" s="21" t="str">
        <f>IF($B804="إنتاج طبخة","",IFERROR(INDEX('بيانات الحركات'!E:E,MATCH(803,'بيانات الحركات'!$G:$G,0)),""))</f>
        <v/>
      </c>
      <c r="F804" s="3" t="str">
        <f>IFERROR(INDEX('بيانات الحركات'!F:F,MATCH(803,'بيانات الحركات'!$G:$G,0)),"")</f>
        <v/>
      </c>
    </row>
    <row r="805" spans="1:6" ht="21.95" customHeight="1">
      <c r="A805" s="8" t="str">
        <f>IFERROR(INDEX('بيانات الحركات'!A:A,MATCH(804,'بيانات الحركات'!$G:$G,0)),"")</f>
        <v/>
      </c>
      <c r="B805" s="5" t="str">
        <f>IFERROR(INDEX('بيانات الحركات'!B:B,MATCH(804,'بيانات الحركات'!$G:$G,0)),"")</f>
        <v/>
      </c>
      <c r="C805" s="3" t="str">
        <f>IFERROR(INDEX('بيانات الحركات'!C:C,MATCH(804,'بيانات الحركات'!$G:$G,0)),"")</f>
        <v/>
      </c>
      <c r="D805" s="3" t="str">
        <f>IFERROR(INDEX('بيانات الحركات'!D:D,MATCH(804,'بيانات الحركات'!$G:$G,0)),"")</f>
        <v/>
      </c>
      <c r="E805" s="21" t="str">
        <f>IF($B805="إنتاج طبخة","",IFERROR(INDEX('بيانات الحركات'!E:E,MATCH(804,'بيانات الحركات'!$G:$G,0)),""))</f>
        <v/>
      </c>
      <c r="F805" s="3" t="str">
        <f>IFERROR(INDEX('بيانات الحركات'!F:F,MATCH(804,'بيانات الحركات'!$G:$G,0)),"")</f>
        <v/>
      </c>
    </row>
    <row r="806" spans="1:6" ht="21.95" customHeight="1">
      <c r="A806" s="8" t="str">
        <f>IFERROR(INDEX('بيانات الحركات'!A:A,MATCH(805,'بيانات الحركات'!$G:$G,0)),"")</f>
        <v/>
      </c>
      <c r="B806" s="5" t="str">
        <f>IFERROR(INDEX('بيانات الحركات'!B:B,MATCH(805,'بيانات الحركات'!$G:$G,0)),"")</f>
        <v/>
      </c>
      <c r="C806" s="3" t="str">
        <f>IFERROR(INDEX('بيانات الحركات'!C:C,MATCH(805,'بيانات الحركات'!$G:$G,0)),"")</f>
        <v/>
      </c>
      <c r="D806" s="3" t="str">
        <f>IFERROR(INDEX('بيانات الحركات'!D:D,MATCH(805,'بيانات الحركات'!$G:$G,0)),"")</f>
        <v/>
      </c>
      <c r="E806" s="21" t="str">
        <f>IF($B806="إنتاج طبخة","",IFERROR(INDEX('بيانات الحركات'!E:E,MATCH(805,'بيانات الحركات'!$G:$G,0)),""))</f>
        <v/>
      </c>
      <c r="F806" s="3" t="str">
        <f>IFERROR(INDEX('بيانات الحركات'!F:F,MATCH(805,'بيانات الحركات'!$G:$G,0)),"")</f>
        <v/>
      </c>
    </row>
    <row r="807" spans="1:6" ht="21.95" customHeight="1">
      <c r="A807" s="8" t="str">
        <f>IFERROR(INDEX('بيانات الحركات'!A:A,MATCH(806,'بيانات الحركات'!$G:$G,0)),"")</f>
        <v/>
      </c>
      <c r="B807" s="5" t="str">
        <f>IFERROR(INDEX('بيانات الحركات'!B:B,MATCH(806,'بيانات الحركات'!$G:$G,0)),"")</f>
        <v/>
      </c>
      <c r="C807" s="3" t="str">
        <f>IFERROR(INDEX('بيانات الحركات'!C:C,MATCH(806,'بيانات الحركات'!$G:$G,0)),"")</f>
        <v/>
      </c>
      <c r="D807" s="3" t="str">
        <f>IFERROR(INDEX('بيانات الحركات'!D:D,MATCH(806,'بيانات الحركات'!$G:$G,0)),"")</f>
        <v/>
      </c>
      <c r="E807" s="21" t="str">
        <f>IF($B807="إنتاج طبخة","",IFERROR(INDEX('بيانات الحركات'!E:E,MATCH(806,'بيانات الحركات'!$G:$G,0)),""))</f>
        <v/>
      </c>
      <c r="F807" s="3" t="str">
        <f>IFERROR(INDEX('بيانات الحركات'!F:F,MATCH(806,'بيانات الحركات'!$G:$G,0)),"")</f>
        <v/>
      </c>
    </row>
    <row r="808" spans="1:6" ht="21.95" customHeight="1">
      <c r="A808" s="8" t="str">
        <f>IFERROR(INDEX('بيانات الحركات'!A:A,MATCH(807,'بيانات الحركات'!$G:$G,0)),"")</f>
        <v/>
      </c>
      <c r="B808" s="5" t="str">
        <f>IFERROR(INDEX('بيانات الحركات'!B:B,MATCH(807,'بيانات الحركات'!$G:$G,0)),"")</f>
        <v/>
      </c>
      <c r="C808" s="3" t="str">
        <f>IFERROR(INDEX('بيانات الحركات'!C:C,MATCH(807,'بيانات الحركات'!$G:$G,0)),"")</f>
        <v/>
      </c>
      <c r="D808" s="3" t="str">
        <f>IFERROR(INDEX('بيانات الحركات'!D:D,MATCH(807,'بيانات الحركات'!$G:$G,0)),"")</f>
        <v/>
      </c>
      <c r="E808" s="21" t="str">
        <f>IF($B808="إنتاج طبخة","",IFERROR(INDEX('بيانات الحركات'!E:E,MATCH(807,'بيانات الحركات'!$G:$G,0)),""))</f>
        <v/>
      </c>
      <c r="F808" s="3" t="str">
        <f>IFERROR(INDEX('بيانات الحركات'!F:F,MATCH(807,'بيانات الحركات'!$G:$G,0)),"")</f>
        <v/>
      </c>
    </row>
    <row r="809" spans="1:6" ht="21.95" customHeight="1">
      <c r="A809" s="8" t="str">
        <f>IFERROR(INDEX('بيانات الحركات'!A:A,MATCH(808,'بيانات الحركات'!$G:$G,0)),"")</f>
        <v/>
      </c>
      <c r="B809" s="5" t="str">
        <f>IFERROR(INDEX('بيانات الحركات'!B:B,MATCH(808,'بيانات الحركات'!$G:$G,0)),"")</f>
        <v/>
      </c>
      <c r="C809" s="3" t="str">
        <f>IFERROR(INDEX('بيانات الحركات'!C:C,MATCH(808,'بيانات الحركات'!$G:$G,0)),"")</f>
        <v/>
      </c>
      <c r="D809" s="3" t="str">
        <f>IFERROR(INDEX('بيانات الحركات'!D:D,MATCH(808,'بيانات الحركات'!$G:$G,0)),"")</f>
        <v/>
      </c>
      <c r="E809" s="21" t="str">
        <f>IF($B809="إنتاج طبخة","",IFERROR(INDEX('بيانات الحركات'!E:E,MATCH(808,'بيانات الحركات'!$G:$G,0)),""))</f>
        <v/>
      </c>
      <c r="F809" s="3" t="str">
        <f>IFERROR(INDEX('بيانات الحركات'!F:F,MATCH(808,'بيانات الحركات'!$G:$G,0)),"")</f>
        <v/>
      </c>
    </row>
    <row r="810" spans="1:6" ht="21.95" customHeight="1">
      <c r="A810" s="8" t="str">
        <f>IFERROR(INDEX('بيانات الحركات'!A:A,MATCH(809,'بيانات الحركات'!$G:$G,0)),"")</f>
        <v/>
      </c>
      <c r="B810" s="5" t="str">
        <f>IFERROR(INDEX('بيانات الحركات'!B:B,MATCH(809,'بيانات الحركات'!$G:$G,0)),"")</f>
        <v/>
      </c>
      <c r="C810" s="3" t="str">
        <f>IFERROR(INDEX('بيانات الحركات'!C:C,MATCH(809,'بيانات الحركات'!$G:$G,0)),"")</f>
        <v/>
      </c>
      <c r="D810" s="3" t="str">
        <f>IFERROR(INDEX('بيانات الحركات'!D:D,MATCH(809,'بيانات الحركات'!$G:$G,0)),"")</f>
        <v/>
      </c>
      <c r="E810" s="21" t="str">
        <f>IF($B810="إنتاج طبخة","",IFERROR(INDEX('بيانات الحركات'!E:E,MATCH(809,'بيانات الحركات'!$G:$G,0)),""))</f>
        <v/>
      </c>
      <c r="F810" s="3" t="str">
        <f>IFERROR(INDEX('بيانات الحركات'!F:F,MATCH(809,'بيانات الحركات'!$G:$G,0)),"")</f>
        <v/>
      </c>
    </row>
    <row r="811" spans="1:6" ht="21.95" customHeight="1">
      <c r="A811" s="8" t="str">
        <f>IFERROR(INDEX('بيانات الحركات'!A:A,MATCH(810,'بيانات الحركات'!$G:$G,0)),"")</f>
        <v/>
      </c>
      <c r="B811" s="5" t="str">
        <f>IFERROR(INDEX('بيانات الحركات'!B:B,MATCH(810,'بيانات الحركات'!$G:$G,0)),"")</f>
        <v/>
      </c>
      <c r="C811" s="3" t="str">
        <f>IFERROR(INDEX('بيانات الحركات'!C:C,MATCH(810,'بيانات الحركات'!$G:$G,0)),"")</f>
        <v/>
      </c>
      <c r="D811" s="3" t="str">
        <f>IFERROR(INDEX('بيانات الحركات'!D:D,MATCH(810,'بيانات الحركات'!$G:$G,0)),"")</f>
        <v/>
      </c>
      <c r="E811" s="21" t="str">
        <f>IF($B811="إنتاج طبخة","",IFERROR(INDEX('بيانات الحركات'!E:E,MATCH(810,'بيانات الحركات'!$G:$G,0)),""))</f>
        <v/>
      </c>
      <c r="F811" s="3" t="str">
        <f>IFERROR(INDEX('بيانات الحركات'!F:F,MATCH(810,'بيانات الحركات'!$G:$G,0)),"")</f>
        <v/>
      </c>
    </row>
    <row r="812" spans="1:6" ht="21.95" customHeight="1">
      <c r="A812" s="8" t="str">
        <f>IFERROR(INDEX('بيانات الحركات'!A:A,MATCH(811,'بيانات الحركات'!$G:$G,0)),"")</f>
        <v/>
      </c>
      <c r="B812" s="5" t="str">
        <f>IFERROR(INDEX('بيانات الحركات'!B:B,MATCH(811,'بيانات الحركات'!$G:$G,0)),"")</f>
        <v/>
      </c>
      <c r="C812" s="3" t="str">
        <f>IFERROR(INDEX('بيانات الحركات'!C:C,MATCH(811,'بيانات الحركات'!$G:$G,0)),"")</f>
        <v/>
      </c>
      <c r="D812" s="3" t="str">
        <f>IFERROR(INDEX('بيانات الحركات'!D:D,MATCH(811,'بيانات الحركات'!$G:$G,0)),"")</f>
        <v/>
      </c>
      <c r="E812" s="21" t="str">
        <f>IF($B812="إنتاج طبخة","",IFERROR(INDEX('بيانات الحركات'!E:E,MATCH(811,'بيانات الحركات'!$G:$G,0)),""))</f>
        <v/>
      </c>
      <c r="F812" s="3" t="str">
        <f>IFERROR(INDEX('بيانات الحركات'!F:F,MATCH(811,'بيانات الحركات'!$G:$G,0)),"")</f>
        <v/>
      </c>
    </row>
    <row r="813" spans="1:6" ht="21.95" customHeight="1">
      <c r="A813" s="8" t="str">
        <f>IFERROR(INDEX('بيانات الحركات'!A:A,MATCH(812,'بيانات الحركات'!$G:$G,0)),"")</f>
        <v/>
      </c>
      <c r="B813" s="5" t="str">
        <f>IFERROR(INDEX('بيانات الحركات'!B:B,MATCH(812,'بيانات الحركات'!$G:$G,0)),"")</f>
        <v/>
      </c>
      <c r="C813" s="3" t="str">
        <f>IFERROR(INDEX('بيانات الحركات'!C:C,MATCH(812,'بيانات الحركات'!$G:$G,0)),"")</f>
        <v/>
      </c>
      <c r="D813" s="3" t="str">
        <f>IFERROR(INDEX('بيانات الحركات'!D:D,MATCH(812,'بيانات الحركات'!$G:$G,0)),"")</f>
        <v/>
      </c>
      <c r="E813" s="21" t="str">
        <f>IF($B813="إنتاج طبخة","",IFERROR(INDEX('بيانات الحركات'!E:E,MATCH(812,'بيانات الحركات'!$G:$G,0)),""))</f>
        <v/>
      </c>
      <c r="F813" s="3" t="str">
        <f>IFERROR(INDEX('بيانات الحركات'!F:F,MATCH(812,'بيانات الحركات'!$G:$G,0)),"")</f>
        <v/>
      </c>
    </row>
    <row r="814" spans="1:6" ht="21.95" customHeight="1">
      <c r="A814" s="8" t="str">
        <f>IFERROR(INDEX('بيانات الحركات'!A:A,MATCH(813,'بيانات الحركات'!$G:$G,0)),"")</f>
        <v/>
      </c>
      <c r="B814" s="5" t="str">
        <f>IFERROR(INDEX('بيانات الحركات'!B:B,MATCH(813,'بيانات الحركات'!$G:$G,0)),"")</f>
        <v/>
      </c>
      <c r="C814" s="3" t="str">
        <f>IFERROR(INDEX('بيانات الحركات'!C:C,MATCH(813,'بيانات الحركات'!$G:$G,0)),"")</f>
        <v/>
      </c>
      <c r="D814" s="3" t="str">
        <f>IFERROR(INDEX('بيانات الحركات'!D:D,MATCH(813,'بيانات الحركات'!$G:$G,0)),"")</f>
        <v/>
      </c>
      <c r="E814" s="21" t="str">
        <f>IF($B814="إنتاج طبخة","",IFERROR(INDEX('بيانات الحركات'!E:E,MATCH(813,'بيانات الحركات'!$G:$G,0)),""))</f>
        <v/>
      </c>
      <c r="F814" s="3" t="str">
        <f>IFERROR(INDEX('بيانات الحركات'!F:F,MATCH(813,'بيانات الحركات'!$G:$G,0)),"")</f>
        <v/>
      </c>
    </row>
    <row r="815" spans="1:6" ht="21.95" customHeight="1">
      <c r="A815" s="8" t="str">
        <f>IFERROR(INDEX('بيانات الحركات'!A:A,MATCH(814,'بيانات الحركات'!$G:$G,0)),"")</f>
        <v/>
      </c>
      <c r="B815" s="5" t="str">
        <f>IFERROR(INDEX('بيانات الحركات'!B:B,MATCH(814,'بيانات الحركات'!$G:$G,0)),"")</f>
        <v/>
      </c>
      <c r="C815" s="3" t="str">
        <f>IFERROR(INDEX('بيانات الحركات'!C:C,MATCH(814,'بيانات الحركات'!$G:$G,0)),"")</f>
        <v/>
      </c>
      <c r="D815" s="3" t="str">
        <f>IFERROR(INDEX('بيانات الحركات'!D:D,MATCH(814,'بيانات الحركات'!$G:$G,0)),"")</f>
        <v/>
      </c>
      <c r="E815" s="21" t="str">
        <f>IF($B815="إنتاج طبخة","",IFERROR(INDEX('بيانات الحركات'!E:E,MATCH(814,'بيانات الحركات'!$G:$G,0)),""))</f>
        <v/>
      </c>
      <c r="F815" s="3" t="str">
        <f>IFERROR(INDEX('بيانات الحركات'!F:F,MATCH(814,'بيانات الحركات'!$G:$G,0)),"")</f>
        <v/>
      </c>
    </row>
    <row r="816" spans="1:6" ht="21.95" customHeight="1">
      <c r="A816" s="8" t="str">
        <f>IFERROR(INDEX('بيانات الحركات'!A:A,MATCH(815,'بيانات الحركات'!$G:$G,0)),"")</f>
        <v/>
      </c>
      <c r="B816" s="5" t="str">
        <f>IFERROR(INDEX('بيانات الحركات'!B:B,MATCH(815,'بيانات الحركات'!$G:$G,0)),"")</f>
        <v/>
      </c>
      <c r="C816" s="3" t="str">
        <f>IFERROR(INDEX('بيانات الحركات'!C:C,MATCH(815,'بيانات الحركات'!$G:$G,0)),"")</f>
        <v/>
      </c>
      <c r="D816" s="3" t="str">
        <f>IFERROR(INDEX('بيانات الحركات'!D:D,MATCH(815,'بيانات الحركات'!$G:$G,0)),"")</f>
        <v/>
      </c>
      <c r="E816" s="21" t="str">
        <f>IF($B816="إنتاج طبخة","",IFERROR(INDEX('بيانات الحركات'!E:E,MATCH(815,'بيانات الحركات'!$G:$G,0)),""))</f>
        <v/>
      </c>
      <c r="F816" s="3" t="str">
        <f>IFERROR(INDEX('بيانات الحركات'!F:F,MATCH(815,'بيانات الحركات'!$G:$G,0)),"")</f>
        <v/>
      </c>
    </row>
    <row r="817" spans="1:6" ht="21.95" customHeight="1">
      <c r="A817" s="8" t="str">
        <f>IFERROR(INDEX('بيانات الحركات'!A:A,MATCH(816,'بيانات الحركات'!$G:$G,0)),"")</f>
        <v/>
      </c>
      <c r="B817" s="5" t="str">
        <f>IFERROR(INDEX('بيانات الحركات'!B:B,MATCH(816,'بيانات الحركات'!$G:$G,0)),"")</f>
        <v/>
      </c>
      <c r="C817" s="3" t="str">
        <f>IFERROR(INDEX('بيانات الحركات'!C:C,MATCH(816,'بيانات الحركات'!$G:$G,0)),"")</f>
        <v/>
      </c>
      <c r="D817" s="3" t="str">
        <f>IFERROR(INDEX('بيانات الحركات'!D:D,MATCH(816,'بيانات الحركات'!$G:$G,0)),"")</f>
        <v/>
      </c>
      <c r="E817" s="21" t="str">
        <f>IF($B817="إنتاج طبخة","",IFERROR(INDEX('بيانات الحركات'!E:E,MATCH(816,'بيانات الحركات'!$G:$G,0)),""))</f>
        <v/>
      </c>
      <c r="F817" s="3" t="str">
        <f>IFERROR(INDEX('بيانات الحركات'!F:F,MATCH(816,'بيانات الحركات'!$G:$G,0)),"")</f>
        <v/>
      </c>
    </row>
    <row r="818" spans="1:6" ht="21.95" customHeight="1">
      <c r="A818" s="8" t="str">
        <f>IFERROR(INDEX('بيانات الحركات'!A:A,MATCH(817,'بيانات الحركات'!$G:$G,0)),"")</f>
        <v/>
      </c>
      <c r="B818" s="5" t="str">
        <f>IFERROR(INDEX('بيانات الحركات'!B:B,MATCH(817,'بيانات الحركات'!$G:$G,0)),"")</f>
        <v/>
      </c>
      <c r="C818" s="3" t="str">
        <f>IFERROR(INDEX('بيانات الحركات'!C:C,MATCH(817,'بيانات الحركات'!$G:$G,0)),"")</f>
        <v/>
      </c>
      <c r="D818" s="3" t="str">
        <f>IFERROR(INDEX('بيانات الحركات'!D:D,MATCH(817,'بيانات الحركات'!$G:$G,0)),"")</f>
        <v/>
      </c>
      <c r="E818" s="21" t="str">
        <f>IF($B818="إنتاج طبخة","",IFERROR(INDEX('بيانات الحركات'!E:E,MATCH(817,'بيانات الحركات'!$G:$G,0)),""))</f>
        <v/>
      </c>
      <c r="F818" s="3" t="str">
        <f>IFERROR(INDEX('بيانات الحركات'!F:F,MATCH(817,'بيانات الحركات'!$G:$G,0)),"")</f>
        <v/>
      </c>
    </row>
    <row r="819" spans="1:6" ht="21.95" customHeight="1">
      <c r="A819" s="8" t="str">
        <f>IFERROR(INDEX('بيانات الحركات'!A:A,MATCH(818,'بيانات الحركات'!$G:$G,0)),"")</f>
        <v/>
      </c>
      <c r="B819" s="5" t="str">
        <f>IFERROR(INDEX('بيانات الحركات'!B:B,MATCH(818,'بيانات الحركات'!$G:$G,0)),"")</f>
        <v/>
      </c>
      <c r="C819" s="3" t="str">
        <f>IFERROR(INDEX('بيانات الحركات'!C:C,MATCH(818,'بيانات الحركات'!$G:$G,0)),"")</f>
        <v/>
      </c>
      <c r="D819" s="3" t="str">
        <f>IFERROR(INDEX('بيانات الحركات'!D:D,MATCH(818,'بيانات الحركات'!$G:$G,0)),"")</f>
        <v/>
      </c>
      <c r="E819" s="21" t="str">
        <f>IF($B819="إنتاج طبخة","",IFERROR(INDEX('بيانات الحركات'!E:E,MATCH(818,'بيانات الحركات'!$G:$G,0)),""))</f>
        <v/>
      </c>
      <c r="F819" s="3" t="str">
        <f>IFERROR(INDEX('بيانات الحركات'!F:F,MATCH(818,'بيانات الحركات'!$G:$G,0)),"")</f>
        <v/>
      </c>
    </row>
    <row r="820" spans="1:6" ht="21.95" customHeight="1">
      <c r="A820" s="8" t="str">
        <f>IFERROR(INDEX('بيانات الحركات'!A:A,MATCH(819,'بيانات الحركات'!$G:$G,0)),"")</f>
        <v/>
      </c>
      <c r="B820" s="5" t="str">
        <f>IFERROR(INDEX('بيانات الحركات'!B:B,MATCH(819,'بيانات الحركات'!$G:$G,0)),"")</f>
        <v/>
      </c>
      <c r="C820" s="3" t="str">
        <f>IFERROR(INDEX('بيانات الحركات'!C:C,MATCH(819,'بيانات الحركات'!$G:$G,0)),"")</f>
        <v/>
      </c>
      <c r="D820" s="3" t="str">
        <f>IFERROR(INDEX('بيانات الحركات'!D:D,MATCH(819,'بيانات الحركات'!$G:$G,0)),"")</f>
        <v/>
      </c>
      <c r="E820" s="21" t="str">
        <f>IF($B820="إنتاج طبخة","",IFERROR(INDEX('بيانات الحركات'!E:E,MATCH(819,'بيانات الحركات'!$G:$G,0)),""))</f>
        <v/>
      </c>
      <c r="F820" s="3" t="str">
        <f>IFERROR(INDEX('بيانات الحركات'!F:F,MATCH(819,'بيانات الحركات'!$G:$G,0)),"")</f>
        <v/>
      </c>
    </row>
    <row r="821" spans="1:6" ht="21.95" customHeight="1">
      <c r="A821" s="8" t="str">
        <f>IFERROR(INDEX('بيانات الحركات'!A:A,MATCH(820,'بيانات الحركات'!$G:$G,0)),"")</f>
        <v/>
      </c>
      <c r="B821" s="5" t="str">
        <f>IFERROR(INDEX('بيانات الحركات'!B:B,MATCH(820,'بيانات الحركات'!$G:$G,0)),"")</f>
        <v/>
      </c>
      <c r="C821" s="3" t="str">
        <f>IFERROR(INDEX('بيانات الحركات'!C:C,MATCH(820,'بيانات الحركات'!$G:$G,0)),"")</f>
        <v/>
      </c>
      <c r="D821" s="3" t="str">
        <f>IFERROR(INDEX('بيانات الحركات'!D:D,MATCH(820,'بيانات الحركات'!$G:$G,0)),"")</f>
        <v/>
      </c>
      <c r="E821" s="21" t="str">
        <f>IF($B821="إنتاج طبخة","",IFERROR(INDEX('بيانات الحركات'!E:E,MATCH(820,'بيانات الحركات'!$G:$G,0)),""))</f>
        <v/>
      </c>
      <c r="F821" s="3" t="str">
        <f>IFERROR(INDEX('بيانات الحركات'!F:F,MATCH(820,'بيانات الحركات'!$G:$G,0)),"")</f>
        <v/>
      </c>
    </row>
    <row r="822" spans="1:6" ht="21.95" customHeight="1">
      <c r="A822" s="8" t="str">
        <f>IFERROR(INDEX('بيانات الحركات'!A:A,MATCH(821,'بيانات الحركات'!$G:$G,0)),"")</f>
        <v/>
      </c>
      <c r="B822" s="5" t="str">
        <f>IFERROR(INDEX('بيانات الحركات'!B:B,MATCH(821,'بيانات الحركات'!$G:$G,0)),"")</f>
        <v/>
      </c>
      <c r="C822" s="3" t="str">
        <f>IFERROR(INDEX('بيانات الحركات'!C:C,MATCH(821,'بيانات الحركات'!$G:$G,0)),"")</f>
        <v/>
      </c>
      <c r="D822" s="3" t="str">
        <f>IFERROR(INDEX('بيانات الحركات'!D:D,MATCH(821,'بيانات الحركات'!$G:$G,0)),"")</f>
        <v/>
      </c>
      <c r="E822" s="21" t="str">
        <f>IF($B822="إنتاج طبخة","",IFERROR(INDEX('بيانات الحركات'!E:E,MATCH(821,'بيانات الحركات'!$G:$G,0)),""))</f>
        <v/>
      </c>
      <c r="F822" s="3" t="str">
        <f>IFERROR(INDEX('بيانات الحركات'!F:F,MATCH(821,'بيانات الحركات'!$G:$G,0)),"")</f>
        <v/>
      </c>
    </row>
    <row r="823" spans="1:6" ht="21.95" customHeight="1">
      <c r="A823" s="8" t="str">
        <f>IFERROR(INDEX('بيانات الحركات'!A:A,MATCH(822,'بيانات الحركات'!$G:$G,0)),"")</f>
        <v/>
      </c>
      <c r="B823" s="5" t="str">
        <f>IFERROR(INDEX('بيانات الحركات'!B:B,MATCH(822,'بيانات الحركات'!$G:$G,0)),"")</f>
        <v/>
      </c>
      <c r="C823" s="3" t="str">
        <f>IFERROR(INDEX('بيانات الحركات'!C:C,MATCH(822,'بيانات الحركات'!$G:$G,0)),"")</f>
        <v/>
      </c>
      <c r="D823" s="3" t="str">
        <f>IFERROR(INDEX('بيانات الحركات'!D:D,MATCH(822,'بيانات الحركات'!$G:$G,0)),"")</f>
        <v/>
      </c>
      <c r="E823" s="21" t="str">
        <f>IF($B823="إنتاج طبخة","",IFERROR(INDEX('بيانات الحركات'!E:E,MATCH(822,'بيانات الحركات'!$G:$G,0)),""))</f>
        <v/>
      </c>
      <c r="F823" s="3" t="str">
        <f>IFERROR(INDEX('بيانات الحركات'!F:F,MATCH(822,'بيانات الحركات'!$G:$G,0)),"")</f>
        <v/>
      </c>
    </row>
    <row r="824" spans="1:6" ht="21.95" customHeight="1">
      <c r="A824" s="8" t="str">
        <f>IFERROR(INDEX('بيانات الحركات'!A:A,MATCH(823,'بيانات الحركات'!$G:$G,0)),"")</f>
        <v/>
      </c>
      <c r="B824" s="5" t="str">
        <f>IFERROR(INDEX('بيانات الحركات'!B:B,MATCH(823,'بيانات الحركات'!$G:$G,0)),"")</f>
        <v/>
      </c>
      <c r="C824" s="3" t="str">
        <f>IFERROR(INDEX('بيانات الحركات'!C:C,MATCH(823,'بيانات الحركات'!$G:$G,0)),"")</f>
        <v/>
      </c>
      <c r="D824" s="3" t="str">
        <f>IFERROR(INDEX('بيانات الحركات'!D:D,MATCH(823,'بيانات الحركات'!$G:$G,0)),"")</f>
        <v/>
      </c>
      <c r="E824" s="21" t="str">
        <f>IF($B824="إنتاج طبخة","",IFERROR(INDEX('بيانات الحركات'!E:E,MATCH(823,'بيانات الحركات'!$G:$G,0)),""))</f>
        <v/>
      </c>
      <c r="F824" s="3" t="str">
        <f>IFERROR(INDEX('بيانات الحركات'!F:F,MATCH(823,'بيانات الحركات'!$G:$G,0)),"")</f>
        <v/>
      </c>
    </row>
    <row r="825" spans="1:6" ht="21.95" customHeight="1">
      <c r="A825" s="8" t="str">
        <f>IFERROR(INDEX('بيانات الحركات'!A:A,MATCH(824,'بيانات الحركات'!$G:$G,0)),"")</f>
        <v/>
      </c>
      <c r="B825" s="5" t="str">
        <f>IFERROR(INDEX('بيانات الحركات'!B:B,MATCH(824,'بيانات الحركات'!$G:$G,0)),"")</f>
        <v/>
      </c>
      <c r="C825" s="3" t="str">
        <f>IFERROR(INDEX('بيانات الحركات'!C:C,MATCH(824,'بيانات الحركات'!$G:$G,0)),"")</f>
        <v/>
      </c>
      <c r="D825" s="3" t="str">
        <f>IFERROR(INDEX('بيانات الحركات'!D:D,MATCH(824,'بيانات الحركات'!$G:$G,0)),"")</f>
        <v/>
      </c>
      <c r="E825" s="21" t="str">
        <f>IF($B825="إنتاج طبخة","",IFERROR(INDEX('بيانات الحركات'!E:E,MATCH(824,'بيانات الحركات'!$G:$G,0)),""))</f>
        <v/>
      </c>
      <c r="F825" s="3" t="str">
        <f>IFERROR(INDEX('بيانات الحركات'!F:F,MATCH(824,'بيانات الحركات'!$G:$G,0)),"")</f>
        <v/>
      </c>
    </row>
    <row r="826" spans="1:6" ht="21.95" customHeight="1">
      <c r="A826" s="8" t="str">
        <f>IFERROR(INDEX('بيانات الحركات'!A:A,MATCH(825,'بيانات الحركات'!$G:$G,0)),"")</f>
        <v/>
      </c>
      <c r="B826" s="5" t="str">
        <f>IFERROR(INDEX('بيانات الحركات'!B:B,MATCH(825,'بيانات الحركات'!$G:$G,0)),"")</f>
        <v/>
      </c>
      <c r="C826" s="3" t="str">
        <f>IFERROR(INDEX('بيانات الحركات'!C:C,MATCH(825,'بيانات الحركات'!$G:$G,0)),"")</f>
        <v/>
      </c>
      <c r="D826" s="3" t="str">
        <f>IFERROR(INDEX('بيانات الحركات'!D:D,MATCH(825,'بيانات الحركات'!$G:$G,0)),"")</f>
        <v/>
      </c>
      <c r="E826" s="21" t="str">
        <f>IF($B826="إنتاج طبخة","",IFERROR(INDEX('بيانات الحركات'!E:E,MATCH(825,'بيانات الحركات'!$G:$G,0)),""))</f>
        <v/>
      </c>
      <c r="F826" s="3" t="str">
        <f>IFERROR(INDEX('بيانات الحركات'!F:F,MATCH(825,'بيانات الحركات'!$G:$G,0)),"")</f>
        <v/>
      </c>
    </row>
    <row r="827" spans="1:6" ht="21.95" customHeight="1">
      <c r="A827" s="8" t="str">
        <f>IFERROR(INDEX('بيانات الحركات'!A:A,MATCH(826,'بيانات الحركات'!$G:$G,0)),"")</f>
        <v/>
      </c>
      <c r="B827" s="5" t="str">
        <f>IFERROR(INDEX('بيانات الحركات'!B:B,MATCH(826,'بيانات الحركات'!$G:$G,0)),"")</f>
        <v/>
      </c>
      <c r="C827" s="3" t="str">
        <f>IFERROR(INDEX('بيانات الحركات'!C:C,MATCH(826,'بيانات الحركات'!$G:$G,0)),"")</f>
        <v/>
      </c>
      <c r="D827" s="3" t="str">
        <f>IFERROR(INDEX('بيانات الحركات'!D:D,MATCH(826,'بيانات الحركات'!$G:$G,0)),"")</f>
        <v/>
      </c>
      <c r="E827" s="21" t="str">
        <f>IF($B827="إنتاج طبخة","",IFERROR(INDEX('بيانات الحركات'!E:E,MATCH(826,'بيانات الحركات'!$G:$G,0)),""))</f>
        <v/>
      </c>
      <c r="F827" s="3" t="str">
        <f>IFERROR(INDEX('بيانات الحركات'!F:F,MATCH(826,'بيانات الحركات'!$G:$G,0)),"")</f>
        <v/>
      </c>
    </row>
    <row r="828" spans="1:6" ht="21.95" customHeight="1">
      <c r="A828" s="8" t="str">
        <f>IFERROR(INDEX('بيانات الحركات'!A:A,MATCH(827,'بيانات الحركات'!$G:$G,0)),"")</f>
        <v/>
      </c>
      <c r="B828" s="5" t="str">
        <f>IFERROR(INDEX('بيانات الحركات'!B:B,MATCH(827,'بيانات الحركات'!$G:$G,0)),"")</f>
        <v/>
      </c>
      <c r="C828" s="3" t="str">
        <f>IFERROR(INDEX('بيانات الحركات'!C:C,MATCH(827,'بيانات الحركات'!$G:$G,0)),"")</f>
        <v/>
      </c>
      <c r="D828" s="3" t="str">
        <f>IFERROR(INDEX('بيانات الحركات'!D:D,MATCH(827,'بيانات الحركات'!$G:$G,0)),"")</f>
        <v/>
      </c>
      <c r="E828" s="21" t="str">
        <f>IF($B828="إنتاج طبخة","",IFERROR(INDEX('بيانات الحركات'!E:E,MATCH(827,'بيانات الحركات'!$G:$G,0)),""))</f>
        <v/>
      </c>
      <c r="F828" s="3" t="str">
        <f>IFERROR(INDEX('بيانات الحركات'!F:F,MATCH(827,'بيانات الحركات'!$G:$G,0)),"")</f>
        <v/>
      </c>
    </row>
    <row r="829" spans="1:6" ht="21.95" customHeight="1">
      <c r="A829" s="8" t="str">
        <f>IFERROR(INDEX('بيانات الحركات'!A:A,MATCH(828,'بيانات الحركات'!$G:$G,0)),"")</f>
        <v/>
      </c>
      <c r="B829" s="5" t="str">
        <f>IFERROR(INDEX('بيانات الحركات'!B:B,MATCH(828,'بيانات الحركات'!$G:$G,0)),"")</f>
        <v/>
      </c>
      <c r="C829" s="3" t="str">
        <f>IFERROR(INDEX('بيانات الحركات'!C:C,MATCH(828,'بيانات الحركات'!$G:$G,0)),"")</f>
        <v/>
      </c>
      <c r="D829" s="3" t="str">
        <f>IFERROR(INDEX('بيانات الحركات'!D:D,MATCH(828,'بيانات الحركات'!$G:$G,0)),"")</f>
        <v/>
      </c>
      <c r="E829" s="21" t="str">
        <f>IF($B829="إنتاج طبخة","",IFERROR(INDEX('بيانات الحركات'!E:E,MATCH(828,'بيانات الحركات'!$G:$G,0)),""))</f>
        <v/>
      </c>
      <c r="F829" s="3" t="str">
        <f>IFERROR(INDEX('بيانات الحركات'!F:F,MATCH(828,'بيانات الحركات'!$G:$G,0)),"")</f>
        <v/>
      </c>
    </row>
    <row r="830" spans="1:6" ht="21.95" customHeight="1">
      <c r="A830" s="8" t="str">
        <f>IFERROR(INDEX('بيانات الحركات'!A:A,MATCH(829,'بيانات الحركات'!$G:$G,0)),"")</f>
        <v/>
      </c>
      <c r="B830" s="5" t="str">
        <f>IFERROR(INDEX('بيانات الحركات'!B:B,MATCH(829,'بيانات الحركات'!$G:$G,0)),"")</f>
        <v/>
      </c>
      <c r="C830" s="3" t="str">
        <f>IFERROR(INDEX('بيانات الحركات'!C:C,MATCH(829,'بيانات الحركات'!$G:$G,0)),"")</f>
        <v/>
      </c>
      <c r="D830" s="3" t="str">
        <f>IFERROR(INDEX('بيانات الحركات'!D:D,MATCH(829,'بيانات الحركات'!$G:$G,0)),"")</f>
        <v/>
      </c>
      <c r="E830" s="21" t="str">
        <f>IF($B830="إنتاج طبخة","",IFERROR(INDEX('بيانات الحركات'!E:E,MATCH(829,'بيانات الحركات'!$G:$G,0)),""))</f>
        <v/>
      </c>
      <c r="F830" s="3" t="str">
        <f>IFERROR(INDEX('بيانات الحركات'!F:F,MATCH(829,'بيانات الحركات'!$G:$G,0)),"")</f>
        <v/>
      </c>
    </row>
    <row r="831" spans="1:6" ht="21.95" customHeight="1">
      <c r="A831" s="8" t="str">
        <f>IFERROR(INDEX('بيانات الحركات'!A:A,MATCH(830,'بيانات الحركات'!$G:$G,0)),"")</f>
        <v/>
      </c>
      <c r="B831" s="5" t="str">
        <f>IFERROR(INDEX('بيانات الحركات'!B:B,MATCH(830,'بيانات الحركات'!$G:$G,0)),"")</f>
        <v/>
      </c>
      <c r="C831" s="3" t="str">
        <f>IFERROR(INDEX('بيانات الحركات'!C:C,MATCH(830,'بيانات الحركات'!$G:$G,0)),"")</f>
        <v/>
      </c>
      <c r="D831" s="3" t="str">
        <f>IFERROR(INDEX('بيانات الحركات'!D:D,MATCH(830,'بيانات الحركات'!$G:$G,0)),"")</f>
        <v/>
      </c>
      <c r="E831" s="21" t="str">
        <f>IF($B831="إنتاج طبخة","",IFERROR(INDEX('بيانات الحركات'!E:E,MATCH(830,'بيانات الحركات'!$G:$G,0)),""))</f>
        <v/>
      </c>
      <c r="F831" s="3" t="str">
        <f>IFERROR(INDEX('بيانات الحركات'!F:F,MATCH(830,'بيانات الحركات'!$G:$G,0)),"")</f>
        <v/>
      </c>
    </row>
    <row r="832" spans="1:6" ht="21.95" customHeight="1">
      <c r="A832" s="8" t="str">
        <f>IFERROR(INDEX('بيانات الحركات'!A:A,MATCH(831,'بيانات الحركات'!$G:$G,0)),"")</f>
        <v/>
      </c>
      <c r="B832" s="5" t="str">
        <f>IFERROR(INDEX('بيانات الحركات'!B:B,MATCH(831,'بيانات الحركات'!$G:$G,0)),"")</f>
        <v/>
      </c>
      <c r="C832" s="3" t="str">
        <f>IFERROR(INDEX('بيانات الحركات'!C:C,MATCH(831,'بيانات الحركات'!$G:$G,0)),"")</f>
        <v/>
      </c>
      <c r="D832" s="3" t="str">
        <f>IFERROR(INDEX('بيانات الحركات'!D:D,MATCH(831,'بيانات الحركات'!$G:$G,0)),"")</f>
        <v/>
      </c>
      <c r="E832" s="21" t="str">
        <f>IF($B832="إنتاج طبخة","",IFERROR(INDEX('بيانات الحركات'!E:E,MATCH(831,'بيانات الحركات'!$G:$G,0)),""))</f>
        <v/>
      </c>
      <c r="F832" s="3" t="str">
        <f>IFERROR(INDEX('بيانات الحركات'!F:F,MATCH(831,'بيانات الحركات'!$G:$G,0)),"")</f>
        <v/>
      </c>
    </row>
    <row r="833" spans="1:6" ht="21.95" customHeight="1">
      <c r="A833" s="8" t="str">
        <f>IFERROR(INDEX('بيانات الحركات'!A:A,MATCH(832,'بيانات الحركات'!$G:$G,0)),"")</f>
        <v/>
      </c>
      <c r="B833" s="5" t="str">
        <f>IFERROR(INDEX('بيانات الحركات'!B:B,MATCH(832,'بيانات الحركات'!$G:$G,0)),"")</f>
        <v/>
      </c>
      <c r="C833" s="3" t="str">
        <f>IFERROR(INDEX('بيانات الحركات'!C:C,MATCH(832,'بيانات الحركات'!$G:$G,0)),"")</f>
        <v/>
      </c>
      <c r="D833" s="3" t="str">
        <f>IFERROR(INDEX('بيانات الحركات'!D:D,MATCH(832,'بيانات الحركات'!$G:$G,0)),"")</f>
        <v/>
      </c>
      <c r="E833" s="21" t="str">
        <f>IF($B833="إنتاج طبخة","",IFERROR(INDEX('بيانات الحركات'!E:E,MATCH(832,'بيانات الحركات'!$G:$G,0)),""))</f>
        <v/>
      </c>
      <c r="F833" s="3" t="str">
        <f>IFERROR(INDEX('بيانات الحركات'!F:F,MATCH(832,'بيانات الحركات'!$G:$G,0)),"")</f>
        <v/>
      </c>
    </row>
    <row r="834" spans="1:6" ht="21.95" customHeight="1">
      <c r="A834" s="8" t="str">
        <f>IFERROR(INDEX('بيانات الحركات'!A:A,MATCH(833,'بيانات الحركات'!$G:$G,0)),"")</f>
        <v/>
      </c>
      <c r="B834" s="5" t="str">
        <f>IFERROR(INDEX('بيانات الحركات'!B:B,MATCH(833,'بيانات الحركات'!$G:$G,0)),"")</f>
        <v/>
      </c>
      <c r="C834" s="3" t="str">
        <f>IFERROR(INDEX('بيانات الحركات'!C:C,MATCH(833,'بيانات الحركات'!$G:$G,0)),"")</f>
        <v/>
      </c>
      <c r="D834" s="3" t="str">
        <f>IFERROR(INDEX('بيانات الحركات'!D:D,MATCH(833,'بيانات الحركات'!$G:$G,0)),"")</f>
        <v/>
      </c>
      <c r="E834" s="21" t="str">
        <f>IF($B834="إنتاج طبخة","",IFERROR(INDEX('بيانات الحركات'!E:E,MATCH(833,'بيانات الحركات'!$G:$G,0)),""))</f>
        <v/>
      </c>
      <c r="F834" s="3" t="str">
        <f>IFERROR(INDEX('بيانات الحركات'!F:F,MATCH(833,'بيانات الحركات'!$G:$G,0)),"")</f>
        <v/>
      </c>
    </row>
    <row r="835" spans="1:6" ht="21.95" customHeight="1">
      <c r="A835" s="8" t="str">
        <f>IFERROR(INDEX('بيانات الحركات'!A:A,MATCH(834,'بيانات الحركات'!$G:$G,0)),"")</f>
        <v/>
      </c>
      <c r="B835" s="5" t="str">
        <f>IFERROR(INDEX('بيانات الحركات'!B:B,MATCH(834,'بيانات الحركات'!$G:$G,0)),"")</f>
        <v/>
      </c>
      <c r="C835" s="3" t="str">
        <f>IFERROR(INDEX('بيانات الحركات'!C:C,MATCH(834,'بيانات الحركات'!$G:$G,0)),"")</f>
        <v/>
      </c>
      <c r="D835" s="3" t="str">
        <f>IFERROR(INDEX('بيانات الحركات'!D:D,MATCH(834,'بيانات الحركات'!$G:$G,0)),"")</f>
        <v/>
      </c>
      <c r="E835" s="21" t="str">
        <f>IF($B835="إنتاج طبخة","",IFERROR(INDEX('بيانات الحركات'!E:E,MATCH(834,'بيانات الحركات'!$G:$G,0)),""))</f>
        <v/>
      </c>
      <c r="F835" s="3" t="str">
        <f>IFERROR(INDEX('بيانات الحركات'!F:F,MATCH(834,'بيانات الحركات'!$G:$G,0)),"")</f>
        <v/>
      </c>
    </row>
    <row r="836" spans="1:6" ht="21.95" customHeight="1">
      <c r="A836" s="8" t="str">
        <f>IFERROR(INDEX('بيانات الحركات'!A:A,MATCH(835,'بيانات الحركات'!$G:$G,0)),"")</f>
        <v/>
      </c>
      <c r="B836" s="5" t="str">
        <f>IFERROR(INDEX('بيانات الحركات'!B:B,MATCH(835,'بيانات الحركات'!$G:$G,0)),"")</f>
        <v/>
      </c>
      <c r="C836" s="3" t="str">
        <f>IFERROR(INDEX('بيانات الحركات'!C:C,MATCH(835,'بيانات الحركات'!$G:$G,0)),"")</f>
        <v/>
      </c>
      <c r="D836" s="3" t="str">
        <f>IFERROR(INDEX('بيانات الحركات'!D:D,MATCH(835,'بيانات الحركات'!$G:$G,0)),"")</f>
        <v/>
      </c>
      <c r="E836" s="21" t="str">
        <f>IF($B836="إنتاج طبخة","",IFERROR(INDEX('بيانات الحركات'!E:E,MATCH(835,'بيانات الحركات'!$G:$G,0)),""))</f>
        <v/>
      </c>
      <c r="F836" s="3" t="str">
        <f>IFERROR(INDEX('بيانات الحركات'!F:F,MATCH(835,'بيانات الحركات'!$G:$G,0)),"")</f>
        <v/>
      </c>
    </row>
    <row r="837" spans="1:6" ht="21.95" customHeight="1">
      <c r="A837" s="8" t="str">
        <f>IFERROR(INDEX('بيانات الحركات'!A:A,MATCH(836,'بيانات الحركات'!$G:$G,0)),"")</f>
        <v/>
      </c>
      <c r="B837" s="5" t="str">
        <f>IFERROR(INDEX('بيانات الحركات'!B:B,MATCH(836,'بيانات الحركات'!$G:$G,0)),"")</f>
        <v/>
      </c>
      <c r="C837" s="3" t="str">
        <f>IFERROR(INDEX('بيانات الحركات'!C:C,MATCH(836,'بيانات الحركات'!$G:$G,0)),"")</f>
        <v/>
      </c>
      <c r="D837" s="3" t="str">
        <f>IFERROR(INDEX('بيانات الحركات'!D:D,MATCH(836,'بيانات الحركات'!$G:$G,0)),"")</f>
        <v/>
      </c>
      <c r="E837" s="21" t="str">
        <f>IF($B837="إنتاج طبخة","",IFERROR(INDEX('بيانات الحركات'!E:E,MATCH(836,'بيانات الحركات'!$G:$G,0)),""))</f>
        <v/>
      </c>
      <c r="F837" s="3" t="str">
        <f>IFERROR(INDEX('بيانات الحركات'!F:F,MATCH(836,'بيانات الحركات'!$G:$G,0)),"")</f>
        <v/>
      </c>
    </row>
    <row r="838" spans="1:6" ht="21.95" customHeight="1">
      <c r="A838" s="8" t="str">
        <f>IFERROR(INDEX('بيانات الحركات'!A:A,MATCH(837,'بيانات الحركات'!$G:$G,0)),"")</f>
        <v/>
      </c>
      <c r="B838" s="5" t="str">
        <f>IFERROR(INDEX('بيانات الحركات'!B:B,MATCH(837,'بيانات الحركات'!$G:$G,0)),"")</f>
        <v/>
      </c>
      <c r="C838" s="3" t="str">
        <f>IFERROR(INDEX('بيانات الحركات'!C:C,MATCH(837,'بيانات الحركات'!$G:$G,0)),"")</f>
        <v/>
      </c>
      <c r="D838" s="3" t="str">
        <f>IFERROR(INDEX('بيانات الحركات'!D:D,MATCH(837,'بيانات الحركات'!$G:$G,0)),"")</f>
        <v/>
      </c>
      <c r="E838" s="21" t="str">
        <f>IF($B838="إنتاج طبخة","",IFERROR(INDEX('بيانات الحركات'!E:E,MATCH(837,'بيانات الحركات'!$G:$G,0)),""))</f>
        <v/>
      </c>
      <c r="F838" s="3" t="str">
        <f>IFERROR(INDEX('بيانات الحركات'!F:F,MATCH(837,'بيانات الحركات'!$G:$G,0)),"")</f>
        <v/>
      </c>
    </row>
    <row r="839" spans="1:6" ht="21.95" customHeight="1">
      <c r="A839" s="8" t="str">
        <f>IFERROR(INDEX('بيانات الحركات'!A:A,MATCH(838,'بيانات الحركات'!$G:$G,0)),"")</f>
        <v/>
      </c>
      <c r="B839" s="5" t="str">
        <f>IFERROR(INDEX('بيانات الحركات'!B:B,MATCH(838,'بيانات الحركات'!$G:$G,0)),"")</f>
        <v/>
      </c>
      <c r="C839" s="3" t="str">
        <f>IFERROR(INDEX('بيانات الحركات'!C:C,MATCH(838,'بيانات الحركات'!$G:$G,0)),"")</f>
        <v/>
      </c>
      <c r="D839" s="3" t="str">
        <f>IFERROR(INDEX('بيانات الحركات'!D:D,MATCH(838,'بيانات الحركات'!$G:$G,0)),"")</f>
        <v/>
      </c>
      <c r="E839" s="21" t="str">
        <f>IF($B839="إنتاج طبخة","",IFERROR(INDEX('بيانات الحركات'!E:E,MATCH(838,'بيانات الحركات'!$G:$G,0)),""))</f>
        <v/>
      </c>
      <c r="F839" s="3" t="str">
        <f>IFERROR(INDEX('بيانات الحركات'!F:F,MATCH(838,'بيانات الحركات'!$G:$G,0)),"")</f>
        <v/>
      </c>
    </row>
    <row r="840" spans="1:6" ht="21.95" customHeight="1">
      <c r="A840" s="8" t="str">
        <f>IFERROR(INDEX('بيانات الحركات'!A:A,MATCH(839,'بيانات الحركات'!$G:$G,0)),"")</f>
        <v/>
      </c>
      <c r="B840" s="5" t="str">
        <f>IFERROR(INDEX('بيانات الحركات'!B:B,MATCH(839,'بيانات الحركات'!$G:$G,0)),"")</f>
        <v/>
      </c>
      <c r="C840" s="3" t="str">
        <f>IFERROR(INDEX('بيانات الحركات'!C:C,MATCH(839,'بيانات الحركات'!$G:$G,0)),"")</f>
        <v/>
      </c>
      <c r="D840" s="3" t="str">
        <f>IFERROR(INDEX('بيانات الحركات'!D:D,MATCH(839,'بيانات الحركات'!$G:$G,0)),"")</f>
        <v/>
      </c>
      <c r="E840" s="21" t="str">
        <f>IF($B840="إنتاج طبخة","",IFERROR(INDEX('بيانات الحركات'!E:E,MATCH(839,'بيانات الحركات'!$G:$G,0)),""))</f>
        <v/>
      </c>
      <c r="F840" s="3" t="str">
        <f>IFERROR(INDEX('بيانات الحركات'!F:F,MATCH(839,'بيانات الحركات'!$G:$G,0)),"")</f>
        <v/>
      </c>
    </row>
    <row r="841" spans="1:6" ht="21.95" customHeight="1">
      <c r="A841" s="8" t="str">
        <f>IFERROR(INDEX('بيانات الحركات'!A:A,MATCH(840,'بيانات الحركات'!$G:$G,0)),"")</f>
        <v/>
      </c>
      <c r="B841" s="5" t="str">
        <f>IFERROR(INDEX('بيانات الحركات'!B:B,MATCH(840,'بيانات الحركات'!$G:$G,0)),"")</f>
        <v/>
      </c>
      <c r="C841" s="3" t="str">
        <f>IFERROR(INDEX('بيانات الحركات'!C:C,MATCH(840,'بيانات الحركات'!$G:$G,0)),"")</f>
        <v/>
      </c>
      <c r="D841" s="3" t="str">
        <f>IFERROR(INDEX('بيانات الحركات'!D:D,MATCH(840,'بيانات الحركات'!$G:$G,0)),"")</f>
        <v/>
      </c>
      <c r="E841" s="21" t="str">
        <f>IF($B841="إنتاج طبخة","",IFERROR(INDEX('بيانات الحركات'!E:E,MATCH(840,'بيانات الحركات'!$G:$G,0)),""))</f>
        <v/>
      </c>
      <c r="F841" s="3" t="str">
        <f>IFERROR(INDEX('بيانات الحركات'!F:F,MATCH(840,'بيانات الحركات'!$G:$G,0)),"")</f>
        <v/>
      </c>
    </row>
    <row r="842" spans="1:6" ht="21.95" customHeight="1">
      <c r="A842" s="8" t="str">
        <f>IFERROR(INDEX('بيانات الحركات'!A:A,MATCH(841,'بيانات الحركات'!$G:$G,0)),"")</f>
        <v/>
      </c>
      <c r="B842" s="5" t="str">
        <f>IFERROR(INDEX('بيانات الحركات'!B:B,MATCH(841,'بيانات الحركات'!$G:$G,0)),"")</f>
        <v/>
      </c>
      <c r="C842" s="3" t="str">
        <f>IFERROR(INDEX('بيانات الحركات'!C:C,MATCH(841,'بيانات الحركات'!$G:$G,0)),"")</f>
        <v/>
      </c>
      <c r="D842" s="3" t="str">
        <f>IFERROR(INDEX('بيانات الحركات'!D:D,MATCH(841,'بيانات الحركات'!$G:$G,0)),"")</f>
        <v/>
      </c>
      <c r="E842" s="21" t="str">
        <f>IF($B842="إنتاج طبخة","",IFERROR(INDEX('بيانات الحركات'!E:E,MATCH(841,'بيانات الحركات'!$G:$G,0)),""))</f>
        <v/>
      </c>
      <c r="F842" s="3" t="str">
        <f>IFERROR(INDEX('بيانات الحركات'!F:F,MATCH(841,'بيانات الحركات'!$G:$G,0)),"")</f>
        <v/>
      </c>
    </row>
    <row r="843" spans="1:6" ht="21.95" customHeight="1">
      <c r="A843" s="8" t="str">
        <f>IFERROR(INDEX('بيانات الحركات'!A:A,MATCH(842,'بيانات الحركات'!$G:$G,0)),"")</f>
        <v/>
      </c>
      <c r="B843" s="5" t="str">
        <f>IFERROR(INDEX('بيانات الحركات'!B:B,MATCH(842,'بيانات الحركات'!$G:$G,0)),"")</f>
        <v/>
      </c>
      <c r="C843" s="3" t="str">
        <f>IFERROR(INDEX('بيانات الحركات'!C:C,MATCH(842,'بيانات الحركات'!$G:$G,0)),"")</f>
        <v/>
      </c>
      <c r="D843" s="3" t="str">
        <f>IFERROR(INDEX('بيانات الحركات'!D:D,MATCH(842,'بيانات الحركات'!$G:$G,0)),"")</f>
        <v/>
      </c>
      <c r="E843" s="21" t="str">
        <f>IF($B843="إنتاج طبخة","",IFERROR(INDEX('بيانات الحركات'!E:E,MATCH(842,'بيانات الحركات'!$G:$G,0)),""))</f>
        <v/>
      </c>
      <c r="F843" s="3" t="str">
        <f>IFERROR(INDEX('بيانات الحركات'!F:F,MATCH(842,'بيانات الحركات'!$G:$G,0)),"")</f>
        <v/>
      </c>
    </row>
    <row r="844" spans="1:6" ht="21.95" customHeight="1">
      <c r="A844" s="8" t="str">
        <f>IFERROR(INDEX('بيانات الحركات'!A:A,MATCH(843,'بيانات الحركات'!$G:$G,0)),"")</f>
        <v/>
      </c>
      <c r="B844" s="5" t="str">
        <f>IFERROR(INDEX('بيانات الحركات'!B:B,MATCH(843,'بيانات الحركات'!$G:$G,0)),"")</f>
        <v/>
      </c>
      <c r="C844" s="3" t="str">
        <f>IFERROR(INDEX('بيانات الحركات'!C:C,MATCH(843,'بيانات الحركات'!$G:$G,0)),"")</f>
        <v/>
      </c>
      <c r="D844" s="3" t="str">
        <f>IFERROR(INDEX('بيانات الحركات'!D:D,MATCH(843,'بيانات الحركات'!$G:$G,0)),"")</f>
        <v/>
      </c>
      <c r="E844" s="21" t="str">
        <f>IF($B844="إنتاج طبخة","",IFERROR(INDEX('بيانات الحركات'!E:E,MATCH(843,'بيانات الحركات'!$G:$G,0)),""))</f>
        <v/>
      </c>
      <c r="F844" s="3" t="str">
        <f>IFERROR(INDEX('بيانات الحركات'!F:F,MATCH(843,'بيانات الحركات'!$G:$G,0)),"")</f>
        <v/>
      </c>
    </row>
    <row r="845" spans="1:6" ht="21.95" customHeight="1">
      <c r="A845" s="8" t="str">
        <f>IFERROR(INDEX('بيانات الحركات'!A:A,MATCH(844,'بيانات الحركات'!$G:$G,0)),"")</f>
        <v/>
      </c>
      <c r="B845" s="5" t="str">
        <f>IFERROR(INDEX('بيانات الحركات'!B:B,MATCH(844,'بيانات الحركات'!$G:$G,0)),"")</f>
        <v/>
      </c>
      <c r="C845" s="3" t="str">
        <f>IFERROR(INDEX('بيانات الحركات'!C:C,MATCH(844,'بيانات الحركات'!$G:$G,0)),"")</f>
        <v/>
      </c>
      <c r="D845" s="3" t="str">
        <f>IFERROR(INDEX('بيانات الحركات'!D:D,MATCH(844,'بيانات الحركات'!$G:$G,0)),"")</f>
        <v/>
      </c>
      <c r="E845" s="21" t="str">
        <f>IF($B845="إنتاج طبخة","",IFERROR(INDEX('بيانات الحركات'!E:E,MATCH(844,'بيانات الحركات'!$G:$G,0)),""))</f>
        <v/>
      </c>
      <c r="F845" s="3" t="str">
        <f>IFERROR(INDEX('بيانات الحركات'!F:F,MATCH(844,'بيانات الحركات'!$G:$G,0)),"")</f>
        <v/>
      </c>
    </row>
    <row r="846" spans="1:6" ht="21.95" customHeight="1">
      <c r="A846" s="8" t="str">
        <f>IFERROR(INDEX('بيانات الحركات'!A:A,MATCH(845,'بيانات الحركات'!$G:$G,0)),"")</f>
        <v/>
      </c>
      <c r="B846" s="5" t="str">
        <f>IFERROR(INDEX('بيانات الحركات'!B:B,MATCH(845,'بيانات الحركات'!$G:$G,0)),"")</f>
        <v/>
      </c>
      <c r="C846" s="3" t="str">
        <f>IFERROR(INDEX('بيانات الحركات'!C:C,MATCH(845,'بيانات الحركات'!$G:$G,0)),"")</f>
        <v/>
      </c>
      <c r="D846" s="3" t="str">
        <f>IFERROR(INDEX('بيانات الحركات'!D:D,MATCH(845,'بيانات الحركات'!$G:$G,0)),"")</f>
        <v/>
      </c>
      <c r="E846" s="21" t="str">
        <f>IF($B846="إنتاج طبخة","",IFERROR(INDEX('بيانات الحركات'!E:E,MATCH(845,'بيانات الحركات'!$G:$G,0)),""))</f>
        <v/>
      </c>
      <c r="F846" s="3" t="str">
        <f>IFERROR(INDEX('بيانات الحركات'!F:F,MATCH(845,'بيانات الحركات'!$G:$G,0)),"")</f>
        <v/>
      </c>
    </row>
    <row r="847" spans="1:6" ht="21.95" customHeight="1">
      <c r="A847" s="8" t="str">
        <f>IFERROR(INDEX('بيانات الحركات'!A:A,MATCH(846,'بيانات الحركات'!$G:$G,0)),"")</f>
        <v/>
      </c>
      <c r="B847" s="5" t="str">
        <f>IFERROR(INDEX('بيانات الحركات'!B:B,MATCH(846,'بيانات الحركات'!$G:$G,0)),"")</f>
        <v/>
      </c>
      <c r="C847" s="3" t="str">
        <f>IFERROR(INDEX('بيانات الحركات'!C:C,MATCH(846,'بيانات الحركات'!$G:$G,0)),"")</f>
        <v/>
      </c>
      <c r="D847" s="3" t="str">
        <f>IFERROR(INDEX('بيانات الحركات'!D:D,MATCH(846,'بيانات الحركات'!$G:$G,0)),"")</f>
        <v/>
      </c>
      <c r="E847" s="21" t="str">
        <f>IF($B847="إنتاج طبخة","",IFERROR(INDEX('بيانات الحركات'!E:E,MATCH(846,'بيانات الحركات'!$G:$G,0)),""))</f>
        <v/>
      </c>
      <c r="F847" s="3" t="str">
        <f>IFERROR(INDEX('بيانات الحركات'!F:F,MATCH(846,'بيانات الحركات'!$G:$G,0)),"")</f>
        <v/>
      </c>
    </row>
    <row r="848" spans="1:6" ht="21.95" customHeight="1">
      <c r="A848" s="8" t="str">
        <f>IFERROR(INDEX('بيانات الحركات'!A:A,MATCH(847,'بيانات الحركات'!$G:$G,0)),"")</f>
        <v/>
      </c>
      <c r="B848" s="5" t="str">
        <f>IFERROR(INDEX('بيانات الحركات'!B:B,MATCH(847,'بيانات الحركات'!$G:$G,0)),"")</f>
        <v/>
      </c>
      <c r="C848" s="3" t="str">
        <f>IFERROR(INDEX('بيانات الحركات'!C:C,MATCH(847,'بيانات الحركات'!$G:$G,0)),"")</f>
        <v/>
      </c>
      <c r="D848" s="3" t="str">
        <f>IFERROR(INDEX('بيانات الحركات'!D:D,MATCH(847,'بيانات الحركات'!$G:$G,0)),"")</f>
        <v/>
      </c>
      <c r="E848" s="21" t="str">
        <f>IF($B848="إنتاج طبخة","",IFERROR(INDEX('بيانات الحركات'!E:E,MATCH(847,'بيانات الحركات'!$G:$G,0)),""))</f>
        <v/>
      </c>
      <c r="F848" s="3" t="str">
        <f>IFERROR(INDEX('بيانات الحركات'!F:F,MATCH(847,'بيانات الحركات'!$G:$G,0)),"")</f>
        <v/>
      </c>
    </row>
    <row r="849" spans="1:6" ht="21.95" customHeight="1">
      <c r="A849" s="8" t="str">
        <f>IFERROR(INDEX('بيانات الحركات'!A:A,MATCH(848,'بيانات الحركات'!$G:$G,0)),"")</f>
        <v/>
      </c>
      <c r="B849" s="5" t="str">
        <f>IFERROR(INDEX('بيانات الحركات'!B:B,MATCH(848,'بيانات الحركات'!$G:$G,0)),"")</f>
        <v/>
      </c>
      <c r="C849" s="3" t="str">
        <f>IFERROR(INDEX('بيانات الحركات'!C:C,MATCH(848,'بيانات الحركات'!$G:$G,0)),"")</f>
        <v/>
      </c>
      <c r="D849" s="3" t="str">
        <f>IFERROR(INDEX('بيانات الحركات'!D:D,MATCH(848,'بيانات الحركات'!$G:$G,0)),"")</f>
        <v/>
      </c>
      <c r="E849" s="21" t="str">
        <f>IF($B849="إنتاج طبخة","",IFERROR(INDEX('بيانات الحركات'!E:E,MATCH(848,'بيانات الحركات'!$G:$G,0)),""))</f>
        <v/>
      </c>
      <c r="F849" s="3" t="str">
        <f>IFERROR(INDEX('بيانات الحركات'!F:F,MATCH(848,'بيانات الحركات'!$G:$G,0)),"")</f>
        <v/>
      </c>
    </row>
    <row r="850" spans="1:6" ht="21.95" customHeight="1">
      <c r="A850" s="8" t="str">
        <f>IFERROR(INDEX('بيانات الحركات'!A:A,MATCH(849,'بيانات الحركات'!$G:$G,0)),"")</f>
        <v/>
      </c>
      <c r="B850" s="5" t="str">
        <f>IFERROR(INDEX('بيانات الحركات'!B:B,MATCH(849,'بيانات الحركات'!$G:$G,0)),"")</f>
        <v/>
      </c>
      <c r="C850" s="3" t="str">
        <f>IFERROR(INDEX('بيانات الحركات'!C:C,MATCH(849,'بيانات الحركات'!$G:$G,0)),"")</f>
        <v/>
      </c>
      <c r="D850" s="3" t="str">
        <f>IFERROR(INDEX('بيانات الحركات'!D:D,MATCH(849,'بيانات الحركات'!$G:$G,0)),"")</f>
        <v/>
      </c>
      <c r="E850" s="21" t="str">
        <f>IF($B850="إنتاج طبخة","",IFERROR(INDEX('بيانات الحركات'!E:E,MATCH(849,'بيانات الحركات'!$G:$G,0)),""))</f>
        <v/>
      </c>
      <c r="F850" s="3" t="str">
        <f>IFERROR(INDEX('بيانات الحركات'!F:F,MATCH(849,'بيانات الحركات'!$G:$G,0)),"")</f>
        <v/>
      </c>
    </row>
    <row r="851" spans="1:6" ht="21.95" customHeight="1">
      <c r="A851" s="8" t="str">
        <f>IFERROR(INDEX('بيانات الحركات'!A:A,MATCH(850,'بيانات الحركات'!$G:$G,0)),"")</f>
        <v/>
      </c>
      <c r="B851" s="5" t="str">
        <f>IFERROR(INDEX('بيانات الحركات'!B:B,MATCH(850,'بيانات الحركات'!$G:$G,0)),"")</f>
        <v/>
      </c>
      <c r="C851" s="3" t="str">
        <f>IFERROR(INDEX('بيانات الحركات'!C:C,MATCH(850,'بيانات الحركات'!$G:$G,0)),"")</f>
        <v/>
      </c>
      <c r="D851" s="3" t="str">
        <f>IFERROR(INDEX('بيانات الحركات'!D:D,MATCH(850,'بيانات الحركات'!$G:$G,0)),"")</f>
        <v/>
      </c>
      <c r="E851" s="21" t="str">
        <f>IF($B851="إنتاج طبخة","",IFERROR(INDEX('بيانات الحركات'!E:E,MATCH(850,'بيانات الحركات'!$G:$G,0)),""))</f>
        <v/>
      </c>
      <c r="F851" s="3" t="str">
        <f>IFERROR(INDEX('بيانات الحركات'!F:F,MATCH(850,'بيانات الحركات'!$G:$G,0)),"")</f>
        <v/>
      </c>
    </row>
    <row r="852" spans="1:6" ht="21.95" customHeight="1">
      <c r="A852" s="8" t="str">
        <f>IFERROR(INDEX('بيانات الحركات'!A:A,MATCH(851,'بيانات الحركات'!$G:$G,0)),"")</f>
        <v/>
      </c>
      <c r="B852" s="5" t="str">
        <f>IFERROR(INDEX('بيانات الحركات'!B:B,MATCH(851,'بيانات الحركات'!$G:$G,0)),"")</f>
        <v/>
      </c>
      <c r="C852" s="3" t="str">
        <f>IFERROR(INDEX('بيانات الحركات'!C:C,MATCH(851,'بيانات الحركات'!$G:$G,0)),"")</f>
        <v/>
      </c>
      <c r="D852" s="3" t="str">
        <f>IFERROR(INDEX('بيانات الحركات'!D:D,MATCH(851,'بيانات الحركات'!$G:$G,0)),"")</f>
        <v/>
      </c>
      <c r="E852" s="21" t="str">
        <f>IF($B852="إنتاج طبخة","",IFERROR(INDEX('بيانات الحركات'!E:E,MATCH(851,'بيانات الحركات'!$G:$G,0)),""))</f>
        <v/>
      </c>
      <c r="F852" s="3" t="str">
        <f>IFERROR(INDEX('بيانات الحركات'!F:F,MATCH(851,'بيانات الحركات'!$G:$G,0)),"")</f>
        <v/>
      </c>
    </row>
    <row r="853" spans="1:6" ht="21.95" customHeight="1">
      <c r="A853" s="8" t="str">
        <f>IFERROR(INDEX('بيانات الحركات'!A:A,MATCH(852,'بيانات الحركات'!$G:$G,0)),"")</f>
        <v/>
      </c>
      <c r="B853" s="5" t="str">
        <f>IFERROR(INDEX('بيانات الحركات'!B:B,MATCH(852,'بيانات الحركات'!$G:$G,0)),"")</f>
        <v/>
      </c>
      <c r="C853" s="3" t="str">
        <f>IFERROR(INDEX('بيانات الحركات'!C:C,MATCH(852,'بيانات الحركات'!$G:$G,0)),"")</f>
        <v/>
      </c>
      <c r="D853" s="3" t="str">
        <f>IFERROR(INDEX('بيانات الحركات'!D:D,MATCH(852,'بيانات الحركات'!$G:$G,0)),"")</f>
        <v/>
      </c>
      <c r="E853" s="21" t="str">
        <f>IF($B853="إنتاج طبخة","",IFERROR(INDEX('بيانات الحركات'!E:E,MATCH(852,'بيانات الحركات'!$G:$G,0)),""))</f>
        <v/>
      </c>
      <c r="F853" s="3" t="str">
        <f>IFERROR(INDEX('بيانات الحركات'!F:F,MATCH(852,'بيانات الحركات'!$G:$G,0)),"")</f>
        <v/>
      </c>
    </row>
    <row r="854" spans="1:6" ht="21.95" customHeight="1">
      <c r="A854" s="8" t="str">
        <f>IFERROR(INDEX('بيانات الحركات'!A:A,MATCH(853,'بيانات الحركات'!$G:$G,0)),"")</f>
        <v/>
      </c>
      <c r="B854" s="5" t="str">
        <f>IFERROR(INDEX('بيانات الحركات'!B:B,MATCH(853,'بيانات الحركات'!$G:$G,0)),"")</f>
        <v/>
      </c>
      <c r="C854" s="3" t="str">
        <f>IFERROR(INDEX('بيانات الحركات'!C:C,MATCH(853,'بيانات الحركات'!$G:$G,0)),"")</f>
        <v/>
      </c>
      <c r="D854" s="3" t="str">
        <f>IFERROR(INDEX('بيانات الحركات'!D:D,MATCH(853,'بيانات الحركات'!$G:$G,0)),"")</f>
        <v/>
      </c>
      <c r="E854" s="21" t="str">
        <f>IF($B854="إنتاج طبخة","",IFERROR(INDEX('بيانات الحركات'!E:E,MATCH(853,'بيانات الحركات'!$G:$G,0)),""))</f>
        <v/>
      </c>
      <c r="F854" s="3" t="str">
        <f>IFERROR(INDEX('بيانات الحركات'!F:F,MATCH(853,'بيانات الحركات'!$G:$G,0)),"")</f>
        <v/>
      </c>
    </row>
    <row r="855" spans="1:6" ht="21.95" customHeight="1">
      <c r="A855" s="8" t="str">
        <f>IFERROR(INDEX('بيانات الحركات'!A:A,MATCH(854,'بيانات الحركات'!$G:$G,0)),"")</f>
        <v/>
      </c>
      <c r="B855" s="5" t="str">
        <f>IFERROR(INDEX('بيانات الحركات'!B:B,MATCH(854,'بيانات الحركات'!$G:$G,0)),"")</f>
        <v/>
      </c>
      <c r="C855" s="3" t="str">
        <f>IFERROR(INDEX('بيانات الحركات'!C:C,MATCH(854,'بيانات الحركات'!$G:$G,0)),"")</f>
        <v/>
      </c>
      <c r="D855" s="3" t="str">
        <f>IFERROR(INDEX('بيانات الحركات'!D:D,MATCH(854,'بيانات الحركات'!$G:$G,0)),"")</f>
        <v/>
      </c>
      <c r="E855" s="21" t="str">
        <f>IF($B855="إنتاج طبخة","",IFERROR(INDEX('بيانات الحركات'!E:E,MATCH(854,'بيانات الحركات'!$G:$G,0)),""))</f>
        <v/>
      </c>
      <c r="F855" s="3" t="str">
        <f>IFERROR(INDEX('بيانات الحركات'!F:F,MATCH(854,'بيانات الحركات'!$G:$G,0)),"")</f>
        <v/>
      </c>
    </row>
    <row r="856" spans="1:6" ht="21.95" customHeight="1">
      <c r="A856" s="8" t="str">
        <f>IFERROR(INDEX('بيانات الحركات'!A:A,MATCH(855,'بيانات الحركات'!$G:$G,0)),"")</f>
        <v/>
      </c>
      <c r="B856" s="5" t="str">
        <f>IFERROR(INDEX('بيانات الحركات'!B:B,MATCH(855,'بيانات الحركات'!$G:$G,0)),"")</f>
        <v/>
      </c>
      <c r="C856" s="3" t="str">
        <f>IFERROR(INDEX('بيانات الحركات'!C:C,MATCH(855,'بيانات الحركات'!$G:$G,0)),"")</f>
        <v/>
      </c>
      <c r="D856" s="3" t="str">
        <f>IFERROR(INDEX('بيانات الحركات'!D:D,MATCH(855,'بيانات الحركات'!$G:$G,0)),"")</f>
        <v/>
      </c>
      <c r="E856" s="21" t="str">
        <f>IF($B856="إنتاج طبخة","",IFERROR(INDEX('بيانات الحركات'!E:E,MATCH(855,'بيانات الحركات'!$G:$G,0)),""))</f>
        <v/>
      </c>
      <c r="F856" s="3" t="str">
        <f>IFERROR(INDEX('بيانات الحركات'!F:F,MATCH(855,'بيانات الحركات'!$G:$G,0)),"")</f>
        <v/>
      </c>
    </row>
    <row r="857" spans="1:6" ht="21.95" customHeight="1">
      <c r="A857" s="8" t="str">
        <f>IFERROR(INDEX('بيانات الحركات'!A:A,MATCH(856,'بيانات الحركات'!$G:$G,0)),"")</f>
        <v/>
      </c>
      <c r="B857" s="5" t="str">
        <f>IFERROR(INDEX('بيانات الحركات'!B:B,MATCH(856,'بيانات الحركات'!$G:$G,0)),"")</f>
        <v/>
      </c>
      <c r="C857" s="3" t="str">
        <f>IFERROR(INDEX('بيانات الحركات'!C:C,MATCH(856,'بيانات الحركات'!$G:$G,0)),"")</f>
        <v/>
      </c>
      <c r="D857" s="3" t="str">
        <f>IFERROR(INDEX('بيانات الحركات'!D:D,MATCH(856,'بيانات الحركات'!$G:$G,0)),"")</f>
        <v/>
      </c>
      <c r="E857" s="21" t="str">
        <f>IF($B857="إنتاج طبخة","",IFERROR(INDEX('بيانات الحركات'!E:E,MATCH(856,'بيانات الحركات'!$G:$G,0)),""))</f>
        <v/>
      </c>
      <c r="F857" s="3" t="str">
        <f>IFERROR(INDEX('بيانات الحركات'!F:F,MATCH(856,'بيانات الحركات'!$G:$G,0)),"")</f>
        <v/>
      </c>
    </row>
    <row r="858" spans="1:6" ht="21.95" customHeight="1">
      <c r="A858" s="8" t="str">
        <f>IFERROR(INDEX('بيانات الحركات'!A:A,MATCH(857,'بيانات الحركات'!$G:$G,0)),"")</f>
        <v/>
      </c>
      <c r="B858" s="5" t="str">
        <f>IFERROR(INDEX('بيانات الحركات'!B:B,MATCH(857,'بيانات الحركات'!$G:$G,0)),"")</f>
        <v/>
      </c>
      <c r="C858" s="3" t="str">
        <f>IFERROR(INDEX('بيانات الحركات'!C:C,MATCH(857,'بيانات الحركات'!$G:$G,0)),"")</f>
        <v/>
      </c>
      <c r="D858" s="3" t="str">
        <f>IFERROR(INDEX('بيانات الحركات'!D:D,MATCH(857,'بيانات الحركات'!$G:$G,0)),"")</f>
        <v/>
      </c>
      <c r="E858" s="21" t="str">
        <f>IF($B858="إنتاج طبخة","",IFERROR(INDEX('بيانات الحركات'!E:E,MATCH(857,'بيانات الحركات'!$G:$G,0)),""))</f>
        <v/>
      </c>
      <c r="F858" s="3" t="str">
        <f>IFERROR(INDEX('بيانات الحركات'!F:F,MATCH(857,'بيانات الحركات'!$G:$G,0)),"")</f>
        <v/>
      </c>
    </row>
    <row r="859" spans="1:6" ht="21.95" customHeight="1">
      <c r="A859" s="8" t="str">
        <f>IFERROR(INDEX('بيانات الحركات'!A:A,MATCH(858,'بيانات الحركات'!$G:$G,0)),"")</f>
        <v/>
      </c>
      <c r="B859" s="5" t="str">
        <f>IFERROR(INDEX('بيانات الحركات'!B:B,MATCH(858,'بيانات الحركات'!$G:$G,0)),"")</f>
        <v/>
      </c>
      <c r="C859" s="3" t="str">
        <f>IFERROR(INDEX('بيانات الحركات'!C:C,MATCH(858,'بيانات الحركات'!$G:$G,0)),"")</f>
        <v/>
      </c>
      <c r="D859" s="3" t="str">
        <f>IFERROR(INDEX('بيانات الحركات'!D:D,MATCH(858,'بيانات الحركات'!$G:$G,0)),"")</f>
        <v/>
      </c>
      <c r="E859" s="21" t="str">
        <f>IF($B859="إنتاج طبخة","",IFERROR(INDEX('بيانات الحركات'!E:E,MATCH(858,'بيانات الحركات'!$G:$G,0)),""))</f>
        <v/>
      </c>
      <c r="F859" s="3" t="str">
        <f>IFERROR(INDEX('بيانات الحركات'!F:F,MATCH(858,'بيانات الحركات'!$G:$G,0)),"")</f>
        <v/>
      </c>
    </row>
    <row r="860" spans="1:6" ht="21.95" customHeight="1">
      <c r="A860" s="8" t="str">
        <f>IFERROR(INDEX('بيانات الحركات'!A:A,MATCH(859,'بيانات الحركات'!$G:$G,0)),"")</f>
        <v/>
      </c>
      <c r="B860" s="5" t="str">
        <f>IFERROR(INDEX('بيانات الحركات'!B:B,MATCH(859,'بيانات الحركات'!$G:$G,0)),"")</f>
        <v/>
      </c>
      <c r="C860" s="3" t="str">
        <f>IFERROR(INDEX('بيانات الحركات'!C:C,MATCH(859,'بيانات الحركات'!$G:$G,0)),"")</f>
        <v/>
      </c>
      <c r="D860" s="3" t="str">
        <f>IFERROR(INDEX('بيانات الحركات'!D:D,MATCH(859,'بيانات الحركات'!$G:$G,0)),"")</f>
        <v/>
      </c>
      <c r="E860" s="21" t="str">
        <f>IF($B860="إنتاج طبخة","",IFERROR(INDEX('بيانات الحركات'!E:E,MATCH(859,'بيانات الحركات'!$G:$G,0)),""))</f>
        <v/>
      </c>
      <c r="F860" s="3" t="str">
        <f>IFERROR(INDEX('بيانات الحركات'!F:F,MATCH(859,'بيانات الحركات'!$G:$G,0)),"")</f>
        <v/>
      </c>
    </row>
    <row r="861" spans="1:6" ht="21.95" customHeight="1">
      <c r="A861" s="8" t="str">
        <f>IFERROR(INDEX('بيانات الحركات'!A:A,MATCH(860,'بيانات الحركات'!$G:$G,0)),"")</f>
        <v/>
      </c>
      <c r="B861" s="5" t="str">
        <f>IFERROR(INDEX('بيانات الحركات'!B:B,MATCH(860,'بيانات الحركات'!$G:$G,0)),"")</f>
        <v/>
      </c>
      <c r="C861" s="3" t="str">
        <f>IFERROR(INDEX('بيانات الحركات'!C:C,MATCH(860,'بيانات الحركات'!$G:$G,0)),"")</f>
        <v/>
      </c>
      <c r="D861" s="3" t="str">
        <f>IFERROR(INDEX('بيانات الحركات'!D:D,MATCH(860,'بيانات الحركات'!$G:$G,0)),"")</f>
        <v/>
      </c>
      <c r="E861" s="21" t="str">
        <f>IF($B861="إنتاج طبخة","",IFERROR(INDEX('بيانات الحركات'!E:E,MATCH(860,'بيانات الحركات'!$G:$G,0)),""))</f>
        <v/>
      </c>
      <c r="F861" s="3" t="str">
        <f>IFERROR(INDEX('بيانات الحركات'!F:F,MATCH(860,'بيانات الحركات'!$G:$G,0)),"")</f>
        <v/>
      </c>
    </row>
    <row r="862" spans="1:6" ht="21.95" customHeight="1">
      <c r="A862" s="8" t="str">
        <f>IFERROR(INDEX('بيانات الحركات'!A:A,MATCH(861,'بيانات الحركات'!$G:$G,0)),"")</f>
        <v/>
      </c>
      <c r="B862" s="5" t="str">
        <f>IFERROR(INDEX('بيانات الحركات'!B:B,MATCH(861,'بيانات الحركات'!$G:$G,0)),"")</f>
        <v/>
      </c>
      <c r="C862" s="3" t="str">
        <f>IFERROR(INDEX('بيانات الحركات'!C:C,MATCH(861,'بيانات الحركات'!$G:$G,0)),"")</f>
        <v/>
      </c>
      <c r="D862" s="3" t="str">
        <f>IFERROR(INDEX('بيانات الحركات'!D:D,MATCH(861,'بيانات الحركات'!$G:$G,0)),"")</f>
        <v/>
      </c>
      <c r="E862" s="21" t="str">
        <f>IF($B862="إنتاج طبخة","",IFERROR(INDEX('بيانات الحركات'!E:E,MATCH(861,'بيانات الحركات'!$G:$G,0)),""))</f>
        <v/>
      </c>
      <c r="F862" s="3" t="str">
        <f>IFERROR(INDEX('بيانات الحركات'!F:F,MATCH(861,'بيانات الحركات'!$G:$G,0)),"")</f>
        <v/>
      </c>
    </row>
    <row r="863" spans="1:6" ht="21.95" customHeight="1">
      <c r="A863" s="8" t="str">
        <f>IFERROR(INDEX('بيانات الحركات'!A:A,MATCH(862,'بيانات الحركات'!$G:$G,0)),"")</f>
        <v/>
      </c>
      <c r="B863" s="5" t="str">
        <f>IFERROR(INDEX('بيانات الحركات'!B:B,MATCH(862,'بيانات الحركات'!$G:$G,0)),"")</f>
        <v/>
      </c>
      <c r="C863" s="3" t="str">
        <f>IFERROR(INDEX('بيانات الحركات'!C:C,MATCH(862,'بيانات الحركات'!$G:$G,0)),"")</f>
        <v/>
      </c>
      <c r="D863" s="3" t="str">
        <f>IFERROR(INDEX('بيانات الحركات'!D:D,MATCH(862,'بيانات الحركات'!$G:$G,0)),"")</f>
        <v/>
      </c>
      <c r="E863" s="21" t="str">
        <f>IF($B863="إنتاج طبخة","",IFERROR(INDEX('بيانات الحركات'!E:E,MATCH(862,'بيانات الحركات'!$G:$G,0)),""))</f>
        <v/>
      </c>
      <c r="F863" s="3" t="str">
        <f>IFERROR(INDEX('بيانات الحركات'!F:F,MATCH(862,'بيانات الحركات'!$G:$G,0)),"")</f>
        <v/>
      </c>
    </row>
    <row r="864" spans="1:6" ht="21.95" customHeight="1">
      <c r="A864" s="8" t="str">
        <f>IFERROR(INDEX('بيانات الحركات'!A:A,MATCH(863,'بيانات الحركات'!$G:$G,0)),"")</f>
        <v/>
      </c>
      <c r="B864" s="5" t="str">
        <f>IFERROR(INDEX('بيانات الحركات'!B:B,MATCH(863,'بيانات الحركات'!$G:$G,0)),"")</f>
        <v/>
      </c>
      <c r="C864" s="3" t="str">
        <f>IFERROR(INDEX('بيانات الحركات'!C:C,MATCH(863,'بيانات الحركات'!$G:$G,0)),"")</f>
        <v/>
      </c>
      <c r="D864" s="3" t="str">
        <f>IFERROR(INDEX('بيانات الحركات'!D:D,MATCH(863,'بيانات الحركات'!$G:$G,0)),"")</f>
        <v/>
      </c>
      <c r="E864" s="21" t="str">
        <f>IF($B864="إنتاج طبخة","",IFERROR(INDEX('بيانات الحركات'!E:E,MATCH(863,'بيانات الحركات'!$G:$G,0)),""))</f>
        <v/>
      </c>
      <c r="F864" s="3" t="str">
        <f>IFERROR(INDEX('بيانات الحركات'!F:F,MATCH(863,'بيانات الحركات'!$G:$G,0)),"")</f>
        <v/>
      </c>
    </row>
    <row r="865" spans="1:6" ht="21.95" customHeight="1">
      <c r="A865" s="8" t="str">
        <f>IFERROR(INDEX('بيانات الحركات'!A:A,MATCH(864,'بيانات الحركات'!$G:$G,0)),"")</f>
        <v/>
      </c>
      <c r="B865" s="5" t="str">
        <f>IFERROR(INDEX('بيانات الحركات'!B:B,MATCH(864,'بيانات الحركات'!$G:$G,0)),"")</f>
        <v/>
      </c>
      <c r="C865" s="3" t="str">
        <f>IFERROR(INDEX('بيانات الحركات'!C:C,MATCH(864,'بيانات الحركات'!$G:$G,0)),"")</f>
        <v/>
      </c>
      <c r="D865" s="3" t="str">
        <f>IFERROR(INDEX('بيانات الحركات'!D:D,MATCH(864,'بيانات الحركات'!$G:$G,0)),"")</f>
        <v/>
      </c>
      <c r="E865" s="21" t="str">
        <f>IF($B865="إنتاج طبخة","",IFERROR(INDEX('بيانات الحركات'!E:E,MATCH(864,'بيانات الحركات'!$G:$G,0)),""))</f>
        <v/>
      </c>
      <c r="F865" s="3" t="str">
        <f>IFERROR(INDEX('بيانات الحركات'!F:F,MATCH(864,'بيانات الحركات'!$G:$G,0)),"")</f>
        <v/>
      </c>
    </row>
    <row r="866" spans="1:6" ht="21.95" customHeight="1">
      <c r="A866" s="8" t="str">
        <f>IFERROR(INDEX('بيانات الحركات'!A:A,MATCH(865,'بيانات الحركات'!$G:$G,0)),"")</f>
        <v/>
      </c>
      <c r="B866" s="5" t="str">
        <f>IFERROR(INDEX('بيانات الحركات'!B:B,MATCH(865,'بيانات الحركات'!$G:$G,0)),"")</f>
        <v/>
      </c>
      <c r="C866" s="3" t="str">
        <f>IFERROR(INDEX('بيانات الحركات'!C:C,MATCH(865,'بيانات الحركات'!$G:$G,0)),"")</f>
        <v/>
      </c>
      <c r="D866" s="3" t="str">
        <f>IFERROR(INDEX('بيانات الحركات'!D:D,MATCH(865,'بيانات الحركات'!$G:$G,0)),"")</f>
        <v/>
      </c>
      <c r="E866" s="21" t="str">
        <f>IF($B866="إنتاج طبخة","",IFERROR(INDEX('بيانات الحركات'!E:E,MATCH(865,'بيانات الحركات'!$G:$G,0)),""))</f>
        <v/>
      </c>
      <c r="F866" s="3" t="str">
        <f>IFERROR(INDEX('بيانات الحركات'!F:F,MATCH(865,'بيانات الحركات'!$G:$G,0)),"")</f>
        <v/>
      </c>
    </row>
    <row r="867" spans="1:6" ht="21.95" customHeight="1">
      <c r="A867" s="8" t="str">
        <f>IFERROR(INDEX('بيانات الحركات'!A:A,MATCH(866,'بيانات الحركات'!$G:$G,0)),"")</f>
        <v/>
      </c>
      <c r="B867" s="5" t="str">
        <f>IFERROR(INDEX('بيانات الحركات'!B:B,MATCH(866,'بيانات الحركات'!$G:$G,0)),"")</f>
        <v/>
      </c>
      <c r="C867" s="3" t="str">
        <f>IFERROR(INDEX('بيانات الحركات'!C:C,MATCH(866,'بيانات الحركات'!$G:$G,0)),"")</f>
        <v/>
      </c>
      <c r="D867" s="3" t="str">
        <f>IFERROR(INDEX('بيانات الحركات'!D:D,MATCH(866,'بيانات الحركات'!$G:$G,0)),"")</f>
        <v/>
      </c>
      <c r="E867" s="21" t="str">
        <f>IF($B867="إنتاج طبخة","",IFERROR(INDEX('بيانات الحركات'!E:E,MATCH(866,'بيانات الحركات'!$G:$G,0)),""))</f>
        <v/>
      </c>
      <c r="F867" s="3" t="str">
        <f>IFERROR(INDEX('بيانات الحركات'!F:F,MATCH(866,'بيانات الحركات'!$G:$G,0)),"")</f>
        <v/>
      </c>
    </row>
    <row r="868" spans="1:6" ht="21.95" customHeight="1">
      <c r="A868" s="8" t="str">
        <f>IFERROR(INDEX('بيانات الحركات'!A:A,MATCH(867,'بيانات الحركات'!$G:$G,0)),"")</f>
        <v/>
      </c>
      <c r="B868" s="5" t="str">
        <f>IFERROR(INDEX('بيانات الحركات'!B:B,MATCH(867,'بيانات الحركات'!$G:$G,0)),"")</f>
        <v/>
      </c>
      <c r="C868" s="3" t="str">
        <f>IFERROR(INDEX('بيانات الحركات'!C:C,MATCH(867,'بيانات الحركات'!$G:$G,0)),"")</f>
        <v/>
      </c>
      <c r="D868" s="3" t="str">
        <f>IFERROR(INDEX('بيانات الحركات'!D:D,MATCH(867,'بيانات الحركات'!$G:$G,0)),"")</f>
        <v/>
      </c>
      <c r="E868" s="21" t="str">
        <f>IF($B868="إنتاج طبخة","",IFERROR(INDEX('بيانات الحركات'!E:E,MATCH(867,'بيانات الحركات'!$G:$G,0)),""))</f>
        <v/>
      </c>
      <c r="F868" s="3" t="str">
        <f>IFERROR(INDEX('بيانات الحركات'!F:F,MATCH(867,'بيانات الحركات'!$G:$G,0)),"")</f>
        <v/>
      </c>
    </row>
    <row r="869" spans="1:6" ht="21.95" customHeight="1">
      <c r="A869" s="8" t="str">
        <f>IFERROR(INDEX('بيانات الحركات'!A:A,MATCH(868,'بيانات الحركات'!$G:$G,0)),"")</f>
        <v/>
      </c>
      <c r="B869" s="5" t="str">
        <f>IFERROR(INDEX('بيانات الحركات'!B:B,MATCH(868,'بيانات الحركات'!$G:$G,0)),"")</f>
        <v/>
      </c>
      <c r="C869" s="3" t="str">
        <f>IFERROR(INDEX('بيانات الحركات'!C:C,MATCH(868,'بيانات الحركات'!$G:$G,0)),"")</f>
        <v/>
      </c>
      <c r="D869" s="3" t="str">
        <f>IFERROR(INDEX('بيانات الحركات'!D:D,MATCH(868,'بيانات الحركات'!$G:$G,0)),"")</f>
        <v/>
      </c>
      <c r="E869" s="21" t="str">
        <f>IF($B869="إنتاج طبخة","",IFERROR(INDEX('بيانات الحركات'!E:E,MATCH(868,'بيانات الحركات'!$G:$G,0)),""))</f>
        <v/>
      </c>
      <c r="F869" s="3" t="str">
        <f>IFERROR(INDEX('بيانات الحركات'!F:F,MATCH(868,'بيانات الحركات'!$G:$G,0)),"")</f>
        <v/>
      </c>
    </row>
    <row r="870" spans="1:6" ht="21.95" customHeight="1">
      <c r="A870" s="8" t="str">
        <f>IFERROR(INDEX('بيانات الحركات'!A:A,MATCH(869,'بيانات الحركات'!$G:$G,0)),"")</f>
        <v/>
      </c>
      <c r="B870" s="5" t="str">
        <f>IFERROR(INDEX('بيانات الحركات'!B:B,MATCH(869,'بيانات الحركات'!$G:$G,0)),"")</f>
        <v/>
      </c>
      <c r="C870" s="3" t="str">
        <f>IFERROR(INDEX('بيانات الحركات'!C:C,MATCH(869,'بيانات الحركات'!$G:$G,0)),"")</f>
        <v/>
      </c>
      <c r="D870" s="3" t="str">
        <f>IFERROR(INDEX('بيانات الحركات'!D:D,MATCH(869,'بيانات الحركات'!$G:$G,0)),"")</f>
        <v/>
      </c>
      <c r="E870" s="21" t="str">
        <f>IF($B870="إنتاج طبخة","",IFERROR(INDEX('بيانات الحركات'!E:E,MATCH(869,'بيانات الحركات'!$G:$G,0)),""))</f>
        <v/>
      </c>
      <c r="F870" s="3" t="str">
        <f>IFERROR(INDEX('بيانات الحركات'!F:F,MATCH(869,'بيانات الحركات'!$G:$G,0)),"")</f>
        <v/>
      </c>
    </row>
    <row r="871" spans="1:6" ht="21.95" customHeight="1">
      <c r="A871" s="8" t="str">
        <f>IFERROR(INDEX('بيانات الحركات'!A:A,MATCH(870,'بيانات الحركات'!$G:$G,0)),"")</f>
        <v/>
      </c>
      <c r="B871" s="5" t="str">
        <f>IFERROR(INDEX('بيانات الحركات'!B:B,MATCH(870,'بيانات الحركات'!$G:$G,0)),"")</f>
        <v/>
      </c>
      <c r="C871" s="3" t="str">
        <f>IFERROR(INDEX('بيانات الحركات'!C:C,MATCH(870,'بيانات الحركات'!$G:$G,0)),"")</f>
        <v/>
      </c>
      <c r="D871" s="3" t="str">
        <f>IFERROR(INDEX('بيانات الحركات'!D:D,MATCH(870,'بيانات الحركات'!$G:$G,0)),"")</f>
        <v/>
      </c>
      <c r="E871" s="21" t="str">
        <f>IF($B871="إنتاج طبخة","",IFERROR(INDEX('بيانات الحركات'!E:E,MATCH(870,'بيانات الحركات'!$G:$G,0)),""))</f>
        <v/>
      </c>
      <c r="F871" s="3" t="str">
        <f>IFERROR(INDEX('بيانات الحركات'!F:F,MATCH(870,'بيانات الحركات'!$G:$G,0)),"")</f>
        <v/>
      </c>
    </row>
    <row r="872" spans="1:6" ht="21.95" customHeight="1">
      <c r="A872" s="8" t="str">
        <f>IFERROR(INDEX('بيانات الحركات'!A:A,MATCH(871,'بيانات الحركات'!$G:$G,0)),"")</f>
        <v/>
      </c>
      <c r="B872" s="5" t="str">
        <f>IFERROR(INDEX('بيانات الحركات'!B:B,MATCH(871,'بيانات الحركات'!$G:$G,0)),"")</f>
        <v/>
      </c>
      <c r="C872" s="3" t="str">
        <f>IFERROR(INDEX('بيانات الحركات'!C:C,MATCH(871,'بيانات الحركات'!$G:$G,0)),"")</f>
        <v/>
      </c>
      <c r="D872" s="3" t="str">
        <f>IFERROR(INDEX('بيانات الحركات'!D:D,MATCH(871,'بيانات الحركات'!$G:$G,0)),"")</f>
        <v/>
      </c>
      <c r="E872" s="21" t="str">
        <f>IF($B872="إنتاج طبخة","",IFERROR(INDEX('بيانات الحركات'!E:E,MATCH(871,'بيانات الحركات'!$G:$G,0)),""))</f>
        <v/>
      </c>
      <c r="F872" s="3" t="str">
        <f>IFERROR(INDEX('بيانات الحركات'!F:F,MATCH(871,'بيانات الحركات'!$G:$G,0)),"")</f>
        <v/>
      </c>
    </row>
    <row r="873" spans="1:6" ht="21.95" customHeight="1">
      <c r="A873" s="8" t="str">
        <f>IFERROR(INDEX('بيانات الحركات'!A:A,MATCH(872,'بيانات الحركات'!$G:$G,0)),"")</f>
        <v/>
      </c>
      <c r="B873" s="5" t="str">
        <f>IFERROR(INDEX('بيانات الحركات'!B:B,MATCH(872,'بيانات الحركات'!$G:$G,0)),"")</f>
        <v/>
      </c>
      <c r="C873" s="3" t="str">
        <f>IFERROR(INDEX('بيانات الحركات'!C:C,MATCH(872,'بيانات الحركات'!$G:$G,0)),"")</f>
        <v/>
      </c>
      <c r="D873" s="3" t="str">
        <f>IFERROR(INDEX('بيانات الحركات'!D:D,MATCH(872,'بيانات الحركات'!$G:$G,0)),"")</f>
        <v/>
      </c>
      <c r="E873" s="21" t="str">
        <f>IF($B873="إنتاج طبخة","",IFERROR(INDEX('بيانات الحركات'!E:E,MATCH(872,'بيانات الحركات'!$G:$G,0)),""))</f>
        <v/>
      </c>
      <c r="F873" s="3" t="str">
        <f>IFERROR(INDEX('بيانات الحركات'!F:F,MATCH(872,'بيانات الحركات'!$G:$G,0)),"")</f>
        <v/>
      </c>
    </row>
    <row r="874" spans="1:6" ht="21.95" customHeight="1">
      <c r="A874" s="8" t="str">
        <f>IFERROR(INDEX('بيانات الحركات'!A:A,MATCH(873,'بيانات الحركات'!$G:$G,0)),"")</f>
        <v/>
      </c>
      <c r="B874" s="5" t="str">
        <f>IFERROR(INDEX('بيانات الحركات'!B:B,MATCH(873,'بيانات الحركات'!$G:$G,0)),"")</f>
        <v/>
      </c>
      <c r="C874" s="3" t="str">
        <f>IFERROR(INDEX('بيانات الحركات'!C:C,MATCH(873,'بيانات الحركات'!$G:$G,0)),"")</f>
        <v/>
      </c>
      <c r="D874" s="3" t="str">
        <f>IFERROR(INDEX('بيانات الحركات'!D:D,MATCH(873,'بيانات الحركات'!$G:$G,0)),"")</f>
        <v/>
      </c>
      <c r="E874" s="21" t="str">
        <f>IF($B874="إنتاج طبخة","",IFERROR(INDEX('بيانات الحركات'!E:E,MATCH(873,'بيانات الحركات'!$G:$G,0)),""))</f>
        <v/>
      </c>
      <c r="F874" s="3" t="str">
        <f>IFERROR(INDEX('بيانات الحركات'!F:F,MATCH(873,'بيانات الحركات'!$G:$G,0)),"")</f>
        <v/>
      </c>
    </row>
    <row r="875" spans="1:6" ht="21.95" customHeight="1">
      <c r="A875" s="8" t="str">
        <f>IFERROR(INDEX('بيانات الحركات'!A:A,MATCH(874,'بيانات الحركات'!$G:$G,0)),"")</f>
        <v/>
      </c>
      <c r="B875" s="5" t="str">
        <f>IFERROR(INDEX('بيانات الحركات'!B:B,MATCH(874,'بيانات الحركات'!$G:$G,0)),"")</f>
        <v/>
      </c>
      <c r="C875" s="3" t="str">
        <f>IFERROR(INDEX('بيانات الحركات'!C:C,MATCH(874,'بيانات الحركات'!$G:$G,0)),"")</f>
        <v/>
      </c>
      <c r="D875" s="3" t="str">
        <f>IFERROR(INDEX('بيانات الحركات'!D:D,MATCH(874,'بيانات الحركات'!$G:$G,0)),"")</f>
        <v/>
      </c>
      <c r="E875" s="21" t="str">
        <f>IF($B875="إنتاج طبخة","",IFERROR(INDEX('بيانات الحركات'!E:E,MATCH(874,'بيانات الحركات'!$G:$G,0)),""))</f>
        <v/>
      </c>
      <c r="F875" s="3" t="str">
        <f>IFERROR(INDEX('بيانات الحركات'!F:F,MATCH(874,'بيانات الحركات'!$G:$G,0)),"")</f>
        <v/>
      </c>
    </row>
    <row r="876" spans="1:6" ht="21.95" customHeight="1">
      <c r="A876" s="8" t="str">
        <f>IFERROR(INDEX('بيانات الحركات'!A:A,MATCH(875,'بيانات الحركات'!$G:$G,0)),"")</f>
        <v/>
      </c>
      <c r="B876" s="5" t="str">
        <f>IFERROR(INDEX('بيانات الحركات'!B:B,MATCH(875,'بيانات الحركات'!$G:$G,0)),"")</f>
        <v/>
      </c>
      <c r="C876" s="3" t="str">
        <f>IFERROR(INDEX('بيانات الحركات'!C:C,MATCH(875,'بيانات الحركات'!$G:$G,0)),"")</f>
        <v/>
      </c>
      <c r="D876" s="3" t="str">
        <f>IFERROR(INDEX('بيانات الحركات'!D:D,MATCH(875,'بيانات الحركات'!$G:$G,0)),"")</f>
        <v/>
      </c>
      <c r="E876" s="21" t="str">
        <f>IF($B876="إنتاج طبخة","",IFERROR(INDEX('بيانات الحركات'!E:E,MATCH(875,'بيانات الحركات'!$G:$G,0)),""))</f>
        <v/>
      </c>
      <c r="F876" s="3" t="str">
        <f>IFERROR(INDEX('بيانات الحركات'!F:F,MATCH(875,'بيانات الحركات'!$G:$G,0)),"")</f>
        <v/>
      </c>
    </row>
    <row r="877" spans="1:6" ht="21.95" customHeight="1">
      <c r="A877" s="8" t="str">
        <f>IFERROR(INDEX('بيانات الحركات'!A:A,MATCH(876,'بيانات الحركات'!$G:$G,0)),"")</f>
        <v/>
      </c>
      <c r="B877" s="5" t="str">
        <f>IFERROR(INDEX('بيانات الحركات'!B:B,MATCH(876,'بيانات الحركات'!$G:$G,0)),"")</f>
        <v/>
      </c>
      <c r="C877" s="3" t="str">
        <f>IFERROR(INDEX('بيانات الحركات'!C:C,MATCH(876,'بيانات الحركات'!$G:$G,0)),"")</f>
        <v/>
      </c>
      <c r="D877" s="3" t="str">
        <f>IFERROR(INDEX('بيانات الحركات'!D:D,MATCH(876,'بيانات الحركات'!$G:$G,0)),"")</f>
        <v/>
      </c>
      <c r="E877" s="21" t="str">
        <f>IF($B877="إنتاج طبخة","",IFERROR(INDEX('بيانات الحركات'!E:E,MATCH(876,'بيانات الحركات'!$G:$G,0)),""))</f>
        <v/>
      </c>
      <c r="F877" s="3" t="str">
        <f>IFERROR(INDEX('بيانات الحركات'!F:F,MATCH(876,'بيانات الحركات'!$G:$G,0)),"")</f>
        <v/>
      </c>
    </row>
    <row r="878" spans="1:6" ht="21.95" customHeight="1">
      <c r="A878" s="8" t="str">
        <f>IFERROR(INDEX('بيانات الحركات'!A:A,MATCH(877,'بيانات الحركات'!$G:$G,0)),"")</f>
        <v/>
      </c>
      <c r="B878" s="5" t="str">
        <f>IFERROR(INDEX('بيانات الحركات'!B:B,MATCH(877,'بيانات الحركات'!$G:$G,0)),"")</f>
        <v/>
      </c>
      <c r="C878" s="3" t="str">
        <f>IFERROR(INDEX('بيانات الحركات'!C:C,MATCH(877,'بيانات الحركات'!$G:$G,0)),"")</f>
        <v/>
      </c>
      <c r="D878" s="3" t="str">
        <f>IFERROR(INDEX('بيانات الحركات'!D:D,MATCH(877,'بيانات الحركات'!$G:$G,0)),"")</f>
        <v/>
      </c>
      <c r="E878" s="21" t="str">
        <f>IF($B878="إنتاج طبخة","",IFERROR(INDEX('بيانات الحركات'!E:E,MATCH(877,'بيانات الحركات'!$G:$G,0)),""))</f>
        <v/>
      </c>
      <c r="F878" s="3" t="str">
        <f>IFERROR(INDEX('بيانات الحركات'!F:F,MATCH(877,'بيانات الحركات'!$G:$G,0)),"")</f>
        <v/>
      </c>
    </row>
    <row r="879" spans="1:6" ht="21.95" customHeight="1">
      <c r="A879" s="8" t="str">
        <f>IFERROR(INDEX('بيانات الحركات'!A:A,MATCH(878,'بيانات الحركات'!$G:$G,0)),"")</f>
        <v/>
      </c>
      <c r="B879" s="5" t="str">
        <f>IFERROR(INDEX('بيانات الحركات'!B:B,MATCH(878,'بيانات الحركات'!$G:$G,0)),"")</f>
        <v/>
      </c>
      <c r="C879" s="3" t="str">
        <f>IFERROR(INDEX('بيانات الحركات'!C:C,MATCH(878,'بيانات الحركات'!$G:$G,0)),"")</f>
        <v/>
      </c>
      <c r="D879" s="3" t="str">
        <f>IFERROR(INDEX('بيانات الحركات'!D:D,MATCH(878,'بيانات الحركات'!$G:$G,0)),"")</f>
        <v/>
      </c>
      <c r="E879" s="21" t="str">
        <f>IF($B879="إنتاج طبخة","",IFERROR(INDEX('بيانات الحركات'!E:E,MATCH(878,'بيانات الحركات'!$G:$G,0)),""))</f>
        <v/>
      </c>
      <c r="F879" s="3" t="str">
        <f>IFERROR(INDEX('بيانات الحركات'!F:F,MATCH(878,'بيانات الحركات'!$G:$G,0)),"")</f>
        <v/>
      </c>
    </row>
    <row r="880" spans="1:6" ht="21.95" customHeight="1">
      <c r="A880" s="8" t="str">
        <f>IFERROR(INDEX('بيانات الحركات'!A:A,MATCH(879,'بيانات الحركات'!$G:$G,0)),"")</f>
        <v/>
      </c>
      <c r="B880" s="5" t="str">
        <f>IFERROR(INDEX('بيانات الحركات'!B:B,MATCH(879,'بيانات الحركات'!$G:$G,0)),"")</f>
        <v/>
      </c>
      <c r="C880" s="3" t="str">
        <f>IFERROR(INDEX('بيانات الحركات'!C:C,MATCH(879,'بيانات الحركات'!$G:$G,0)),"")</f>
        <v/>
      </c>
      <c r="D880" s="3" t="str">
        <f>IFERROR(INDEX('بيانات الحركات'!D:D,MATCH(879,'بيانات الحركات'!$G:$G,0)),"")</f>
        <v/>
      </c>
      <c r="E880" s="21" t="str">
        <f>IF($B880="إنتاج طبخة","",IFERROR(INDEX('بيانات الحركات'!E:E,MATCH(879,'بيانات الحركات'!$G:$G,0)),""))</f>
        <v/>
      </c>
      <c r="F880" s="3" t="str">
        <f>IFERROR(INDEX('بيانات الحركات'!F:F,MATCH(879,'بيانات الحركات'!$G:$G,0)),"")</f>
        <v/>
      </c>
    </row>
    <row r="881" spans="1:6" ht="21.95" customHeight="1">
      <c r="A881" s="8" t="str">
        <f>IFERROR(INDEX('بيانات الحركات'!A:A,MATCH(880,'بيانات الحركات'!$G:$G,0)),"")</f>
        <v/>
      </c>
      <c r="B881" s="5" t="str">
        <f>IFERROR(INDEX('بيانات الحركات'!B:B,MATCH(880,'بيانات الحركات'!$G:$G,0)),"")</f>
        <v/>
      </c>
      <c r="C881" s="3" t="str">
        <f>IFERROR(INDEX('بيانات الحركات'!C:C,MATCH(880,'بيانات الحركات'!$G:$G,0)),"")</f>
        <v/>
      </c>
      <c r="D881" s="3" t="str">
        <f>IFERROR(INDEX('بيانات الحركات'!D:D,MATCH(880,'بيانات الحركات'!$G:$G,0)),"")</f>
        <v/>
      </c>
      <c r="E881" s="21" t="str">
        <f>IF($B881="إنتاج طبخة","",IFERROR(INDEX('بيانات الحركات'!E:E,MATCH(880,'بيانات الحركات'!$G:$G,0)),""))</f>
        <v/>
      </c>
      <c r="F881" s="3" t="str">
        <f>IFERROR(INDEX('بيانات الحركات'!F:F,MATCH(880,'بيانات الحركات'!$G:$G,0)),"")</f>
        <v/>
      </c>
    </row>
    <row r="882" spans="1:6" ht="21.95" customHeight="1">
      <c r="A882" s="8" t="str">
        <f>IFERROR(INDEX('بيانات الحركات'!A:A,MATCH(881,'بيانات الحركات'!$G:$G,0)),"")</f>
        <v/>
      </c>
      <c r="B882" s="5" t="str">
        <f>IFERROR(INDEX('بيانات الحركات'!B:B,MATCH(881,'بيانات الحركات'!$G:$G,0)),"")</f>
        <v/>
      </c>
      <c r="C882" s="3" t="str">
        <f>IFERROR(INDEX('بيانات الحركات'!C:C,MATCH(881,'بيانات الحركات'!$G:$G,0)),"")</f>
        <v/>
      </c>
      <c r="D882" s="3" t="str">
        <f>IFERROR(INDEX('بيانات الحركات'!D:D,MATCH(881,'بيانات الحركات'!$G:$G,0)),"")</f>
        <v/>
      </c>
      <c r="E882" s="21" t="str">
        <f>IF($B882="إنتاج طبخة","",IFERROR(INDEX('بيانات الحركات'!E:E,MATCH(881,'بيانات الحركات'!$G:$G,0)),""))</f>
        <v/>
      </c>
      <c r="F882" s="3" t="str">
        <f>IFERROR(INDEX('بيانات الحركات'!F:F,MATCH(881,'بيانات الحركات'!$G:$G,0)),"")</f>
        <v/>
      </c>
    </row>
    <row r="883" spans="1:6" ht="21.95" customHeight="1">
      <c r="A883" s="8" t="str">
        <f>IFERROR(INDEX('بيانات الحركات'!A:A,MATCH(882,'بيانات الحركات'!$G:$G,0)),"")</f>
        <v/>
      </c>
      <c r="B883" s="5" t="str">
        <f>IFERROR(INDEX('بيانات الحركات'!B:B,MATCH(882,'بيانات الحركات'!$G:$G,0)),"")</f>
        <v/>
      </c>
      <c r="C883" s="3" t="str">
        <f>IFERROR(INDEX('بيانات الحركات'!C:C,MATCH(882,'بيانات الحركات'!$G:$G,0)),"")</f>
        <v/>
      </c>
      <c r="D883" s="3" t="str">
        <f>IFERROR(INDEX('بيانات الحركات'!D:D,MATCH(882,'بيانات الحركات'!$G:$G,0)),"")</f>
        <v/>
      </c>
      <c r="E883" s="21" t="str">
        <f>IF($B883="إنتاج طبخة","",IFERROR(INDEX('بيانات الحركات'!E:E,MATCH(882,'بيانات الحركات'!$G:$G,0)),""))</f>
        <v/>
      </c>
      <c r="F883" s="3" t="str">
        <f>IFERROR(INDEX('بيانات الحركات'!F:F,MATCH(882,'بيانات الحركات'!$G:$G,0)),"")</f>
        <v/>
      </c>
    </row>
    <row r="884" spans="1:6" ht="21.95" customHeight="1">
      <c r="A884" s="8" t="str">
        <f>IFERROR(INDEX('بيانات الحركات'!A:A,MATCH(883,'بيانات الحركات'!$G:$G,0)),"")</f>
        <v/>
      </c>
      <c r="B884" s="5" t="str">
        <f>IFERROR(INDEX('بيانات الحركات'!B:B,MATCH(883,'بيانات الحركات'!$G:$G,0)),"")</f>
        <v/>
      </c>
      <c r="C884" s="3" t="str">
        <f>IFERROR(INDEX('بيانات الحركات'!C:C,MATCH(883,'بيانات الحركات'!$G:$G,0)),"")</f>
        <v/>
      </c>
      <c r="D884" s="3" t="str">
        <f>IFERROR(INDEX('بيانات الحركات'!D:D,MATCH(883,'بيانات الحركات'!$G:$G,0)),"")</f>
        <v/>
      </c>
      <c r="E884" s="21" t="str">
        <f>IF($B884="إنتاج طبخة","",IFERROR(INDEX('بيانات الحركات'!E:E,MATCH(883,'بيانات الحركات'!$G:$G,0)),""))</f>
        <v/>
      </c>
      <c r="F884" s="3" t="str">
        <f>IFERROR(INDEX('بيانات الحركات'!F:F,MATCH(883,'بيانات الحركات'!$G:$G,0)),"")</f>
        <v/>
      </c>
    </row>
    <row r="885" spans="1:6" ht="21.95" customHeight="1">
      <c r="A885" s="8" t="str">
        <f>IFERROR(INDEX('بيانات الحركات'!A:A,MATCH(884,'بيانات الحركات'!$G:$G,0)),"")</f>
        <v/>
      </c>
      <c r="B885" s="5" t="str">
        <f>IFERROR(INDEX('بيانات الحركات'!B:B,MATCH(884,'بيانات الحركات'!$G:$G,0)),"")</f>
        <v/>
      </c>
      <c r="C885" s="3" t="str">
        <f>IFERROR(INDEX('بيانات الحركات'!C:C,MATCH(884,'بيانات الحركات'!$G:$G,0)),"")</f>
        <v/>
      </c>
      <c r="D885" s="3" t="str">
        <f>IFERROR(INDEX('بيانات الحركات'!D:D,MATCH(884,'بيانات الحركات'!$G:$G,0)),"")</f>
        <v/>
      </c>
      <c r="E885" s="21" t="str">
        <f>IF($B885="إنتاج طبخة","",IFERROR(INDEX('بيانات الحركات'!E:E,MATCH(884,'بيانات الحركات'!$G:$G,0)),""))</f>
        <v/>
      </c>
      <c r="F885" s="3" t="str">
        <f>IFERROR(INDEX('بيانات الحركات'!F:F,MATCH(884,'بيانات الحركات'!$G:$G,0)),"")</f>
        <v/>
      </c>
    </row>
    <row r="886" spans="1:6" ht="21.95" customHeight="1">
      <c r="A886" s="8" t="str">
        <f>IFERROR(INDEX('بيانات الحركات'!A:A,MATCH(885,'بيانات الحركات'!$G:$G,0)),"")</f>
        <v/>
      </c>
      <c r="B886" s="5" t="str">
        <f>IFERROR(INDEX('بيانات الحركات'!B:B,MATCH(885,'بيانات الحركات'!$G:$G,0)),"")</f>
        <v/>
      </c>
      <c r="C886" s="3" t="str">
        <f>IFERROR(INDEX('بيانات الحركات'!C:C,MATCH(885,'بيانات الحركات'!$G:$G,0)),"")</f>
        <v/>
      </c>
      <c r="D886" s="3" t="str">
        <f>IFERROR(INDEX('بيانات الحركات'!D:D,MATCH(885,'بيانات الحركات'!$G:$G,0)),"")</f>
        <v/>
      </c>
      <c r="E886" s="21" t="str">
        <f>IF($B886="إنتاج طبخة","",IFERROR(INDEX('بيانات الحركات'!E:E,MATCH(885,'بيانات الحركات'!$G:$G,0)),""))</f>
        <v/>
      </c>
      <c r="F886" s="3" t="str">
        <f>IFERROR(INDEX('بيانات الحركات'!F:F,MATCH(885,'بيانات الحركات'!$G:$G,0)),"")</f>
        <v/>
      </c>
    </row>
    <row r="887" spans="1:6" ht="21.95" customHeight="1">
      <c r="A887" s="8" t="str">
        <f>IFERROR(INDEX('بيانات الحركات'!A:A,MATCH(886,'بيانات الحركات'!$G:$G,0)),"")</f>
        <v/>
      </c>
      <c r="B887" s="5" t="str">
        <f>IFERROR(INDEX('بيانات الحركات'!B:B,MATCH(886,'بيانات الحركات'!$G:$G,0)),"")</f>
        <v/>
      </c>
      <c r="C887" s="3" t="str">
        <f>IFERROR(INDEX('بيانات الحركات'!C:C,MATCH(886,'بيانات الحركات'!$G:$G,0)),"")</f>
        <v/>
      </c>
      <c r="D887" s="3" t="str">
        <f>IFERROR(INDEX('بيانات الحركات'!D:D,MATCH(886,'بيانات الحركات'!$G:$G,0)),"")</f>
        <v/>
      </c>
      <c r="E887" s="21" t="str">
        <f>IF($B887="إنتاج طبخة","",IFERROR(INDEX('بيانات الحركات'!E:E,MATCH(886,'بيانات الحركات'!$G:$G,0)),""))</f>
        <v/>
      </c>
      <c r="F887" s="3" t="str">
        <f>IFERROR(INDEX('بيانات الحركات'!F:F,MATCH(886,'بيانات الحركات'!$G:$G,0)),"")</f>
        <v/>
      </c>
    </row>
    <row r="888" spans="1:6" ht="21.95" customHeight="1">
      <c r="A888" s="8" t="str">
        <f>IFERROR(INDEX('بيانات الحركات'!A:A,MATCH(887,'بيانات الحركات'!$G:$G,0)),"")</f>
        <v/>
      </c>
      <c r="B888" s="5" t="str">
        <f>IFERROR(INDEX('بيانات الحركات'!B:B,MATCH(887,'بيانات الحركات'!$G:$G,0)),"")</f>
        <v/>
      </c>
      <c r="C888" s="3" t="str">
        <f>IFERROR(INDEX('بيانات الحركات'!C:C,MATCH(887,'بيانات الحركات'!$G:$G,0)),"")</f>
        <v/>
      </c>
      <c r="D888" s="3" t="str">
        <f>IFERROR(INDEX('بيانات الحركات'!D:D,MATCH(887,'بيانات الحركات'!$G:$G,0)),"")</f>
        <v/>
      </c>
      <c r="E888" s="21" t="str">
        <f>IF($B888="إنتاج طبخة","",IFERROR(INDEX('بيانات الحركات'!E:E,MATCH(887,'بيانات الحركات'!$G:$G,0)),""))</f>
        <v/>
      </c>
      <c r="F888" s="3" t="str">
        <f>IFERROR(INDEX('بيانات الحركات'!F:F,MATCH(887,'بيانات الحركات'!$G:$G,0)),"")</f>
        <v/>
      </c>
    </row>
    <row r="889" spans="1:6" ht="21.95" customHeight="1">
      <c r="A889" s="8" t="str">
        <f>IFERROR(INDEX('بيانات الحركات'!A:A,MATCH(888,'بيانات الحركات'!$G:$G,0)),"")</f>
        <v/>
      </c>
      <c r="B889" s="5" t="str">
        <f>IFERROR(INDEX('بيانات الحركات'!B:B,MATCH(888,'بيانات الحركات'!$G:$G,0)),"")</f>
        <v/>
      </c>
      <c r="C889" s="3" t="str">
        <f>IFERROR(INDEX('بيانات الحركات'!C:C,MATCH(888,'بيانات الحركات'!$G:$G,0)),"")</f>
        <v/>
      </c>
      <c r="D889" s="3" t="str">
        <f>IFERROR(INDEX('بيانات الحركات'!D:D,MATCH(888,'بيانات الحركات'!$G:$G,0)),"")</f>
        <v/>
      </c>
      <c r="E889" s="21" t="str">
        <f>IF($B889="إنتاج طبخة","",IFERROR(INDEX('بيانات الحركات'!E:E,MATCH(888,'بيانات الحركات'!$G:$G,0)),""))</f>
        <v/>
      </c>
      <c r="F889" s="3" t="str">
        <f>IFERROR(INDEX('بيانات الحركات'!F:F,MATCH(888,'بيانات الحركات'!$G:$G,0)),"")</f>
        <v/>
      </c>
    </row>
    <row r="890" spans="1:6" ht="21.95" customHeight="1">
      <c r="A890" s="8" t="str">
        <f>IFERROR(INDEX('بيانات الحركات'!A:A,MATCH(889,'بيانات الحركات'!$G:$G,0)),"")</f>
        <v/>
      </c>
      <c r="B890" s="5" t="str">
        <f>IFERROR(INDEX('بيانات الحركات'!B:B,MATCH(889,'بيانات الحركات'!$G:$G,0)),"")</f>
        <v/>
      </c>
      <c r="C890" s="3" t="str">
        <f>IFERROR(INDEX('بيانات الحركات'!C:C,MATCH(889,'بيانات الحركات'!$G:$G,0)),"")</f>
        <v/>
      </c>
      <c r="D890" s="3" t="str">
        <f>IFERROR(INDEX('بيانات الحركات'!D:D,MATCH(889,'بيانات الحركات'!$G:$G,0)),"")</f>
        <v/>
      </c>
      <c r="E890" s="21" t="str">
        <f>IF($B890="إنتاج طبخة","",IFERROR(INDEX('بيانات الحركات'!E:E,MATCH(889,'بيانات الحركات'!$G:$G,0)),""))</f>
        <v/>
      </c>
      <c r="F890" s="3" t="str">
        <f>IFERROR(INDEX('بيانات الحركات'!F:F,MATCH(889,'بيانات الحركات'!$G:$G,0)),"")</f>
        <v/>
      </c>
    </row>
    <row r="891" spans="1:6" ht="21.95" customHeight="1">
      <c r="A891" s="8" t="str">
        <f>IFERROR(INDEX('بيانات الحركات'!A:A,MATCH(890,'بيانات الحركات'!$G:$G,0)),"")</f>
        <v/>
      </c>
      <c r="B891" s="5" t="str">
        <f>IFERROR(INDEX('بيانات الحركات'!B:B,MATCH(890,'بيانات الحركات'!$G:$G,0)),"")</f>
        <v/>
      </c>
      <c r="C891" s="3" t="str">
        <f>IFERROR(INDEX('بيانات الحركات'!C:C,MATCH(890,'بيانات الحركات'!$G:$G,0)),"")</f>
        <v/>
      </c>
      <c r="D891" s="3" t="str">
        <f>IFERROR(INDEX('بيانات الحركات'!D:D,MATCH(890,'بيانات الحركات'!$G:$G,0)),"")</f>
        <v/>
      </c>
      <c r="E891" s="21" t="str">
        <f>IF($B891="إنتاج طبخة","",IFERROR(INDEX('بيانات الحركات'!E:E,MATCH(890,'بيانات الحركات'!$G:$G,0)),""))</f>
        <v/>
      </c>
      <c r="F891" s="3" t="str">
        <f>IFERROR(INDEX('بيانات الحركات'!F:F,MATCH(890,'بيانات الحركات'!$G:$G,0)),"")</f>
        <v/>
      </c>
    </row>
    <row r="892" spans="1:6" ht="21.95" customHeight="1">
      <c r="A892" s="8" t="str">
        <f>IFERROR(INDEX('بيانات الحركات'!A:A,MATCH(891,'بيانات الحركات'!$G:$G,0)),"")</f>
        <v/>
      </c>
      <c r="B892" s="5" t="str">
        <f>IFERROR(INDEX('بيانات الحركات'!B:B,MATCH(891,'بيانات الحركات'!$G:$G,0)),"")</f>
        <v/>
      </c>
      <c r="C892" s="3" t="str">
        <f>IFERROR(INDEX('بيانات الحركات'!C:C,MATCH(891,'بيانات الحركات'!$G:$G,0)),"")</f>
        <v/>
      </c>
      <c r="D892" s="3" t="str">
        <f>IFERROR(INDEX('بيانات الحركات'!D:D,MATCH(891,'بيانات الحركات'!$G:$G,0)),"")</f>
        <v/>
      </c>
      <c r="E892" s="21" t="str">
        <f>IF($B892="إنتاج طبخة","",IFERROR(INDEX('بيانات الحركات'!E:E,MATCH(891,'بيانات الحركات'!$G:$G,0)),""))</f>
        <v/>
      </c>
      <c r="F892" s="3" t="str">
        <f>IFERROR(INDEX('بيانات الحركات'!F:F,MATCH(891,'بيانات الحركات'!$G:$G,0)),"")</f>
        <v/>
      </c>
    </row>
    <row r="893" spans="1:6" ht="21.95" customHeight="1">
      <c r="A893" s="8" t="str">
        <f>IFERROR(INDEX('بيانات الحركات'!A:A,MATCH(892,'بيانات الحركات'!$G:$G,0)),"")</f>
        <v/>
      </c>
      <c r="B893" s="5" t="str">
        <f>IFERROR(INDEX('بيانات الحركات'!B:B,MATCH(892,'بيانات الحركات'!$G:$G,0)),"")</f>
        <v/>
      </c>
      <c r="C893" s="3" t="str">
        <f>IFERROR(INDEX('بيانات الحركات'!C:C,MATCH(892,'بيانات الحركات'!$G:$G,0)),"")</f>
        <v/>
      </c>
      <c r="D893" s="3" t="str">
        <f>IFERROR(INDEX('بيانات الحركات'!D:D,MATCH(892,'بيانات الحركات'!$G:$G,0)),"")</f>
        <v/>
      </c>
      <c r="E893" s="21" t="str">
        <f>IF($B893="إنتاج طبخة","",IFERROR(INDEX('بيانات الحركات'!E:E,MATCH(892,'بيانات الحركات'!$G:$G,0)),""))</f>
        <v/>
      </c>
      <c r="F893" s="3" t="str">
        <f>IFERROR(INDEX('بيانات الحركات'!F:F,MATCH(892,'بيانات الحركات'!$G:$G,0)),"")</f>
        <v/>
      </c>
    </row>
    <row r="894" spans="1:6" ht="21.95" customHeight="1">
      <c r="A894" s="8" t="str">
        <f>IFERROR(INDEX('بيانات الحركات'!A:A,MATCH(893,'بيانات الحركات'!$G:$G,0)),"")</f>
        <v/>
      </c>
      <c r="B894" s="5" t="str">
        <f>IFERROR(INDEX('بيانات الحركات'!B:B,MATCH(893,'بيانات الحركات'!$G:$G,0)),"")</f>
        <v/>
      </c>
      <c r="C894" s="3" t="str">
        <f>IFERROR(INDEX('بيانات الحركات'!C:C,MATCH(893,'بيانات الحركات'!$G:$G,0)),"")</f>
        <v/>
      </c>
      <c r="D894" s="3" t="str">
        <f>IFERROR(INDEX('بيانات الحركات'!D:D,MATCH(893,'بيانات الحركات'!$G:$G,0)),"")</f>
        <v/>
      </c>
      <c r="E894" s="21" t="str">
        <f>IF($B894="إنتاج طبخة","",IFERROR(INDEX('بيانات الحركات'!E:E,MATCH(893,'بيانات الحركات'!$G:$G,0)),""))</f>
        <v/>
      </c>
      <c r="F894" s="3" t="str">
        <f>IFERROR(INDEX('بيانات الحركات'!F:F,MATCH(893,'بيانات الحركات'!$G:$G,0)),"")</f>
        <v/>
      </c>
    </row>
    <row r="895" spans="1:6" ht="21.95" customHeight="1">
      <c r="A895" s="8" t="str">
        <f>IFERROR(INDEX('بيانات الحركات'!A:A,MATCH(894,'بيانات الحركات'!$G:$G,0)),"")</f>
        <v/>
      </c>
      <c r="B895" s="5" t="str">
        <f>IFERROR(INDEX('بيانات الحركات'!B:B,MATCH(894,'بيانات الحركات'!$G:$G,0)),"")</f>
        <v/>
      </c>
      <c r="C895" s="3" t="str">
        <f>IFERROR(INDEX('بيانات الحركات'!C:C,MATCH(894,'بيانات الحركات'!$G:$G,0)),"")</f>
        <v/>
      </c>
      <c r="D895" s="3" t="str">
        <f>IFERROR(INDEX('بيانات الحركات'!D:D,MATCH(894,'بيانات الحركات'!$G:$G,0)),"")</f>
        <v/>
      </c>
      <c r="E895" s="21" t="str">
        <f>IF($B895="إنتاج طبخة","",IFERROR(INDEX('بيانات الحركات'!E:E,MATCH(894,'بيانات الحركات'!$G:$G,0)),""))</f>
        <v/>
      </c>
      <c r="F895" s="3" t="str">
        <f>IFERROR(INDEX('بيانات الحركات'!F:F,MATCH(894,'بيانات الحركات'!$G:$G,0)),"")</f>
        <v/>
      </c>
    </row>
    <row r="896" spans="1:6" ht="21.95" customHeight="1">
      <c r="A896" s="8" t="str">
        <f>IFERROR(INDEX('بيانات الحركات'!A:A,MATCH(895,'بيانات الحركات'!$G:$G,0)),"")</f>
        <v/>
      </c>
      <c r="B896" s="5" t="str">
        <f>IFERROR(INDEX('بيانات الحركات'!B:B,MATCH(895,'بيانات الحركات'!$G:$G,0)),"")</f>
        <v/>
      </c>
      <c r="C896" s="3" t="str">
        <f>IFERROR(INDEX('بيانات الحركات'!C:C,MATCH(895,'بيانات الحركات'!$G:$G,0)),"")</f>
        <v/>
      </c>
      <c r="D896" s="3" t="str">
        <f>IFERROR(INDEX('بيانات الحركات'!D:D,MATCH(895,'بيانات الحركات'!$G:$G,0)),"")</f>
        <v/>
      </c>
      <c r="E896" s="21" t="str">
        <f>IF($B896="إنتاج طبخة","",IFERROR(INDEX('بيانات الحركات'!E:E,MATCH(895,'بيانات الحركات'!$G:$G,0)),""))</f>
        <v/>
      </c>
      <c r="F896" s="3" t="str">
        <f>IFERROR(INDEX('بيانات الحركات'!F:F,MATCH(895,'بيانات الحركات'!$G:$G,0)),"")</f>
        <v/>
      </c>
    </row>
    <row r="897" spans="1:6" ht="21.95" customHeight="1">
      <c r="A897" s="8" t="str">
        <f>IFERROR(INDEX('بيانات الحركات'!A:A,MATCH(896,'بيانات الحركات'!$G:$G,0)),"")</f>
        <v/>
      </c>
      <c r="B897" s="5" t="str">
        <f>IFERROR(INDEX('بيانات الحركات'!B:B,MATCH(896,'بيانات الحركات'!$G:$G,0)),"")</f>
        <v/>
      </c>
      <c r="C897" s="3" t="str">
        <f>IFERROR(INDEX('بيانات الحركات'!C:C,MATCH(896,'بيانات الحركات'!$G:$G,0)),"")</f>
        <v/>
      </c>
      <c r="D897" s="3" t="str">
        <f>IFERROR(INDEX('بيانات الحركات'!D:D,MATCH(896,'بيانات الحركات'!$G:$G,0)),"")</f>
        <v/>
      </c>
      <c r="E897" s="21" t="str">
        <f>IF($B897="إنتاج طبخة","",IFERROR(INDEX('بيانات الحركات'!E:E,MATCH(896,'بيانات الحركات'!$G:$G,0)),""))</f>
        <v/>
      </c>
      <c r="F897" s="3" t="str">
        <f>IFERROR(INDEX('بيانات الحركات'!F:F,MATCH(896,'بيانات الحركات'!$G:$G,0)),"")</f>
        <v/>
      </c>
    </row>
    <row r="898" spans="1:6" ht="21.95" customHeight="1">
      <c r="A898" s="8" t="str">
        <f>IFERROR(INDEX('بيانات الحركات'!A:A,MATCH(897,'بيانات الحركات'!$G:$G,0)),"")</f>
        <v/>
      </c>
      <c r="B898" s="5" t="str">
        <f>IFERROR(INDEX('بيانات الحركات'!B:B,MATCH(897,'بيانات الحركات'!$G:$G,0)),"")</f>
        <v/>
      </c>
      <c r="C898" s="3" t="str">
        <f>IFERROR(INDEX('بيانات الحركات'!C:C,MATCH(897,'بيانات الحركات'!$G:$G,0)),"")</f>
        <v/>
      </c>
      <c r="D898" s="3" t="str">
        <f>IFERROR(INDEX('بيانات الحركات'!D:D,MATCH(897,'بيانات الحركات'!$G:$G,0)),"")</f>
        <v/>
      </c>
      <c r="E898" s="21" t="str">
        <f>IF($B898="إنتاج طبخة","",IFERROR(INDEX('بيانات الحركات'!E:E,MATCH(897,'بيانات الحركات'!$G:$G,0)),""))</f>
        <v/>
      </c>
      <c r="F898" s="3" t="str">
        <f>IFERROR(INDEX('بيانات الحركات'!F:F,MATCH(897,'بيانات الحركات'!$G:$G,0)),"")</f>
        <v/>
      </c>
    </row>
    <row r="899" spans="1:6" ht="21.95" customHeight="1">
      <c r="A899" s="8" t="str">
        <f>IFERROR(INDEX('بيانات الحركات'!A:A,MATCH(898,'بيانات الحركات'!$G:$G,0)),"")</f>
        <v/>
      </c>
      <c r="B899" s="5" t="str">
        <f>IFERROR(INDEX('بيانات الحركات'!B:B,MATCH(898,'بيانات الحركات'!$G:$G,0)),"")</f>
        <v/>
      </c>
      <c r="C899" s="3" t="str">
        <f>IFERROR(INDEX('بيانات الحركات'!C:C,MATCH(898,'بيانات الحركات'!$G:$G,0)),"")</f>
        <v/>
      </c>
      <c r="D899" s="3" t="str">
        <f>IFERROR(INDEX('بيانات الحركات'!D:D,MATCH(898,'بيانات الحركات'!$G:$G,0)),"")</f>
        <v/>
      </c>
      <c r="E899" s="21" t="str">
        <f>IF($B899="إنتاج طبخة","",IFERROR(INDEX('بيانات الحركات'!E:E,MATCH(898,'بيانات الحركات'!$G:$G,0)),""))</f>
        <v/>
      </c>
      <c r="F899" s="3" t="str">
        <f>IFERROR(INDEX('بيانات الحركات'!F:F,MATCH(898,'بيانات الحركات'!$G:$G,0)),"")</f>
        <v/>
      </c>
    </row>
    <row r="900" spans="1:6" ht="21.95" customHeight="1">
      <c r="A900" s="8" t="str">
        <f>IFERROR(INDEX('بيانات الحركات'!A:A,MATCH(899,'بيانات الحركات'!$G:$G,0)),"")</f>
        <v/>
      </c>
      <c r="B900" s="5" t="str">
        <f>IFERROR(INDEX('بيانات الحركات'!B:B,MATCH(899,'بيانات الحركات'!$G:$G,0)),"")</f>
        <v/>
      </c>
      <c r="C900" s="3" t="str">
        <f>IFERROR(INDEX('بيانات الحركات'!C:C,MATCH(899,'بيانات الحركات'!$G:$G,0)),"")</f>
        <v/>
      </c>
      <c r="D900" s="3" t="str">
        <f>IFERROR(INDEX('بيانات الحركات'!D:D,MATCH(899,'بيانات الحركات'!$G:$G,0)),"")</f>
        <v/>
      </c>
      <c r="E900" s="21" t="str">
        <f>IF($B900="إنتاج طبخة","",IFERROR(INDEX('بيانات الحركات'!E:E,MATCH(899,'بيانات الحركات'!$G:$G,0)),""))</f>
        <v/>
      </c>
      <c r="F900" s="3" t="str">
        <f>IFERROR(INDEX('بيانات الحركات'!F:F,MATCH(899,'بيانات الحركات'!$G:$G,0)),"")</f>
        <v/>
      </c>
    </row>
    <row r="901" spans="1:6" ht="21.95" customHeight="1">
      <c r="A901" s="8" t="str">
        <f>IFERROR(INDEX('بيانات الحركات'!A:A,MATCH(900,'بيانات الحركات'!$G:$G,0)),"")</f>
        <v/>
      </c>
      <c r="B901" s="5" t="str">
        <f>IFERROR(INDEX('بيانات الحركات'!B:B,MATCH(900,'بيانات الحركات'!$G:$G,0)),"")</f>
        <v/>
      </c>
      <c r="C901" s="3" t="str">
        <f>IFERROR(INDEX('بيانات الحركات'!C:C,MATCH(900,'بيانات الحركات'!$G:$G,0)),"")</f>
        <v/>
      </c>
      <c r="D901" s="3" t="str">
        <f>IFERROR(INDEX('بيانات الحركات'!D:D,MATCH(900,'بيانات الحركات'!$G:$G,0)),"")</f>
        <v/>
      </c>
      <c r="E901" s="21" t="str">
        <f>IF($B901="إنتاج طبخة","",IFERROR(INDEX('بيانات الحركات'!E:E,MATCH(900,'بيانات الحركات'!$G:$G,0)),""))</f>
        <v/>
      </c>
      <c r="F901" s="3" t="str">
        <f>IFERROR(INDEX('بيانات الحركات'!F:F,MATCH(900,'بيانات الحركات'!$G:$G,0)),"")</f>
        <v/>
      </c>
    </row>
    <row r="902" spans="1:6" ht="21.95" customHeight="1">
      <c r="A902" s="8" t="str">
        <f>IFERROR(INDEX('بيانات الحركات'!A:A,MATCH(901,'بيانات الحركات'!$G:$G,0)),"")</f>
        <v/>
      </c>
      <c r="B902" s="5" t="str">
        <f>IFERROR(INDEX('بيانات الحركات'!B:B,MATCH(901,'بيانات الحركات'!$G:$G,0)),"")</f>
        <v/>
      </c>
      <c r="C902" s="3" t="str">
        <f>IFERROR(INDEX('بيانات الحركات'!C:C,MATCH(901,'بيانات الحركات'!$G:$G,0)),"")</f>
        <v/>
      </c>
      <c r="D902" s="3" t="str">
        <f>IFERROR(INDEX('بيانات الحركات'!D:D,MATCH(901,'بيانات الحركات'!$G:$G,0)),"")</f>
        <v/>
      </c>
      <c r="E902" s="21" t="str">
        <f>IF($B902="إنتاج طبخة","",IFERROR(INDEX('بيانات الحركات'!E:E,MATCH(901,'بيانات الحركات'!$G:$G,0)),""))</f>
        <v/>
      </c>
      <c r="F902" s="3" t="str">
        <f>IFERROR(INDEX('بيانات الحركات'!F:F,MATCH(901,'بيانات الحركات'!$G:$G,0)),"")</f>
        <v/>
      </c>
    </row>
    <row r="903" spans="1:6" ht="21.95" customHeight="1">
      <c r="A903" s="8" t="str">
        <f>IFERROR(INDEX('بيانات الحركات'!A:A,MATCH(902,'بيانات الحركات'!$G:$G,0)),"")</f>
        <v/>
      </c>
      <c r="B903" s="5" t="str">
        <f>IFERROR(INDEX('بيانات الحركات'!B:B,MATCH(902,'بيانات الحركات'!$G:$G,0)),"")</f>
        <v/>
      </c>
      <c r="C903" s="3" t="str">
        <f>IFERROR(INDEX('بيانات الحركات'!C:C,MATCH(902,'بيانات الحركات'!$G:$G,0)),"")</f>
        <v/>
      </c>
      <c r="D903" s="3" t="str">
        <f>IFERROR(INDEX('بيانات الحركات'!D:D,MATCH(902,'بيانات الحركات'!$G:$G,0)),"")</f>
        <v/>
      </c>
      <c r="E903" s="21" t="str">
        <f>IF($B903="إنتاج طبخة","",IFERROR(INDEX('بيانات الحركات'!E:E,MATCH(902,'بيانات الحركات'!$G:$G,0)),""))</f>
        <v/>
      </c>
      <c r="F903" s="3" t="str">
        <f>IFERROR(INDEX('بيانات الحركات'!F:F,MATCH(902,'بيانات الحركات'!$G:$G,0)),"")</f>
        <v/>
      </c>
    </row>
    <row r="904" spans="1:6" ht="21.95" customHeight="1">
      <c r="A904" s="8" t="str">
        <f>IFERROR(INDEX('بيانات الحركات'!A:A,MATCH(903,'بيانات الحركات'!$G:$G,0)),"")</f>
        <v/>
      </c>
      <c r="B904" s="5" t="str">
        <f>IFERROR(INDEX('بيانات الحركات'!B:B,MATCH(903,'بيانات الحركات'!$G:$G,0)),"")</f>
        <v/>
      </c>
      <c r="C904" s="3" t="str">
        <f>IFERROR(INDEX('بيانات الحركات'!C:C,MATCH(903,'بيانات الحركات'!$G:$G,0)),"")</f>
        <v/>
      </c>
      <c r="D904" s="3" t="str">
        <f>IFERROR(INDEX('بيانات الحركات'!D:D,MATCH(903,'بيانات الحركات'!$G:$G,0)),"")</f>
        <v/>
      </c>
      <c r="E904" s="21" t="str">
        <f>IF($B904="إنتاج طبخة","",IFERROR(INDEX('بيانات الحركات'!E:E,MATCH(903,'بيانات الحركات'!$G:$G,0)),""))</f>
        <v/>
      </c>
      <c r="F904" s="3" t="str">
        <f>IFERROR(INDEX('بيانات الحركات'!F:F,MATCH(903,'بيانات الحركات'!$G:$G,0)),"")</f>
        <v/>
      </c>
    </row>
    <row r="905" spans="1:6" ht="21.95" customHeight="1">
      <c r="A905" s="8" t="str">
        <f>IFERROR(INDEX('بيانات الحركات'!A:A,MATCH(904,'بيانات الحركات'!$G:$G,0)),"")</f>
        <v/>
      </c>
      <c r="B905" s="5" t="str">
        <f>IFERROR(INDEX('بيانات الحركات'!B:B,MATCH(904,'بيانات الحركات'!$G:$G,0)),"")</f>
        <v/>
      </c>
      <c r="C905" s="3" t="str">
        <f>IFERROR(INDEX('بيانات الحركات'!C:C,MATCH(904,'بيانات الحركات'!$G:$G,0)),"")</f>
        <v/>
      </c>
      <c r="D905" s="3" t="str">
        <f>IFERROR(INDEX('بيانات الحركات'!D:D,MATCH(904,'بيانات الحركات'!$G:$G,0)),"")</f>
        <v/>
      </c>
      <c r="E905" s="21" t="str">
        <f>IF($B905="إنتاج طبخة","",IFERROR(INDEX('بيانات الحركات'!E:E,MATCH(904,'بيانات الحركات'!$G:$G,0)),""))</f>
        <v/>
      </c>
      <c r="F905" s="3" t="str">
        <f>IFERROR(INDEX('بيانات الحركات'!F:F,MATCH(904,'بيانات الحركات'!$G:$G,0)),"")</f>
        <v/>
      </c>
    </row>
    <row r="906" spans="1:6" ht="21.95" customHeight="1">
      <c r="A906" s="8" t="str">
        <f>IFERROR(INDEX('بيانات الحركات'!A:A,MATCH(905,'بيانات الحركات'!$G:$G,0)),"")</f>
        <v/>
      </c>
      <c r="B906" s="5" t="str">
        <f>IFERROR(INDEX('بيانات الحركات'!B:B,MATCH(905,'بيانات الحركات'!$G:$G,0)),"")</f>
        <v/>
      </c>
      <c r="C906" s="3" t="str">
        <f>IFERROR(INDEX('بيانات الحركات'!C:C,MATCH(905,'بيانات الحركات'!$G:$G,0)),"")</f>
        <v/>
      </c>
      <c r="D906" s="3" t="str">
        <f>IFERROR(INDEX('بيانات الحركات'!D:D,MATCH(905,'بيانات الحركات'!$G:$G,0)),"")</f>
        <v/>
      </c>
      <c r="E906" s="21" t="str">
        <f>IF($B906="إنتاج طبخة","",IFERROR(INDEX('بيانات الحركات'!E:E,MATCH(905,'بيانات الحركات'!$G:$G,0)),""))</f>
        <v/>
      </c>
      <c r="F906" s="3" t="str">
        <f>IFERROR(INDEX('بيانات الحركات'!F:F,MATCH(905,'بيانات الحركات'!$G:$G,0)),"")</f>
        <v/>
      </c>
    </row>
    <row r="907" spans="1:6" ht="21.95" customHeight="1">
      <c r="A907" s="8" t="str">
        <f>IFERROR(INDEX('بيانات الحركات'!A:A,MATCH(906,'بيانات الحركات'!$G:$G,0)),"")</f>
        <v/>
      </c>
      <c r="B907" s="5" t="str">
        <f>IFERROR(INDEX('بيانات الحركات'!B:B,MATCH(906,'بيانات الحركات'!$G:$G,0)),"")</f>
        <v/>
      </c>
      <c r="C907" s="3" t="str">
        <f>IFERROR(INDEX('بيانات الحركات'!C:C,MATCH(906,'بيانات الحركات'!$G:$G,0)),"")</f>
        <v/>
      </c>
      <c r="D907" s="3" t="str">
        <f>IFERROR(INDEX('بيانات الحركات'!D:D,MATCH(906,'بيانات الحركات'!$G:$G,0)),"")</f>
        <v/>
      </c>
      <c r="E907" s="21" t="str">
        <f>IF($B907="إنتاج طبخة","",IFERROR(INDEX('بيانات الحركات'!E:E,MATCH(906,'بيانات الحركات'!$G:$G,0)),""))</f>
        <v/>
      </c>
      <c r="F907" s="3" t="str">
        <f>IFERROR(INDEX('بيانات الحركات'!F:F,MATCH(906,'بيانات الحركات'!$G:$G,0)),"")</f>
        <v/>
      </c>
    </row>
    <row r="908" spans="1:6" ht="21.95" customHeight="1">
      <c r="A908" s="8" t="str">
        <f>IFERROR(INDEX('بيانات الحركات'!A:A,MATCH(907,'بيانات الحركات'!$G:$G,0)),"")</f>
        <v/>
      </c>
      <c r="B908" s="5" t="str">
        <f>IFERROR(INDEX('بيانات الحركات'!B:B,MATCH(907,'بيانات الحركات'!$G:$G,0)),"")</f>
        <v/>
      </c>
      <c r="C908" s="3" t="str">
        <f>IFERROR(INDEX('بيانات الحركات'!C:C,MATCH(907,'بيانات الحركات'!$G:$G,0)),"")</f>
        <v/>
      </c>
      <c r="D908" s="3" t="str">
        <f>IFERROR(INDEX('بيانات الحركات'!D:D,MATCH(907,'بيانات الحركات'!$G:$G,0)),"")</f>
        <v/>
      </c>
      <c r="E908" s="21" t="str">
        <f>IF($B908="إنتاج طبخة","",IFERROR(INDEX('بيانات الحركات'!E:E,MATCH(907,'بيانات الحركات'!$G:$G,0)),""))</f>
        <v/>
      </c>
      <c r="F908" s="3" t="str">
        <f>IFERROR(INDEX('بيانات الحركات'!F:F,MATCH(907,'بيانات الحركات'!$G:$G,0)),"")</f>
        <v/>
      </c>
    </row>
    <row r="909" spans="1:6" ht="21.95" customHeight="1">
      <c r="A909" s="8" t="str">
        <f>IFERROR(INDEX('بيانات الحركات'!A:A,MATCH(908,'بيانات الحركات'!$G:$G,0)),"")</f>
        <v/>
      </c>
      <c r="B909" s="5" t="str">
        <f>IFERROR(INDEX('بيانات الحركات'!B:B,MATCH(908,'بيانات الحركات'!$G:$G,0)),"")</f>
        <v/>
      </c>
      <c r="C909" s="3" t="str">
        <f>IFERROR(INDEX('بيانات الحركات'!C:C,MATCH(908,'بيانات الحركات'!$G:$G,0)),"")</f>
        <v/>
      </c>
      <c r="D909" s="3" t="str">
        <f>IFERROR(INDEX('بيانات الحركات'!D:D,MATCH(908,'بيانات الحركات'!$G:$G,0)),"")</f>
        <v/>
      </c>
      <c r="E909" s="21" t="str">
        <f>IF($B909="إنتاج طبخة","",IFERROR(INDEX('بيانات الحركات'!E:E,MATCH(908,'بيانات الحركات'!$G:$G,0)),""))</f>
        <v/>
      </c>
      <c r="F909" s="3" t="str">
        <f>IFERROR(INDEX('بيانات الحركات'!F:F,MATCH(908,'بيانات الحركات'!$G:$G,0)),"")</f>
        <v/>
      </c>
    </row>
    <row r="910" spans="1:6" ht="21.95" customHeight="1">
      <c r="A910" s="8" t="str">
        <f>IFERROR(INDEX('بيانات الحركات'!A:A,MATCH(909,'بيانات الحركات'!$G:$G,0)),"")</f>
        <v/>
      </c>
      <c r="B910" s="5" t="str">
        <f>IFERROR(INDEX('بيانات الحركات'!B:B,MATCH(909,'بيانات الحركات'!$G:$G,0)),"")</f>
        <v/>
      </c>
      <c r="C910" s="3" t="str">
        <f>IFERROR(INDEX('بيانات الحركات'!C:C,MATCH(909,'بيانات الحركات'!$G:$G,0)),"")</f>
        <v/>
      </c>
      <c r="D910" s="3" t="str">
        <f>IFERROR(INDEX('بيانات الحركات'!D:D,MATCH(909,'بيانات الحركات'!$G:$G,0)),"")</f>
        <v/>
      </c>
      <c r="E910" s="21" t="str">
        <f>IF($B910="إنتاج طبخة","",IFERROR(INDEX('بيانات الحركات'!E:E,MATCH(909,'بيانات الحركات'!$G:$G,0)),""))</f>
        <v/>
      </c>
      <c r="F910" s="3" t="str">
        <f>IFERROR(INDEX('بيانات الحركات'!F:F,MATCH(909,'بيانات الحركات'!$G:$G,0)),"")</f>
        <v/>
      </c>
    </row>
    <row r="911" spans="1:6" ht="21.95" customHeight="1">
      <c r="A911" s="8" t="str">
        <f>IFERROR(INDEX('بيانات الحركات'!A:A,MATCH(910,'بيانات الحركات'!$G:$G,0)),"")</f>
        <v/>
      </c>
      <c r="B911" s="5" t="str">
        <f>IFERROR(INDEX('بيانات الحركات'!B:B,MATCH(910,'بيانات الحركات'!$G:$G,0)),"")</f>
        <v/>
      </c>
      <c r="C911" s="3" t="str">
        <f>IFERROR(INDEX('بيانات الحركات'!C:C,MATCH(910,'بيانات الحركات'!$G:$G,0)),"")</f>
        <v/>
      </c>
      <c r="D911" s="3" t="str">
        <f>IFERROR(INDEX('بيانات الحركات'!D:D,MATCH(910,'بيانات الحركات'!$G:$G,0)),"")</f>
        <v/>
      </c>
      <c r="E911" s="21" t="str">
        <f>IF($B911="إنتاج طبخة","",IFERROR(INDEX('بيانات الحركات'!E:E,MATCH(910,'بيانات الحركات'!$G:$G,0)),""))</f>
        <v/>
      </c>
      <c r="F911" s="3" t="str">
        <f>IFERROR(INDEX('بيانات الحركات'!F:F,MATCH(910,'بيانات الحركات'!$G:$G,0)),"")</f>
        <v/>
      </c>
    </row>
    <row r="912" spans="1:6" ht="21.95" customHeight="1">
      <c r="A912" s="8" t="str">
        <f>IFERROR(INDEX('بيانات الحركات'!A:A,MATCH(911,'بيانات الحركات'!$G:$G,0)),"")</f>
        <v/>
      </c>
      <c r="B912" s="5" t="str">
        <f>IFERROR(INDEX('بيانات الحركات'!B:B,MATCH(911,'بيانات الحركات'!$G:$G,0)),"")</f>
        <v/>
      </c>
      <c r="C912" s="3" t="str">
        <f>IFERROR(INDEX('بيانات الحركات'!C:C,MATCH(911,'بيانات الحركات'!$G:$G,0)),"")</f>
        <v/>
      </c>
      <c r="D912" s="3" t="str">
        <f>IFERROR(INDEX('بيانات الحركات'!D:D,MATCH(911,'بيانات الحركات'!$G:$G,0)),"")</f>
        <v/>
      </c>
      <c r="E912" s="21" t="str">
        <f>IF($B912="إنتاج طبخة","",IFERROR(INDEX('بيانات الحركات'!E:E,MATCH(911,'بيانات الحركات'!$G:$G,0)),""))</f>
        <v/>
      </c>
      <c r="F912" s="3" t="str">
        <f>IFERROR(INDEX('بيانات الحركات'!F:F,MATCH(911,'بيانات الحركات'!$G:$G,0)),"")</f>
        <v/>
      </c>
    </row>
    <row r="913" spans="1:6" ht="21.95" customHeight="1">
      <c r="A913" s="8" t="str">
        <f>IFERROR(INDEX('بيانات الحركات'!A:A,MATCH(912,'بيانات الحركات'!$G:$G,0)),"")</f>
        <v/>
      </c>
      <c r="B913" s="5" t="str">
        <f>IFERROR(INDEX('بيانات الحركات'!B:B,MATCH(912,'بيانات الحركات'!$G:$G,0)),"")</f>
        <v/>
      </c>
      <c r="C913" s="3" t="str">
        <f>IFERROR(INDEX('بيانات الحركات'!C:C,MATCH(912,'بيانات الحركات'!$G:$G,0)),"")</f>
        <v/>
      </c>
      <c r="D913" s="3" t="str">
        <f>IFERROR(INDEX('بيانات الحركات'!D:D,MATCH(912,'بيانات الحركات'!$G:$G,0)),"")</f>
        <v/>
      </c>
      <c r="E913" s="21" t="str">
        <f>IF($B913="إنتاج طبخة","",IFERROR(INDEX('بيانات الحركات'!E:E,MATCH(912,'بيانات الحركات'!$G:$G,0)),""))</f>
        <v/>
      </c>
      <c r="F913" s="3" t="str">
        <f>IFERROR(INDEX('بيانات الحركات'!F:F,MATCH(912,'بيانات الحركات'!$G:$G,0)),"")</f>
        <v/>
      </c>
    </row>
    <row r="914" spans="1:6" ht="21.95" customHeight="1">
      <c r="A914" s="8" t="str">
        <f>IFERROR(INDEX('بيانات الحركات'!A:A,MATCH(913,'بيانات الحركات'!$G:$G,0)),"")</f>
        <v/>
      </c>
      <c r="B914" s="5" t="str">
        <f>IFERROR(INDEX('بيانات الحركات'!B:B,MATCH(913,'بيانات الحركات'!$G:$G,0)),"")</f>
        <v/>
      </c>
      <c r="C914" s="3" t="str">
        <f>IFERROR(INDEX('بيانات الحركات'!C:C,MATCH(913,'بيانات الحركات'!$G:$G,0)),"")</f>
        <v/>
      </c>
      <c r="D914" s="3" t="str">
        <f>IFERROR(INDEX('بيانات الحركات'!D:D,MATCH(913,'بيانات الحركات'!$G:$G,0)),"")</f>
        <v/>
      </c>
      <c r="E914" s="21" t="str">
        <f>IF($B914="إنتاج طبخة","",IFERROR(INDEX('بيانات الحركات'!E:E,MATCH(913,'بيانات الحركات'!$G:$G,0)),""))</f>
        <v/>
      </c>
      <c r="F914" s="3" t="str">
        <f>IFERROR(INDEX('بيانات الحركات'!F:F,MATCH(913,'بيانات الحركات'!$G:$G,0)),"")</f>
        <v/>
      </c>
    </row>
    <row r="915" spans="1:6" ht="21.95" customHeight="1">
      <c r="A915" s="8" t="str">
        <f>IFERROR(INDEX('بيانات الحركات'!A:A,MATCH(914,'بيانات الحركات'!$G:$G,0)),"")</f>
        <v/>
      </c>
      <c r="B915" s="5" t="str">
        <f>IFERROR(INDEX('بيانات الحركات'!B:B,MATCH(914,'بيانات الحركات'!$G:$G,0)),"")</f>
        <v/>
      </c>
      <c r="C915" s="3" t="str">
        <f>IFERROR(INDEX('بيانات الحركات'!C:C,MATCH(914,'بيانات الحركات'!$G:$G,0)),"")</f>
        <v/>
      </c>
      <c r="D915" s="3" t="str">
        <f>IFERROR(INDEX('بيانات الحركات'!D:D,MATCH(914,'بيانات الحركات'!$G:$G,0)),"")</f>
        <v/>
      </c>
      <c r="E915" s="21" t="str">
        <f>IF($B915="إنتاج طبخة","",IFERROR(INDEX('بيانات الحركات'!E:E,MATCH(914,'بيانات الحركات'!$G:$G,0)),""))</f>
        <v/>
      </c>
      <c r="F915" s="3" t="str">
        <f>IFERROR(INDEX('بيانات الحركات'!F:F,MATCH(914,'بيانات الحركات'!$G:$G,0)),"")</f>
        <v/>
      </c>
    </row>
    <row r="916" spans="1:6" ht="21.95" customHeight="1">
      <c r="A916" s="8" t="str">
        <f>IFERROR(INDEX('بيانات الحركات'!A:A,MATCH(915,'بيانات الحركات'!$G:$G,0)),"")</f>
        <v/>
      </c>
      <c r="B916" s="5" t="str">
        <f>IFERROR(INDEX('بيانات الحركات'!B:B,MATCH(915,'بيانات الحركات'!$G:$G,0)),"")</f>
        <v/>
      </c>
      <c r="C916" s="3" t="str">
        <f>IFERROR(INDEX('بيانات الحركات'!C:C,MATCH(915,'بيانات الحركات'!$G:$G,0)),"")</f>
        <v/>
      </c>
      <c r="D916" s="3" t="str">
        <f>IFERROR(INDEX('بيانات الحركات'!D:D,MATCH(915,'بيانات الحركات'!$G:$G,0)),"")</f>
        <v/>
      </c>
      <c r="E916" s="21" t="str">
        <f>IF($B916="إنتاج طبخة","",IFERROR(INDEX('بيانات الحركات'!E:E,MATCH(915,'بيانات الحركات'!$G:$G,0)),""))</f>
        <v/>
      </c>
      <c r="F916" s="3" t="str">
        <f>IFERROR(INDEX('بيانات الحركات'!F:F,MATCH(915,'بيانات الحركات'!$G:$G,0)),"")</f>
        <v/>
      </c>
    </row>
    <row r="917" spans="1:6" ht="21.95" customHeight="1">
      <c r="A917" s="8" t="str">
        <f>IFERROR(INDEX('بيانات الحركات'!A:A,MATCH(916,'بيانات الحركات'!$G:$G,0)),"")</f>
        <v/>
      </c>
      <c r="B917" s="5" t="str">
        <f>IFERROR(INDEX('بيانات الحركات'!B:B,MATCH(916,'بيانات الحركات'!$G:$G,0)),"")</f>
        <v/>
      </c>
      <c r="C917" s="3" t="str">
        <f>IFERROR(INDEX('بيانات الحركات'!C:C,MATCH(916,'بيانات الحركات'!$G:$G,0)),"")</f>
        <v/>
      </c>
      <c r="D917" s="3" t="str">
        <f>IFERROR(INDEX('بيانات الحركات'!D:D,MATCH(916,'بيانات الحركات'!$G:$G,0)),"")</f>
        <v/>
      </c>
      <c r="E917" s="21" t="str">
        <f>IF($B917="إنتاج طبخة","",IFERROR(INDEX('بيانات الحركات'!E:E,MATCH(916,'بيانات الحركات'!$G:$G,0)),""))</f>
        <v/>
      </c>
      <c r="F917" s="3" t="str">
        <f>IFERROR(INDEX('بيانات الحركات'!F:F,MATCH(916,'بيانات الحركات'!$G:$G,0)),"")</f>
        <v/>
      </c>
    </row>
    <row r="918" spans="1:6" ht="21.95" customHeight="1">
      <c r="A918" s="8" t="str">
        <f>IFERROR(INDEX('بيانات الحركات'!A:A,MATCH(917,'بيانات الحركات'!$G:$G,0)),"")</f>
        <v/>
      </c>
      <c r="B918" s="5" t="str">
        <f>IFERROR(INDEX('بيانات الحركات'!B:B,MATCH(917,'بيانات الحركات'!$G:$G,0)),"")</f>
        <v/>
      </c>
      <c r="C918" s="3" t="str">
        <f>IFERROR(INDEX('بيانات الحركات'!C:C,MATCH(917,'بيانات الحركات'!$G:$G,0)),"")</f>
        <v/>
      </c>
      <c r="D918" s="3" t="str">
        <f>IFERROR(INDEX('بيانات الحركات'!D:D,MATCH(917,'بيانات الحركات'!$G:$G,0)),"")</f>
        <v/>
      </c>
      <c r="E918" s="21" t="str">
        <f>IF($B918="إنتاج طبخة","",IFERROR(INDEX('بيانات الحركات'!E:E,MATCH(917,'بيانات الحركات'!$G:$G,0)),""))</f>
        <v/>
      </c>
      <c r="F918" s="3" t="str">
        <f>IFERROR(INDEX('بيانات الحركات'!F:F,MATCH(917,'بيانات الحركات'!$G:$G,0)),"")</f>
        <v/>
      </c>
    </row>
    <row r="919" spans="1:6" ht="21.95" customHeight="1">
      <c r="A919" s="8" t="str">
        <f>IFERROR(INDEX('بيانات الحركات'!A:A,MATCH(918,'بيانات الحركات'!$G:$G,0)),"")</f>
        <v/>
      </c>
      <c r="B919" s="5" t="str">
        <f>IFERROR(INDEX('بيانات الحركات'!B:B,MATCH(918,'بيانات الحركات'!$G:$G,0)),"")</f>
        <v/>
      </c>
      <c r="C919" s="3" t="str">
        <f>IFERROR(INDEX('بيانات الحركات'!C:C,MATCH(918,'بيانات الحركات'!$G:$G,0)),"")</f>
        <v/>
      </c>
      <c r="D919" s="3" t="str">
        <f>IFERROR(INDEX('بيانات الحركات'!D:D,MATCH(918,'بيانات الحركات'!$G:$G,0)),"")</f>
        <v/>
      </c>
      <c r="E919" s="21" t="str">
        <f>IF($B919="إنتاج طبخة","",IFERROR(INDEX('بيانات الحركات'!E:E,MATCH(918,'بيانات الحركات'!$G:$G,0)),""))</f>
        <v/>
      </c>
      <c r="F919" s="3" t="str">
        <f>IFERROR(INDEX('بيانات الحركات'!F:F,MATCH(918,'بيانات الحركات'!$G:$G,0)),"")</f>
        <v/>
      </c>
    </row>
    <row r="920" spans="1:6" ht="21.95" customHeight="1">
      <c r="A920" s="8" t="str">
        <f>IFERROR(INDEX('بيانات الحركات'!A:A,MATCH(919,'بيانات الحركات'!$G:$G,0)),"")</f>
        <v/>
      </c>
      <c r="B920" s="5" t="str">
        <f>IFERROR(INDEX('بيانات الحركات'!B:B,MATCH(919,'بيانات الحركات'!$G:$G,0)),"")</f>
        <v/>
      </c>
      <c r="C920" s="3" t="str">
        <f>IFERROR(INDEX('بيانات الحركات'!C:C,MATCH(919,'بيانات الحركات'!$G:$G,0)),"")</f>
        <v/>
      </c>
      <c r="D920" s="3" t="str">
        <f>IFERROR(INDEX('بيانات الحركات'!D:D,MATCH(919,'بيانات الحركات'!$G:$G,0)),"")</f>
        <v/>
      </c>
      <c r="E920" s="21" t="str">
        <f>IF($B920="إنتاج طبخة","",IFERROR(INDEX('بيانات الحركات'!E:E,MATCH(919,'بيانات الحركات'!$G:$G,0)),""))</f>
        <v/>
      </c>
      <c r="F920" s="3" t="str">
        <f>IFERROR(INDEX('بيانات الحركات'!F:F,MATCH(919,'بيانات الحركات'!$G:$G,0)),"")</f>
        <v/>
      </c>
    </row>
    <row r="921" spans="1:6" ht="21.95" customHeight="1">
      <c r="A921" s="8" t="str">
        <f>IFERROR(INDEX('بيانات الحركات'!A:A,MATCH(920,'بيانات الحركات'!$G:$G,0)),"")</f>
        <v/>
      </c>
      <c r="B921" s="5" t="str">
        <f>IFERROR(INDEX('بيانات الحركات'!B:B,MATCH(920,'بيانات الحركات'!$G:$G,0)),"")</f>
        <v/>
      </c>
      <c r="C921" s="3" t="str">
        <f>IFERROR(INDEX('بيانات الحركات'!C:C,MATCH(920,'بيانات الحركات'!$G:$G,0)),"")</f>
        <v/>
      </c>
      <c r="D921" s="3" t="str">
        <f>IFERROR(INDEX('بيانات الحركات'!D:D,MATCH(920,'بيانات الحركات'!$G:$G,0)),"")</f>
        <v/>
      </c>
      <c r="E921" s="21" t="str">
        <f>IF($B921="إنتاج طبخة","",IFERROR(INDEX('بيانات الحركات'!E:E,MATCH(920,'بيانات الحركات'!$G:$G,0)),""))</f>
        <v/>
      </c>
      <c r="F921" s="3" t="str">
        <f>IFERROR(INDEX('بيانات الحركات'!F:F,MATCH(920,'بيانات الحركات'!$G:$G,0)),"")</f>
        <v/>
      </c>
    </row>
    <row r="922" spans="1:6" ht="21.95" customHeight="1">
      <c r="A922" s="8" t="str">
        <f>IFERROR(INDEX('بيانات الحركات'!A:A,MATCH(921,'بيانات الحركات'!$G:$G,0)),"")</f>
        <v/>
      </c>
      <c r="B922" s="5" t="str">
        <f>IFERROR(INDEX('بيانات الحركات'!B:B,MATCH(921,'بيانات الحركات'!$G:$G,0)),"")</f>
        <v/>
      </c>
      <c r="C922" s="3" t="str">
        <f>IFERROR(INDEX('بيانات الحركات'!C:C,MATCH(921,'بيانات الحركات'!$G:$G,0)),"")</f>
        <v/>
      </c>
      <c r="D922" s="3" t="str">
        <f>IFERROR(INDEX('بيانات الحركات'!D:D,MATCH(921,'بيانات الحركات'!$G:$G,0)),"")</f>
        <v/>
      </c>
      <c r="E922" s="21" t="str">
        <f>IF($B922="إنتاج طبخة","",IFERROR(INDEX('بيانات الحركات'!E:E,MATCH(921,'بيانات الحركات'!$G:$G,0)),""))</f>
        <v/>
      </c>
      <c r="F922" s="3" t="str">
        <f>IFERROR(INDEX('بيانات الحركات'!F:F,MATCH(921,'بيانات الحركات'!$G:$G,0)),"")</f>
        <v/>
      </c>
    </row>
    <row r="923" spans="1:6" ht="21.95" customHeight="1">
      <c r="A923" s="8" t="str">
        <f>IFERROR(INDEX('بيانات الحركات'!A:A,MATCH(922,'بيانات الحركات'!$G:$G,0)),"")</f>
        <v/>
      </c>
      <c r="B923" s="5" t="str">
        <f>IFERROR(INDEX('بيانات الحركات'!B:B,MATCH(922,'بيانات الحركات'!$G:$G,0)),"")</f>
        <v/>
      </c>
      <c r="C923" s="3" t="str">
        <f>IFERROR(INDEX('بيانات الحركات'!C:C,MATCH(922,'بيانات الحركات'!$G:$G,0)),"")</f>
        <v/>
      </c>
      <c r="D923" s="3" t="str">
        <f>IFERROR(INDEX('بيانات الحركات'!D:D,MATCH(922,'بيانات الحركات'!$G:$G,0)),"")</f>
        <v/>
      </c>
      <c r="E923" s="21" t="str">
        <f>IF($B923="إنتاج طبخة","",IFERROR(INDEX('بيانات الحركات'!E:E,MATCH(922,'بيانات الحركات'!$G:$G,0)),""))</f>
        <v/>
      </c>
      <c r="F923" s="3" t="str">
        <f>IFERROR(INDEX('بيانات الحركات'!F:F,MATCH(922,'بيانات الحركات'!$G:$G,0)),"")</f>
        <v/>
      </c>
    </row>
    <row r="924" spans="1:6" ht="21.95" customHeight="1">
      <c r="A924" s="8" t="str">
        <f>IFERROR(INDEX('بيانات الحركات'!A:A,MATCH(923,'بيانات الحركات'!$G:$G,0)),"")</f>
        <v/>
      </c>
      <c r="B924" s="5" t="str">
        <f>IFERROR(INDEX('بيانات الحركات'!B:B,MATCH(923,'بيانات الحركات'!$G:$G,0)),"")</f>
        <v/>
      </c>
      <c r="C924" s="3" t="str">
        <f>IFERROR(INDEX('بيانات الحركات'!C:C,MATCH(923,'بيانات الحركات'!$G:$G,0)),"")</f>
        <v/>
      </c>
      <c r="D924" s="3" t="str">
        <f>IFERROR(INDEX('بيانات الحركات'!D:D,MATCH(923,'بيانات الحركات'!$G:$G,0)),"")</f>
        <v/>
      </c>
      <c r="E924" s="21" t="str">
        <f>IF($B924="إنتاج طبخة","",IFERROR(INDEX('بيانات الحركات'!E:E,MATCH(923,'بيانات الحركات'!$G:$G,0)),""))</f>
        <v/>
      </c>
      <c r="F924" s="3" t="str">
        <f>IFERROR(INDEX('بيانات الحركات'!F:F,MATCH(923,'بيانات الحركات'!$G:$G,0)),"")</f>
        <v/>
      </c>
    </row>
    <row r="925" spans="1:6" ht="21.95" customHeight="1">
      <c r="A925" s="8" t="str">
        <f>IFERROR(INDEX('بيانات الحركات'!A:A,MATCH(924,'بيانات الحركات'!$G:$G,0)),"")</f>
        <v/>
      </c>
      <c r="B925" s="5" t="str">
        <f>IFERROR(INDEX('بيانات الحركات'!B:B,MATCH(924,'بيانات الحركات'!$G:$G,0)),"")</f>
        <v/>
      </c>
      <c r="C925" s="3" t="str">
        <f>IFERROR(INDEX('بيانات الحركات'!C:C,MATCH(924,'بيانات الحركات'!$G:$G,0)),"")</f>
        <v/>
      </c>
      <c r="D925" s="3" t="str">
        <f>IFERROR(INDEX('بيانات الحركات'!D:D,MATCH(924,'بيانات الحركات'!$G:$G,0)),"")</f>
        <v/>
      </c>
      <c r="E925" s="21" t="str">
        <f>IF($B925="إنتاج طبخة","",IFERROR(INDEX('بيانات الحركات'!E:E,MATCH(924,'بيانات الحركات'!$G:$G,0)),""))</f>
        <v/>
      </c>
      <c r="F925" s="3" t="str">
        <f>IFERROR(INDEX('بيانات الحركات'!F:F,MATCH(924,'بيانات الحركات'!$G:$G,0)),"")</f>
        <v/>
      </c>
    </row>
    <row r="926" spans="1:6" ht="21.95" customHeight="1">
      <c r="A926" s="8" t="str">
        <f>IFERROR(INDEX('بيانات الحركات'!A:A,MATCH(925,'بيانات الحركات'!$G:$G,0)),"")</f>
        <v/>
      </c>
      <c r="B926" s="5" t="str">
        <f>IFERROR(INDEX('بيانات الحركات'!B:B,MATCH(925,'بيانات الحركات'!$G:$G,0)),"")</f>
        <v/>
      </c>
      <c r="C926" s="3" t="str">
        <f>IFERROR(INDEX('بيانات الحركات'!C:C,MATCH(925,'بيانات الحركات'!$G:$G,0)),"")</f>
        <v/>
      </c>
      <c r="D926" s="3" t="str">
        <f>IFERROR(INDEX('بيانات الحركات'!D:D,MATCH(925,'بيانات الحركات'!$G:$G,0)),"")</f>
        <v/>
      </c>
      <c r="E926" s="21" t="str">
        <f>IF($B926="إنتاج طبخة","",IFERROR(INDEX('بيانات الحركات'!E:E,MATCH(925,'بيانات الحركات'!$G:$G,0)),""))</f>
        <v/>
      </c>
      <c r="F926" s="3" t="str">
        <f>IFERROR(INDEX('بيانات الحركات'!F:F,MATCH(925,'بيانات الحركات'!$G:$G,0)),"")</f>
        <v/>
      </c>
    </row>
    <row r="927" spans="1:6" ht="21.95" customHeight="1">
      <c r="A927" s="8" t="str">
        <f>IFERROR(INDEX('بيانات الحركات'!A:A,MATCH(926,'بيانات الحركات'!$G:$G,0)),"")</f>
        <v/>
      </c>
      <c r="B927" s="5" t="str">
        <f>IFERROR(INDEX('بيانات الحركات'!B:B,MATCH(926,'بيانات الحركات'!$G:$G,0)),"")</f>
        <v/>
      </c>
      <c r="C927" s="3" t="str">
        <f>IFERROR(INDEX('بيانات الحركات'!C:C,MATCH(926,'بيانات الحركات'!$G:$G,0)),"")</f>
        <v/>
      </c>
      <c r="D927" s="3" t="str">
        <f>IFERROR(INDEX('بيانات الحركات'!D:D,MATCH(926,'بيانات الحركات'!$G:$G,0)),"")</f>
        <v/>
      </c>
      <c r="E927" s="21" t="str">
        <f>IF($B927="إنتاج طبخة","",IFERROR(INDEX('بيانات الحركات'!E:E,MATCH(926,'بيانات الحركات'!$G:$G,0)),""))</f>
        <v/>
      </c>
      <c r="F927" s="3" t="str">
        <f>IFERROR(INDEX('بيانات الحركات'!F:F,MATCH(926,'بيانات الحركات'!$G:$G,0)),"")</f>
        <v/>
      </c>
    </row>
    <row r="928" spans="1:6" ht="21.95" customHeight="1">
      <c r="A928" s="8" t="str">
        <f>IFERROR(INDEX('بيانات الحركات'!A:A,MATCH(927,'بيانات الحركات'!$G:$G,0)),"")</f>
        <v/>
      </c>
      <c r="B928" s="5" t="str">
        <f>IFERROR(INDEX('بيانات الحركات'!B:B,MATCH(927,'بيانات الحركات'!$G:$G,0)),"")</f>
        <v/>
      </c>
      <c r="C928" s="3" t="str">
        <f>IFERROR(INDEX('بيانات الحركات'!C:C,MATCH(927,'بيانات الحركات'!$G:$G,0)),"")</f>
        <v/>
      </c>
      <c r="D928" s="3" t="str">
        <f>IFERROR(INDEX('بيانات الحركات'!D:D,MATCH(927,'بيانات الحركات'!$G:$G,0)),"")</f>
        <v/>
      </c>
      <c r="E928" s="21" t="str">
        <f>IF($B928="إنتاج طبخة","",IFERROR(INDEX('بيانات الحركات'!E:E,MATCH(927,'بيانات الحركات'!$G:$G,0)),""))</f>
        <v/>
      </c>
      <c r="F928" s="3" t="str">
        <f>IFERROR(INDEX('بيانات الحركات'!F:F,MATCH(927,'بيانات الحركات'!$G:$G,0)),"")</f>
        <v/>
      </c>
    </row>
    <row r="929" spans="1:6" ht="21.95" customHeight="1">
      <c r="A929" s="8" t="str">
        <f>IFERROR(INDEX('بيانات الحركات'!A:A,MATCH(928,'بيانات الحركات'!$G:$G,0)),"")</f>
        <v/>
      </c>
      <c r="B929" s="5" t="str">
        <f>IFERROR(INDEX('بيانات الحركات'!B:B,MATCH(928,'بيانات الحركات'!$G:$G,0)),"")</f>
        <v/>
      </c>
      <c r="C929" s="3" t="str">
        <f>IFERROR(INDEX('بيانات الحركات'!C:C,MATCH(928,'بيانات الحركات'!$G:$G,0)),"")</f>
        <v/>
      </c>
      <c r="D929" s="3" t="str">
        <f>IFERROR(INDEX('بيانات الحركات'!D:D,MATCH(928,'بيانات الحركات'!$G:$G,0)),"")</f>
        <v/>
      </c>
      <c r="E929" s="21" t="str">
        <f>IF($B929="إنتاج طبخة","",IFERROR(INDEX('بيانات الحركات'!E:E,MATCH(928,'بيانات الحركات'!$G:$G,0)),""))</f>
        <v/>
      </c>
      <c r="F929" s="3" t="str">
        <f>IFERROR(INDEX('بيانات الحركات'!F:F,MATCH(928,'بيانات الحركات'!$G:$G,0)),"")</f>
        <v/>
      </c>
    </row>
    <row r="930" spans="1:6" ht="21.95" customHeight="1">
      <c r="A930" s="8" t="str">
        <f>IFERROR(INDEX('بيانات الحركات'!A:A,MATCH(929,'بيانات الحركات'!$G:$G,0)),"")</f>
        <v/>
      </c>
      <c r="B930" s="5" t="str">
        <f>IFERROR(INDEX('بيانات الحركات'!B:B,MATCH(929,'بيانات الحركات'!$G:$G,0)),"")</f>
        <v/>
      </c>
      <c r="C930" s="3" t="str">
        <f>IFERROR(INDEX('بيانات الحركات'!C:C,MATCH(929,'بيانات الحركات'!$G:$G,0)),"")</f>
        <v/>
      </c>
      <c r="D930" s="3" t="str">
        <f>IFERROR(INDEX('بيانات الحركات'!D:D,MATCH(929,'بيانات الحركات'!$G:$G,0)),"")</f>
        <v/>
      </c>
      <c r="E930" s="21" t="str">
        <f>IF($B930="إنتاج طبخة","",IFERROR(INDEX('بيانات الحركات'!E:E,MATCH(929,'بيانات الحركات'!$G:$G,0)),""))</f>
        <v/>
      </c>
      <c r="F930" s="3" t="str">
        <f>IFERROR(INDEX('بيانات الحركات'!F:F,MATCH(929,'بيانات الحركات'!$G:$G,0)),"")</f>
        <v/>
      </c>
    </row>
    <row r="931" spans="1:6" ht="21.95" customHeight="1">
      <c r="A931" s="8" t="str">
        <f>IFERROR(INDEX('بيانات الحركات'!A:A,MATCH(930,'بيانات الحركات'!$G:$G,0)),"")</f>
        <v/>
      </c>
      <c r="B931" s="5" t="str">
        <f>IFERROR(INDEX('بيانات الحركات'!B:B,MATCH(930,'بيانات الحركات'!$G:$G,0)),"")</f>
        <v/>
      </c>
      <c r="C931" s="3" t="str">
        <f>IFERROR(INDEX('بيانات الحركات'!C:C,MATCH(930,'بيانات الحركات'!$G:$G,0)),"")</f>
        <v/>
      </c>
      <c r="D931" s="3" t="str">
        <f>IFERROR(INDEX('بيانات الحركات'!D:D,MATCH(930,'بيانات الحركات'!$G:$G,0)),"")</f>
        <v/>
      </c>
      <c r="E931" s="21" t="str">
        <f>IF($B931="إنتاج طبخة","",IFERROR(INDEX('بيانات الحركات'!E:E,MATCH(930,'بيانات الحركات'!$G:$G,0)),""))</f>
        <v/>
      </c>
      <c r="F931" s="3" t="str">
        <f>IFERROR(INDEX('بيانات الحركات'!F:F,MATCH(930,'بيانات الحركات'!$G:$G,0)),"")</f>
        <v/>
      </c>
    </row>
    <row r="932" spans="1:6" ht="21.95" customHeight="1">
      <c r="A932" s="8" t="str">
        <f>IFERROR(INDEX('بيانات الحركات'!A:A,MATCH(931,'بيانات الحركات'!$G:$G,0)),"")</f>
        <v/>
      </c>
      <c r="B932" s="5" t="str">
        <f>IFERROR(INDEX('بيانات الحركات'!B:B,MATCH(931,'بيانات الحركات'!$G:$G,0)),"")</f>
        <v/>
      </c>
      <c r="C932" s="3" t="str">
        <f>IFERROR(INDEX('بيانات الحركات'!C:C,MATCH(931,'بيانات الحركات'!$G:$G,0)),"")</f>
        <v/>
      </c>
      <c r="D932" s="3" t="str">
        <f>IFERROR(INDEX('بيانات الحركات'!D:D,MATCH(931,'بيانات الحركات'!$G:$G,0)),"")</f>
        <v/>
      </c>
      <c r="E932" s="21" t="str">
        <f>IF($B932="إنتاج طبخة","",IFERROR(INDEX('بيانات الحركات'!E:E,MATCH(931,'بيانات الحركات'!$G:$G,0)),""))</f>
        <v/>
      </c>
      <c r="F932" s="3" t="str">
        <f>IFERROR(INDEX('بيانات الحركات'!F:F,MATCH(931,'بيانات الحركات'!$G:$G,0)),"")</f>
        <v/>
      </c>
    </row>
    <row r="933" spans="1:6" ht="21.95" customHeight="1">
      <c r="A933" s="8" t="str">
        <f>IFERROR(INDEX('بيانات الحركات'!A:A,MATCH(932,'بيانات الحركات'!$G:$G,0)),"")</f>
        <v/>
      </c>
      <c r="B933" s="5" t="str">
        <f>IFERROR(INDEX('بيانات الحركات'!B:B,MATCH(932,'بيانات الحركات'!$G:$G,0)),"")</f>
        <v/>
      </c>
      <c r="C933" s="3" t="str">
        <f>IFERROR(INDEX('بيانات الحركات'!C:C,MATCH(932,'بيانات الحركات'!$G:$G,0)),"")</f>
        <v/>
      </c>
      <c r="D933" s="3" t="str">
        <f>IFERROR(INDEX('بيانات الحركات'!D:D,MATCH(932,'بيانات الحركات'!$G:$G,0)),"")</f>
        <v/>
      </c>
      <c r="E933" s="21" t="str">
        <f>IF($B933="إنتاج طبخة","",IFERROR(INDEX('بيانات الحركات'!E:E,MATCH(932,'بيانات الحركات'!$G:$G,0)),""))</f>
        <v/>
      </c>
      <c r="F933" s="3" t="str">
        <f>IFERROR(INDEX('بيانات الحركات'!F:F,MATCH(932,'بيانات الحركات'!$G:$G,0)),"")</f>
        <v/>
      </c>
    </row>
    <row r="934" spans="1:6" ht="21.95" customHeight="1">
      <c r="A934" s="8" t="str">
        <f>IFERROR(INDEX('بيانات الحركات'!A:A,MATCH(933,'بيانات الحركات'!$G:$G,0)),"")</f>
        <v/>
      </c>
      <c r="B934" s="5" t="str">
        <f>IFERROR(INDEX('بيانات الحركات'!B:B,MATCH(933,'بيانات الحركات'!$G:$G,0)),"")</f>
        <v/>
      </c>
      <c r="C934" s="3" t="str">
        <f>IFERROR(INDEX('بيانات الحركات'!C:C,MATCH(933,'بيانات الحركات'!$G:$G,0)),"")</f>
        <v/>
      </c>
      <c r="D934" s="3" t="str">
        <f>IFERROR(INDEX('بيانات الحركات'!D:D,MATCH(933,'بيانات الحركات'!$G:$G,0)),"")</f>
        <v/>
      </c>
      <c r="E934" s="21" t="str">
        <f>IF($B934="إنتاج طبخة","",IFERROR(INDEX('بيانات الحركات'!E:E,MATCH(933,'بيانات الحركات'!$G:$G,0)),""))</f>
        <v/>
      </c>
      <c r="F934" s="3" t="str">
        <f>IFERROR(INDEX('بيانات الحركات'!F:F,MATCH(933,'بيانات الحركات'!$G:$G,0)),"")</f>
        <v/>
      </c>
    </row>
    <row r="935" spans="1:6" ht="21.95" customHeight="1">
      <c r="A935" s="8" t="str">
        <f>IFERROR(INDEX('بيانات الحركات'!A:A,MATCH(934,'بيانات الحركات'!$G:$G,0)),"")</f>
        <v/>
      </c>
      <c r="B935" s="5" t="str">
        <f>IFERROR(INDEX('بيانات الحركات'!B:B,MATCH(934,'بيانات الحركات'!$G:$G,0)),"")</f>
        <v/>
      </c>
      <c r="C935" s="3" t="str">
        <f>IFERROR(INDEX('بيانات الحركات'!C:C,MATCH(934,'بيانات الحركات'!$G:$G,0)),"")</f>
        <v/>
      </c>
      <c r="D935" s="3" t="str">
        <f>IFERROR(INDEX('بيانات الحركات'!D:D,MATCH(934,'بيانات الحركات'!$G:$G,0)),"")</f>
        <v/>
      </c>
      <c r="E935" s="21" t="str">
        <f>IF($B935="إنتاج طبخة","",IFERROR(INDEX('بيانات الحركات'!E:E,MATCH(934,'بيانات الحركات'!$G:$G,0)),""))</f>
        <v/>
      </c>
      <c r="F935" s="3" t="str">
        <f>IFERROR(INDEX('بيانات الحركات'!F:F,MATCH(934,'بيانات الحركات'!$G:$G,0)),"")</f>
        <v/>
      </c>
    </row>
    <row r="936" spans="1:6" ht="21.95" customHeight="1">
      <c r="A936" s="8" t="str">
        <f>IFERROR(INDEX('بيانات الحركات'!A:A,MATCH(935,'بيانات الحركات'!$G:$G,0)),"")</f>
        <v/>
      </c>
      <c r="B936" s="5" t="str">
        <f>IFERROR(INDEX('بيانات الحركات'!B:B,MATCH(935,'بيانات الحركات'!$G:$G,0)),"")</f>
        <v/>
      </c>
      <c r="C936" s="3" t="str">
        <f>IFERROR(INDEX('بيانات الحركات'!C:C,MATCH(935,'بيانات الحركات'!$G:$G,0)),"")</f>
        <v/>
      </c>
      <c r="D936" s="3" t="str">
        <f>IFERROR(INDEX('بيانات الحركات'!D:D,MATCH(935,'بيانات الحركات'!$G:$G,0)),"")</f>
        <v/>
      </c>
      <c r="E936" s="21" t="str">
        <f>IF($B936="إنتاج طبخة","",IFERROR(INDEX('بيانات الحركات'!E:E,MATCH(935,'بيانات الحركات'!$G:$G,0)),""))</f>
        <v/>
      </c>
      <c r="F936" s="3" t="str">
        <f>IFERROR(INDEX('بيانات الحركات'!F:F,MATCH(935,'بيانات الحركات'!$G:$G,0)),"")</f>
        <v/>
      </c>
    </row>
    <row r="937" spans="1:6" ht="21.95" customHeight="1">
      <c r="A937" s="8" t="str">
        <f>IFERROR(INDEX('بيانات الحركات'!A:A,MATCH(936,'بيانات الحركات'!$G:$G,0)),"")</f>
        <v/>
      </c>
      <c r="B937" s="5" t="str">
        <f>IFERROR(INDEX('بيانات الحركات'!B:B,MATCH(936,'بيانات الحركات'!$G:$G,0)),"")</f>
        <v/>
      </c>
      <c r="C937" s="3" t="str">
        <f>IFERROR(INDEX('بيانات الحركات'!C:C,MATCH(936,'بيانات الحركات'!$G:$G,0)),"")</f>
        <v/>
      </c>
      <c r="D937" s="3" t="str">
        <f>IFERROR(INDEX('بيانات الحركات'!D:D,MATCH(936,'بيانات الحركات'!$G:$G,0)),"")</f>
        <v/>
      </c>
      <c r="E937" s="21" t="str">
        <f>IF($B937="إنتاج طبخة","",IFERROR(INDEX('بيانات الحركات'!E:E,MATCH(936,'بيانات الحركات'!$G:$G,0)),""))</f>
        <v/>
      </c>
      <c r="F937" s="3" t="str">
        <f>IFERROR(INDEX('بيانات الحركات'!F:F,MATCH(936,'بيانات الحركات'!$G:$G,0)),"")</f>
        <v/>
      </c>
    </row>
    <row r="938" spans="1:6" ht="21.95" customHeight="1">
      <c r="A938" s="8" t="str">
        <f>IFERROR(INDEX('بيانات الحركات'!A:A,MATCH(937,'بيانات الحركات'!$G:$G,0)),"")</f>
        <v/>
      </c>
      <c r="B938" s="5" t="str">
        <f>IFERROR(INDEX('بيانات الحركات'!B:B,MATCH(937,'بيانات الحركات'!$G:$G,0)),"")</f>
        <v/>
      </c>
      <c r="C938" s="3" t="str">
        <f>IFERROR(INDEX('بيانات الحركات'!C:C,MATCH(937,'بيانات الحركات'!$G:$G,0)),"")</f>
        <v/>
      </c>
      <c r="D938" s="3" t="str">
        <f>IFERROR(INDEX('بيانات الحركات'!D:D,MATCH(937,'بيانات الحركات'!$G:$G,0)),"")</f>
        <v/>
      </c>
      <c r="E938" s="21" t="str">
        <f>IF($B938="إنتاج طبخة","",IFERROR(INDEX('بيانات الحركات'!E:E,MATCH(937,'بيانات الحركات'!$G:$G,0)),""))</f>
        <v/>
      </c>
      <c r="F938" s="3" t="str">
        <f>IFERROR(INDEX('بيانات الحركات'!F:F,MATCH(937,'بيانات الحركات'!$G:$G,0)),"")</f>
        <v/>
      </c>
    </row>
    <row r="939" spans="1:6" ht="21.95" customHeight="1">
      <c r="A939" s="8" t="str">
        <f>IFERROR(INDEX('بيانات الحركات'!A:A,MATCH(938,'بيانات الحركات'!$G:$G,0)),"")</f>
        <v/>
      </c>
      <c r="B939" s="5" t="str">
        <f>IFERROR(INDEX('بيانات الحركات'!B:B,MATCH(938,'بيانات الحركات'!$G:$G,0)),"")</f>
        <v/>
      </c>
      <c r="C939" s="3" t="str">
        <f>IFERROR(INDEX('بيانات الحركات'!C:C,MATCH(938,'بيانات الحركات'!$G:$G,0)),"")</f>
        <v/>
      </c>
      <c r="D939" s="3" t="str">
        <f>IFERROR(INDEX('بيانات الحركات'!D:D,MATCH(938,'بيانات الحركات'!$G:$G,0)),"")</f>
        <v/>
      </c>
      <c r="E939" s="21" t="str">
        <f>IF($B939="إنتاج طبخة","",IFERROR(INDEX('بيانات الحركات'!E:E,MATCH(938,'بيانات الحركات'!$G:$G,0)),""))</f>
        <v/>
      </c>
      <c r="F939" s="3" t="str">
        <f>IFERROR(INDEX('بيانات الحركات'!F:F,MATCH(938,'بيانات الحركات'!$G:$G,0)),"")</f>
        <v/>
      </c>
    </row>
    <row r="940" spans="1:6" ht="21.95" customHeight="1">
      <c r="A940" s="8" t="str">
        <f>IFERROR(INDEX('بيانات الحركات'!A:A,MATCH(939,'بيانات الحركات'!$G:$G,0)),"")</f>
        <v/>
      </c>
      <c r="B940" s="5" t="str">
        <f>IFERROR(INDEX('بيانات الحركات'!B:B,MATCH(939,'بيانات الحركات'!$G:$G,0)),"")</f>
        <v/>
      </c>
      <c r="C940" s="3" t="str">
        <f>IFERROR(INDEX('بيانات الحركات'!C:C,MATCH(939,'بيانات الحركات'!$G:$G,0)),"")</f>
        <v/>
      </c>
      <c r="D940" s="3" t="str">
        <f>IFERROR(INDEX('بيانات الحركات'!D:D,MATCH(939,'بيانات الحركات'!$G:$G,0)),"")</f>
        <v/>
      </c>
      <c r="E940" s="21" t="str">
        <f>IF($B940="إنتاج طبخة","",IFERROR(INDEX('بيانات الحركات'!E:E,MATCH(939,'بيانات الحركات'!$G:$G,0)),""))</f>
        <v/>
      </c>
      <c r="F940" s="3" t="str">
        <f>IFERROR(INDEX('بيانات الحركات'!F:F,MATCH(939,'بيانات الحركات'!$G:$G,0)),"")</f>
        <v/>
      </c>
    </row>
    <row r="941" spans="1:6" ht="21.95" customHeight="1">
      <c r="A941" s="8" t="str">
        <f>IFERROR(INDEX('بيانات الحركات'!A:A,MATCH(940,'بيانات الحركات'!$G:$G,0)),"")</f>
        <v/>
      </c>
      <c r="B941" s="5" t="str">
        <f>IFERROR(INDEX('بيانات الحركات'!B:B,MATCH(940,'بيانات الحركات'!$G:$G,0)),"")</f>
        <v/>
      </c>
      <c r="C941" s="3" t="str">
        <f>IFERROR(INDEX('بيانات الحركات'!C:C,MATCH(940,'بيانات الحركات'!$G:$G,0)),"")</f>
        <v/>
      </c>
      <c r="D941" s="3" t="str">
        <f>IFERROR(INDEX('بيانات الحركات'!D:D,MATCH(940,'بيانات الحركات'!$G:$G,0)),"")</f>
        <v/>
      </c>
      <c r="E941" s="21" t="str">
        <f>IF($B941="إنتاج طبخة","",IFERROR(INDEX('بيانات الحركات'!E:E,MATCH(940,'بيانات الحركات'!$G:$G,0)),""))</f>
        <v/>
      </c>
      <c r="F941" s="3" t="str">
        <f>IFERROR(INDEX('بيانات الحركات'!F:F,MATCH(940,'بيانات الحركات'!$G:$G,0)),"")</f>
        <v/>
      </c>
    </row>
    <row r="942" spans="1:6" ht="21.95" customHeight="1">
      <c r="A942" s="8" t="str">
        <f>IFERROR(INDEX('بيانات الحركات'!A:A,MATCH(941,'بيانات الحركات'!$G:$G,0)),"")</f>
        <v/>
      </c>
      <c r="B942" s="5" t="str">
        <f>IFERROR(INDEX('بيانات الحركات'!B:B,MATCH(941,'بيانات الحركات'!$G:$G,0)),"")</f>
        <v/>
      </c>
      <c r="C942" s="3" t="str">
        <f>IFERROR(INDEX('بيانات الحركات'!C:C,MATCH(941,'بيانات الحركات'!$G:$G,0)),"")</f>
        <v/>
      </c>
      <c r="D942" s="3" t="str">
        <f>IFERROR(INDEX('بيانات الحركات'!D:D,MATCH(941,'بيانات الحركات'!$G:$G,0)),"")</f>
        <v/>
      </c>
      <c r="E942" s="21" t="str">
        <f>IF($B942="إنتاج طبخة","",IFERROR(INDEX('بيانات الحركات'!E:E,MATCH(941,'بيانات الحركات'!$G:$G,0)),""))</f>
        <v/>
      </c>
      <c r="F942" s="3" t="str">
        <f>IFERROR(INDEX('بيانات الحركات'!F:F,MATCH(941,'بيانات الحركات'!$G:$G,0)),"")</f>
        <v/>
      </c>
    </row>
    <row r="943" spans="1:6" ht="21.95" customHeight="1">
      <c r="A943" s="8" t="str">
        <f>IFERROR(INDEX('بيانات الحركات'!A:A,MATCH(942,'بيانات الحركات'!$G:$G,0)),"")</f>
        <v/>
      </c>
      <c r="B943" s="5" t="str">
        <f>IFERROR(INDEX('بيانات الحركات'!B:B,MATCH(942,'بيانات الحركات'!$G:$G,0)),"")</f>
        <v/>
      </c>
      <c r="C943" s="3" t="str">
        <f>IFERROR(INDEX('بيانات الحركات'!C:C,MATCH(942,'بيانات الحركات'!$G:$G,0)),"")</f>
        <v/>
      </c>
      <c r="D943" s="3" t="str">
        <f>IFERROR(INDEX('بيانات الحركات'!D:D,MATCH(942,'بيانات الحركات'!$G:$G,0)),"")</f>
        <v/>
      </c>
      <c r="E943" s="21" t="str">
        <f>IF($B943="إنتاج طبخة","",IFERROR(INDEX('بيانات الحركات'!E:E,MATCH(942,'بيانات الحركات'!$G:$G,0)),""))</f>
        <v/>
      </c>
      <c r="F943" s="3" t="str">
        <f>IFERROR(INDEX('بيانات الحركات'!F:F,MATCH(942,'بيانات الحركات'!$G:$G,0)),"")</f>
        <v/>
      </c>
    </row>
    <row r="944" spans="1:6" ht="21.95" customHeight="1">
      <c r="A944" s="8" t="str">
        <f>IFERROR(INDEX('بيانات الحركات'!A:A,MATCH(943,'بيانات الحركات'!$G:$G,0)),"")</f>
        <v/>
      </c>
      <c r="B944" s="5" t="str">
        <f>IFERROR(INDEX('بيانات الحركات'!B:B,MATCH(943,'بيانات الحركات'!$G:$G,0)),"")</f>
        <v/>
      </c>
      <c r="C944" s="3" t="str">
        <f>IFERROR(INDEX('بيانات الحركات'!C:C,MATCH(943,'بيانات الحركات'!$G:$G,0)),"")</f>
        <v/>
      </c>
      <c r="D944" s="3" t="str">
        <f>IFERROR(INDEX('بيانات الحركات'!D:D,MATCH(943,'بيانات الحركات'!$G:$G,0)),"")</f>
        <v/>
      </c>
      <c r="E944" s="21" t="str">
        <f>IF($B944="إنتاج طبخة","",IFERROR(INDEX('بيانات الحركات'!E:E,MATCH(943,'بيانات الحركات'!$G:$G,0)),""))</f>
        <v/>
      </c>
      <c r="F944" s="3" t="str">
        <f>IFERROR(INDEX('بيانات الحركات'!F:F,MATCH(943,'بيانات الحركات'!$G:$G,0)),"")</f>
        <v/>
      </c>
    </row>
    <row r="945" spans="1:6" ht="21.95" customHeight="1">
      <c r="A945" s="8" t="str">
        <f>IFERROR(INDEX('بيانات الحركات'!A:A,MATCH(944,'بيانات الحركات'!$G:$G,0)),"")</f>
        <v/>
      </c>
      <c r="B945" s="5" t="str">
        <f>IFERROR(INDEX('بيانات الحركات'!B:B,MATCH(944,'بيانات الحركات'!$G:$G,0)),"")</f>
        <v/>
      </c>
      <c r="C945" s="3" t="str">
        <f>IFERROR(INDEX('بيانات الحركات'!C:C,MATCH(944,'بيانات الحركات'!$G:$G,0)),"")</f>
        <v/>
      </c>
      <c r="D945" s="3" t="str">
        <f>IFERROR(INDEX('بيانات الحركات'!D:D,MATCH(944,'بيانات الحركات'!$G:$G,0)),"")</f>
        <v/>
      </c>
      <c r="E945" s="21" t="str">
        <f>IF($B945="إنتاج طبخة","",IFERROR(INDEX('بيانات الحركات'!E:E,MATCH(944,'بيانات الحركات'!$G:$G,0)),""))</f>
        <v/>
      </c>
      <c r="F945" s="3" t="str">
        <f>IFERROR(INDEX('بيانات الحركات'!F:F,MATCH(944,'بيانات الحركات'!$G:$G,0)),"")</f>
        <v/>
      </c>
    </row>
    <row r="946" spans="1:6" ht="21.95" customHeight="1">
      <c r="A946" s="8" t="str">
        <f>IFERROR(INDEX('بيانات الحركات'!A:A,MATCH(945,'بيانات الحركات'!$G:$G,0)),"")</f>
        <v/>
      </c>
      <c r="B946" s="5" t="str">
        <f>IFERROR(INDEX('بيانات الحركات'!B:B,MATCH(945,'بيانات الحركات'!$G:$G,0)),"")</f>
        <v/>
      </c>
      <c r="C946" s="3" t="str">
        <f>IFERROR(INDEX('بيانات الحركات'!C:C,MATCH(945,'بيانات الحركات'!$G:$G,0)),"")</f>
        <v/>
      </c>
      <c r="D946" s="3" t="str">
        <f>IFERROR(INDEX('بيانات الحركات'!D:D,MATCH(945,'بيانات الحركات'!$G:$G,0)),"")</f>
        <v/>
      </c>
      <c r="E946" s="21" t="str">
        <f>IF($B946="إنتاج طبخة","",IFERROR(INDEX('بيانات الحركات'!E:E,MATCH(945,'بيانات الحركات'!$G:$G,0)),""))</f>
        <v/>
      </c>
      <c r="F946" s="3" t="str">
        <f>IFERROR(INDEX('بيانات الحركات'!F:F,MATCH(945,'بيانات الحركات'!$G:$G,0)),"")</f>
        <v/>
      </c>
    </row>
    <row r="947" spans="1:6" ht="21.95" customHeight="1">
      <c r="A947" s="8" t="str">
        <f>IFERROR(INDEX('بيانات الحركات'!A:A,MATCH(946,'بيانات الحركات'!$G:$G,0)),"")</f>
        <v/>
      </c>
      <c r="B947" s="5" t="str">
        <f>IFERROR(INDEX('بيانات الحركات'!B:B,MATCH(946,'بيانات الحركات'!$G:$G,0)),"")</f>
        <v/>
      </c>
      <c r="C947" s="3" t="str">
        <f>IFERROR(INDEX('بيانات الحركات'!C:C,MATCH(946,'بيانات الحركات'!$G:$G,0)),"")</f>
        <v/>
      </c>
      <c r="D947" s="3" t="str">
        <f>IFERROR(INDEX('بيانات الحركات'!D:D,MATCH(946,'بيانات الحركات'!$G:$G,0)),"")</f>
        <v/>
      </c>
      <c r="E947" s="21" t="str">
        <f>IF($B947="إنتاج طبخة","",IFERROR(INDEX('بيانات الحركات'!E:E,MATCH(946,'بيانات الحركات'!$G:$G,0)),""))</f>
        <v/>
      </c>
      <c r="F947" s="3" t="str">
        <f>IFERROR(INDEX('بيانات الحركات'!F:F,MATCH(946,'بيانات الحركات'!$G:$G,0)),"")</f>
        <v/>
      </c>
    </row>
    <row r="948" spans="1:6" ht="21.95" customHeight="1">
      <c r="A948" s="8" t="str">
        <f>IFERROR(INDEX('بيانات الحركات'!A:A,MATCH(947,'بيانات الحركات'!$G:$G,0)),"")</f>
        <v/>
      </c>
      <c r="B948" s="5" t="str">
        <f>IFERROR(INDEX('بيانات الحركات'!B:B,MATCH(947,'بيانات الحركات'!$G:$G,0)),"")</f>
        <v/>
      </c>
      <c r="C948" s="3" t="str">
        <f>IFERROR(INDEX('بيانات الحركات'!C:C,MATCH(947,'بيانات الحركات'!$G:$G,0)),"")</f>
        <v/>
      </c>
      <c r="D948" s="3" t="str">
        <f>IFERROR(INDEX('بيانات الحركات'!D:D,MATCH(947,'بيانات الحركات'!$G:$G,0)),"")</f>
        <v/>
      </c>
      <c r="E948" s="21" t="str">
        <f>IF($B948="إنتاج طبخة","",IFERROR(INDEX('بيانات الحركات'!E:E,MATCH(947,'بيانات الحركات'!$G:$G,0)),""))</f>
        <v/>
      </c>
      <c r="F948" s="3" t="str">
        <f>IFERROR(INDEX('بيانات الحركات'!F:F,MATCH(947,'بيانات الحركات'!$G:$G,0)),"")</f>
        <v/>
      </c>
    </row>
    <row r="949" spans="1:6" ht="21.95" customHeight="1">
      <c r="A949" s="8" t="str">
        <f>IFERROR(INDEX('بيانات الحركات'!A:A,MATCH(948,'بيانات الحركات'!$G:$G,0)),"")</f>
        <v/>
      </c>
      <c r="B949" s="5" t="str">
        <f>IFERROR(INDEX('بيانات الحركات'!B:B,MATCH(948,'بيانات الحركات'!$G:$G,0)),"")</f>
        <v/>
      </c>
      <c r="C949" s="3" t="str">
        <f>IFERROR(INDEX('بيانات الحركات'!C:C,MATCH(948,'بيانات الحركات'!$G:$G,0)),"")</f>
        <v/>
      </c>
      <c r="D949" s="3" t="str">
        <f>IFERROR(INDEX('بيانات الحركات'!D:D,MATCH(948,'بيانات الحركات'!$G:$G,0)),"")</f>
        <v/>
      </c>
      <c r="E949" s="21" t="str">
        <f>IF($B949="إنتاج طبخة","",IFERROR(INDEX('بيانات الحركات'!E:E,MATCH(948,'بيانات الحركات'!$G:$G,0)),""))</f>
        <v/>
      </c>
      <c r="F949" s="3" t="str">
        <f>IFERROR(INDEX('بيانات الحركات'!F:F,MATCH(948,'بيانات الحركات'!$G:$G,0)),"")</f>
        <v/>
      </c>
    </row>
    <row r="950" spans="1:6" ht="21.95" customHeight="1">
      <c r="A950" s="8" t="str">
        <f>IFERROR(INDEX('بيانات الحركات'!A:A,MATCH(949,'بيانات الحركات'!$G:$G,0)),"")</f>
        <v/>
      </c>
      <c r="B950" s="5" t="str">
        <f>IFERROR(INDEX('بيانات الحركات'!B:B,MATCH(949,'بيانات الحركات'!$G:$G,0)),"")</f>
        <v/>
      </c>
      <c r="C950" s="3" t="str">
        <f>IFERROR(INDEX('بيانات الحركات'!C:C,MATCH(949,'بيانات الحركات'!$G:$G,0)),"")</f>
        <v/>
      </c>
      <c r="D950" s="3" t="str">
        <f>IFERROR(INDEX('بيانات الحركات'!D:D,MATCH(949,'بيانات الحركات'!$G:$G,0)),"")</f>
        <v/>
      </c>
      <c r="E950" s="21" t="str">
        <f>IF($B950="إنتاج طبخة","",IFERROR(INDEX('بيانات الحركات'!E:E,MATCH(949,'بيانات الحركات'!$G:$G,0)),""))</f>
        <v/>
      </c>
      <c r="F950" s="3" t="str">
        <f>IFERROR(INDEX('بيانات الحركات'!F:F,MATCH(949,'بيانات الحركات'!$G:$G,0)),"")</f>
        <v/>
      </c>
    </row>
    <row r="951" spans="1:6" ht="21.95" customHeight="1">
      <c r="A951" s="8" t="str">
        <f>IFERROR(INDEX('بيانات الحركات'!A:A,MATCH(950,'بيانات الحركات'!$G:$G,0)),"")</f>
        <v/>
      </c>
      <c r="B951" s="5" t="str">
        <f>IFERROR(INDEX('بيانات الحركات'!B:B,MATCH(950,'بيانات الحركات'!$G:$G,0)),"")</f>
        <v/>
      </c>
      <c r="C951" s="3" t="str">
        <f>IFERROR(INDEX('بيانات الحركات'!C:C,MATCH(950,'بيانات الحركات'!$G:$G,0)),"")</f>
        <v/>
      </c>
      <c r="D951" s="3" t="str">
        <f>IFERROR(INDEX('بيانات الحركات'!D:D,MATCH(950,'بيانات الحركات'!$G:$G,0)),"")</f>
        <v/>
      </c>
      <c r="E951" s="21" t="str">
        <f>IF($B951="إنتاج طبخة","",IFERROR(INDEX('بيانات الحركات'!E:E,MATCH(950,'بيانات الحركات'!$G:$G,0)),""))</f>
        <v/>
      </c>
      <c r="F951" s="3" t="str">
        <f>IFERROR(INDEX('بيانات الحركات'!F:F,MATCH(950,'بيانات الحركات'!$G:$G,0)),"")</f>
        <v/>
      </c>
    </row>
    <row r="952" spans="1:6" ht="21.95" customHeight="1">
      <c r="A952" s="8" t="str">
        <f>IFERROR(INDEX('بيانات الحركات'!A:A,MATCH(951,'بيانات الحركات'!$G:$G,0)),"")</f>
        <v/>
      </c>
      <c r="B952" s="5" t="str">
        <f>IFERROR(INDEX('بيانات الحركات'!B:B,MATCH(951,'بيانات الحركات'!$G:$G,0)),"")</f>
        <v/>
      </c>
      <c r="C952" s="3" t="str">
        <f>IFERROR(INDEX('بيانات الحركات'!C:C,MATCH(951,'بيانات الحركات'!$G:$G,0)),"")</f>
        <v/>
      </c>
      <c r="D952" s="3" t="str">
        <f>IFERROR(INDEX('بيانات الحركات'!D:D,MATCH(951,'بيانات الحركات'!$G:$G,0)),"")</f>
        <v/>
      </c>
      <c r="E952" s="21" t="str">
        <f>IF($B952="إنتاج طبخة","",IFERROR(INDEX('بيانات الحركات'!E:E,MATCH(951,'بيانات الحركات'!$G:$G,0)),""))</f>
        <v/>
      </c>
      <c r="F952" s="3" t="str">
        <f>IFERROR(INDEX('بيانات الحركات'!F:F,MATCH(951,'بيانات الحركات'!$G:$G,0)),"")</f>
        <v/>
      </c>
    </row>
    <row r="953" spans="1:6" ht="21.95" customHeight="1">
      <c r="A953" s="8" t="str">
        <f>IFERROR(INDEX('بيانات الحركات'!A:A,MATCH(952,'بيانات الحركات'!$G:$G,0)),"")</f>
        <v/>
      </c>
      <c r="B953" s="5" t="str">
        <f>IFERROR(INDEX('بيانات الحركات'!B:B,MATCH(952,'بيانات الحركات'!$G:$G,0)),"")</f>
        <v/>
      </c>
      <c r="C953" s="3" t="str">
        <f>IFERROR(INDEX('بيانات الحركات'!C:C,MATCH(952,'بيانات الحركات'!$G:$G,0)),"")</f>
        <v/>
      </c>
      <c r="D953" s="3" t="str">
        <f>IFERROR(INDEX('بيانات الحركات'!D:D,MATCH(952,'بيانات الحركات'!$G:$G,0)),"")</f>
        <v/>
      </c>
      <c r="E953" s="21" t="str">
        <f>IF($B953="إنتاج طبخة","",IFERROR(INDEX('بيانات الحركات'!E:E,MATCH(952,'بيانات الحركات'!$G:$G,0)),""))</f>
        <v/>
      </c>
      <c r="F953" s="3" t="str">
        <f>IFERROR(INDEX('بيانات الحركات'!F:F,MATCH(952,'بيانات الحركات'!$G:$G,0)),"")</f>
        <v/>
      </c>
    </row>
    <row r="954" spans="1:6" ht="21.95" customHeight="1">
      <c r="A954" s="8" t="str">
        <f>IFERROR(INDEX('بيانات الحركات'!A:A,MATCH(953,'بيانات الحركات'!$G:$G,0)),"")</f>
        <v/>
      </c>
      <c r="B954" s="5" t="str">
        <f>IFERROR(INDEX('بيانات الحركات'!B:B,MATCH(953,'بيانات الحركات'!$G:$G,0)),"")</f>
        <v/>
      </c>
      <c r="C954" s="3" t="str">
        <f>IFERROR(INDEX('بيانات الحركات'!C:C,MATCH(953,'بيانات الحركات'!$G:$G,0)),"")</f>
        <v/>
      </c>
      <c r="D954" s="3" t="str">
        <f>IFERROR(INDEX('بيانات الحركات'!D:D,MATCH(953,'بيانات الحركات'!$G:$G,0)),"")</f>
        <v/>
      </c>
      <c r="E954" s="21" t="str">
        <f>IF($B954="إنتاج طبخة","",IFERROR(INDEX('بيانات الحركات'!E:E,MATCH(953,'بيانات الحركات'!$G:$G,0)),""))</f>
        <v/>
      </c>
      <c r="F954" s="3" t="str">
        <f>IFERROR(INDEX('بيانات الحركات'!F:F,MATCH(953,'بيانات الحركات'!$G:$G,0)),"")</f>
        <v/>
      </c>
    </row>
    <row r="955" spans="1:6" ht="21.95" customHeight="1">
      <c r="A955" s="8" t="str">
        <f>IFERROR(INDEX('بيانات الحركات'!A:A,MATCH(954,'بيانات الحركات'!$G:$G,0)),"")</f>
        <v/>
      </c>
      <c r="B955" s="5" t="str">
        <f>IFERROR(INDEX('بيانات الحركات'!B:B,MATCH(954,'بيانات الحركات'!$G:$G,0)),"")</f>
        <v/>
      </c>
      <c r="C955" s="3" t="str">
        <f>IFERROR(INDEX('بيانات الحركات'!C:C,MATCH(954,'بيانات الحركات'!$G:$G,0)),"")</f>
        <v/>
      </c>
      <c r="D955" s="3" t="str">
        <f>IFERROR(INDEX('بيانات الحركات'!D:D,MATCH(954,'بيانات الحركات'!$G:$G,0)),"")</f>
        <v/>
      </c>
      <c r="E955" s="21" t="str">
        <f>IF($B955="إنتاج طبخة","",IFERROR(INDEX('بيانات الحركات'!E:E,MATCH(954,'بيانات الحركات'!$G:$G,0)),""))</f>
        <v/>
      </c>
      <c r="F955" s="3" t="str">
        <f>IFERROR(INDEX('بيانات الحركات'!F:F,MATCH(954,'بيانات الحركات'!$G:$G,0)),"")</f>
        <v/>
      </c>
    </row>
    <row r="956" spans="1:6" ht="21.95" customHeight="1">
      <c r="A956" s="8" t="str">
        <f>IFERROR(INDEX('بيانات الحركات'!A:A,MATCH(955,'بيانات الحركات'!$G:$G,0)),"")</f>
        <v/>
      </c>
      <c r="B956" s="5" t="str">
        <f>IFERROR(INDEX('بيانات الحركات'!B:B,MATCH(955,'بيانات الحركات'!$G:$G,0)),"")</f>
        <v/>
      </c>
      <c r="C956" s="3" t="str">
        <f>IFERROR(INDEX('بيانات الحركات'!C:C,MATCH(955,'بيانات الحركات'!$G:$G,0)),"")</f>
        <v/>
      </c>
      <c r="D956" s="3" t="str">
        <f>IFERROR(INDEX('بيانات الحركات'!D:D,MATCH(955,'بيانات الحركات'!$G:$G,0)),"")</f>
        <v/>
      </c>
      <c r="E956" s="21" t="str">
        <f>IF($B956="إنتاج طبخة","",IFERROR(INDEX('بيانات الحركات'!E:E,MATCH(955,'بيانات الحركات'!$G:$G,0)),""))</f>
        <v/>
      </c>
      <c r="F956" s="3" t="str">
        <f>IFERROR(INDEX('بيانات الحركات'!F:F,MATCH(955,'بيانات الحركات'!$G:$G,0)),"")</f>
        <v/>
      </c>
    </row>
    <row r="957" spans="1:6" ht="21.95" customHeight="1">
      <c r="A957" s="8" t="str">
        <f>IFERROR(INDEX('بيانات الحركات'!A:A,MATCH(956,'بيانات الحركات'!$G:$G,0)),"")</f>
        <v/>
      </c>
      <c r="B957" s="5" t="str">
        <f>IFERROR(INDEX('بيانات الحركات'!B:B,MATCH(956,'بيانات الحركات'!$G:$G,0)),"")</f>
        <v/>
      </c>
      <c r="C957" s="3" t="str">
        <f>IFERROR(INDEX('بيانات الحركات'!C:C,MATCH(956,'بيانات الحركات'!$G:$G,0)),"")</f>
        <v/>
      </c>
      <c r="D957" s="3" t="str">
        <f>IFERROR(INDEX('بيانات الحركات'!D:D,MATCH(956,'بيانات الحركات'!$G:$G,0)),"")</f>
        <v/>
      </c>
      <c r="E957" s="21" t="str">
        <f>IF($B957="إنتاج طبخة","",IFERROR(INDEX('بيانات الحركات'!E:E,MATCH(956,'بيانات الحركات'!$G:$G,0)),""))</f>
        <v/>
      </c>
      <c r="F957" s="3" t="str">
        <f>IFERROR(INDEX('بيانات الحركات'!F:F,MATCH(956,'بيانات الحركات'!$G:$G,0)),"")</f>
        <v/>
      </c>
    </row>
    <row r="958" spans="1:6" ht="21.95" customHeight="1">
      <c r="A958" s="8" t="str">
        <f>IFERROR(INDEX('بيانات الحركات'!A:A,MATCH(957,'بيانات الحركات'!$G:$G,0)),"")</f>
        <v/>
      </c>
      <c r="B958" s="5" t="str">
        <f>IFERROR(INDEX('بيانات الحركات'!B:B,MATCH(957,'بيانات الحركات'!$G:$G,0)),"")</f>
        <v/>
      </c>
      <c r="C958" s="3" t="str">
        <f>IFERROR(INDEX('بيانات الحركات'!C:C,MATCH(957,'بيانات الحركات'!$G:$G,0)),"")</f>
        <v/>
      </c>
      <c r="D958" s="3" t="str">
        <f>IFERROR(INDEX('بيانات الحركات'!D:D,MATCH(957,'بيانات الحركات'!$G:$G,0)),"")</f>
        <v/>
      </c>
      <c r="E958" s="21" t="str">
        <f>IF($B958="إنتاج طبخة","",IFERROR(INDEX('بيانات الحركات'!E:E,MATCH(957,'بيانات الحركات'!$G:$G,0)),""))</f>
        <v/>
      </c>
      <c r="F958" s="3" t="str">
        <f>IFERROR(INDEX('بيانات الحركات'!F:F,MATCH(957,'بيانات الحركات'!$G:$G,0)),"")</f>
        <v/>
      </c>
    </row>
    <row r="959" spans="1:6" ht="21.95" customHeight="1">
      <c r="A959" s="8" t="str">
        <f>IFERROR(INDEX('بيانات الحركات'!A:A,MATCH(958,'بيانات الحركات'!$G:$G,0)),"")</f>
        <v/>
      </c>
      <c r="B959" s="5" t="str">
        <f>IFERROR(INDEX('بيانات الحركات'!B:B,MATCH(958,'بيانات الحركات'!$G:$G,0)),"")</f>
        <v/>
      </c>
      <c r="C959" s="3" t="str">
        <f>IFERROR(INDEX('بيانات الحركات'!C:C,MATCH(958,'بيانات الحركات'!$G:$G,0)),"")</f>
        <v/>
      </c>
      <c r="D959" s="3" t="str">
        <f>IFERROR(INDEX('بيانات الحركات'!D:D,MATCH(958,'بيانات الحركات'!$G:$G,0)),"")</f>
        <v/>
      </c>
      <c r="E959" s="21" t="str">
        <f>IF($B959="إنتاج طبخة","",IFERROR(INDEX('بيانات الحركات'!E:E,MATCH(958,'بيانات الحركات'!$G:$G,0)),""))</f>
        <v/>
      </c>
      <c r="F959" s="3" t="str">
        <f>IFERROR(INDEX('بيانات الحركات'!F:F,MATCH(958,'بيانات الحركات'!$G:$G,0)),"")</f>
        <v/>
      </c>
    </row>
    <row r="960" spans="1:6" ht="21.95" customHeight="1">
      <c r="A960" s="8" t="str">
        <f>IFERROR(INDEX('بيانات الحركات'!A:A,MATCH(959,'بيانات الحركات'!$G:$G,0)),"")</f>
        <v/>
      </c>
      <c r="B960" s="5" t="str">
        <f>IFERROR(INDEX('بيانات الحركات'!B:B,MATCH(959,'بيانات الحركات'!$G:$G,0)),"")</f>
        <v/>
      </c>
      <c r="C960" s="3" t="str">
        <f>IFERROR(INDEX('بيانات الحركات'!C:C,MATCH(959,'بيانات الحركات'!$G:$G,0)),"")</f>
        <v/>
      </c>
      <c r="D960" s="3" t="str">
        <f>IFERROR(INDEX('بيانات الحركات'!D:D,MATCH(959,'بيانات الحركات'!$G:$G,0)),"")</f>
        <v/>
      </c>
      <c r="E960" s="21" t="str">
        <f>IF($B960="إنتاج طبخة","",IFERROR(INDEX('بيانات الحركات'!E:E,MATCH(959,'بيانات الحركات'!$G:$G,0)),""))</f>
        <v/>
      </c>
      <c r="F960" s="3" t="str">
        <f>IFERROR(INDEX('بيانات الحركات'!F:F,MATCH(959,'بيانات الحركات'!$G:$G,0)),"")</f>
        <v/>
      </c>
    </row>
    <row r="961" spans="1:6" ht="21.95" customHeight="1">
      <c r="A961" s="8" t="str">
        <f>IFERROR(INDEX('بيانات الحركات'!A:A,MATCH(960,'بيانات الحركات'!$G:$G,0)),"")</f>
        <v/>
      </c>
      <c r="B961" s="5" t="str">
        <f>IFERROR(INDEX('بيانات الحركات'!B:B,MATCH(960,'بيانات الحركات'!$G:$G,0)),"")</f>
        <v/>
      </c>
      <c r="C961" s="3" t="str">
        <f>IFERROR(INDEX('بيانات الحركات'!C:C,MATCH(960,'بيانات الحركات'!$G:$G,0)),"")</f>
        <v/>
      </c>
      <c r="D961" s="3" t="str">
        <f>IFERROR(INDEX('بيانات الحركات'!D:D,MATCH(960,'بيانات الحركات'!$G:$G,0)),"")</f>
        <v/>
      </c>
      <c r="E961" s="21" t="str">
        <f>IF($B961="إنتاج طبخة","",IFERROR(INDEX('بيانات الحركات'!E:E,MATCH(960,'بيانات الحركات'!$G:$G,0)),""))</f>
        <v/>
      </c>
      <c r="F961" s="3" t="str">
        <f>IFERROR(INDEX('بيانات الحركات'!F:F,MATCH(960,'بيانات الحركات'!$G:$G,0)),"")</f>
        <v/>
      </c>
    </row>
    <row r="962" spans="1:6" ht="21.95" customHeight="1">
      <c r="A962" s="8" t="str">
        <f>IFERROR(INDEX('بيانات الحركات'!A:A,MATCH(961,'بيانات الحركات'!$G:$G,0)),"")</f>
        <v/>
      </c>
      <c r="B962" s="5" t="str">
        <f>IFERROR(INDEX('بيانات الحركات'!B:B,MATCH(961,'بيانات الحركات'!$G:$G,0)),"")</f>
        <v/>
      </c>
      <c r="C962" s="3" t="str">
        <f>IFERROR(INDEX('بيانات الحركات'!C:C,MATCH(961,'بيانات الحركات'!$G:$G,0)),"")</f>
        <v/>
      </c>
      <c r="D962" s="3" t="str">
        <f>IFERROR(INDEX('بيانات الحركات'!D:D,MATCH(961,'بيانات الحركات'!$G:$G,0)),"")</f>
        <v/>
      </c>
      <c r="E962" s="21" t="str">
        <f>IF($B962="إنتاج طبخة","",IFERROR(INDEX('بيانات الحركات'!E:E,MATCH(961,'بيانات الحركات'!$G:$G,0)),""))</f>
        <v/>
      </c>
      <c r="F962" s="3" t="str">
        <f>IFERROR(INDEX('بيانات الحركات'!F:F,MATCH(961,'بيانات الحركات'!$G:$G,0)),"")</f>
        <v/>
      </c>
    </row>
    <row r="963" spans="1:6" ht="21.95" customHeight="1">
      <c r="A963" s="8" t="str">
        <f>IFERROR(INDEX('بيانات الحركات'!A:A,MATCH(962,'بيانات الحركات'!$G:$G,0)),"")</f>
        <v/>
      </c>
      <c r="B963" s="5" t="str">
        <f>IFERROR(INDEX('بيانات الحركات'!B:B,MATCH(962,'بيانات الحركات'!$G:$G,0)),"")</f>
        <v/>
      </c>
      <c r="C963" s="3" t="str">
        <f>IFERROR(INDEX('بيانات الحركات'!C:C,MATCH(962,'بيانات الحركات'!$G:$G,0)),"")</f>
        <v/>
      </c>
      <c r="D963" s="3" t="str">
        <f>IFERROR(INDEX('بيانات الحركات'!D:D,MATCH(962,'بيانات الحركات'!$G:$G,0)),"")</f>
        <v/>
      </c>
      <c r="E963" s="21" t="str">
        <f>IF($B963="إنتاج طبخة","",IFERROR(INDEX('بيانات الحركات'!E:E,MATCH(962,'بيانات الحركات'!$G:$G,0)),""))</f>
        <v/>
      </c>
      <c r="F963" s="3" t="str">
        <f>IFERROR(INDEX('بيانات الحركات'!F:F,MATCH(962,'بيانات الحركات'!$G:$G,0)),"")</f>
        <v/>
      </c>
    </row>
    <row r="964" spans="1:6" ht="21.95" customHeight="1">
      <c r="A964" s="8" t="str">
        <f>IFERROR(INDEX('بيانات الحركات'!A:A,MATCH(963,'بيانات الحركات'!$G:$G,0)),"")</f>
        <v/>
      </c>
      <c r="B964" s="5" t="str">
        <f>IFERROR(INDEX('بيانات الحركات'!B:B,MATCH(963,'بيانات الحركات'!$G:$G,0)),"")</f>
        <v/>
      </c>
      <c r="C964" s="3" t="str">
        <f>IFERROR(INDEX('بيانات الحركات'!C:C,MATCH(963,'بيانات الحركات'!$G:$G,0)),"")</f>
        <v/>
      </c>
      <c r="D964" s="3" t="str">
        <f>IFERROR(INDEX('بيانات الحركات'!D:D,MATCH(963,'بيانات الحركات'!$G:$G,0)),"")</f>
        <v/>
      </c>
      <c r="E964" s="21" t="str">
        <f>IF($B964="إنتاج طبخة","",IFERROR(INDEX('بيانات الحركات'!E:E,MATCH(963,'بيانات الحركات'!$G:$G,0)),""))</f>
        <v/>
      </c>
      <c r="F964" s="3" t="str">
        <f>IFERROR(INDEX('بيانات الحركات'!F:F,MATCH(963,'بيانات الحركات'!$G:$G,0)),"")</f>
        <v/>
      </c>
    </row>
    <row r="965" spans="1:6" ht="21.95" customHeight="1">
      <c r="A965" s="8" t="str">
        <f>IFERROR(INDEX('بيانات الحركات'!A:A,MATCH(964,'بيانات الحركات'!$G:$G,0)),"")</f>
        <v/>
      </c>
      <c r="B965" s="5" t="str">
        <f>IFERROR(INDEX('بيانات الحركات'!B:B,MATCH(964,'بيانات الحركات'!$G:$G,0)),"")</f>
        <v/>
      </c>
      <c r="C965" s="3" t="str">
        <f>IFERROR(INDEX('بيانات الحركات'!C:C,MATCH(964,'بيانات الحركات'!$G:$G,0)),"")</f>
        <v/>
      </c>
      <c r="D965" s="3" t="str">
        <f>IFERROR(INDEX('بيانات الحركات'!D:D,MATCH(964,'بيانات الحركات'!$G:$G,0)),"")</f>
        <v/>
      </c>
      <c r="E965" s="21" t="str">
        <f>IF($B965="إنتاج طبخة","",IFERROR(INDEX('بيانات الحركات'!E:E,MATCH(964,'بيانات الحركات'!$G:$G,0)),""))</f>
        <v/>
      </c>
      <c r="F965" s="3" t="str">
        <f>IFERROR(INDEX('بيانات الحركات'!F:F,MATCH(964,'بيانات الحركات'!$G:$G,0)),"")</f>
        <v/>
      </c>
    </row>
    <row r="966" spans="1:6" ht="21.95" customHeight="1">
      <c r="A966" s="8" t="str">
        <f>IFERROR(INDEX('بيانات الحركات'!A:A,MATCH(965,'بيانات الحركات'!$G:$G,0)),"")</f>
        <v/>
      </c>
      <c r="B966" s="5" t="str">
        <f>IFERROR(INDEX('بيانات الحركات'!B:B,MATCH(965,'بيانات الحركات'!$G:$G,0)),"")</f>
        <v/>
      </c>
      <c r="C966" s="3" t="str">
        <f>IFERROR(INDEX('بيانات الحركات'!C:C,MATCH(965,'بيانات الحركات'!$G:$G,0)),"")</f>
        <v/>
      </c>
      <c r="D966" s="3" t="str">
        <f>IFERROR(INDEX('بيانات الحركات'!D:D,MATCH(965,'بيانات الحركات'!$G:$G,0)),"")</f>
        <v/>
      </c>
      <c r="E966" s="21" t="str">
        <f>IF($B966="إنتاج طبخة","",IFERROR(INDEX('بيانات الحركات'!E:E,MATCH(965,'بيانات الحركات'!$G:$G,0)),""))</f>
        <v/>
      </c>
      <c r="F966" s="3" t="str">
        <f>IFERROR(INDEX('بيانات الحركات'!F:F,MATCH(965,'بيانات الحركات'!$G:$G,0)),"")</f>
        <v/>
      </c>
    </row>
    <row r="967" spans="1:6" ht="21.95" customHeight="1">
      <c r="A967" s="8" t="str">
        <f>IFERROR(INDEX('بيانات الحركات'!A:A,MATCH(966,'بيانات الحركات'!$G:$G,0)),"")</f>
        <v/>
      </c>
      <c r="B967" s="5" t="str">
        <f>IFERROR(INDEX('بيانات الحركات'!B:B,MATCH(966,'بيانات الحركات'!$G:$G,0)),"")</f>
        <v/>
      </c>
      <c r="C967" s="3" t="str">
        <f>IFERROR(INDEX('بيانات الحركات'!C:C,MATCH(966,'بيانات الحركات'!$G:$G,0)),"")</f>
        <v/>
      </c>
      <c r="D967" s="3" t="str">
        <f>IFERROR(INDEX('بيانات الحركات'!D:D,MATCH(966,'بيانات الحركات'!$G:$G,0)),"")</f>
        <v/>
      </c>
      <c r="E967" s="21" t="str">
        <f>IF($B967="إنتاج طبخة","",IFERROR(INDEX('بيانات الحركات'!E:E,MATCH(966,'بيانات الحركات'!$G:$G,0)),""))</f>
        <v/>
      </c>
      <c r="F967" s="3" t="str">
        <f>IFERROR(INDEX('بيانات الحركات'!F:F,MATCH(966,'بيانات الحركات'!$G:$G,0)),"")</f>
        <v/>
      </c>
    </row>
    <row r="968" spans="1:6" ht="21.95" customHeight="1">
      <c r="A968" s="8" t="str">
        <f>IFERROR(INDEX('بيانات الحركات'!A:A,MATCH(967,'بيانات الحركات'!$G:$G,0)),"")</f>
        <v/>
      </c>
      <c r="B968" s="5" t="str">
        <f>IFERROR(INDEX('بيانات الحركات'!B:B,MATCH(967,'بيانات الحركات'!$G:$G,0)),"")</f>
        <v/>
      </c>
      <c r="C968" s="3" t="str">
        <f>IFERROR(INDEX('بيانات الحركات'!C:C,MATCH(967,'بيانات الحركات'!$G:$G,0)),"")</f>
        <v/>
      </c>
      <c r="D968" s="3" t="str">
        <f>IFERROR(INDEX('بيانات الحركات'!D:D,MATCH(967,'بيانات الحركات'!$G:$G,0)),"")</f>
        <v/>
      </c>
      <c r="E968" s="21" t="str">
        <f>IF($B968="إنتاج طبخة","",IFERROR(INDEX('بيانات الحركات'!E:E,MATCH(967,'بيانات الحركات'!$G:$G,0)),""))</f>
        <v/>
      </c>
      <c r="F968" s="3" t="str">
        <f>IFERROR(INDEX('بيانات الحركات'!F:F,MATCH(967,'بيانات الحركات'!$G:$G,0)),"")</f>
        <v/>
      </c>
    </row>
    <row r="969" spans="1:6" ht="21.95" customHeight="1">
      <c r="A969" s="8" t="str">
        <f>IFERROR(INDEX('بيانات الحركات'!A:A,MATCH(968,'بيانات الحركات'!$G:$G,0)),"")</f>
        <v/>
      </c>
      <c r="B969" s="5" t="str">
        <f>IFERROR(INDEX('بيانات الحركات'!B:B,MATCH(968,'بيانات الحركات'!$G:$G,0)),"")</f>
        <v/>
      </c>
      <c r="C969" s="3" t="str">
        <f>IFERROR(INDEX('بيانات الحركات'!C:C,MATCH(968,'بيانات الحركات'!$G:$G,0)),"")</f>
        <v/>
      </c>
      <c r="D969" s="3" t="str">
        <f>IFERROR(INDEX('بيانات الحركات'!D:D,MATCH(968,'بيانات الحركات'!$G:$G,0)),"")</f>
        <v/>
      </c>
      <c r="E969" s="21" t="str">
        <f>IF($B969="إنتاج طبخة","",IFERROR(INDEX('بيانات الحركات'!E:E,MATCH(968,'بيانات الحركات'!$G:$G,0)),""))</f>
        <v/>
      </c>
      <c r="F969" s="3" t="str">
        <f>IFERROR(INDEX('بيانات الحركات'!F:F,MATCH(968,'بيانات الحركات'!$G:$G,0)),"")</f>
        <v/>
      </c>
    </row>
    <row r="970" spans="1:6" ht="21.95" customHeight="1">
      <c r="A970" s="8" t="str">
        <f>IFERROR(INDEX('بيانات الحركات'!A:A,MATCH(969,'بيانات الحركات'!$G:$G,0)),"")</f>
        <v/>
      </c>
      <c r="B970" s="5" t="str">
        <f>IFERROR(INDEX('بيانات الحركات'!B:B,MATCH(969,'بيانات الحركات'!$G:$G,0)),"")</f>
        <v/>
      </c>
      <c r="C970" s="3" t="str">
        <f>IFERROR(INDEX('بيانات الحركات'!C:C,MATCH(969,'بيانات الحركات'!$G:$G,0)),"")</f>
        <v/>
      </c>
      <c r="D970" s="3" t="str">
        <f>IFERROR(INDEX('بيانات الحركات'!D:D,MATCH(969,'بيانات الحركات'!$G:$G,0)),"")</f>
        <v/>
      </c>
      <c r="E970" s="21" t="str">
        <f>IF($B970="إنتاج طبخة","",IFERROR(INDEX('بيانات الحركات'!E:E,MATCH(969,'بيانات الحركات'!$G:$G,0)),""))</f>
        <v/>
      </c>
      <c r="F970" s="3" t="str">
        <f>IFERROR(INDEX('بيانات الحركات'!F:F,MATCH(969,'بيانات الحركات'!$G:$G,0)),"")</f>
        <v/>
      </c>
    </row>
    <row r="971" spans="1:6" ht="21.95" customHeight="1">
      <c r="A971" s="8" t="str">
        <f>IFERROR(INDEX('بيانات الحركات'!A:A,MATCH(970,'بيانات الحركات'!$G:$G,0)),"")</f>
        <v/>
      </c>
      <c r="B971" s="5" t="str">
        <f>IFERROR(INDEX('بيانات الحركات'!B:B,MATCH(970,'بيانات الحركات'!$G:$G,0)),"")</f>
        <v/>
      </c>
      <c r="C971" s="3" t="str">
        <f>IFERROR(INDEX('بيانات الحركات'!C:C,MATCH(970,'بيانات الحركات'!$G:$G,0)),"")</f>
        <v/>
      </c>
      <c r="D971" s="3" t="str">
        <f>IFERROR(INDEX('بيانات الحركات'!D:D,MATCH(970,'بيانات الحركات'!$G:$G,0)),"")</f>
        <v/>
      </c>
      <c r="E971" s="21" t="str">
        <f>IF($B971="إنتاج طبخة","",IFERROR(INDEX('بيانات الحركات'!E:E,MATCH(970,'بيانات الحركات'!$G:$G,0)),""))</f>
        <v/>
      </c>
      <c r="F971" s="3" t="str">
        <f>IFERROR(INDEX('بيانات الحركات'!F:F,MATCH(970,'بيانات الحركات'!$G:$G,0)),"")</f>
        <v/>
      </c>
    </row>
    <row r="972" spans="1:6" ht="21.95" customHeight="1">
      <c r="A972" s="8" t="str">
        <f>IFERROR(INDEX('بيانات الحركات'!A:A,MATCH(971,'بيانات الحركات'!$G:$G,0)),"")</f>
        <v/>
      </c>
      <c r="B972" s="5" t="str">
        <f>IFERROR(INDEX('بيانات الحركات'!B:B,MATCH(971,'بيانات الحركات'!$G:$G,0)),"")</f>
        <v/>
      </c>
      <c r="C972" s="3" t="str">
        <f>IFERROR(INDEX('بيانات الحركات'!C:C,MATCH(971,'بيانات الحركات'!$G:$G,0)),"")</f>
        <v/>
      </c>
      <c r="D972" s="3" t="str">
        <f>IFERROR(INDEX('بيانات الحركات'!D:D,MATCH(971,'بيانات الحركات'!$G:$G,0)),"")</f>
        <v/>
      </c>
      <c r="E972" s="21" t="str">
        <f>IF($B972="إنتاج طبخة","",IFERROR(INDEX('بيانات الحركات'!E:E,MATCH(971,'بيانات الحركات'!$G:$G,0)),""))</f>
        <v/>
      </c>
      <c r="F972" s="3" t="str">
        <f>IFERROR(INDEX('بيانات الحركات'!F:F,MATCH(971,'بيانات الحركات'!$G:$G,0)),"")</f>
        <v/>
      </c>
    </row>
    <row r="973" spans="1:6" ht="21.95" customHeight="1">
      <c r="A973" s="8" t="str">
        <f>IFERROR(INDEX('بيانات الحركات'!A:A,MATCH(972,'بيانات الحركات'!$G:$G,0)),"")</f>
        <v/>
      </c>
      <c r="B973" s="5" t="str">
        <f>IFERROR(INDEX('بيانات الحركات'!B:B,MATCH(972,'بيانات الحركات'!$G:$G,0)),"")</f>
        <v/>
      </c>
      <c r="C973" s="3" t="str">
        <f>IFERROR(INDEX('بيانات الحركات'!C:C,MATCH(972,'بيانات الحركات'!$G:$G,0)),"")</f>
        <v/>
      </c>
      <c r="D973" s="3" t="str">
        <f>IFERROR(INDEX('بيانات الحركات'!D:D,MATCH(972,'بيانات الحركات'!$G:$G,0)),"")</f>
        <v/>
      </c>
      <c r="E973" s="21" t="str">
        <f>IF($B973="إنتاج طبخة","",IFERROR(INDEX('بيانات الحركات'!E:E,MATCH(972,'بيانات الحركات'!$G:$G,0)),""))</f>
        <v/>
      </c>
      <c r="F973" s="3" t="str">
        <f>IFERROR(INDEX('بيانات الحركات'!F:F,MATCH(972,'بيانات الحركات'!$G:$G,0)),"")</f>
        <v/>
      </c>
    </row>
    <row r="974" spans="1:6" ht="21.95" customHeight="1">
      <c r="A974" s="8" t="str">
        <f>IFERROR(INDEX('بيانات الحركات'!A:A,MATCH(973,'بيانات الحركات'!$G:$G,0)),"")</f>
        <v/>
      </c>
      <c r="B974" s="5" t="str">
        <f>IFERROR(INDEX('بيانات الحركات'!B:B,MATCH(973,'بيانات الحركات'!$G:$G,0)),"")</f>
        <v/>
      </c>
      <c r="C974" s="3" t="str">
        <f>IFERROR(INDEX('بيانات الحركات'!C:C,MATCH(973,'بيانات الحركات'!$G:$G,0)),"")</f>
        <v/>
      </c>
      <c r="D974" s="3" t="str">
        <f>IFERROR(INDEX('بيانات الحركات'!D:D,MATCH(973,'بيانات الحركات'!$G:$G,0)),"")</f>
        <v/>
      </c>
      <c r="E974" s="21" t="str">
        <f>IF($B974="إنتاج طبخة","",IFERROR(INDEX('بيانات الحركات'!E:E,MATCH(973,'بيانات الحركات'!$G:$G,0)),""))</f>
        <v/>
      </c>
      <c r="F974" s="3" t="str">
        <f>IFERROR(INDEX('بيانات الحركات'!F:F,MATCH(973,'بيانات الحركات'!$G:$G,0)),"")</f>
        <v/>
      </c>
    </row>
    <row r="975" spans="1:6" ht="21.95" customHeight="1">
      <c r="A975" s="8" t="str">
        <f>IFERROR(INDEX('بيانات الحركات'!A:A,MATCH(974,'بيانات الحركات'!$G:$G,0)),"")</f>
        <v/>
      </c>
      <c r="B975" s="5" t="str">
        <f>IFERROR(INDEX('بيانات الحركات'!B:B,MATCH(974,'بيانات الحركات'!$G:$G,0)),"")</f>
        <v/>
      </c>
      <c r="C975" s="3" t="str">
        <f>IFERROR(INDEX('بيانات الحركات'!C:C,MATCH(974,'بيانات الحركات'!$G:$G,0)),"")</f>
        <v/>
      </c>
      <c r="D975" s="3" t="str">
        <f>IFERROR(INDEX('بيانات الحركات'!D:D,MATCH(974,'بيانات الحركات'!$G:$G,0)),"")</f>
        <v/>
      </c>
      <c r="E975" s="21" t="str">
        <f>IF($B975="إنتاج طبخة","",IFERROR(INDEX('بيانات الحركات'!E:E,MATCH(974,'بيانات الحركات'!$G:$G,0)),""))</f>
        <v/>
      </c>
      <c r="F975" s="3" t="str">
        <f>IFERROR(INDEX('بيانات الحركات'!F:F,MATCH(974,'بيانات الحركات'!$G:$G,0)),"")</f>
        <v/>
      </c>
    </row>
    <row r="976" spans="1:6" ht="21.95" customHeight="1">
      <c r="A976" s="8" t="str">
        <f>IFERROR(INDEX('بيانات الحركات'!A:A,MATCH(975,'بيانات الحركات'!$G:$G,0)),"")</f>
        <v/>
      </c>
      <c r="B976" s="5" t="str">
        <f>IFERROR(INDEX('بيانات الحركات'!B:B,MATCH(975,'بيانات الحركات'!$G:$G,0)),"")</f>
        <v/>
      </c>
      <c r="C976" s="3" t="str">
        <f>IFERROR(INDEX('بيانات الحركات'!C:C,MATCH(975,'بيانات الحركات'!$G:$G,0)),"")</f>
        <v/>
      </c>
      <c r="D976" s="3" t="str">
        <f>IFERROR(INDEX('بيانات الحركات'!D:D,MATCH(975,'بيانات الحركات'!$G:$G,0)),"")</f>
        <v/>
      </c>
      <c r="E976" s="21" t="str">
        <f>IF($B976="إنتاج طبخة","",IFERROR(INDEX('بيانات الحركات'!E:E,MATCH(975,'بيانات الحركات'!$G:$G,0)),""))</f>
        <v/>
      </c>
      <c r="F976" s="3" t="str">
        <f>IFERROR(INDEX('بيانات الحركات'!F:F,MATCH(975,'بيانات الحركات'!$G:$G,0)),"")</f>
        <v/>
      </c>
    </row>
    <row r="977" spans="1:6" ht="21.95" customHeight="1">
      <c r="A977" s="8" t="str">
        <f>IFERROR(INDEX('بيانات الحركات'!A:A,MATCH(976,'بيانات الحركات'!$G:$G,0)),"")</f>
        <v/>
      </c>
      <c r="B977" s="5" t="str">
        <f>IFERROR(INDEX('بيانات الحركات'!B:B,MATCH(976,'بيانات الحركات'!$G:$G,0)),"")</f>
        <v/>
      </c>
      <c r="C977" s="3" t="str">
        <f>IFERROR(INDEX('بيانات الحركات'!C:C,MATCH(976,'بيانات الحركات'!$G:$G,0)),"")</f>
        <v/>
      </c>
      <c r="D977" s="3" t="str">
        <f>IFERROR(INDEX('بيانات الحركات'!D:D,MATCH(976,'بيانات الحركات'!$G:$G,0)),"")</f>
        <v/>
      </c>
      <c r="E977" s="21" t="str">
        <f>IF($B977="إنتاج طبخة","",IFERROR(INDEX('بيانات الحركات'!E:E,MATCH(976,'بيانات الحركات'!$G:$G,0)),""))</f>
        <v/>
      </c>
      <c r="F977" s="3" t="str">
        <f>IFERROR(INDEX('بيانات الحركات'!F:F,MATCH(976,'بيانات الحركات'!$G:$G,0)),"")</f>
        <v/>
      </c>
    </row>
    <row r="978" spans="1:6" ht="21.95" customHeight="1">
      <c r="A978" s="8" t="str">
        <f>IFERROR(INDEX('بيانات الحركات'!A:A,MATCH(977,'بيانات الحركات'!$G:$G,0)),"")</f>
        <v/>
      </c>
      <c r="B978" s="5" t="str">
        <f>IFERROR(INDEX('بيانات الحركات'!B:B,MATCH(977,'بيانات الحركات'!$G:$G,0)),"")</f>
        <v/>
      </c>
      <c r="C978" s="3" t="str">
        <f>IFERROR(INDEX('بيانات الحركات'!C:C,MATCH(977,'بيانات الحركات'!$G:$G,0)),"")</f>
        <v/>
      </c>
      <c r="D978" s="3" t="str">
        <f>IFERROR(INDEX('بيانات الحركات'!D:D,MATCH(977,'بيانات الحركات'!$G:$G,0)),"")</f>
        <v/>
      </c>
      <c r="E978" s="21" t="str">
        <f>IF($B978="إنتاج طبخة","",IFERROR(INDEX('بيانات الحركات'!E:E,MATCH(977,'بيانات الحركات'!$G:$G,0)),""))</f>
        <v/>
      </c>
      <c r="F978" s="3" t="str">
        <f>IFERROR(INDEX('بيانات الحركات'!F:F,MATCH(977,'بيانات الحركات'!$G:$G,0)),"")</f>
        <v/>
      </c>
    </row>
    <row r="979" spans="1:6" ht="21.95" customHeight="1">
      <c r="A979" s="8" t="str">
        <f>IFERROR(INDEX('بيانات الحركات'!A:A,MATCH(978,'بيانات الحركات'!$G:$G,0)),"")</f>
        <v/>
      </c>
      <c r="B979" s="5" t="str">
        <f>IFERROR(INDEX('بيانات الحركات'!B:B,MATCH(978,'بيانات الحركات'!$G:$G,0)),"")</f>
        <v/>
      </c>
      <c r="C979" s="3" t="str">
        <f>IFERROR(INDEX('بيانات الحركات'!C:C,MATCH(978,'بيانات الحركات'!$G:$G,0)),"")</f>
        <v/>
      </c>
      <c r="D979" s="3" t="str">
        <f>IFERROR(INDEX('بيانات الحركات'!D:D,MATCH(978,'بيانات الحركات'!$G:$G,0)),"")</f>
        <v/>
      </c>
      <c r="E979" s="21" t="str">
        <f>IF($B979="إنتاج طبخة","",IFERROR(INDEX('بيانات الحركات'!E:E,MATCH(978,'بيانات الحركات'!$G:$G,0)),""))</f>
        <v/>
      </c>
      <c r="F979" s="3" t="str">
        <f>IFERROR(INDEX('بيانات الحركات'!F:F,MATCH(978,'بيانات الحركات'!$G:$G,0)),"")</f>
        <v/>
      </c>
    </row>
    <row r="980" spans="1:6" ht="21.95" customHeight="1">
      <c r="A980" s="8" t="str">
        <f>IFERROR(INDEX('بيانات الحركات'!A:A,MATCH(979,'بيانات الحركات'!$G:$G,0)),"")</f>
        <v/>
      </c>
      <c r="B980" s="5" t="str">
        <f>IFERROR(INDEX('بيانات الحركات'!B:B,MATCH(979,'بيانات الحركات'!$G:$G,0)),"")</f>
        <v/>
      </c>
      <c r="C980" s="3" t="str">
        <f>IFERROR(INDEX('بيانات الحركات'!C:C,MATCH(979,'بيانات الحركات'!$G:$G,0)),"")</f>
        <v/>
      </c>
      <c r="D980" s="3" t="str">
        <f>IFERROR(INDEX('بيانات الحركات'!D:D,MATCH(979,'بيانات الحركات'!$G:$G,0)),"")</f>
        <v/>
      </c>
      <c r="E980" s="21" t="str">
        <f>IF($B980="إنتاج طبخة","",IFERROR(INDEX('بيانات الحركات'!E:E,MATCH(979,'بيانات الحركات'!$G:$G,0)),""))</f>
        <v/>
      </c>
      <c r="F980" s="3" t="str">
        <f>IFERROR(INDEX('بيانات الحركات'!F:F,MATCH(979,'بيانات الحركات'!$G:$G,0)),"")</f>
        <v/>
      </c>
    </row>
    <row r="981" spans="1:6" ht="21.95" customHeight="1">
      <c r="A981" s="8" t="str">
        <f>IFERROR(INDEX('بيانات الحركات'!A:A,MATCH(980,'بيانات الحركات'!$G:$G,0)),"")</f>
        <v/>
      </c>
      <c r="B981" s="5" t="str">
        <f>IFERROR(INDEX('بيانات الحركات'!B:B,MATCH(980,'بيانات الحركات'!$G:$G,0)),"")</f>
        <v/>
      </c>
      <c r="C981" s="3" t="str">
        <f>IFERROR(INDEX('بيانات الحركات'!C:C,MATCH(980,'بيانات الحركات'!$G:$G,0)),"")</f>
        <v/>
      </c>
      <c r="D981" s="3" t="str">
        <f>IFERROR(INDEX('بيانات الحركات'!D:D,MATCH(980,'بيانات الحركات'!$G:$G,0)),"")</f>
        <v/>
      </c>
      <c r="E981" s="21" t="str">
        <f>IF($B981="إنتاج طبخة","",IFERROR(INDEX('بيانات الحركات'!E:E,MATCH(980,'بيانات الحركات'!$G:$G,0)),""))</f>
        <v/>
      </c>
      <c r="F981" s="3" t="str">
        <f>IFERROR(INDEX('بيانات الحركات'!F:F,MATCH(980,'بيانات الحركات'!$G:$G,0)),"")</f>
        <v/>
      </c>
    </row>
    <row r="982" spans="1:6" ht="21.95" customHeight="1">
      <c r="A982" s="8" t="str">
        <f>IFERROR(INDEX('بيانات الحركات'!A:A,MATCH(981,'بيانات الحركات'!$G:$G,0)),"")</f>
        <v/>
      </c>
      <c r="B982" s="5" t="str">
        <f>IFERROR(INDEX('بيانات الحركات'!B:B,MATCH(981,'بيانات الحركات'!$G:$G,0)),"")</f>
        <v/>
      </c>
      <c r="C982" s="3" t="str">
        <f>IFERROR(INDEX('بيانات الحركات'!C:C,MATCH(981,'بيانات الحركات'!$G:$G,0)),"")</f>
        <v/>
      </c>
      <c r="D982" s="3" t="str">
        <f>IFERROR(INDEX('بيانات الحركات'!D:D,MATCH(981,'بيانات الحركات'!$G:$G,0)),"")</f>
        <v/>
      </c>
      <c r="E982" s="21" t="str">
        <f>IF($B982="إنتاج طبخة","",IFERROR(INDEX('بيانات الحركات'!E:E,MATCH(981,'بيانات الحركات'!$G:$G,0)),""))</f>
        <v/>
      </c>
      <c r="F982" s="3" t="str">
        <f>IFERROR(INDEX('بيانات الحركات'!F:F,MATCH(981,'بيانات الحركات'!$G:$G,0)),"")</f>
        <v/>
      </c>
    </row>
    <row r="983" spans="1:6" ht="21.95" customHeight="1">
      <c r="A983" s="8" t="str">
        <f>IFERROR(INDEX('بيانات الحركات'!A:A,MATCH(982,'بيانات الحركات'!$G:$G,0)),"")</f>
        <v/>
      </c>
      <c r="B983" s="5" t="str">
        <f>IFERROR(INDEX('بيانات الحركات'!B:B,MATCH(982,'بيانات الحركات'!$G:$G,0)),"")</f>
        <v/>
      </c>
      <c r="C983" s="3" t="str">
        <f>IFERROR(INDEX('بيانات الحركات'!C:C,MATCH(982,'بيانات الحركات'!$G:$G,0)),"")</f>
        <v/>
      </c>
      <c r="D983" s="3" t="str">
        <f>IFERROR(INDEX('بيانات الحركات'!D:D,MATCH(982,'بيانات الحركات'!$G:$G,0)),"")</f>
        <v/>
      </c>
      <c r="E983" s="21" t="str">
        <f>IF($B983="إنتاج طبخة","",IFERROR(INDEX('بيانات الحركات'!E:E,MATCH(982,'بيانات الحركات'!$G:$G,0)),""))</f>
        <v/>
      </c>
      <c r="F983" s="3" t="str">
        <f>IFERROR(INDEX('بيانات الحركات'!F:F,MATCH(982,'بيانات الحركات'!$G:$G,0)),"")</f>
        <v/>
      </c>
    </row>
    <row r="984" spans="1:6" ht="21.95" customHeight="1">
      <c r="A984" s="8" t="str">
        <f>IFERROR(INDEX('بيانات الحركات'!A:A,MATCH(983,'بيانات الحركات'!$G:$G,0)),"")</f>
        <v/>
      </c>
      <c r="B984" s="5" t="str">
        <f>IFERROR(INDEX('بيانات الحركات'!B:B,MATCH(983,'بيانات الحركات'!$G:$G,0)),"")</f>
        <v/>
      </c>
      <c r="C984" s="3" t="str">
        <f>IFERROR(INDEX('بيانات الحركات'!C:C,MATCH(983,'بيانات الحركات'!$G:$G,0)),"")</f>
        <v/>
      </c>
      <c r="D984" s="3" t="str">
        <f>IFERROR(INDEX('بيانات الحركات'!D:D,MATCH(983,'بيانات الحركات'!$G:$G,0)),"")</f>
        <v/>
      </c>
      <c r="E984" s="21" t="str">
        <f>IF($B984="إنتاج طبخة","",IFERROR(INDEX('بيانات الحركات'!E:E,MATCH(983,'بيانات الحركات'!$G:$G,0)),""))</f>
        <v/>
      </c>
      <c r="F984" s="3" t="str">
        <f>IFERROR(INDEX('بيانات الحركات'!F:F,MATCH(983,'بيانات الحركات'!$G:$G,0)),"")</f>
        <v/>
      </c>
    </row>
    <row r="985" spans="1:6" ht="21.95" customHeight="1">
      <c r="A985" s="8" t="str">
        <f>IFERROR(INDEX('بيانات الحركات'!A:A,MATCH(984,'بيانات الحركات'!$G:$G,0)),"")</f>
        <v/>
      </c>
      <c r="B985" s="5" t="str">
        <f>IFERROR(INDEX('بيانات الحركات'!B:B,MATCH(984,'بيانات الحركات'!$G:$G,0)),"")</f>
        <v/>
      </c>
      <c r="C985" s="3" t="str">
        <f>IFERROR(INDEX('بيانات الحركات'!C:C,MATCH(984,'بيانات الحركات'!$G:$G,0)),"")</f>
        <v/>
      </c>
      <c r="D985" s="3" t="str">
        <f>IFERROR(INDEX('بيانات الحركات'!D:D,MATCH(984,'بيانات الحركات'!$G:$G,0)),"")</f>
        <v/>
      </c>
      <c r="E985" s="21" t="str">
        <f>IF($B985="إنتاج طبخة","",IFERROR(INDEX('بيانات الحركات'!E:E,MATCH(984,'بيانات الحركات'!$G:$G,0)),""))</f>
        <v/>
      </c>
      <c r="F985" s="3" t="str">
        <f>IFERROR(INDEX('بيانات الحركات'!F:F,MATCH(984,'بيانات الحركات'!$G:$G,0)),"")</f>
        <v/>
      </c>
    </row>
    <row r="986" spans="1:6" ht="21.95" customHeight="1">
      <c r="A986" s="8" t="str">
        <f>IFERROR(INDEX('بيانات الحركات'!A:A,MATCH(985,'بيانات الحركات'!$G:$G,0)),"")</f>
        <v/>
      </c>
      <c r="B986" s="5" t="str">
        <f>IFERROR(INDEX('بيانات الحركات'!B:B,MATCH(985,'بيانات الحركات'!$G:$G,0)),"")</f>
        <v/>
      </c>
      <c r="C986" s="3" t="str">
        <f>IFERROR(INDEX('بيانات الحركات'!C:C,MATCH(985,'بيانات الحركات'!$G:$G,0)),"")</f>
        <v/>
      </c>
      <c r="D986" s="3" t="str">
        <f>IFERROR(INDEX('بيانات الحركات'!D:D,MATCH(985,'بيانات الحركات'!$G:$G,0)),"")</f>
        <v/>
      </c>
      <c r="E986" s="21" t="str">
        <f>IF($B986="إنتاج طبخة","",IFERROR(INDEX('بيانات الحركات'!E:E,MATCH(985,'بيانات الحركات'!$G:$G,0)),""))</f>
        <v/>
      </c>
      <c r="F986" s="3" t="str">
        <f>IFERROR(INDEX('بيانات الحركات'!F:F,MATCH(985,'بيانات الحركات'!$G:$G,0)),"")</f>
        <v/>
      </c>
    </row>
    <row r="987" spans="1:6" ht="21.95" customHeight="1">
      <c r="A987" s="8" t="str">
        <f>IFERROR(INDEX('بيانات الحركات'!A:A,MATCH(986,'بيانات الحركات'!$G:$G,0)),"")</f>
        <v/>
      </c>
      <c r="B987" s="5" t="str">
        <f>IFERROR(INDEX('بيانات الحركات'!B:B,MATCH(986,'بيانات الحركات'!$G:$G,0)),"")</f>
        <v/>
      </c>
      <c r="C987" s="3" t="str">
        <f>IFERROR(INDEX('بيانات الحركات'!C:C,MATCH(986,'بيانات الحركات'!$G:$G,0)),"")</f>
        <v/>
      </c>
      <c r="D987" s="3" t="str">
        <f>IFERROR(INDEX('بيانات الحركات'!D:D,MATCH(986,'بيانات الحركات'!$G:$G,0)),"")</f>
        <v/>
      </c>
      <c r="E987" s="21" t="str">
        <f>IF($B987="إنتاج طبخة","",IFERROR(INDEX('بيانات الحركات'!E:E,MATCH(986,'بيانات الحركات'!$G:$G,0)),""))</f>
        <v/>
      </c>
      <c r="F987" s="3" t="str">
        <f>IFERROR(INDEX('بيانات الحركات'!F:F,MATCH(986,'بيانات الحركات'!$G:$G,0)),"")</f>
        <v/>
      </c>
    </row>
    <row r="988" spans="1:6" ht="21.95" customHeight="1">
      <c r="A988" s="8" t="str">
        <f>IFERROR(INDEX('بيانات الحركات'!A:A,MATCH(987,'بيانات الحركات'!$G:$G,0)),"")</f>
        <v/>
      </c>
      <c r="B988" s="5" t="str">
        <f>IFERROR(INDEX('بيانات الحركات'!B:B,MATCH(987,'بيانات الحركات'!$G:$G,0)),"")</f>
        <v/>
      </c>
      <c r="C988" s="3" t="str">
        <f>IFERROR(INDEX('بيانات الحركات'!C:C,MATCH(987,'بيانات الحركات'!$G:$G,0)),"")</f>
        <v/>
      </c>
      <c r="D988" s="3" t="str">
        <f>IFERROR(INDEX('بيانات الحركات'!D:D,MATCH(987,'بيانات الحركات'!$G:$G,0)),"")</f>
        <v/>
      </c>
      <c r="E988" s="21" t="str">
        <f>IF($B988="إنتاج طبخة","",IFERROR(INDEX('بيانات الحركات'!E:E,MATCH(987,'بيانات الحركات'!$G:$G,0)),""))</f>
        <v/>
      </c>
      <c r="F988" s="3" t="str">
        <f>IFERROR(INDEX('بيانات الحركات'!F:F,MATCH(987,'بيانات الحركات'!$G:$G,0)),"")</f>
        <v/>
      </c>
    </row>
    <row r="989" spans="1:6" ht="21.95" customHeight="1">
      <c r="A989" s="8" t="str">
        <f>IFERROR(INDEX('بيانات الحركات'!A:A,MATCH(988,'بيانات الحركات'!$G:$G,0)),"")</f>
        <v/>
      </c>
      <c r="B989" s="5" t="str">
        <f>IFERROR(INDEX('بيانات الحركات'!B:B,MATCH(988,'بيانات الحركات'!$G:$G,0)),"")</f>
        <v/>
      </c>
      <c r="C989" s="3" t="str">
        <f>IFERROR(INDEX('بيانات الحركات'!C:C,MATCH(988,'بيانات الحركات'!$G:$G,0)),"")</f>
        <v/>
      </c>
      <c r="D989" s="3" t="str">
        <f>IFERROR(INDEX('بيانات الحركات'!D:D,MATCH(988,'بيانات الحركات'!$G:$G,0)),"")</f>
        <v/>
      </c>
      <c r="E989" s="21" t="str">
        <f>IF($B989="إنتاج طبخة","",IFERROR(INDEX('بيانات الحركات'!E:E,MATCH(988,'بيانات الحركات'!$G:$G,0)),""))</f>
        <v/>
      </c>
      <c r="F989" s="3" t="str">
        <f>IFERROR(INDEX('بيانات الحركات'!F:F,MATCH(988,'بيانات الحركات'!$G:$G,0)),"")</f>
        <v/>
      </c>
    </row>
    <row r="990" spans="1:6" ht="21.95" customHeight="1">
      <c r="A990" s="8" t="str">
        <f>IFERROR(INDEX('بيانات الحركات'!A:A,MATCH(989,'بيانات الحركات'!$G:$G,0)),"")</f>
        <v/>
      </c>
      <c r="B990" s="5" t="str">
        <f>IFERROR(INDEX('بيانات الحركات'!B:B,MATCH(989,'بيانات الحركات'!$G:$G,0)),"")</f>
        <v/>
      </c>
      <c r="C990" s="3" t="str">
        <f>IFERROR(INDEX('بيانات الحركات'!C:C,MATCH(989,'بيانات الحركات'!$G:$G,0)),"")</f>
        <v/>
      </c>
      <c r="D990" s="3" t="str">
        <f>IFERROR(INDEX('بيانات الحركات'!D:D,MATCH(989,'بيانات الحركات'!$G:$G,0)),"")</f>
        <v/>
      </c>
      <c r="E990" s="21" t="str">
        <f>IF($B990="إنتاج طبخة","",IFERROR(INDEX('بيانات الحركات'!E:E,MATCH(989,'بيانات الحركات'!$G:$G,0)),""))</f>
        <v/>
      </c>
      <c r="F990" s="3" t="str">
        <f>IFERROR(INDEX('بيانات الحركات'!F:F,MATCH(989,'بيانات الحركات'!$G:$G,0)),"")</f>
        <v/>
      </c>
    </row>
    <row r="991" spans="1:6" ht="21.95" customHeight="1">
      <c r="A991" s="8" t="str">
        <f>IFERROR(INDEX('بيانات الحركات'!A:A,MATCH(990,'بيانات الحركات'!$G:$G,0)),"")</f>
        <v/>
      </c>
      <c r="B991" s="5" t="str">
        <f>IFERROR(INDEX('بيانات الحركات'!B:B,MATCH(990,'بيانات الحركات'!$G:$G,0)),"")</f>
        <v/>
      </c>
      <c r="C991" s="3" t="str">
        <f>IFERROR(INDEX('بيانات الحركات'!C:C,MATCH(990,'بيانات الحركات'!$G:$G,0)),"")</f>
        <v/>
      </c>
      <c r="D991" s="3" t="str">
        <f>IFERROR(INDEX('بيانات الحركات'!D:D,MATCH(990,'بيانات الحركات'!$G:$G,0)),"")</f>
        <v/>
      </c>
      <c r="E991" s="21" t="str">
        <f>IF($B991="إنتاج طبخة","",IFERROR(INDEX('بيانات الحركات'!E:E,MATCH(990,'بيانات الحركات'!$G:$G,0)),""))</f>
        <v/>
      </c>
      <c r="F991" s="3" t="str">
        <f>IFERROR(INDEX('بيانات الحركات'!F:F,MATCH(990,'بيانات الحركات'!$G:$G,0)),"")</f>
        <v/>
      </c>
    </row>
    <row r="992" spans="1:6" ht="21.95" customHeight="1">
      <c r="A992" s="8" t="str">
        <f>IFERROR(INDEX('بيانات الحركات'!A:A,MATCH(991,'بيانات الحركات'!$G:$G,0)),"")</f>
        <v/>
      </c>
      <c r="B992" s="5" t="str">
        <f>IFERROR(INDEX('بيانات الحركات'!B:B,MATCH(991,'بيانات الحركات'!$G:$G,0)),"")</f>
        <v/>
      </c>
      <c r="C992" s="3" t="str">
        <f>IFERROR(INDEX('بيانات الحركات'!C:C,MATCH(991,'بيانات الحركات'!$G:$G,0)),"")</f>
        <v/>
      </c>
      <c r="D992" s="3" t="str">
        <f>IFERROR(INDEX('بيانات الحركات'!D:D,MATCH(991,'بيانات الحركات'!$G:$G,0)),"")</f>
        <v/>
      </c>
      <c r="E992" s="21" t="str">
        <f>IF($B992="إنتاج طبخة","",IFERROR(INDEX('بيانات الحركات'!E:E,MATCH(991,'بيانات الحركات'!$G:$G,0)),""))</f>
        <v/>
      </c>
      <c r="F992" s="3" t="str">
        <f>IFERROR(INDEX('بيانات الحركات'!F:F,MATCH(991,'بيانات الحركات'!$G:$G,0)),"")</f>
        <v/>
      </c>
    </row>
    <row r="993" spans="1:6" ht="21.95" customHeight="1">
      <c r="A993" s="8" t="str">
        <f>IFERROR(INDEX('بيانات الحركات'!A:A,MATCH(992,'بيانات الحركات'!$G:$G,0)),"")</f>
        <v/>
      </c>
      <c r="B993" s="5" t="str">
        <f>IFERROR(INDEX('بيانات الحركات'!B:B,MATCH(992,'بيانات الحركات'!$G:$G,0)),"")</f>
        <v/>
      </c>
      <c r="C993" s="3" t="str">
        <f>IFERROR(INDEX('بيانات الحركات'!C:C,MATCH(992,'بيانات الحركات'!$G:$G,0)),"")</f>
        <v/>
      </c>
      <c r="D993" s="3" t="str">
        <f>IFERROR(INDEX('بيانات الحركات'!D:D,MATCH(992,'بيانات الحركات'!$G:$G,0)),"")</f>
        <v/>
      </c>
      <c r="E993" s="21" t="str">
        <f>IF($B993="إنتاج طبخة","",IFERROR(INDEX('بيانات الحركات'!E:E,MATCH(992,'بيانات الحركات'!$G:$G,0)),""))</f>
        <v/>
      </c>
      <c r="F993" s="3" t="str">
        <f>IFERROR(INDEX('بيانات الحركات'!F:F,MATCH(992,'بيانات الحركات'!$G:$G,0)),"")</f>
        <v/>
      </c>
    </row>
    <row r="994" spans="1:6" ht="21.95" customHeight="1">
      <c r="A994" s="8" t="str">
        <f>IFERROR(INDEX('بيانات الحركات'!A:A,MATCH(993,'بيانات الحركات'!$G:$G,0)),"")</f>
        <v/>
      </c>
      <c r="B994" s="5" t="str">
        <f>IFERROR(INDEX('بيانات الحركات'!B:B,MATCH(993,'بيانات الحركات'!$G:$G,0)),"")</f>
        <v/>
      </c>
      <c r="C994" s="3" t="str">
        <f>IFERROR(INDEX('بيانات الحركات'!C:C,MATCH(993,'بيانات الحركات'!$G:$G,0)),"")</f>
        <v/>
      </c>
      <c r="D994" s="3" t="str">
        <f>IFERROR(INDEX('بيانات الحركات'!D:D,MATCH(993,'بيانات الحركات'!$G:$G,0)),"")</f>
        <v/>
      </c>
      <c r="E994" s="21" t="str">
        <f>IF($B994="إنتاج طبخة","",IFERROR(INDEX('بيانات الحركات'!E:E,MATCH(993,'بيانات الحركات'!$G:$G,0)),""))</f>
        <v/>
      </c>
      <c r="F994" s="3" t="str">
        <f>IFERROR(INDEX('بيانات الحركات'!F:F,MATCH(993,'بيانات الحركات'!$G:$G,0)),"")</f>
        <v/>
      </c>
    </row>
    <row r="995" spans="1:6" ht="21.95" customHeight="1">
      <c r="A995" s="8" t="str">
        <f>IFERROR(INDEX('بيانات الحركات'!A:A,MATCH(994,'بيانات الحركات'!$G:$G,0)),"")</f>
        <v/>
      </c>
      <c r="B995" s="5" t="str">
        <f>IFERROR(INDEX('بيانات الحركات'!B:B,MATCH(994,'بيانات الحركات'!$G:$G,0)),"")</f>
        <v/>
      </c>
      <c r="C995" s="3" t="str">
        <f>IFERROR(INDEX('بيانات الحركات'!C:C,MATCH(994,'بيانات الحركات'!$G:$G,0)),"")</f>
        <v/>
      </c>
      <c r="D995" s="3" t="str">
        <f>IFERROR(INDEX('بيانات الحركات'!D:D,MATCH(994,'بيانات الحركات'!$G:$G,0)),"")</f>
        <v/>
      </c>
      <c r="E995" s="21" t="str">
        <f>IF($B995="إنتاج طبخة","",IFERROR(INDEX('بيانات الحركات'!E:E,MATCH(994,'بيانات الحركات'!$G:$G,0)),""))</f>
        <v/>
      </c>
      <c r="F995" s="3" t="str">
        <f>IFERROR(INDEX('بيانات الحركات'!F:F,MATCH(994,'بيانات الحركات'!$G:$G,0)),"")</f>
        <v/>
      </c>
    </row>
    <row r="996" spans="1:6" ht="21.95" customHeight="1">
      <c r="A996" s="8" t="str">
        <f>IFERROR(INDEX('بيانات الحركات'!A:A,MATCH(995,'بيانات الحركات'!$G:$G,0)),"")</f>
        <v/>
      </c>
      <c r="B996" s="5" t="str">
        <f>IFERROR(INDEX('بيانات الحركات'!B:B,MATCH(995,'بيانات الحركات'!$G:$G,0)),"")</f>
        <v/>
      </c>
      <c r="C996" s="3" t="str">
        <f>IFERROR(INDEX('بيانات الحركات'!C:C,MATCH(995,'بيانات الحركات'!$G:$G,0)),"")</f>
        <v/>
      </c>
      <c r="D996" s="3" t="str">
        <f>IFERROR(INDEX('بيانات الحركات'!D:D,MATCH(995,'بيانات الحركات'!$G:$G,0)),"")</f>
        <v/>
      </c>
      <c r="E996" s="21" t="str">
        <f>IF($B996="إنتاج طبخة","",IFERROR(INDEX('بيانات الحركات'!E:E,MATCH(995,'بيانات الحركات'!$G:$G,0)),""))</f>
        <v/>
      </c>
      <c r="F996" s="3" t="str">
        <f>IFERROR(INDEX('بيانات الحركات'!F:F,MATCH(995,'بيانات الحركات'!$G:$G,0)),"")</f>
        <v/>
      </c>
    </row>
    <row r="997" spans="1:6" ht="21.95" customHeight="1">
      <c r="A997" s="8" t="str">
        <f>IFERROR(INDEX('بيانات الحركات'!A:A,MATCH(996,'بيانات الحركات'!$G:$G,0)),"")</f>
        <v/>
      </c>
      <c r="B997" s="5" t="str">
        <f>IFERROR(INDEX('بيانات الحركات'!B:B,MATCH(996,'بيانات الحركات'!$G:$G,0)),"")</f>
        <v/>
      </c>
      <c r="C997" s="3" t="str">
        <f>IFERROR(INDEX('بيانات الحركات'!C:C,MATCH(996,'بيانات الحركات'!$G:$G,0)),"")</f>
        <v/>
      </c>
      <c r="D997" s="3" t="str">
        <f>IFERROR(INDEX('بيانات الحركات'!D:D,MATCH(996,'بيانات الحركات'!$G:$G,0)),"")</f>
        <v/>
      </c>
      <c r="E997" s="21" t="str">
        <f>IF($B997="إنتاج طبخة","",IFERROR(INDEX('بيانات الحركات'!E:E,MATCH(996,'بيانات الحركات'!$G:$G,0)),""))</f>
        <v/>
      </c>
      <c r="F997" s="3" t="str">
        <f>IFERROR(INDEX('بيانات الحركات'!F:F,MATCH(996,'بيانات الحركات'!$G:$G,0)),"")</f>
        <v/>
      </c>
    </row>
    <row r="998" spans="1:6" ht="21.95" customHeight="1">
      <c r="A998" s="8" t="str">
        <f>IFERROR(INDEX('بيانات الحركات'!A:A,MATCH(997,'بيانات الحركات'!$G:$G,0)),"")</f>
        <v/>
      </c>
      <c r="B998" s="5" t="str">
        <f>IFERROR(INDEX('بيانات الحركات'!B:B,MATCH(997,'بيانات الحركات'!$G:$G,0)),"")</f>
        <v/>
      </c>
      <c r="C998" s="3" t="str">
        <f>IFERROR(INDEX('بيانات الحركات'!C:C,MATCH(997,'بيانات الحركات'!$G:$G,0)),"")</f>
        <v/>
      </c>
      <c r="D998" s="3" t="str">
        <f>IFERROR(INDEX('بيانات الحركات'!D:D,MATCH(997,'بيانات الحركات'!$G:$G,0)),"")</f>
        <v/>
      </c>
      <c r="E998" s="21" t="str">
        <f>IF($B998="إنتاج طبخة","",IFERROR(INDEX('بيانات الحركات'!E:E,MATCH(997,'بيانات الحركات'!$G:$G,0)),""))</f>
        <v/>
      </c>
      <c r="F998" s="3" t="str">
        <f>IFERROR(INDEX('بيانات الحركات'!F:F,MATCH(997,'بيانات الحركات'!$G:$G,0)),"")</f>
        <v/>
      </c>
    </row>
    <row r="999" spans="1:6" ht="21.95" customHeight="1">
      <c r="A999" s="8" t="str">
        <f>IFERROR(INDEX('بيانات الحركات'!A:A,MATCH(998,'بيانات الحركات'!$G:$G,0)),"")</f>
        <v/>
      </c>
      <c r="B999" s="5" t="str">
        <f>IFERROR(INDEX('بيانات الحركات'!B:B,MATCH(998,'بيانات الحركات'!$G:$G,0)),"")</f>
        <v/>
      </c>
      <c r="C999" s="3" t="str">
        <f>IFERROR(INDEX('بيانات الحركات'!C:C,MATCH(998,'بيانات الحركات'!$G:$G,0)),"")</f>
        <v/>
      </c>
      <c r="D999" s="3" t="str">
        <f>IFERROR(INDEX('بيانات الحركات'!D:D,MATCH(998,'بيانات الحركات'!$G:$G,0)),"")</f>
        <v/>
      </c>
      <c r="E999" s="21" t="str">
        <f>IF($B999="إنتاج طبخة","",IFERROR(INDEX('بيانات الحركات'!E:E,MATCH(998,'بيانات الحركات'!$G:$G,0)),""))</f>
        <v/>
      </c>
      <c r="F999" s="3" t="str">
        <f>IFERROR(INDEX('بيانات الحركات'!F:F,MATCH(998,'بيانات الحركات'!$G:$G,0)),"")</f>
        <v/>
      </c>
    </row>
    <row r="1000" spans="1:6" ht="21.95" customHeight="1">
      <c r="A1000" s="8" t="str">
        <f>IFERROR(INDEX('بيانات الحركات'!A:A,MATCH(999,'بيانات الحركات'!$G:$G,0)),"")</f>
        <v/>
      </c>
      <c r="B1000" s="5" t="str">
        <f>IFERROR(INDEX('بيانات الحركات'!B:B,MATCH(999,'بيانات الحركات'!$G:$G,0)),"")</f>
        <v/>
      </c>
      <c r="C1000" s="3" t="str">
        <f>IFERROR(INDEX('بيانات الحركات'!C:C,MATCH(999,'بيانات الحركات'!$G:$G,0)),"")</f>
        <v/>
      </c>
      <c r="D1000" s="3" t="str">
        <f>IFERROR(INDEX('بيانات الحركات'!D:D,MATCH(999,'بيانات الحركات'!$G:$G,0)),"")</f>
        <v/>
      </c>
      <c r="E1000" s="21" t="str">
        <f>IF($B1000="إنتاج طبخة","",IFERROR(INDEX('بيانات الحركات'!E:E,MATCH(999,'بيانات الحركات'!$G:$G,0)),""))</f>
        <v/>
      </c>
      <c r="F1000" s="3" t="str">
        <f>IFERROR(INDEX('بيانات الحركات'!F:F,MATCH(999,'بيانات الحركات'!$G:$G,0)),"")</f>
        <v/>
      </c>
    </row>
    <row r="1001" spans="1:6" ht="21.95" customHeight="1">
      <c r="A1001" s="8" t="str">
        <f>IFERROR(INDEX('بيانات الحركات'!A:A,MATCH(1000,'بيانات الحركات'!$G:$G,0)),"")</f>
        <v/>
      </c>
      <c r="B1001" s="5" t="str">
        <f>IFERROR(INDEX('بيانات الحركات'!B:B,MATCH(1000,'بيانات الحركات'!$G:$G,0)),"")</f>
        <v/>
      </c>
      <c r="C1001" s="3" t="str">
        <f>IFERROR(INDEX('بيانات الحركات'!C:C,MATCH(1000,'بيانات الحركات'!$G:$G,0)),"")</f>
        <v/>
      </c>
      <c r="D1001" s="3" t="str">
        <f>IFERROR(INDEX('بيانات الحركات'!D:D,MATCH(1000,'بيانات الحركات'!$G:$G,0)),"")</f>
        <v/>
      </c>
      <c r="E1001" s="21" t="str">
        <f>IF($B1001="إنتاج طبخة","",IFERROR(INDEX('بيانات الحركات'!E:E,MATCH(1000,'بيانات الحركات'!$G:$G,0)),""))</f>
        <v/>
      </c>
      <c r="F1001" s="3" t="str">
        <f>IFERROR(INDEX('بيانات الحركات'!F:F,MATCH(1000,'بيانات الحركات'!$G:$G,0)),"")</f>
        <v/>
      </c>
    </row>
    <row r="1002" spans="1:6" ht="21.95" customHeight="1">
      <c r="A1002" s="8" t="str">
        <f>IFERROR(INDEX('بيانات الحركات'!A:A,MATCH(1001,'بيانات الحركات'!$G:$G,0)),"")</f>
        <v/>
      </c>
      <c r="B1002" s="5" t="str">
        <f>IFERROR(INDEX('بيانات الحركات'!B:B,MATCH(1001,'بيانات الحركات'!$G:$G,0)),"")</f>
        <v/>
      </c>
      <c r="C1002" s="3" t="str">
        <f>IFERROR(INDEX('بيانات الحركات'!C:C,MATCH(1001,'بيانات الحركات'!$G:$G,0)),"")</f>
        <v/>
      </c>
      <c r="D1002" s="3" t="str">
        <f>IFERROR(INDEX('بيانات الحركات'!D:D,MATCH(1001,'بيانات الحركات'!$G:$G,0)),"")</f>
        <v/>
      </c>
      <c r="E1002" s="21" t="str">
        <f>IF($B1002="إنتاج طبخة","",IFERROR(INDEX('بيانات الحركات'!E:E,MATCH(1001,'بيانات الحركات'!$G:$G,0)),""))</f>
        <v/>
      </c>
      <c r="F1002" s="3" t="str">
        <f>IFERROR(INDEX('بيانات الحركات'!F:F,MATCH(1001,'بيانات الحركات'!$G:$G,0)),"")</f>
        <v/>
      </c>
    </row>
    <row r="1003" spans="1:6" ht="21.95" customHeight="1">
      <c r="A1003" s="8" t="str">
        <f>IFERROR(INDEX('بيانات الحركات'!A:A,MATCH(1002,'بيانات الحركات'!$G:$G,0)),"")</f>
        <v/>
      </c>
      <c r="B1003" s="5" t="str">
        <f>IFERROR(INDEX('بيانات الحركات'!B:B,MATCH(1002,'بيانات الحركات'!$G:$G,0)),"")</f>
        <v/>
      </c>
      <c r="C1003" s="3" t="str">
        <f>IFERROR(INDEX('بيانات الحركات'!C:C,MATCH(1002,'بيانات الحركات'!$G:$G,0)),"")</f>
        <v/>
      </c>
      <c r="D1003" s="3" t="str">
        <f>IFERROR(INDEX('بيانات الحركات'!D:D,MATCH(1002,'بيانات الحركات'!$G:$G,0)),"")</f>
        <v/>
      </c>
      <c r="E1003" s="21" t="str">
        <f>IF($B1003="إنتاج طبخة","",IFERROR(INDEX('بيانات الحركات'!E:E,MATCH(1002,'بيانات الحركات'!$G:$G,0)),""))</f>
        <v/>
      </c>
      <c r="F1003" s="3" t="str">
        <f>IFERROR(INDEX('بيانات الحركات'!F:F,MATCH(1002,'بيانات الحركات'!$G:$G,0)),"")</f>
        <v/>
      </c>
    </row>
    <row r="1004" spans="1:6" ht="21.95" customHeight="1">
      <c r="A1004" s="8" t="str">
        <f>IFERROR(INDEX('بيانات الحركات'!A:A,MATCH(1003,'بيانات الحركات'!$G:$G,0)),"")</f>
        <v/>
      </c>
      <c r="B1004" s="5" t="str">
        <f>IFERROR(INDEX('بيانات الحركات'!B:B,MATCH(1003,'بيانات الحركات'!$G:$G,0)),"")</f>
        <v/>
      </c>
      <c r="C1004" s="3" t="str">
        <f>IFERROR(INDEX('بيانات الحركات'!C:C,MATCH(1003,'بيانات الحركات'!$G:$G,0)),"")</f>
        <v/>
      </c>
      <c r="D1004" s="3" t="str">
        <f>IFERROR(INDEX('بيانات الحركات'!D:D,MATCH(1003,'بيانات الحركات'!$G:$G,0)),"")</f>
        <v/>
      </c>
      <c r="E1004" s="21" t="str">
        <f>IF($B1004="إنتاج طبخة","",IFERROR(INDEX('بيانات الحركات'!E:E,MATCH(1003,'بيانات الحركات'!$G:$G,0)),""))</f>
        <v/>
      </c>
      <c r="F1004" s="3" t="str">
        <f>IFERROR(INDEX('بيانات الحركات'!F:F,MATCH(1003,'بيانات الحركات'!$G:$G,0)),"")</f>
        <v/>
      </c>
    </row>
    <row r="1005" spans="1:6" ht="21.95" customHeight="1">
      <c r="A1005" s="8" t="str">
        <f>IFERROR(INDEX('بيانات الحركات'!A:A,MATCH(1004,'بيانات الحركات'!$G:$G,0)),"")</f>
        <v/>
      </c>
      <c r="B1005" s="5" t="str">
        <f>IFERROR(INDEX('بيانات الحركات'!B:B,MATCH(1004,'بيانات الحركات'!$G:$G,0)),"")</f>
        <v/>
      </c>
      <c r="C1005" s="3" t="str">
        <f>IFERROR(INDEX('بيانات الحركات'!C:C,MATCH(1004,'بيانات الحركات'!$G:$G,0)),"")</f>
        <v/>
      </c>
      <c r="D1005" s="3" t="str">
        <f>IFERROR(INDEX('بيانات الحركات'!D:D,MATCH(1004,'بيانات الحركات'!$G:$G,0)),"")</f>
        <v/>
      </c>
      <c r="E1005" s="21" t="str">
        <f>IF($B1005="إنتاج طبخة","",IFERROR(INDEX('بيانات الحركات'!E:E,MATCH(1004,'بيانات الحركات'!$G:$G,0)),""))</f>
        <v/>
      </c>
      <c r="F1005" s="3" t="str">
        <f>IFERROR(INDEX('بيانات الحركات'!F:F,MATCH(1004,'بيانات الحركات'!$G:$G,0)),"")</f>
        <v/>
      </c>
    </row>
    <row r="1006" spans="1:6" ht="21.95" customHeight="1">
      <c r="A1006" s="8" t="str">
        <f>IFERROR(INDEX('بيانات الحركات'!A:A,MATCH(1005,'بيانات الحركات'!$G:$G,0)),"")</f>
        <v/>
      </c>
      <c r="B1006" s="5" t="str">
        <f>IFERROR(INDEX('بيانات الحركات'!B:B,MATCH(1005,'بيانات الحركات'!$G:$G,0)),"")</f>
        <v/>
      </c>
      <c r="C1006" s="3" t="str">
        <f>IFERROR(INDEX('بيانات الحركات'!C:C,MATCH(1005,'بيانات الحركات'!$G:$G,0)),"")</f>
        <v/>
      </c>
      <c r="D1006" s="3" t="str">
        <f>IFERROR(INDEX('بيانات الحركات'!D:D,MATCH(1005,'بيانات الحركات'!$G:$G,0)),"")</f>
        <v/>
      </c>
      <c r="E1006" s="21" t="str">
        <f>IF($B1006="إنتاج طبخة","",IFERROR(INDEX('بيانات الحركات'!E:E,MATCH(1005,'بيانات الحركات'!$G:$G,0)),""))</f>
        <v/>
      </c>
      <c r="F1006" s="3" t="str">
        <f>IFERROR(INDEX('بيانات الحركات'!F:F,MATCH(1005,'بيانات الحركات'!$G:$G,0)),"")</f>
        <v/>
      </c>
    </row>
    <row r="1007" spans="1:6" ht="21.95" customHeight="1">
      <c r="A1007" s="8" t="str">
        <f>IFERROR(INDEX('بيانات الحركات'!A:A,MATCH(1006,'بيانات الحركات'!$G:$G,0)),"")</f>
        <v/>
      </c>
      <c r="B1007" s="5" t="str">
        <f>IFERROR(INDEX('بيانات الحركات'!B:B,MATCH(1006,'بيانات الحركات'!$G:$G,0)),"")</f>
        <v/>
      </c>
      <c r="C1007" s="3" t="str">
        <f>IFERROR(INDEX('بيانات الحركات'!C:C,MATCH(1006,'بيانات الحركات'!$G:$G,0)),"")</f>
        <v/>
      </c>
      <c r="D1007" s="3" t="str">
        <f>IFERROR(INDEX('بيانات الحركات'!D:D,MATCH(1006,'بيانات الحركات'!$G:$G,0)),"")</f>
        <v/>
      </c>
      <c r="E1007" s="21" t="str">
        <f>IF($B1007="إنتاج طبخة","",IFERROR(INDEX('بيانات الحركات'!E:E,MATCH(1006,'بيانات الحركات'!$G:$G,0)),""))</f>
        <v/>
      </c>
      <c r="F1007" s="3" t="str">
        <f>IFERROR(INDEX('بيانات الحركات'!F:F,MATCH(1006,'بيانات الحركات'!$G:$G,0)),"")</f>
        <v/>
      </c>
    </row>
    <row r="1008" spans="1:6" ht="21.95" customHeight="1">
      <c r="A1008" s="8" t="str">
        <f>IFERROR(INDEX('بيانات الحركات'!A:A,MATCH(1007,'بيانات الحركات'!$G:$G,0)),"")</f>
        <v/>
      </c>
      <c r="B1008" s="5" t="str">
        <f>IFERROR(INDEX('بيانات الحركات'!B:B,MATCH(1007,'بيانات الحركات'!$G:$G,0)),"")</f>
        <v/>
      </c>
      <c r="C1008" s="3" t="str">
        <f>IFERROR(INDEX('بيانات الحركات'!C:C,MATCH(1007,'بيانات الحركات'!$G:$G,0)),"")</f>
        <v/>
      </c>
      <c r="D1008" s="3" t="str">
        <f>IFERROR(INDEX('بيانات الحركات'!D:D,MATCH(1007,'بيانات الحركات'!$G:$G,0)),"")</f>
        <v/>
      </c>
      <c r="E1008" s="21" t="str">
        <f>IF($B1008="إنتاج طبخة","",IFERROR(INDEX('بيانات الحركات'!E:E,MATCH(1007,'بيانات الحركات'!$G:$G,0)),""))</f>
        <v/>
      </c>
      <c r="F1008" s="3" t="str">
        <f>IFERROR(INDEX('بيانات الحركات'!F:F,MATCH(1007,'بيانات الحركات'!$G:$G,0)),"")</f>
        <v/>
      </c>
    </row>
    <row r="1009" spans="1:6" ht="21.95" customHeight="1">
      <c r="A1009" s="8" t="str">
        <f>IFERROR(INDEX('بيانات الحركات'!A:A,MATCH(1008,'بيانات الحركات'!$G:$G,0)),"")</f>
        <v/>
      </c>
      <c r="B1009" s="5" t="str">
        <f>IFERROR(INDEX('بيانات الحركات'!B:B,MATCH(1008,'بيانات الحركات'!$G:$G,0)),"")</f>
        <v/>
      </c>
      <c r="C1009" s="3" t="str">
        <f>IFERROR(INDEX('بيانات الحركات'!C:C,MATCH(1008,'بيانات الحركات'!$G:$G,0)),"")</f>
        <v/>
      </c>
      <c r="D1009" s="3" t="str">
        <f>IFERROR(INDEX('بيانات الحركات'!D:D,MATCH(1008,'بيانات الحركات'!$G:$G,0)),"")</f>
        <v/>
      </c>
      <c r="E1009" s="21" t="str">
        <f>IF($B1009="إنتاج طبخة","",IFERROR(INDEX('بيانات الحركات'!E:E,MATCH(1008,'بيانات الحركات'!$G:$G,0)),""))</f>
        <v/>
      </c>
      <c r="F1009" s="3" t="str">
        <f>IFERROR(INDEX('بيانات الحركات'!F:F,MATCH(1008,'بيانات الحركات'!$G:$G,0)),"")</f>
        <v/>
      </c>
    </row>
    <row r="1010" spans="1:6" ht="21.95" customHeight="1">
      <c r="A1010" s="8" t="str">
        <f>IFERROR(INDEX('بيانات الحركات'!A:A,MATCH(1009,'بيانات الحركات'!$G:$G,0)),"")</f>
        <v/>
      </c>
      <c r="B1010" s="5" t="str">
        <f>IFERROR(INDEX('بيانات الحركات'!B:B,MATCH(1009,'بيانات الحركات'!$G:$G,0)),"")</f>
        <v/>
      </c>
      <c r="C1010" s="3" t="str">
        <f>IFERROR(INDEX('بيانات الحركات'!C:C,MATCH(1009,'بيانات الحركات'!$G:$G,0)),"")</f>
        <v/>
      </c>
      <c r="D1010" s="3" t="str">
        <f>IFERROR(INDEX('بيانات الحركات'!D:D,MATCH(1009,'بيانات الحركات'!$G:$G,0)),"")</f>
        <v/>
      </c>
      <c r="E1010" s="21" t="str">
        <f>IF($B1010="إنتاج طبخة","",IFERROR(INDEX('بيانات الحركات'!E:E,MATCH(1009,'بيانات الحركات'!$G:$G,0)),""))</f>
        <v/>
      </c>
      <c r="F1010" s="3" t="str">
        <f>IFERROR(INDEX('بيانات الحركات'!F:F,MATCH(1009,'بيانات الحركات'!$G:$G,0)),"")</f>
        <v/>
      </c>
    </row>
    <row r="1011" spans="1:6" ht="21.95" customHeight="1">
      <c r="A1011" s="8" t="str">
        <f>IFERROR(INDEX('بيانات الحركات'!A:A,MATCH(1010,'بيانات الحركات'!$G:$G,0)),"")</f>
        <v/>
      </c>
      <c r="B1011" s="5" t="str">
        <f>IFERROR(INDEX('بيانات الحركات'!B:B,MATCH(1010,'بيانات الحركات'!$G:$G,0)),"")</f>
        <v/>
      </c>
      <c r="C1011" s="3" t="str">
        <f>IFERROR(INDEX('بيانات الحركات'!C:C,MATCH(1010,'بيانات الحركات'!$G:$G,0)),"")</f>
        <v/>
      </c>
      <c r="D1011" s="3" t="str">
        <f>IFERROR(INDEX('بيانات الحركات'!D:D,MATCH(1010,'بيانات الحركات'!$G:$G,0)),"")</f>
        <v/>
      </c>
      <c r="E1011" s="21" t="str">
        <f>IF($B1011="إنتاج طبخة","",IFERROR(INDEX('بيانات الحركات'!E:E,MATCH(1010,'بيانات الحركات'!$G:$G,0)),""))</f>
        <v/>
      </c>
      <c r="F1011" s="3" t="str">
        <f>IFERROR(INDEX('بيانات الحركات'!F:F,MATCH(1010,'بيانات الحركات'!$G:$G,0)),"")</f>
        <v/>
      </c>
    </row>
    <row r="1012" spans="1:6" ht="21.95" customHeight="1">
      <c r="A1012" s="8" t="str">
        <f>IFERROR(INDEX('بيانات الحركات'!A:A,MATCH(1011,'بيانات الحركات'!$G:$G,0)),"")</f>
        <v/>
      </c>
      <c r="B1012" s="5" t="str">
        <f>IFERROR(INDEX('بيانات الحركات'!B:B,MATCH(1011,'بيانات الحركات'!$G:$G,0)),"")</f>
        <v/>
      </c>
      <c r="C1012" s="3" t="str">
        <f>IFERROR(INDEX('بيانات الحركات'!C:C,MATCH(1011,'بيانات الحركات'!$G:$G,0)),"")</f>
        <v/>
      </c>
      <c r="D1012" s="3" t="str">
        <f>IFERROR(INDEX('بيانات الحركات'!D:D,MATCH(1011,'بيانات الحركات'!$G:$G,0)),"")</f>
        <v/>
      </c>
      <c r="E1012" s="21" t="str">
        <f>IF($B1012="إنتاج طبخة","",IFERROR(INDEX('بيانات الحركات'!E:E,MATCH(1011,'بيانات الحركات'!$G:$G,0)),""))</f>
        <v/>
      </c>
      <c r="F1012" s="3" t="str">
        <f>IFERROR(INDEX('بيانات الحركات'!F:F,MATCH(1011,'بيانات الحركات'!$G:$G,0)),"")</f>
        <v/>
      </c>
    </row>
    <row r="1013" spans="1:6" ht="21.95" customHeight="1">
      <c r="A1013" s="8" t="str">
        <f>IFERROR(INDEX('بيانات الحركات'!A:A,MATCH(1012,'بيانات الحركات'!$G:$G,0)),"")</f>
        <v/>
      </c>
      <c r="B1013" s="5" t="str">
        <f>IFERROR(INDEX('بيانات الحركات'!B:B,MATCH(1012,'بيانات الحركات'!$G:$G,0)),"")</f>
        <v/>
      </c>
      <c r="C1013" s="3" t="str">
        <f>IFERROR(INDEX('بيانات الحركات'!C:C,MATCH(1012,'بيانات الحركات'!$G:$G,0)),"")</f>
        <v/>
      </c>
      <c r="D1013" s="3" t="str">
        <f>IFERROR(INDEX('بيانات الحركات'!D:D,MATCH(1012,'بيانات الحركات'!$G:$G,0)),"")</f>
        <v/>
      </c>
      <c r="E1013" s="21" t="str">
        <f>IF($B1013="إنتاج طبخة","",IFERROR(INDEX('بيانات الحركات'!E:E,MATCH(1012,'بيانات الحركات'!$G:$G,0)),""))</f>
        <v/>
      </c>
      <c r="F1013" s="3" t="str">
        <f>IFERROR(INDEX('بيانات الحركات'!F:F,MATCH(1012,'بيانات الحركات'!$G:$G,0)),"")</f>
        <v/>
      </c>
    </row>
    <row r="1014" spans="1:6" ht="21.95" customHeight="1">
      <c r="A1014" s="8" t="str">
        <f>IFERROR(INDEX('بيانات الحركات'!A:A,MATCH(1013,'بيانات الحركات'!$G:$G,0)),"")</f>
        <v/>
      </c>
      <c r="B1014" s="5" t="str">
        <f>IFERROR(INDEX('بيانات الحركات'!B:B,MATCH(1013,'بيانات الحركات'!$G:$G,0)),"")</f>
        <v/>
      </c>
      <c r="C1014" s="3" t="str">
        <f>IFERROR(INDEX('بيانات الحركات'!C:C,MATCH(1013,'بيانات الحركات'!$G:$G,0)),"")</f>
        <v/>
      </c>
      <c r="D1014" s="3" t="str">
        <f>IFERROR(INDEX('بيانات الحركات'!D:D,MATCH(1013,'بيانات الحركات'!$G:$G,0)),"")</f>
        <v/>
      </c>
      <c r="E1014" s="21" t="str">
        <f>IF($B1014="إنتاج طبخة","",IFERROR(INDEX('بيانات الحركات'!E:E,MATCH(1013,'بيانات الحركات'!$G:$G,0)),""))</f>
        <v/>
      </c>
      <c r="F1014" s="3" t="str">
        <f>IFERROR(INDEX('بيانات الحركات'!F:F,MATCH(1013,'بيانات الحركات'!$G:$G,0)),"")</f>
        <v/>
      </c>
    </row>
    <row r="1015" spans="1:6" ht="21.95" customHeight="1">
      <c r="A1015" s="8" t="str">
        <f>IFERROR(INDEX('بيانات الحركات'!A:A,MATCH(1014,'بيانات الحركات'!$G:$G,0)),"")</f>
        <v/>
      </c>
      <c r="B1015" s="5" t="str">
        <f>IFERROR(INDEX('بيانات الحركات'!B:B,MATCH(1014,'بيانات الحركات'!$G:$G,0)),"")</f>
        <v/>
      </c>
      <c r="C1015" s="3" t="str">
        <f>IFERROR(INDEX('بيانات الحركات'!C:C,MATCH(1014,'بيانات الحركات'!$G:$G,0)),"")</f>
        <v/>
      </c>
      <c r="D1015" s="3" t="str">
        <f>IFERROR(INDEX('بيانات الحركات'!D:D,MATCH(1014,'بيانات الحركات'!$G:$G,0)),"")</f>
        <v/>
      </c>
      <c r="E1015" s="21" t="str">
        <f>IF($B1015="إنتاج طبخة","",IFERROR(INDEX('بيانات الحركات'!E:E,MATCH(1014,'بيانات الحركات'!$G:$G,0)),""))</f>
        <v/>
      </c>
      <c r="F1015" s="3" t="str">
        <f>IFERROR(INDEX('بيانات الحركات'!F:F,MATCH(1014,'بيانات الحركات'!$G:$G,0)),"")</f>
        <v/>
      </c>
    </row>
    <row r="1016" spans="1:6" ht="21.95" customHeight="1">
      <c r="A1016" s="8" t="str">
        <f>IFERROR(INDEX('بيانات الحركات'!A:A,MATCH(1015,'بيانات الحركات'!$G:$G,0)),"")</f>
        <v/>
      </c>
      <c r="B1016" s="5" t="str">
        <f>IFERROR(INDEX('بيانات الحركات'!B:B,MATCH(1015,'بيانات الحركات'!$G:$G,0)),"")</f>
        <v/>
      </c>
      <c r="C1016" s="3" t="str">
        <f>IFERROR(INDEX('بيانات الحركات'!C:C,MATCH(1015,'بيانات الحركات'!$G:$G,0)),"")</f>
        <v/>
      </c>
      <c r="D1016" s="3" t="str">
        <f>IFERROR(INDEX('بيانات الحركات'!D:D,MATCH(1015,'بيانات الحركات'!$G:$G,0)),"")</f>
        <v/>
      </c>
      <c r="E1016" s="21" t="str">
        <f>IF($B1016="إنتاج طبخة","",IFERROR(INDEX('بيانات الحركات'!E:E,MATCH(1015,'بيانات الحركات'!$G:$G,0)),""))</f>
        <v/>
      </c>
      <c r="F1016" s="3" t="str">
        <f>IFERROR(INDEX('بيانات الحركات'!F:F,MATCH(1015,'بيانات الحركات'!$G:$G,0)),"")</f>
        <v/>
      </c>
    </row>
    <row r="1017" spans="1:6" ht="21.95" customHeight="1">
      <c r="A1017" s="8" t="str">
        <f>IFERROR(INDEX('بيانات الحركات'!A:A,MATCH(1016,'بيانات الحركات'!$G:$G,0)),"")</f>
        <v/>
      </c>
      <c r="B1017" s="5" t="str">
        <f>IFERROR(INDEX('بيانات الحركات'!B:B,MATCH(1016,'بيانات الحركات'!$G:$G,0)),"")</f>
        <v/>
      </c>
      <c r="C1017" s="3" t="str">
        <f>IFERROR(INDEX('بيانات الحركات'!C:C,MATCH(1016,'بيانات الحركات'!$G:$G,0)),"")</f>
        <v/>
      </c>
      <c r="D1017" s="3" t="str">
        <f>IFERROR(INDEX('بيانات الحركات'!D:D,MATCH(1016,'بيانات الحركات'!$G:$G,0)),"")</f>
        <v/>
      </c>
      <c r="E1017" s="21" t="str">
        <f>IF($B1017="إنتاج طبخة","",IFERROR(INDEX('بيانات الحركات'!E:E,MATCH(1016,'بيانات الحركات'!$G:$G,0)),""))</f>
        <v/>
      </c>
      <c r="F1017" s="3" t="str">
        <f>IFERROR(INDEX('بيانات الحركات'!F:F,MATCH(1016,'بيانات الحركات'!$G:$G,0)),"")</f>
        <v/>
      </c>
    </row>
    <row r="1018" spans="1:6" ht="21.95" customHeight="1">
      <c r="A1018" s="8" t="str">
        <f>IFERROR(INDEX('بيانات الحركات'!A:A,MATCH(1017,'بيانات الحركات'!$G:$G,0)),"")</f>
        <v/>
      </c>
      <c r="B1018" s="5" t="str">
        <f>IFERROR(INDEX('بيانات الحركات'!B:B,MATCH(1017,'بيانات الحركات'!$G:$G,0)),"")</f>
        <v/>
      </c>
      <c r="C1018" s="3" t="str">
        <f>IFERROR(INDEX('بيانات الحركات'!C:C,MATCH(1017,'بيانات الحركات'!$G:$G,0)),"")</f>
        <v/>
      </c>
      <c r="D1018" s="3" t="str">
        <f>IFERROR(INDEX('بيانات الحركات'!D:D,MATCH(1017,'بيانات الحركات'!$G:$G,0)),"")</f>
        <v/>
      </c>
      <c r="E1018" s="21" t="str">
        <f>IF($B1018="إنتاج طبخة","",IFERROR(INDEX('بيانات الحركات'!E:E,MATCH(1017,'بيانات الحركات'!$G:$G,0)),""))</f>
        <v/>
      </c>
      <c r="F1018" s="3" t="str">
        <f>IFERROR(INDEX('بيانات الحركات'!F:F,MATCH(1017,'بيانات الحركات'!$G:$G,0)),"")</f>
        <v/>
      </c>
    </row>
    <row r="1019" spans="1:6" ht="21.95" customHeight="1">
      <c r="A1019" s="8" t="str">
        <f>IFERROR(INDEX('بيانات الحركات'!A:A,MATCH(1018,'بيانات الحركات'!$G:$G,0)),"")</f>
        <v/>
      </c>
      <c r="B1019" s="5" t="str">
        <f>IFERROR(INDEX('بيانات الحركات'!B:B,MATCH(1018,'بيانات الحركات'!$G:$G,0)),"")</f>
        <v/>
      </c>
      <c r="C1019" s="3" t="str">
        <f>IFERROR(INDEX('بيانات الحركات'!C:C,MATCH(1018,'بيانات الحركات'!$G:$G,0)),"")</f>
        <v/>
      </c>
      <c r="D1019" s="3" t="str">
        <f>IFERROR(INDEX('بيانات الحركات'!D:D,MATCH(1018,'بيانات الحركات'!$G:$G,0)),"")</f>
        <v/>
      </c>
      <c r="E1019" s="21" t="str">
        <f>IF($B1019="إنتاج طبخة","",IFERROR(INDEX('بيانات الحركات'!E:E,MATCH(1018,'بيانات الحركات'!$G:$G,0)),""))</f>
        <v/>
      </c>
      <c r="F1019" s="3" t="str">
        <f>IFERROR(INDEX('بيانات الحركات'!F:F,MATCH(1018,'بيانات الحركات'!$G:$G,0)),"")</f>
        <v/>
      </c>
    </row>
    <row r="1020" spans="1:6" ht="21.95" customHeight="1">
      <c r="A1020" s="8" t="str">
        <f>IFERROR(INDEX('بيانات الحركات'!A:A,MATCH(1019,'بيانات الحركات'!$G:$G,0)),"")</f>
        <v/>
      </c>
      <c r="B1020" s="5" t="str">
        <f>IFERROR(INDEX('بيانات الحركات'!B:B,MATCH(1019,'بيانات الحركات'!$G:$G,0)),"")</f>
        <v/>
      </c>
      <c r="C1020" s="3" t="str">
        <f>IFERROR(INDEX('بيانات الحركات'!C:C,MATCH(1019,'بيانات الحركات'!$G:$G,0)),"")</f>
        <v/>
      </c>
      <c r="D1020" s="3" t="str">
        <f>IFERROR(INDEX('بيانات الحركات'!D:D,MATCH(1019,'بيانات الحركات'!$G:$G,0)),"")</f>
        <v/>
      </c>
      <c r="E1020" s="21" t="str">
        <f>IF($B1020="إنتاج طبخة","",IFERROR(INDEX('بيانات الحركات'!E:E,MATCH(1019,'بيانات الحركات'!$G:$G,0)),""))</f>
        <v/>
      </c>
      <c r="F1020" s="3" t="str">
        <f>IFERROR(INDEX('بيانات الحركات'!F:F,MATCH(1019,'بيانات الحركات'!$G:$G,0)),"")</f>
        <v/>
      </c>
    </row>
    <row r="1021" spans="1:6" ht="21.95" customHeight="1">
      <c r="A1021" s="8" t="str">
        <f>IFERROR(INDEX('بيانات الحركات'!A:A,MATCH(1020,'بيانات الحركات'!$G:$G,0)),"")</f>
        <v/>
      </c>
      <c r="B1021" s="5" t="str">
        <f>IFERROR(INDEX('بيانات الحركات'!B:B,MATCH(1020,'بيانات الحركات'!$G:$G,0)),"")</f>
        <v/>
      </c>
      <c r="C1021" s="3" t="str">
        <f>IFERROR(INDEX('بيانات الحركات'!C:C,MATCH(1020,'بيانات الحركات'!$G:$G,0)),"")</f>
        <v/>
      </c>
      <c r="D1021" s="3" t="str">
        <f>IFERROR(INDEX('بيانات الحركات'!D:D,MATCH(1020,'بيانات الحركات'!$G:$G,0)),"")</f>
        <v/>
      </c>
      <c r="E1021" s="21" t="str">
        <f>IF($B1021="إنتاج طبخة","",IFERROR(INDEX('بيانات الحركات'!E:E,MATCH(1020,'بيانات الحركات'!$G:$G,0)),""))</f>
        <v/>
      </c>
      <c r="F1021" s="3" t="str">
        <f>IFERROR(INDEX('بيانات الحركات'!F:F,MATCH(1020,'بيانات الحركات'!$G:$G,0)),"")</f>
        <v/>
      </c>
    </row>
    <row r="1022" spans="1:6" ht="21.95" customHeight="1">
      <c r="A1022" s="8" t="str">
        <f>IFERROR(INDEX('بيانات الحركات'!A:A,MATCH(1021,'بيانات الحركات'!$G:$G,0)),"")</f>
        <v/>
      </c>
      <c r="B1022" s="5" t="str">
        <f>IFERROR(INDEX('بيانات الحركات'!B:B,MATCH(1021,'بيانات الحركات'!$G:$G,0)),"")</f>
        <v/>
      </c>
      <c r="C1022" s="3" t="str">
        <f>IFERROR(INDEX('بيانات الحركات'!C:C,MATCH(1021,'بيانات الحركات'!$G:$G,0)),"")</f>
        <v/>
      </c>
      <c r="D1022" s="3" t="str">
        <f>IFERROR(INDEX('بيانات الحركات'!D:D,MATCH(1021,'بيانات الحركات'!$G:$G,0)),"")</f>
        <v/>
      </c>
      <c r="E1022" s="21" t="str">
        <f>IF($B1022="إنتاج طبخة","",IFERROR(INDEX('بيانات الحركات'!E:E,MATCH(1021,'بيانات الحركات'!$G:$G,0)),""))</f>
        <v/>
      </c>
      <c r="F1022" s="3" t="str">
        <f>IFERROR(INDEX('بيانات الحركات'!F:F,MATCH(1021,'بيانات الحركات'!$G:$G,0)),"")</f>
        <v/>
      </c>
    </row>
    <row r="1023" spans="1:6" ht="21.95" customHeight="1">
      <c r="A1023" s="8" t="str">
        <f>IFERROR(INDEX('بيانات الحركات'!A:A,MATCH(1022,'بيانات الحركات'!$G:$G,0)),"")</f>
        <v/>
      </c>
      <c r="B1023" s="5" t="str">
        <f>IFERROR(INDEX('بيانات الحركات'!B:B,MATCH(1022,'بيانات الحركات'!$G:$G,0)),"")</f>
        <v/>
      </c>
      <c r="C1023" s="3" t="str">
        <f>IFERROR(INDEX('بيانات الحركات'!C:C,MATCH(1022,'بيانات الحركات'!$G:$G,0)),"")</f>
        <v/>
      </c>
      <c r="D1023" s="3" t="str">
        <f>IFERROR(INDEX('بيانات الحركات'!D:D,MATCH(1022,'بيانات الحركات'!$G:$G,0)),"")</f>
        <v/>
      </c>
      <c r="E1023" s="21" t="str">
        <f>IF($B1023="إنتاج طبخة","",IFERROR(INDEX('بيانات الحركات'!E:E,MATCH(1022,'بيانات الحركات'!$G:$G,0)),""))</f>
        <v/>
      </c>
      <c r="F1023" s="3" t="str">
        <f>IFERROR(INDEX('بيانات الحركات'!F:F,MATCH(1022,'بيانات الحركات'!$G:$G,0)),"")</f>
        <v/>
      </c>
    </row>
    <row r="1024" spans="1:6" ht="21.95" customHeight="1">
      <c r="A1024" s="8" t="str">
        <f>IFERROR(INDEX('بيانات الحركات'!A:A,MATCH(1023,'بيانات الحركات'!$G:$G,0)),"")</f>
        <v/>
      </c>
      <c r="B1024" s="5" t="str">
        <f>IFERROR(INDEX('بيانات الحركات'!B:B,MATCH(1023,'بيانات الحركات'!$G:$G,0)),"")</f>
        <v/>
      </c>
      <c r="C1024" s="3" t="str">
        <f>IFERROR(INDEX('بيانات الحركات'!C:C,MATCH(1023,'بيانات الحركات'!$G:$G,0)),"")</f>
        <v/>
      </c>
      <c r="D1024" s="3" t="str">
        <f>IFERROR(INDEX('بيانات الحركات'!D:D,MATCH(1023,'بيانات الحركات'!$G:$G,0)),"")</f>
        <v/>
      </c>
      <c r="E1024" s="21" t="str">
        <f>IF($B1024="إنتاج طبخة","",IFERROR(INDEX('بيانات الحركات'!E:E,MATCH(1023,'بيانات الحركات'!$G:$G,0)),""))</f>
        <v/>
      </c>
      <c r="F1024" s="3" t="str">
        <f>IFERROR(INDEX('بيانات الحركات'!F:F,MATCH(1023,'بيانات الحركات'!$G:$G,0)),"")</f>
        <v/>
      </c>
    </row>
    <row r="1025" spans="1:6" ht="21.95" customHeight="1">
      <c r="A1025" s="8" t="str">
        <f>IFERROR(INDEX('بيانات الحركات'!A:A,MATCH(1024,'بيانات الحركات'!$G:$G,0)),"")</f>
        <v/>
      </c>
      <c r="B1025" s="5" t="str">
        <f>IFERROR(INDEX('بيانات الحركات'!B:B,MATCH(1024,'بيانات الحركات'!$G:$G,0)),"")</f>
        <v/>
      </c>
      <c r="C1025" s="3" t="str">
        <f>IFERROR(INDEX('بيانات الحركات'!C:C,MATCH(1024,'بيانات الحركات'!$G:$G,0)),"")</f>
        <v/>
      </c>
      <c r="D1025" s="3" t="str">
        <f>IFERROR(INDEX('بيانات الحركات'!D:D,MATCH(1024,'بيانات الحركات'!$G:$G,0)),"")</f>
        <v/>
      </c>
      <c r="E1025" s="21" t="str">
        <f>IF($B1025="إنتاج طبخة","",IFERROR(INDEX('بيانات الحركات'!E:E,MATCH(1024,'بيانات الحركات'!$G:$G,0)),""))</f>
        <v/>
      </c>
      <c r="F1025" s="3" t="str">
        <f>IFERROR(INDEX('بيانات الحركات'!F:F,MATCH(1024,'بيانات الحركات'!$G:$G,0)),"")</f>
        <v/>
      </c>
    </row>
    <row r="1026" spans="1:6" ht="21.95" customHeight="1">
      <c r="A1026" s="8" t="str">
        <f>IFERROR(INDEX('بيانات الحركات'!A:A,MATCH(1025,'بيانات الحركات'!$G:$G,0)),"")</f>
        <v/>
      </c>
      <c r="B1026" s="5" t="str">
        <f>IFERROR(INDEX('بيانات الحركات'!B:B,MATCH(1025,'بيانات الحركات'!$G:$G,0)),"")</f>
        <v/>
      </c>
      <c r="C1026" s="3" t="str">
        <f>IFERROR(INDEX('بيانات الحركات'!C:C,MATCH(1025,'بيانات الحركات'!$G:$G,0)),"")</f>
        <v/>
      </c>
      <c r="D1026" s="3" t="str">
        <f>IFERROR(INDEX('بيانات الحركات'!D:D,MATCH(1025,'بيانات الحركات'!$G:$G,0)),"")</f>
        <v/>
      </c>
      <c r="E1026" s="21" t="str">
        <f>IF($B1026="إنتاج طبخة","",IFERROR(INDEX('بيانات الحركات'!E:E,MATCH(1025,'بيانات الحركات'!$G:$G,0)),""))</f>
        <v/>
      </c>
      <c r="F1026" s="3" t="str">
        <f>IFERROR(INDEX('بيانات الحركات'!F:F,MATCH(1025,'بيانات الحركات'!$G:$G,0)),"")</f>
        <v/>
      </c>
    </row>
    <row r="1027" spans="1:6" ht="21.95" customHeight="1">
      <c r="A1027" s="8" t="str">
        <f>IFERROR(INDEX('بيانات الحركات'!A:A,MATCH(1026,'بيانات الحركات'!$G:$G,0)),"")</f>
        <v/>
      </c>
      <c r="B1027" s="5" t="str">
        <f>IFERROR(INDEX('بيانات الحركات'!B:B,MATCH(1026,'بيانات الحركات'!$G:$G,0)),"")</f>
        <v/>
      </c>
      <c r="C1027" s="3" t="str">
        <f>IFERROR(INDEX('بيانات الحركات'!C:C,MATCH(1026,'بيانات الحركات'!$G:$G,0)),"")</f>
        <v/>
      </c>
      <c r="D1027" s="3" t="str">
        <f>IFERROR(INDEX('بيانات الحركات'!D:D,MATCH(1026,'بيانات الحركات'!$G:$G,0)),"")</f>
        <v/>
      </c>
      <c r="E1027" s="21" t="str">
        <f>IF($B1027="إنتاج طبخة","",IFERROR(INDEX('بيانات الحركات'!E:E,MATCH(1026,'بيانات الحركات'!$G:$G,0)),""))</f>
        <v/>
      </c>
      <c r="F1027" s="3" t="str">
        <f>IFERROR(INDEX('بيانات الحركات'!F:F,MATCH(1026,'بيانات الحركات'!$G:$G,0)),"")</f>
        <v/>
      </c>
    </row>
    <row r="1028" spans="1:6" ht="21.95" customHeight="1">
      <c r="A1028" s="8" t="str">
        <f>IFERROR(INDEX('بيانات الحركات'!A:A,MATCH(1027,'بيانات الحركات'!$G:$G,0)),"")</f>
        <v/>
      </c>
      <c r="B1028" s="5" t="str">
        <f>IFERROR(INDEX('بيانات الحركات'!B:B,MATCH(1027,'بيانات الحركات'!$G:$G,0)),"")</f>
        <v/>
      </c>
      <c r="C1028" s="3" t="str">
        <f>IFERROR(INDEX('بيانات الحركات'!C:C,MATCH(1027,'بيانات الحركات'!$G:$G,0)),"")</f>
        <v/>
      </c>
      <c r="D1028" s="3" t="str">
        <f>IFERROR(INDEX('بيانات الحركات'!D:D,MATCH(1027,'بيانات الحركات'!$G:$G,0)),"")</f>
        <v/>
      </c>
      <c r="E1028" s="21" t="str">
        <f>IF($B1028="إنتاج طبخة","",IFERROR(INDEX('بيانات الحركات'!E:E,MATCH(1027,'بيانات الحركات'!$G:$G,0)),""))</f>
        <v/>
      </c>
      <c r="F1028" s="3" t="str">
        <f>IFERROR(INDEX('بيانات الحركات'!F:F,MATCH(1027,'بيانات الحركات'!$G:$G,0)),"")</f>
        <v/>
      </c>
    </row>
    <row r="1029" spans="1:6" ht="21.95" customHeight="1">
      <c r="A1029" s="8" t="str">
        <f>IFERROR(INDEX('بيانات الحركات'!A:A,MATCH(1028,'بيانات الحركات'!$G:$G,0)),"")</f>
        <v/>
      </c>
      <c r="B1029" s="5" t="str">
        <f>IFERROR(INDEX('بيانات الحركات'!B:B,MATCH(1028,'بيانات الحركات'!$G:$G,0)),"")</f>
        <v/>
      </c>
      <c r="C1029" s="3" t="str">
        <f>IFERROR(INDEX('بيانات الحركات'!C:C,MATCH(1028,'بيانات الحركات'!$G:$G,0)),"")</f>
        <v/>
      </c>
      <c r="D1029" s="3" t="str">
        <f>IFERROR(INDEX('بيانات الحركات'!D:D,MATCH(1028,'بيانات الحركات'!$G:$G,0)),"")</f>
        <v/>
      </c>
      <c r="E1029" s="21" t="str">
        <f>IF($B1029="إنتاج طبخة","",IFERROR(INDEX('بيانات الحركات'!E:E,MATCH(1028,'بيانات الحركات'!$G:$G,0)),""))</f>
        <v/>
      </c>
      <c r="F1029" s="3" t="str">
        <f>IFERROR(INDEX('بيانات الحركات'!F:F,MATCH(1028,'بيانات الحركات'!$G:$G,0)),"")</f>
        <v/>
      </c>
    </row>
    <row r="1030" spans="1:6" ht="21.95" customHeight="1">
      <c r="A1030" s="8" t="str">
        <f>IFERROR(INDEX('بيانات الحركات'!A:A,MATCH(1029,'بيانات الحركات'!$G:$G,0)),"")</f>
        <v/>
      </c>
      <c r="B1030" s="5" t="str">
        <f>IFERROR(INDEX('بيانات الحركات'!B:B,MATCH(1029,'بيانات الحركات'!$G:$G,0)),"")</f>
        <v/>
      </c>
      <c r="C1030" s="3" t="str">
        <f>IFERROR(INDEX('بيانات الحركات'!C:C,MATCH(1029,'بيانات الحركات'!$G:$G,0)),"")</f>
        <v/>
      </c>
      <c r="D1030" s="3" t="str">
        <f>IFERROR(INDEX('بيانات الحركات'!D:D,MATCH(1029,'بيانات الحركات'!$G:$G,0)),"")</f>
        <v/>
      </c>
      <c r="E1030" s="21" t="str">
        <f>IF($B1030="إنتاج طبخة","",IFERROR(INDEX('بيانات الحركات'!E:E,MATCH(1029,'بيانات الحركات'!$G:$G,0)),""))</f>
        <v/>
      </c>
      <c r="F1030" s="3" t="str">
        <f>IFERROR(INDEX('بيانات الحركات'!F:F,MATCH(1029,'بيانات الحركات'!$G:$G,0)),"")</f>
        <v/>
      </c>
    </row>
    <row r="1031" spans="1:6" ht="21.95" customHeight="1">
      <c r="A1031" s="8" t="str">
        <f>IFERROR(INDEX('بيانات الحركات'!A:A,MATCH(1030,'بيانات الحركات'!$G:$G,0)),"")</f>
        <v/>
      </c>
      <c r="B1031" s="5" t="str">
        <f>IFERROR(INDEX('بيانات الحركات'!B:B,MATCH(1030,'بيانات الحركات'!$G:$G,0)),"")</f>
        <v/>
      </c>
      <c r="C1031" s="3" t="str">
        <f>IFERROR(INDEX('بيانات الحركات'!C:C,MATCH(1030,'بيانات الحركات'!$G:$G,0)),"")</f>
        <v/>
      </c>
      <c r="D1031" s="3" t="str">
        <f>IFERROR(INDEX('بيانات الحركات'!D:D,MATCH(1030,'بيانات الحركات'!$G:$G,0)),"")</f>
        <v/>
      </c>
      <c r="E1031" s="21" t="str">
        <f>IF($B1031="إنتاج طبخة","",IFERROR(INDEX('بيانات الحركات'!E:E,MATCH(1030,'بيانات الحركات'!$G:$G,0)),""))</f>
        <v/>
      </c>
      <c r="F1031" s="3" t="str">
        <f>IFERROR(INDEX('بيانات الحركات'!F:F,MATCH(1030,'بيانات الحركات'!$G:$G,0)),"")</f>
        <v/>
      </c>
    </row>
    <row r="1032" spans="1:6" ht="21.95" customHeight="1">
      <c r="A1032" s="8" t="str">
        <f>IFERROR(INDEX('بيانات الحركات'!A:A,MATCH(1031,'بيانات الحركات'!$G:$G,0)),"")</f>
        <v/>
      </c>
      <c r="B1032" s="5" t="str">
        <f>IFERROR(INDEX('بيانات الحركات'!B:B,MATCH(1031,'بيانات الحركات'!$G:$G,0)),"")</f>
        <v/>
      </c>
      <c r="C1032" s="3" t="str">
        <f>IFERROR(INDEX('بيانات الحركات'!C:C,MATCH(1031,'بيانات الحركات'!$G:$G,0)),"")</f>
        <v/>
      </c>
      <c r="D1032" s="3" t="str">
        <f>IFERROR(INDEX('بيانات الحركات'!D:D,MATCH(1031,'بيانات الحركات'!$G:$G,0)),"")</f>
        <v/>
      </c>
      <c r="E1032" s="21" t="str">
        <f>IF($B1032="إنتاج طبخة","",IFERROR(INDEX('بيانات الحركات'!E:E,MATCH(1031,'بيانات الحركات'!$G:$G,0)),""))</f>
        <v/>
      </c>
      <c r="F1032" s="3" t="str">
        <f>IFERROR(INDEX('بيانات الحركات'!F:F,MATCH(1031,'بيانات الحركات'!$G:$G,0)),"")</f>
        <v/>
      </c>
    </row>
    <row r="1033" spans="1:6" ht="21.95" customHeight="1">
      <c r="A1033" s="8" t="str">
        <f>IFERROR(INDEX('بيانات الحركات'!A:A,MATCH(1032,'بيانات الحركات'!$G:$G,0)),"")</f>
        <v/>
      </c>
      <c r="B1033" s="5" t="str">
        <f>IFERROR(INDEX('بيانات الحركات'!B:B,MATCH(1032,'بيانات الحركات'!$G:$G,0)),"")</f>
        <v/>
      </c>
      <c r="C1033" s="3" t="str">
        <f>IFERROR(INDEX('بيانات الحركات'!C:C,MATCH(1032,'بيانات الحركات'!$G:$G,0)),"")</f>
        <v/>
      </c>
      <c r="D1033" s="3" t="str">
        <f>IFERROR(INDEX('بيانات الحركات'!D:D,MATCH(1032,'بيانات الحركات'!$G:$G,0)),"")</f>
        <v/>
      </c>
      <c r="E1033" s="21" t="str">
        <f>IF($B1033="إنتاج طبخة","",IFERROR(INDEX('بيانات الحركات'!E:E,MATCH(1032,'بيانات الحركات'!$G:$G,0)),""))</f>
        <v/>
      </c>
      <c r="F1033" s="3" t="str">
        <f>IFERROR(INDEX('بيانات الحركات'!F:F,MATCH(1032,'بيانات الحركات'!$G:$G,0)),"")</f>
        <v/>
      </c>
    </row>
    <row r="1034" spans="1:6" ht="21.95" customHeight="1">
      <c r="A1034" s="8" t="str">
        <f>IFERROR(INDEX('بيانات الحركات'!A:A,MATCH(1033,'بيانات الحركات'!$G:$G,0)),"")</f>
        <v/>
      </c>
      <c r="B1034" s="5" t="str">
        <f>IFERROR(INDEX('بيانات الحركات'!B:B,MATCH(1033,'بيانات الحركات'!$G:$G,0)),"")</f>
        <v/>
      </c>
      <c r="C1034" s="3" t="str">
        <f>IFERROR(INDEX('بيانات الحركات'!C:C,MATCH(1033,'بيانات الحركات'!$G:$G,0)),"")</f>
        <v/>
      </c>
      <c r="D1034" s="3" t="str">
        <f>IFERROR(INDEX('بيانات الحركات'!D:D,MATCH(1033,'بيانات الحركات'!$G:$G,0)),"")</f>
        <v/>
      </c>
      <c r="E1034" s="21" t="str">
        <f>IF($B1034="إنتاج طبخة","",IFERROR(INDEX('بيانات الحركات'!E:E,MATCH(1033,'بيانات الحركات'!$G:$G,0)),""))</f>
        <v/>
      </c>
      <c r="F1034" s="3" t="str">
        <f>IFERROR(INDEX('بيانات الحركات'!F:F,MATCH(1033,'بيانات الحركات'!$G:$G,0)),"")</f>
        <v/>
      </c>
    </row>
    <row r="1035" spans="1:6" ht="21.95" customHeight="1">
      <c r="A1035" s="8" t="str">
        <f>IFERROR(INDEX('بيانات الحركات'!A:A,MATCH(1034,'بيانات الحركات'!$G:$G,0)),"")</f>
        <v/>
      </c>
      <c r="B1035" s="5" t="str">
        <f>IFERROR(INDEX('بيانات الحركات'!B:B,MATCH(1034,'بيانات الحركات'!$G:$G,0)),"")</f>
        <v/>
      </c>
      <c r="C1035" s="3" t="str">
        <f>IFERROR(INDEX('بيانات الحركات'!C:C,MATCH(1034,'بيانات الحركات'!$G:$G,0)),"")</f>
        <v/>
      </c>
      <c r="D1035" s="3" t="str">
        <f>IFERROR(INDEX('بيانات الحركات'!D:D,MATCH(1034,'بيانات الحركات'!$G:$G,0)),"")</f>
        <v/>
      </c>
      <c r="E1035" s="21" t="str">
        <f>IF($B1035="إنتاج طبخة","",IFERROR(INDEX('بيانات الحركات'!E:E,MATCH(1034,'بيانات الحركات'!$G:$G,0)),""))</f>
        <v/>
      </c>
      <c r="F1035" s="3" t="str">
        <f>IFERROR(INDEX('بيانات الحركات'!F:F,MATCH(1034,'بيانات الحركات'!$G:$G,0)),"")</f>
        <v/>
      </c>
    </row>
    <row r="1036" spans="1:6" ht="21.95" customHeight="1">
      <c r="A1036" s="8" t="str">
        <f>IFERROR(INDEX('بيانات الحركات'!A:A,MATCH(1035,'بيانات الحركات'!$G:$G,0)),"")</f>
        <v/>
      </c>
      <c r="B1036" s="5" t="str">
        <f>IFERROR(INDEX('بيانات الحركات'!B:B,MATCH(1035,'بيانات الحركات'!$G:$G,0)),"")</f>
        <v/>
      </c>
      <c r="C1036" s="3" t="str">
        <f>IFERROR(INDEX('بيانات الحركات'!C:C,MATCH(1035,'بيانات الحركات'!$G:$G,0)),"")</f>
        <v/>
      </c>
      <c r="D1036" s="3" t="str">
        <f>IFERROR(INDEX('بيانات الحركات'!D:D,MATCH(1035,'بيانات الحركات'!$G:$G,0)),"")</f>
        <v/>
      </c>
      <c r="E1036" s="21" t="str">
        <f>IF($B1036="إنتاج طبخة","",IFERROR(INDEX('بيانات الحركات'!E:E,MATCH(1035,'بيانات الحركات'!$G:$G,0)),""))</f>
        <v/>
      </c>
      <c r="F1036" s="3" t="str">
        <f>IFERROR(INDEX('بيانات الحركات'!F:F,MATCH(1035,'بيانات الحركات'!$G:$G,0)),"")</f>
        <v/>
      </c>
    </row>
    <row r="1037" spans="1:6" ht="21.95" customHeight="1">
      <c r="A1037" s="8" t="str">
        <f>IFERROR(INDEX('بيانات الحركات'!A:A,MATCH(1036,'بيانات الحركات'!$G:$G,0)),"")</f>
        <v/>
      </c>
      <c r="B1037" s="5" t="str">
        <f>IFERROR(INDEX('بيانات الحركات'!B:B,MATCH(1036,'بيانات الحركات'!$G:$G,0)),"")</f>
        <v/>
      </c>
      <c r="C1037" s="3" t="str">
        <f>IFERROR(INDEX('بيانات الحركات'!C:C,MATCH(1036,'بيانات الحركات'!$G:$G,0)),"")</f>
        <v/>
      </c>
      <c r="D1037" s="3" t="str">
        <f>IFERROR(INDEX('بيانات الحركات'!D:D,MATCH(1036,'بيانات الحركات'!$G:$G,0)),"")</f>
        <v/>
      </c>
      <c r="E1037" s="21" t="str">
        <f>IF($B1037="إنتاج طبخة","",IFERROR(INDEX('بيانات الحركات'!E:E,MATCH(1036,'بيانات الحركات'!$G:$G,0)),""))</f>
        <v/>
      </c>
      <c r="F1037" s="3" t="str">
        <f>IFERROR(INDEX('بيانات الحركات'!F:F,MATCH(1036,'بيانات الحركات'!$G:$G,0)),"")</f>
        <v/>
      </c>
    </row>
    <row r="1038" spans="1:6" ht="21.95" customHeight="1">
      <c r="A1038" s="8" t="str">
        <f>IFERROR(INDEX('بيانات الحركات'!A:A,MATCH(1037,'بيانات الحركات'!$G:$G,0)),"")</f>
        <v/>
      </c>
      <c r="B1038" s="5" t="str">
        <f>IFERROR(INDEX('بيانات الحركات'!B:B,MATCH(1037,'بيانات الحركات'!$G:$G,0)),"")</f>
        <v/>
      </c>
      <c r="C1038" s="3" t="str">
        <f>IFERROR(INDEX('بيانات الحركات'!C:C,MATCH(1037,'بيانات الحركات'!$G:$G,0)),"")</f>
        <v/>
      </c>
      <c r="D1038" s="3" t="str">
        <f>IFERROR(INDEX('بيانات الحركات'!D:D,MATCH(1037,'بيانات الحركات'!$G:$G,0)),"")</f>
        <v/>
      </c>
      <c r="E1038" s="21" t="str">
        <f>IF($B1038="إنتاج طبخة","",IFERROR(INDEX('بيانات الحركات'!E:E,MATCH(1037,'بيانات الحركات'!$G:$G,0)),""))</f>
        <v/>
      </c>
      <c r="F1038" s="3" t="str">
        <f>IFERROR(INDEX('بيانات الحركات'!F:F,MATCH(1037,'بيانات الحركات'!$G:$G,0)),"")</f>
        <v/>
      </c>
    </row>
    <row r="1039" spans="1:6" ht="21.95" customHeight="1">
      <c r="A1039" s="8" t="str">
        <f>IFERROR(INDEX('بيانات الحركات'!A:A,MATCH(1038,'بيانات الحركات'!$G:$G,0)),"")</f>
        <v/>
      </c>
      <c r="B1039" s="5" t="str">
        <f>IFERROR(INDEX('بيانات الحركات'!B:B,MATCH(1038,'بيانات الحركات'!$G:$G,0)),"")</f>
        <v/>
      </c>
      <c r="C1039" s="3" t="str">
        <f>IFERROR(INDEX('بيانات الحركات'!C:C,MATCH(1038,'بيانات الحركات'!$G:$G,0)),"")</f>
        <v/>
      </c>
      <c r="D1039" s="3" t="str">
        <f>IFERROR(INDEX('بيانات الحركات'!D:D,MATCH(1038,'بيانات الحركات'!$G:$G,0)),"")</f>
        <v/>
      </c>
      <c r="E1039" s="21" t="str">
        <f>IF($B1039="إنتاج طبخة","",IFERROR(INDEX('بيانات الحركات'!E:E,MATCH(1038,'بيانات الحركات'!$G:$G,0)),""))</f>
        <v/>
      </c>
      <c r="F1039" s="3" t="str">
        <f>IFERROR(INDEX('بيانات الحركات'!F:F,MATCH(1038,'بيانات الحركات'!$G:$G,0)),"")</f>
        <v/>
      </c>
    </row>
    <row r="1040" spans="1:6" ht="21.95" customHeight="1">
      <c r="A1040" s="8" t="str">
        <f>IFERROR(INDEX('بيانات الحركات'!A:A,MATCH(1039,'بيانات الحركات'!$G:$G,0)),"")</f>
        <v/>
      </c>
      <c r="B1040" s="5" t="str">
        <f>IFERROR(INDEX('بيانات الحركات'!B:B,MATCH(1039,'بيانات الحركات'!$G:$G,0)),"")</f>
        <v/>
      </c>
      <c r="C1040" s="3" t="str">
        <f>IFERROR(INDEX('بيانات الحركات'!C:C,MATCH(1039,'بيانات الحركات'!$G:$G,0)),"")</f>
        <v/>
      </c>
      <c r="D1040" s="3" t="str">
        <f>IFERROR(INDEX('بيانات الحركات'!D:D,MATCH(1039,'بيانات الحركات'!$G:$G,0)),"")</f>
        <v/>
      </c>
      <c r="E1040" s="21" t="str">
        <f>IF($B1040="إنتاج طبخة","",IFERROR(INDEX('بيانات الحركات'!E:E,MATCH(1039,'بيانات الحركات'!$G:$G,0)),""))</f>
        <v/>
      </c>
      <c r="F1040" s="3" t="str">
        <f>IFERROR(INDEX('بيانات الحركات'!F:F,MATCH(1039,'بيانات الحركات'!$G:$G,0)),"")</f>
        <v/>
      </c>
    </row>
    <row r="1041" spans="1:6" ht="21.95" customHeight="1">
      <c r="A1041" s="8" t="str">
        <f>IFERROR(INDEX('بيانات الحركات'!A:A,MATCH(1040,'بيانات الحركات'!$G:$G,0)),"")</f>
        <v/>
      </c>
      <c r="B1041" s="5" t="str">
        <f>IFERROR(INDEX('بيانات الحركات'!B:B,MATCH(1040,'بيانات الحركات'!$G:$G,0)),"")</f>
        <v/>
      </c>
      <c r="C1041" s="3" t="str">
        <f>IFERROR(INDEX('بيانات الحركات'!C:C,MATCH(1040,'بيانات الحركات'!$G:$G,0)),"")</f>
        <v/>
      </c>
      <c r="D1041" s="3" t="str">
        <f>IFERROR(INDEX('بيانات الحركات'!D:D,MATCH(1040,'بيانات الحركات'!$G:$G,0)),"")</f>
        <v/>
      </c>
      <c r="E1041" s="21" t="str">
        <f>IF($B1041="إنتاج طبخة","",IFERROR(INDEX('بيانات الحركات'!E:E,MATCH(1040,'بيانات الحركات'!$G:$G,0)),""))</f>
        <v/>
      </c>
      <c r="F1041" s="3" t="str">
        <f>IFERROR(INDEX('بيانات الحركات'!F:F,MATCH(1040,'بيانات الحركات'!$G:$G,0)),"")</f>
        <v/>
      </c>
    </row>
    <row r="1042" spans="1:6" ht="21.95" customHeight="1">
      <c r="A1042" s="8" t="str">
        <f>IFERROR(INDEX('بيانات الحركات'!A:A,MATCH(1041,'بيانات الحركات'!$G:$G,0)),"")</f>
        <v/>
      </c>
      <c r="B1042" s="5" t="str">
        <f>IFERROR(INDEX('بيانات الحركات'!B:B,MATCH(1041,'بيانات الحركات'!$G:$G,0)),"")</f>
        <v/>
      </c>
      <c r="C1042" s="3" t="str">
        <f>IFERROR(INDEX('بيانات الحركات'!C:C,MATCH(1041,'بيانات الحركات'!$G:$G,0)),"")</f>
        <v/>
      </c>
      <c r="D1042" s="3" t="str">
        <f>IFERROR(INDEX('بيانات الحركات'!D:D,MATCH(1041,'بيانات الحركات'!$G:$G,0)),"")</f>
        <v/>
      </c>
      <c r="E1042" s="21" t="str">
        <f>IF($B1042="إنتاج طبخة","",IFERROR(INDEX('بيانات الحركات'!E:E,MATCH(1041,'بيانات الحركات'!$G:$G,0)),""))</f>
        <v/>
      </c>
      <c r="F1042" s="3" t="str">
        <f>IFERROR(INDEX('بيانات الحركات'!F:F,MATCH(1041,'بيانات الحركات'!$G:$G,0)),"")</f>
        <v/>
      </c>
    </row>
    <row r="1043" spans="1:6" ht="21.95" customHeight="1">
      <c r="A1043" s="8" t="str">
        <f>IFERROR(INDEX('بيانات الحركات'!A:A,MATCH(1042,'بيانات الحركات'!$G:$G,0)),"")</f>
        <v/>
      </c>
      <c r="B1043" s="5" t="str">
        <f>IFERROR(INDEX('بيانات الحركات'!B:B,MATCH(1042,'بيانات الحركات'!$G:$G,0)),"")</f>
        <v/>
      </c>
      <c r="C1043" s="3" t="str">
        <f>IFERROR(INDEX('بيانات الحركات'!C:C,MATCH(1042,'بيانات الحركات'!$G:$G,0)),"")</f>
        <v/>
      </c>
      <c r="D1043" s="3" t="str">
        <f>IFERROR(INDEX('بيانات الحركات'!D:D,MATCH(1042,'بيانات الحركات'!$G:$G,0)),"")</f>
        <v/>
      </c>
      <c r="E1043" s="21" t="str">
        <f>IF($B1043="إنتاج طبخة","",IFERROR(INDEX('بيانات الحركات'!E:E,MATCH(1042,'بيانات الحركات'!$G:$G,0)),""))</f>
        <v/>
      </c>
      <c r="F1043" s="3" t="str">
        <f>IFERROR(INDEX('بيانات الحركات'!F:F,MATCH(1042,'بيانات الحركات'!$G:$G,0)),"")</f>
        <v/>
      </c>
    </row>
    <row r="1044" spans="1:6" ht="21.95" customHeight="1">
      <c r="A1044" s="8" t="str">
        <f>IFERROR(INDEX('بيانات الحركات'!A:A,MATCH(1043,'بيانات الحركات'!$G:$G,0)),"")</f>
        <v/>
      </c>
      <c r="B1044" s="5" t="str">
        <f>IFERROR(INDEX('بيانات الحركات'!B:B,MATCH(1043,'بيانات الحركات'!$G:$G,0)),"")</f>
        <v/>
      </c>
      <c r="C1044" s="3" t="str">
        <f>IFERROR(INDEX('بيانات الحركات'!C:C,MATCH(1043,'بيانات الحركات'!$G:$G,0)),"")</f>
        <v/>
      </c>
      <c r="D1044" s="3" t="str">
        <f>IFERROR(INDEX('بيانات الحركات'!D:D,MATCH(1043,'بيانات الحركات'!$G:$G,0)),"")</f>
        <v/>
      </c>
      <c r="E1044" s="21" t="str">
        <f>IF($B1044="إنتاج طبخة","",IFERROR(INDEX('بيانات الحركات'!E:E,MATCH(1043,'بيانات الحركات'!$G:$G,0)),""))</f>
        <v/>
      </c>
      <c r="F1044" s="3" t="str">
        <f>IFERROR(INDEX('بيانات الحركات'!F:F,MATCH(1043,'بيانات الحركات'!$G:$G,0)),"")</f>
        <v/>
      </c>
    </row>
    <row r="1045" spans="1:6" ht="21.95" customHeight="1">
      <c r="A1045" s="8" t="str">
        <f>IFERROR(INDEX('بيانات الحركات'!A:A,MATCH(1044,'بيانات الحركات'!$G:$G,0)),"")</f>
        <v/>
      </c>
      <c r="B1045" s="5" t="str">
        <f>IFERROR(INDEX('بيانات الحركات'!B:B,MATCH(1044,'بيانات الحركات'!$G:$G,0)),"")</f>
        <v/>
      </c>
      <c r="C1045" s="3" t="str">
        <f>IFERROR(INDEX('بيانات الحركات'!C:C,MATCH(1044,'بيانات الحركات'!$G:$G,0)),"")</f>
        <v/>
      </c>
      <c r="D1045" s="3" t="str">
        <f>IFERROR(INDEX('بيانات الحركات'!D:D,MATCH(1044,'بيانات الحركات'!$G:$G,0)),"")</f>
        <v/>
      </c>
      <c r="E1045" s="21" t="str">
        <f>IF($B1045="إنتاج طبخة","",IFERROR(INDEX('بيانات الحركات'!E:E,MATCH(1044,'بيانات الحركات'!$G:$G,0)),""))</f>
        <v/>
      </c>
      <c r="F1045" s="3" t="str">
        <f>IFERROR(INDEX('بيانات الحركات'!F:F,MATCH(1044,'بيانات الحركات'!$G:$G,0)),"")</f>
        <v/>
      </c>
    </row>
    <row r="1046" spans="1:6" ht="21.95" customHeight="1">
      <c r="A1046" s="8" t="str">
        <f>IFERROR(INDEX('بيانات الحركات'!A:A,MATCH(1045,'بيانات الحركات'!$G:$G,0)),"")</f>
        <v/>
      </c>
      <c r="B1046" s="5" t="str">
        <f>IFERROR(INDEX('بيانات الحركات'!B:B,MATCH(1045,'بيانات الحركات'!$G:$G,0)),"")</f>
        <v/>
      </c>
      <c r="C1046" s="3" t="str">
        <f>IFERROR(INDEX('بيانات الحركات'!C:C,MATCH(1045,'بيانات الحركات'!$G:$G,0)),"")</f>
        <v/>
      </c>
      <c r="D1046" s="3" t="str">
        <f>IFERROR(INDEX('بيانات الحركات'!D:D,MATCH(1045,'بيانات الحركات'!$G:$G,0)),"")</f>
        <v/>
      </c>
      <c r="E1046" s="21" t="str">
        <f>IF($B1046="إنتاج طبخة","",IFERROR(INDEX('بيانات الحركات'!E:E,MATCH(1045,'بيانات الحركات'!$G:$G,0)),""))</f>
        <v/>
      </c>
      <c r="F1046" s="3" t="str">
        <f>IFERROR(INDEX('بيانات الحركات'!F:F,MATCH(1045,'بيانات الحركات'!$G:$G,0)),"")</f>
        <v/>
      </c>
    </row>
    <row r="1047" spans="1:6" ht="21.95" customHeight="1">
      <c r="A1047" s="8" t="str">
        <f>IFERROR(INDEX('بيانات الحركات'!A:A,MATCH(1046,'بيانات الحركات'!$G:$G,0)),"")</f>
        <v/>
      </c>
      <c r="B1047" s="5" t="str">
        <f>IFERROR(INDEX('بيانات الحركات'!B:B,MATCH(1046,'بيانات الحركات'!$G:$G,0)),"")</f>
        <v/>
      </c>
      <c r="C1047" s="3" t="str">
        <f>IFERROR(INDEX('بيانات الحركات'!C:C,MATCH(1046,'بيانات الحركات'!$G:$G,0)),"")</f>
        <v/>
      </c>
      <c r="D1047" s="3" t="str">
        <f>IFERROR(INDEX('بيانات الحركات'!D:D,MATCH(1046,'بيانات الحركات'!$G:$G,0)),"")</f>
        <v/>
      </c>
      <c r="E1047" s="21" t="str">
        <f>IF($B1047="إنتاج طبخة","",IFERROR(INDEX('بيانات الحركات'!E:E,MATCH(1046,'بيانات الحركات'!$G:$G,0)),""))</f>
        <v/>
      </c>
      <c r="F1047" s="3" t="str">
        <f>IFERROR(INDEX('بيانات الحركات'!F:F,MATCH(1046,'بيانات الحركات'!$G:$G,0)),"")</f>
        <v/>
      </c>
    </row>
    <row r="1048" spans="1:6" ht="21.95" customHeight="1">
      <c r="A1048" s="8" t="str">
        <f>IFERROR(INDEX('بيانات الحركات'!A:A,MATCH(1047,'بيانات الحركات'!$G:$G,0)),"")</f>
        <v/>
      </c>
      <c r="B1048" s="5" t="str">
        <f>IFERROR(INDEX('بيانات الحركات'!B:B,MATCH(1047,'بيانات الحركات'!$G:$G,0)),"")</f>
        <v/>
      </c>
      <c r="C1048" s="3" t="str">
        <f>IFERROR(INDEX('بيانات الحركات'!C:C,MATCH(1047,'بيانات الحركات'!$G:$G,0)),"")</f>
        <v/>
      </c>
      <c r="D1048" s="3" t="str">
        <f>IFERROR(INDEX('بيانات الحركات'!D:D,MATCH(1047,'بيانات الحركات'!$G:$G,0)),"")</f>
        <v/>
      </c>
      <c r="E1048" s="21" t="str">
        <f>IF($B1048="إنتاج طبخة","",IFERROR(INDEX('بيانات الحركات'!E:E,MATCH(1047,'بيانات الحركات'!$G:$G,0)),""))</f>
        <v/>
      </c>
      <c r="F1048" s="3" t="str">
        <f>IFERROR(INDEX('بيانات الحركات'!F:F,MATCH(1047,'بيانات الحركات'!$G:$G,0)),"")</f>
        <v/>
      </c>
    </row>
    <row r="1049" spans="1:6" ht="21.95" customHeight="1">
      <c r="A1049" s="8" t="str">
        <f>IFERROR(INDEX('بيانات الحركات'!A:A,MATCH(1048,'بيانات الحركات'!$G:$G,0)),"")</f>
        <v/>
      </c>
      <c r="B1049" s="5" t="str">
        <f>IFERROR(INDEX('بيانات الحركات'!B:B,MATCH(1048,'بيانات الحركات'!$G:$G,0)),"")</f>
        <v/>
      </c>
      <c r="C1049" s="3" t="str">
        <f>IFERROR(INDEX('بيانات الحركات'!C:C,MATCH(1048,'بيانات الحركات'!$G:$G,0)),"")</f>
        <v/>
      </c>
      <c r="D1049" s="3" t="str">
        <f>IFERROR(INDEX('بيانات الحركات'!D:D,MATCH(1048,'بيانات الحركات'!$G:$G,0)),"")</f>
        <v/>
      </c>
      <c r="E1049" s="21" t="str">
        <f>IF($B1049="إنتاج طبخة","",IFERROR(INDEX('بيانات الحركات'!E:E,MATCH(1048,'بيانات الحركات'!$G:$G,0)),""))</f>
        <v/>
      </c>
      <c r="F1049" s="3" t="str">
        <f>IFERROR(INDEX('بيانات الحركات'!F:F,MATCH(1048,'بيانات الحركات'!$G:$G,0)),"")</f>
        <v/>
      </c>
    </row>
    <row r="1050" spans="1:6" ht="21.95" customHeight="1">
      <c r="A1050" s="8" t="str">
        <f>IFERROR(INDEX('بيانات الحركات'!A:A,MATCH(1049,'بيانات الحركات'!$G:$G,0)),"")</f>
        <v/>
      </c>
      <c r="B1050" s="5" t="str">
        <f>IFERROR(INDEX('بيانات الحركات'!B:B,MATCH(1049,'بيانات الحركات'!$G:$G,0)),"")</f>
        <v/>
      </c>
      <c r="C1050" s="3" t="str">
        <f>IFERROR(INDEX('بيانات الحركات'!C:C,MATCH(1049,'بيانات الحركات'!$G:$G,0)),"")</f>
        <v/>
      </c>
      <c r="D1050" s="3" t="str">
        <f>IFERROR(INDEX('بيانات الحركات'!D:D,MATCH(1049,'بيانات الحركات'!$G:$G,0)),"")</f>
        <v/>
      </c>
      <c r="E1050" s="21" t="str">
        <f>IF($B1050="إنتاج طبخة","",IFERROR(INDEX('بيانات الحركات'!E:E,MATCH(1049,'بيانات الحركات'!$G:$G,0)),""))</f>
        <v/>
      </c>
      <c r="F1050" s="3" t="str">
        <f>IFERROR(INDEX('بيانات الحركات'!F:F,MATCH(1049,'بيانات الحركات'!$G:$G,0)),"")</f>
        <v/>
      </c>
    </row>
    <row r="1051" spans="1:6" ht="21.95" customHeight="1">
      <c r="A1051" s="8" t="str">
        <f>IFERROR(INDEX('بيانات الحركات'!A:A,MATCH(1050,'بيانات الحركات'!$G:$G,0)),"")</f>
        <v/>
      </c>
      <c r="B1051" s="5" t="str">
        <f>IFERROR(INDEX('بيانات الحركات'!B:B,MATCH(1050,'بيانات الحركات'!$G:$G,0)),"")</f>
        <v/>
      </c>
      <c r="C1051" s="3" t="str">
        <f>IFERROR(INDEX('بيانات الحركات'!C:C,MATCH(1050,'بيانات الحركات'!$G:$G,0)),"")</f>
        <v/>
      </c>
      <c r="D1051" s="3" t="str">
        <f>IFERROR(INDEX('بيانات الحركات'!D:D,MATCH(1050,'بيانات الحركات'!$G:$G,0)),"")</f>
        <v/>
      </c>
      <c r="E1051" s="21" t="str">
        <f>IF($B1051="إنتاج طبخة","",IFERROR(INDEX('بيانات الحركات'!E:E,MATCH(1050,'بيانات الحركات'!$G:$G,0)),""))</f>
        <v/>
      </c>
      <c r="F1051" s="3" t="str">
        <f>IFERROR(INDEX('بيانات الحركات'!F:F,MATCH(1050,'بيانات الحركات'!$G:$G,0)),"")</f>
        <v/>
      </c>
    </row>
    <row r="1052" spans="1:6" ht="21.95" customHeight="1">
      <c r="A1052" s="8" t="str">
        <f>IFERROR(INDEX('بيانات الحركات'!A:A,MATCH(1051,'بيانات الحركات'!$G:$G,0)),"")</f>
        <v/>
      </c>
      <c r="B1052" s="5" t="str">
        <f>IFERROR(INDEX('بيانات الحركات'!B:B,MATCH(1051,'بيانات الحركات'!$G:$G,0)),"")</f>
        <v/>
      </c>
      <c r="C1052" s="3" t="str">
        <f>IFERROR(INDEX('بيانات الحركات'!C:C,MATCH(1051,'بيانات الحركات'!$G:$G,0)),"")</f>
        <v/>
      </c>
      <c r="D1052" s="3" t="str">
        <f>IFERROR(INDEX('بيانات الحركات'!D:D,MATCH(1051,'بيانات الحركات'!$G:$G,0)),"")</f>
        <v/>
      </c>
      <c r="E1052" s="21" t="str">
        <f>IF($B1052="إنتاج طبخة","",IFERROR(INDEX('بيانات الحركات'!E:E,MATCH(1051,'بيانات الحركات'!$G:$G,0)),""))</f>
        <v/>
      </c>
      <c r="F1052" s="3" t="str">
        <f>IFERROR(INDEX('بيانات الحركات'!F:F,MATCH(1051,'بيانات الحركات'!$G:$G,0)),"")</f>
        <v/>
      </c>
    </row>
    <row r="1053" spans="1:6" ht="21.95" customHeight="1">
      <c r="A1053" s="8" t="str">
        <f>IFERROR(INDEX('بيانات الحركات'!A:A,MATCH(1052,'بيانات الحركات'!$G:$G,0)),"")</f>
        <v/>
      </c>
      <c r="B1053" s="5" t="str">
        <f>IFERROR(INDEX('بيانات الحركات'!B:B,MATCH(1052,'بيانات الحركات'!$G:$G,0)),"")</f>
        <v/>
      </c>
      <c r="C1053" s="3" t="str">
        <f>IFERROR(INDEX('بيانات الحركات'!C:C,MATCH(1052,'بيانات الحركات'!$G:$G,0)),"")</f>
        <v/>
      </c>
      <c r="D1053" s="3" t="str">
        <f>IFERROR(INDEX('بيانات الحركات'!D:D,MATCH(1052,'بيانات الحركات'!$G:$G,0)),"")</f>
        <v/>
      </c>
      <c r="E1053" s="21" t="str">
        <f>IF($B1053="إنتاج طبخة","",IFERROR(INDEX('بيانات الحركات'!E:E,MATCH(1052,'بيانات الحركات'!$G:$G,0)),""))</f>
        <v/>
      </c>
      <c r="F1053" s="3" t="str">
        <f>IFERROR(INDEX('بيانات الحركات'!F:F,MATCH(1052,'بيانات الحركات'!$G:$G,0)),"")</f>
        <v/>
      </c>
    </row>
    <row r="1054" spans="1:6" ht="21.95" customHeight="1">
      <c r="A1054" s="8" t="str">
        <f>IFERROR(INDEX('بيانات الحركات'!A:A,MATCH(1053,'بيانات الحركات'!$G:$G,0)),"")</f>
        <v/>
      </c>
      <c r="B1054" s="5" t="str">
        <f>IFERROR(INDEX('بيانات الحركات'!B:B,MATCH(1053,'بيانات الحركات'!$G:$G,0)),"")</f>
        <v/>
      </c>
      <c r="C1054" s="3" t="str">
        <f>IFERROR(INDEX('بيانات الحركات'!C:C,MATCH(1053,'بيانات الحركات'!$G:$G,0)),"")</f>
        <v/>
      </c>
      <c r="D1054" s="3" t="str">
        <f>IFERROR(INDEX('بيانات الحركات'!D:D,MATCH(1053,'بيانات الحركات'!$G:$G,0)),"")</f>
        <v/>
      </c>
      <c r="E1054" s="21" t="str">
        <f>IF($B1054="إنتاج طبخة","",IFERROR(INDEX('بيانات الحركات'!E:E,MATCH(1053,'بيانات الحركات'!$G:$G,0)),""))</f>
        <v/>
      </c>
      <c r="F1054" s="3" t="str">
        <f>IFERROR(INDEX('بيانات الحركات'!F:F,MATCH(1053,'بيانات الحركات'!$G:$G,0)),"")</f>
        <v/>
      </c>
    </row>
    <row r="1055" spans="1:6" ht="21.95" customHeight="1">
      <c r="A1055" s="8" t="str">
        <f>IFERROR(INDEX('بيانات الحركات'!A:A,MATCH(1054,'بيانات الحركات'!$G:$G,0)),"")</f>
        <v/>
      </c>
      <c r="B1055" s="5" t="str">
        <f>IFERROR(INDEX('بيانات الحركات'!B:B,MATCH(1054,'بيانات الحركات'!$G:$G,0)),"")</f>
        <v/>
      </c>
      <c r="C1055" s="3" t="str">
        <f>IFERROR(INDEX('بيانات الحركات'!C:C,MATCH(1054,'بيانات الحركات'!$G:$G,0)),"")</f>
        <v/>
      </c>
      <c r="D1055" s="3" t="str">
        <f>IFERROR(INDEX('بيانات الحركات'!D:D,MATCH(1054,'بيانات الحركات'!$G:$G,0)),"")</f>
        <v/>
      </c>
      <c r="E1055" s="21" t="str">
        <f>IF($B1055="إنتاج طبخة","",IFERROR(INDEX('بيانات الحركات'!E:E,MATCH(1054,'بيانات الحركات'!$G:$G,0)),""))</f>
        <v/>
      </c>
      <c r="F1055" s="3" t="str">
        <f>IFERROR(INDEX('بيانات الحركات'!F:F,MATCH(1054,'بيانات الحركات'!$G:$G,0)),"")</f>
        <v/>
      </c>
    </row>
    <row r="1056" spans="1:6" ht="21.95" customHeight="1">
      <c r="A1056" s="8" t="str">
        <f>IFERROR(INDEX('بيانات الحركات'!A:A,MATCH(1055,'بيانات الحركات'!$G:$G,0)),"")</f>
        <v/>
      </c>
      <c r="B1056" s="5" t="str">
        <f>IFERROR(INDEX('بيانات الحركات'!B:B,MATCH(1055,'بيانات الحركات'!$G:$G,0)),"")</f>
        <v/>
      </c>
      <c r="C1056" s="3" t="str">
        <f>IFERROR(INDEX('بيانات الحركات'!C:C,MATCH(1055,'بيانات الحركات'!$G:$G,0)),"")</f>
        <v/>
      </c>
      <c r="D1056" s="3" t="str">
        <f>IFERROR(INDEX('بيانات الحركات'!D:D,MATCH(1055,'بيانات الحركات'!$G:$G,0)),"")</f>
        <v/>
      </c>
      <c r="E1056" s="21" t="str">
        <f>IF($B1056="إنتاج طبخة","",IFERROR(INDEX('بيانات الحركات'!E:E,MATCH(1055,'بيانات الحركات'!$G:$G,0)),""))</f>
        <v/>
      </c>
      <c r="F1056" s="3" t="str">
        <f>IFERROR(INDEX('بيانات الحركات'!F:F,MATCH(1055,'بيانات الحركات'!$G:$G,0)),"")</f>
        <v/>
      </c>
    </row>
    <row r="1057" spans="1:6" ht="21.95" customHeight="1">
      <c r="A1057" s="8" t="str">
        <f>IFERROR(INDEX('بيانات الحركات'!A:A,MATCH(1056,'بيانات الحركات'!$G:$G,0)),"")</f>
        <v/>
      </c>
      <c r="B1057" s="5" t="str">
        <f>IFERROR(INDEX('بيانات الحركات'!B:B,MATCH(1056,'بيانات الحركات'!$G:$G,0)),"")</f>
        <v/>
      </c>
      <c r="C1057" s="3" t="str">
        <f>IFERROR(INDEX('بيانات الحركات'!C:C,MATCH(1056,'بيانات الحركات'!$G:$G,0)),"")</f>
        <v/>
      </c>
      <c r="D1057" s="3" t="str">
        <f>IFERROR(INDEX('بيانات الحركات'!D:D,MATCH(1056,'بيانات الحركات'!$G:$G,0)),"")</f>
        <v/>
      </c>
      <c r="E1057" s="21" t="str">
        <f>IF($B1057="إنتاج طبخة","",IFERROR(INDEX('بيانات الحركات'!E:E,MATCH(1056,'بيانات الحركات'!$G:$G,0)),""))</f>
        <v/>
      </c>
      <c r="F1057" s="3" t="str">
        <f>IFERROR(INDEX('بيانات الحركات'!F:F,MATCH(1056,'بيانات الحركات'!$G:$G,0)),"")</f>
        <v/>
      </c>
    </row>
    <row r="1058" spans="1:6" ht="21.95" customHeight="1">
      <c r="A1058" s="8" t="str">
        <f>IFERROR(INDEX('بيانات الحركات'!A:A,MATCH(1057,'بيانات الحركات'!$G:$G,0)),"")</f>
        <v/>
      </c>
      <c r="B1058" s="5" t="str">
        <f>IFERROR(INDEX('بيانات الحركات'!B:B,MATCH(1057,'بيانات الحركات'!$G:$G,0)),"")</f>
        <v/>
      </c>
      <c r="C1058" s="3" t="str">
        <f>IFERROR(INDEX('بيانات الحركات'!C:C,MATCH(1057,'بيانات الحركات'!$G:$G,0)),"")</f>
        <v/>
      </c>
      <c r="D1058" s="3" t="str">
        <f>IFERROR(INDEX('بيانات الحركات'!D:D,MATCH(1057,'بيانات الحركات'!$G:$G,0)),"")</f>
        <v/>
      </c>
      <c r="E1058" s="21" t="str">
        <f>IF($B1058="إنتاج طبخة","",IFERROR(INDEX('بيانات الحركات'!E:E,MATCH(1057,'بيانات الحركات'!$G:$G,0)),""))</f>
        <v/>
      </c>
      <c r="F1058" s="3" t="str">
        <f>IFERROR(INDEX('بيانات الحركات'!F:F,MATCH(1057,'بيانات الحركات'!$G:$G,0)),"")</f>
        <v/>
      </c>
    </row>
    <row r="1059" spans="1:6" ht="21.95" customHeight="1">
      <c r="A1059" s="8" t="str">
        <f>IFERROR(INDEX('بيانات الحركات'!A:A,MATCH(1058,'بيانات الحركات'!$G:$G,0)),"")</f>
        <v/>
      </c>
      <c r="B1059" s="5" t="str">
        <f>IFERROR(INDEX('بيانات الحركات'!B:B,MATCH(1058,'بيانات الحركات'!$G:$G,0)),"")</f>
        <v/>
      </c>
      <c r="C1059" s="3" t="str">
        <f>IFERROR(INDEX('بيانات الحركات'!C:C,MATCH(1058,'بيانات الحركات'!$G:$G,0)),"")</f>
        <v/>
      </c>
      <c r="D1059" s="3" t="str">
        <f>IFERROR(INDEX('بيانات الحركات'!D:D,MATCH(1058,'بيانات الحركات'!$G:$G,0)),"")</f>
        <v/>
      </c>
      <c r="E1059" s="21" t="str">
        <f>IF($B1059="إنتاج طبخة","",IFERROR(INDEX('بيانات الحركات'!E:E,MATCH(1058,'بيانات الحركات'!$G:$G,0)),""))</f>
        <v/>
      </c>
      <c r="F1059" s="3" t="str">
        <f>IFERROR(INDEX('بيانات الحركات'!F:F,MATCH(1058,'بيانات الحركات'!$G:$G,0)),"")</f>
        <v/>
      </c>
    </row>
    <row r="1060" spans="1:6" ht="21.95" customHeight="1">
      <c r="A1060" s="8" t="str">
        <f>IFERROR(INDEX('بيانات الحركات'!A:A,MATCH(1059,'بيانات الحركات'!$G:$G,0)),"")</f>
        <v/>
      </c>
      <c r="B1060" s="5" t="str">
        <f>IFERROR(INDEX('بيانات الحركات'!B:B,MATCH(1059,'بيانات الحركات'!$G:$G,0)),"")</f>
        <v/>
      </c>
      <c r="C1060" s="3" t="str">
        <f>IFERROR(INDEX('بيانات الحركات'!C:C,MATCH(1059,'بيانات الحركات'!$G:$G,0)),"")</f>
        <v/>
      </c>
      <c r="D1060" s="3" t="str">
        <f>IFERROR(INDEX('بيانات الحركات'!D:D,MATCH(1059,'بيانات الحركات'!$G:$G,0)),"")</f>
        <v/>
      </c>
      <c r="E1060" s="21" t="str">
        <f>IF($B1060="إنتاج طبخة","",IFERROR(INDEX('بيانات الحركات'!E:E,MATCH(1059,'بيانات الحركات'!$G:$G,0)),""))</f>
        <v/>
      </c>
      <c r="F1060" s="3" t="str">
        <f>IFERROR(INDEX('بيانات الحركات'!F:F,MATCH(1059,'بيانات الحركات'!$G:$G,0)),"")</f>
        <v/>
      </c>
    </row>
    <row r="1061" spans="1:6" ht="21.95" customHeight="1">
      <c r="A1061" s="8" t="str">
        <f>IFERROR(INDEX('بيانات الحركات'!A:A,MATCH(1060,'بيانات الحركات'!$G:$G,0)),"")</f>
        <v/>
      </c>
      <c r="B1061" s="5" t="str">
        <f>IFERROR(INDEX('بيانات الحركات'!B:B,MATCH(1060,'بيانات الحركات'!$G:$G,0)),"")</f>
        <v/>
      </c>
      <c r="C1061" s="3" t="str">
        <f>IFERROR(INDEX('بيانات الحركات'!C:C,MATCH(1060,'بيانات الحركات'!$G:$G,0)),"")</f>
        <v/>
      </c>
      <c r="D1061" s="3" t="str">
        <f>IFERROR(INDEX('بيانات الحركات'!D:D,MATCH(1060,'بيانات الحركات'!$G:$G,0)),"")</f>
        <v/>
      </c>
      <c r="E1061" s="21" t="str">
        <f>IF($B1061="إنتاج طبخة","",IFERROR(INDEX('بيانات الحركات'!E:E,MATCH(1060,'بيانات الحركات'!$G:$G,0)),""))</f>
        <v/>
      </c>
      <c r="F1061" s="3" t="str">
        <f>IFERROR(INDEX('بيانات الحركات'!F:F,MATCH(1060,'بيانات الحركات'!$G:$G,0)),"")</f>
        <v/>
      </c>
    </row>
    <row r="1062" spans="1:6" ht="21.95" customHeight="1">
      <c r="A1062" s="8" t="str">
        <f>IFERROR(INDEX('بيانات الحركات'!A:A,MATCH(1061,'بيانات الحركات'!$G:$G,0)),"")</f>
        <v/>
      </c>
      <c r="B1062" s="5" t="str">
        <f>IFERROR(INDEX('بيانات الحركات'!B:B,MATCH(1061,'بيانات الحركات'!$G:$G,0)),"")</f>
        <v/>
      </c>
      <c r="C1062" s="3" t="str">
        <f>IFERROR(INDEX('بيانات الحركات'!C:C,MATCH(1061,'بيانات الحركات'!$G:$G,0)),"")</f>
        <v/>
      </c>
      <c r="D1062" s="3" t="str">
        <f>IFERROR(INDEX('بيانات الحركات'!D:D,MATCH(1061,'بيانات الحركات'!$G:$G,0)),"")</f>
        <v/>
      </c>
      <c r="E1062" s="21" t="str">
        <f>IF($B1062="إنتاج طبخة","",IFERROR(INDEX('بيانات الحركات'!E:E,MATCH(1061,'بيانات الحركات'!$G:$G,0)),""))</f>
        <v/>
      </c>
      <c r="F1062" s="3" t="str">
        <f>IFERROR(INDEX('بيانات الحركات'!F:F,MATCH(1061,'بيانات الحركات'!$G:$G,0)),"")</f>
        <v/>
      </c>
    </row>
    <row r="1063" spans="1:6" ht="21.95" customHeight="1">
      <c r="A1063" s="8" t="str">
        <f>IFERROR(INDEX('بيانات الحركات'!A:A,MATCH(1062,'بيانات الحركات'!$G:$G,0)),"")</f>
        <v/>
      </c>
      <c r="B1063" s="5" t="str">
        <f>IFERROR(INDEX('بيانات الحركات'!B:B,MATCH(1062,'بيانات الحركات'!$G:$G,0)),"")</f>
        <v/>
      </c>
      <c r="C1063" s="3" t="str">
        <f>IFERROR(INDEX('بيانات الحركات'!C:C,MATCH(1062,'بيانات الحركات'!$G:$G,0)),"")</f>
        <v/>
      </c>
      <c r="D1063" s="3" t="str">
        <f>IFERROR(INDEX('بيانات الحركات'!D:D,MATCH(1062,'بيانات الحركات'!$G:$G,0)),"")</f>
        <v/>
      </c>
      <c r="E1063" s="21" t="str">
        <f>IF($B1063="إنتاج طبخة","",IFERROR(INDEX('بيانات الحركات'!E:E,MATCH(1062,'بيانات الحركات'!$G:$G,0)),""))</f>
        <v/>
      </c>
      <c r="F1063" s="3" t="str">
        <f>IFERROR(INDEX('بيانات الحركات'!F:F,MATCH(1062,'بيانات الحركات'!$G:$G,0)),"")</f>
        <v/>
      </c>
    </row>
    <row r="1064" spans="1:6" ht="21.95" customHeight="1">
      <c r="A1064" s="8" t="str">
        <f>IFERROR(INDEX('بيانات الحركات'!A:A,MATCH(1063,'بيانات الحركات'!$G:$G,0)),"")</f>
        <v/>
      </c>
      <c r="B1064" s="5" t="str">
        <f>IFERROR(INDEX('بيانات الحركات'!B:B,MATCH(1063,'بيانات الحركات'!$G:$G,0)),"")</f>
        <v/>
      </c>
      <c r="C1064" s="3" t="str">
        <f>IFERROR(INDEX('بيانات الحركات'!C:C,MATCH(1063,'بيانات الحركات'!$G:$G,0)),"")</f>
        <v/>
      </c>
      <c r="D1064" s="3" t="str">
        <f>IFERROR(INDEX('بيانات الحركات'!D:D,MATCH(1063,'بيانات الحركات'!$G:$G,0)),"")</f>
        <v/>
      </c>
      <c r="E1064" s="21" t="str">
        <f>IF($B1064="إنتاج طبخة","",IFERROR(INDEX('بيانات الحركات'!E:E,MATCH(1063,'بيانات الحركات'!$G:$G,0)),""))</f>
        <v/>
      </c>
      <c r="F1064" s="3" t="str">
        <f>IFERROR(INDEX('بيانات الحركات'!F:F,MATCH(1063,'بيانات الحركات'!$G:$G,0)),"")</f>
        <v/>
      </c>
    </row>
    <row r="1065" spans="1:6" ht="21.95" customHeight="1">
      <c r="A1065" s="8" t="str">
        <f>IFERROR(INDEX('بيانات الحركات'!A:A,MATCH(1064,'بيانات الحركات'!$G:$G,0)),"")</f>
        <v/>
      </c>
      <c r="B1065" s="5" t="str">
        <f>IFERROR(INDEX('بيانات الحركات'!B:B,MATCH(1064,'بيانات الحركات'!$G:$G,0)),"")</f>
        <v/>
      </c>
      <c r="C1065" s="3" t="str">
        <f>IFERROR(INDEX('بيانات الحركات'!C:C,MATCH(1064,'بيانات الحركات'!$G:$G,0)),"")</f>
        <v/>
      </c>
      <c r="D1065" s="3" t="str">
        <f>IFERROR(INDEX('بيانات الحركات'!D:D,MATCH(1064,'بيانات الحركات'!$G:$G,0)),"")</f>
        <v/>
      </c>
      <c r="E1065" s="21" t="str">
        <f>IF($B1065="إنتاج طبخة","",IFERROR(INDEX('بيانات الحركات'!E:E,MATCH(1064,'بيانات الحركات'!$G:$G,0)),""))</f>
        <v/>
      </c>
      <c r="F1065" s="3" t="str">
        <f>IFERROR(INDEX('بيانات الحركات'!F:F,MATCH(1064,'بيانات الحركات'!$G:$G,0)),"")</f>
        <v/>
      </c>
    </row>
    <row r="1066" spans="1:6" ht="21.95" customHeight="1">
      <c r="A1066" s="8" t="str">
        <f>IFERROR(INDEX('بيانات الحركات'!A:A,MATCH(1065,'بيانات الحركات'!$G:$G,0)),"")</f>
        <v/>
      </c>
      <c r="B1066" s="5" t="str">
        <f>IFERROR(INDEX('بيانات الحركات'!B:B,MATCH(1065,'بيانات الحركات'!$G:$G,0)),"")</f>
        <v/>
      </c>
      <c r="C1066" s="3" t="str">
        <f>IFERROR(INDEX('بيانات الحركات'!C:C,MATCH(1065,'بيانات الحركات'!$G:$G,0)),"")</f>
        <v/>
      </c>
      <c r="D1066" s="3" t="str">
        <f>IFERROR(INDEX('بيانات الحركات'!D:D,MATCH(1065,'بيانات الحركات'!$G:$G,0)),"")</f>
        <v/>
      </c>
      <c r="E1066" s="21" t="str">
        <f>IF($B1066="إنتاج طبخة","",IFERROR(INDEX('بيانات الحركات'!E:E,MATCH(1065,'بيانات الحركات'!$G:$G,0)),""))</f>
        <v/>
      </c>
      <c r="F1066" s="3" t="str">
        <f>IFERROR(INDEX('بيانات الحركات'!F:F,MATCH(1065,'بيانات الحركات'!$G:$G,0)),"")</f>
        <v/>
      </c>
    </row>
    <row r="1067" spans="1:6" ht="21.95" customHeight="1">
      <c r="A1067" s="8" t="str">
        <f>IFERROR(INDEX('بيانات الحركات'!A:A,MATCH(1066,'بيانات الحركات'!$G:$G,0)),"")</f>
        <v/>
      </c>
      <c r="B1067" s="5" t="str">
        <f>IFERROR(INDEX('بيانات الحركات'!B:B,MATCH(1066,'بيانات الحركات'!$G:$G,0)),"")</f>
        <v/>
      </c>
      <c r="C1067" s="3" t="str">
        <f>IFERROR(INDEX('بيانات الحركات'!C:C,MATCH(1066,'بيانات الحركات'!$G:$G,0)),"")</f>
        <v/>
      </c>
      <c r="D1067" s="3" t="str">
        <f>IFERROR(INDEX('بيانات الحركات'!D:D,MATCH(1066,'بيانات الحركات'!$G:$G,0)),"")</f>
        <v/>
      </c>
      <c r="E1067" s="21" t="str">
        <f>IF($B1067="إنتاج طبخة","",IFERROR(INDEX('بيانات الحركات'!E:E,MATCH(1066,'بيانات الحركات'!$G:$G,0)),""))</f>
        <v/>
      </c>
      <c r="F1067" s="3" t="str">
        <f>IFERROR(INDEX('بيانات الحركات'!F:F,MATCH(1066,'بيانات الحركات'!$G:$G,0)),"")</f>
        <v/>
      </c>
    </row>
    <row r="1068" spans="1:6" ht="21.95" customHeight="1">
      <c r="A1068" s="8" t="str">
        <f>IFERROR(INDEX('بيانات الحركات'!A:A,MATCH(1067,'بيانات الحركات'!$G:$G,0)),"")</f>
        <v/>
      </c>
      <c r="B1068" s="5" t="str">
        <f>IFERROR(INDEX('بيانات الحركات'!B:B,MATCH(1067,'بيانات الحركات'!$G:$G,0)),"")</f>
        <v/>
      </c>
      <c r="C1068" s="3" t="str">
        <f>IFERROR(INDEX('بيانات الحركات'!C:C,MATCH(1067,'بيانات الحركات'!$G:$G,0)),"")</f>
        <v/>
      </c>
      <c r="D1068" s="3" t="str">
        <f>IFERROR(INDEX('بيانات الحركات'!D:D,MATCH(1067,'بيانات الحركات'!$G:$G,0)),"")</f>
        <v/>
      </c>
      <c r="E1068" s="21" t="str">
        <f>IF($B1068="إنتاج طبخة","",IFERROR(INDEX('بيانات الحركات'!E:E,MATCH(1067,'بيانات الحركات'!$G:$G,0)),""))</f>
        <v/>
      </c>
      <c r="F1068" s="3" t="str">
        <f>IFERROR(INDEX('بيانات الحركات'!F:F,MATCH(1067,'بيانات الحركات'!$G:$G,0)),"")</f>
        <v/>
      </c>
    </row>
    <row r="1069" spans="1:6" ht="21.95" customHeight="1">
      <c r="A1069" s="8" t="str">
        <f>IFERROR(INDEX('بيانات الحركات'!A:A,MATCH(1068,'بيانات الحركات'!$G:$G,0)),"")</f>
        <v/>
      </c>
      <c r="B1069" s="5" t="str">
        <f>IFERROR(INDEX('بيانات الحركات'!B:B,MATCH(1068,'بيانات الحركات'!$G:$G,0)),"")</f>
        <v/>
      </c>
      <c r="C1069" s="3" t="str">
        <f>IFERROR(INDEX('بيانات الحركات'!C:C,MATCH(1068,'بيانات الحركات'!$G:$G,0)),"")</f>
        <v/>
      </c>
      <c r="D1069" s="3" t="str">
        <f>IFERROR(INDEX('بيانات الحركات'!D:D,MATCH(1068,'بيانات الحركات'!$G:$G,0)),"")</f>
        <v/>
      </c>
      <c r="E1069" s="21" t="str">
        <f>IF($B1069="إنتاج طبخة","",IFERROR(INDEX('بيانات الحركات'!E:E,MATCH(1068,'بيانات الحركات'!$G:$G,0)),""))</f>
        <v/>
      </c>
      <c r="F1069" s="3" t="str">
        <f>IFERROR(INDEX('بيانات الحركات'!F:F,MATCH(1068,'بيانات الحركات'!$G:$G,0)),"")</f>
        <v/>
      </c>
    </row>
    <row r="1070" spans="1:6" ht="21.95" customHeight="1">
      <c r="A1070" s="8" t="str">
        <f>IFERROR(INDEX('بيانات الحركات'!A:A,MATCH(1069,'بيانات الحركات'!$G:$G,0)),"")</f>
        <v/>
      </c>
      <c r="B1070" s="5" t="str">
        <f>IFERROR(INDEX('بيانات الحركات'!B:B,MATCH(1069,'بيانات الحركات'!$G:$G,0)),"")</f>
        <v/>
      </c>
      <c r="C1070" s="3" t="str">
        <f>IFERROR(INDEX('بيانات الحركات'!C:C,MATCH(1069,'بيانات الحركات'!$G:$G,0)),"")</f>
        <v/>
      </c>
      <c r="D1070" s="3" t="str">
        <f>IFERROR(INDEX('بيانات الحركات'!D:D,MATCH(1069,'بيانات الحركات'!$G:$G,0)),"")</f>
        <v/>
      </c>
      <c r="E1070" s="21" t="str">
        <f>IF($B1070="إنتاج طبخة","",IFERROR(INDEX('بيانات الحركات'!E:E,MATCH(1069,'بيانات الحركات'!$G:$G,0)),""))</f>
        <v/>
      </c>
      <c r="F1070" s="3" t="str">
        <f>IFERROR(INDEX('بيانات الحركات'!F:F,MATCH(1069,'بيانات الحركات'!$G:$G,0)),"")</f>
        <v/>
      </c>
    </row>
    <row r="1071" spans="1:6" ht="21.95" customHeight="1">
      <c r="A1071" s="8" t="str">
        <f>IFERROR(INDEX('بيانات الحركات'!A:A,MATCH(1070,'بيانات الحركات'!$G:$G,0)),"")</f>
        <v/>
      </c>
      <c r="B1071" s="5" t="str">
        <f>IFERROR(INDEX('بيانات الحركات'!B:B,MATCH(1070,'بيانات الحركات'!$G:$G,0)),"")</f>
        <v/>
      </c>
      <c r="C1071" s="3" t="str">
        <f>IFERROR(INDEX('بيانات الحركات'!C:C,MATCH(1070,'بيانات الحركات'!$G:$G,0)),"")</f>
        <v/>
      </c>
      <c r="D1071" s="3" t="str">
        <f>IFERROR(INDEX('بيانات الحركات'!D:D,MATCH(1070,'بيانات الحركات'!$G:$G,0)),"")</f>
        <v/>
      </c>
      <c r="E1071" s="21" t="str">
        <f>IF($B1071="إنتاج طبخة","",IFERROR(INDEX('بيانات الحركات'!E:E,MATCH(1070,'بيانات الحركات'!$G:$G,0)),""))</f>
        <v/>
      </c>
      <c r="F1071" s="3" t="str">
        <f>IFERROR(INDEX('بيانات الحركات'!F:F,MATCH(1070,'بيانات الحركات'!$G:$G,0)),"")</f>
        <v/>
      </c>
    </row>
    <row r="1072" spans="1:6" ht="21.95" customHeight="1">
      <c r="A1072" s="8" t="str">
        <f>IFERROR(INDEX('بيانات الحركات'!A:A,MATCH(1071,'بيانات الحركات'!$G:$G,0)),"")</f>
        <v/>
      </c>
      <c r="B1072" s="5" t="str">
        <f>IFERROR(INDEX('بيانات الحركات'!B:B,MATCH(1071,'بيانات الحركات'!$G:$G,0)),"")</f>
        <v/>
      </c>
      <c r="C1072" s="3" t="str">
        <f>IFERROR(INDEX('بيانات الحركات'!C:C,MATCH(1071,'بيانات الحركات'!$G:$G,0)),"")</f>
        <v/>
      </c>
      <c r="D1072" s="3" t="str">
        <f>IFERROR(INDEX('بيانات الحركات'!D:D,MATCH(1071,'بيانات الحركات'!$G:$G,0)),"")</f>
        <v/>
      </c>
      <c r="E1072" s="21" t="str">
        <f>IF($B1072="إنتاج طبخة","",IFERROR(INDEX('بيانات الحركات'!E:E,MATCH(1071,'بيانات الحركات'!$G:$G,0)),""))</f>
        <v/>
      </c>
      <c r="F1072" s="3" t="str">
        <f>IFERROR(INDEX('بيانات الحركات'!F:F,MATCH(1071,'بيانات الحركات'!$G:$G,0)),"")</f>
        <v/>
      </c>
    </row>
    <row r="1073" spans="1:6" ht="21.95" customHeight="1">
      <c r="A1073" s="8" t="str">
        <f>IFERROR(INDEX('بيانات الحركات'!A:A,MATCH(1072,'بيانات الحركات'!$G:$G,0)),"")</f>
        <v/>
      </c>
      <c r="B1073" s="5" t="str">
        <f>IFERROR(INDEX('بيانات الحركات'!B:B,MATCH(1072,'بيانات الحركات'!$G:$G,0)),"")</f>
        <v/>
      </c>
      <c r="C1073" s="3" t="str">
        <f>IFERROR(INDEX('بيانات الحركات'!C:C,MATCH(1072,'بيانات الحركات'!$G:$G,0)),"")</f>
        <v/>
      </c>
      <c r="D1073" s="3" t="str">
        <f>IFERROR(INDEX('بيانات الحركات'!D:D,MATCH(1072,'بيانات الحركات'!$G:$G,0)),"")</f>
        <v/>
      </c>
      <c r="E1073" s="21" t="str">
        <f>IF($B1073="إنتاج طبخة","",IFERROR(INDEX('بيانات الحركات'!E:E,MATCH(1072,'بيانات الحركات'!$G:$G,0)),""))</f>
        <v/>
      </c>
      <c r="F1073" s="3" t="str">
        <f>IFERROR(INDEX('بيانات الحركات'!F:F,MATCH(1072,'بيانات الحركات'!$G:$G,0)),"")</f>
        <v/>
      </c>
    </row>
    <row r="1074" spans="1:6" ht="21.95" customHeight="1">
      <c r="A1074" s="8" t="str">
        <f>IFERROR(INDEX('بيانات الحركات'!A:A,MATCH(1073,'بيانات الحركات'!$G:$G,0)),"")</f>
        <v/>
      </c>
      <c r="B1074" s="5" t="str">
        <f>IFERROR(INDEX('بيانات الحركات'!B:B,MATCH(1073,'بيانات الحركات'!$G:$G,0)),"")</f>
        <v/>
      </c>
      <c r="C1074" s="3" t="str">
        <f>IFERROR(INDEX('بيانات الحركات'!C:C,MATCH(1073,'بيانات الحركات'!$G:$G,0)),"")</f>
        <v/>
      </c>
      <c r="D1074" s="3" t="str">
        <f>IFERROR(INDEX('بيانات الحركات'!D:D,MATCH(1073,'بيانات الحركات'!$G:$G,0)),"")</f>
        <v/>
      </c>
      <c r="E1074" s="21" t="str">
        <f>IF($B1074="إنتاج طبخة","",IFERROR(INDEX('بيانات الحركات'!E:E,MATCH(1073,'بيانات الحركات'!$G:$G,0)),""))</f>
        <v/>
      </c>
      <c r="F1074" s="3" t="str">
        <f>IFERROR(INDEX('بيانات الحركات'!F:F,MATCH(1073,'بيانات الحركات'!$G:$G,0)),"")</f>
        <v/>
      </c>
    </row>
    <row r="1075" spans="1:6" ht="21.95" customHeight="1">
      <c r="A1075" s="8" t="str">
        <f>IFERROR(INDEX('بيانات الحركات'!A:A,MATCH(1074,'بيانات الحركات'!$G:$G,0)),"")</f>
        <v/>
      </c>
      <c r="B1075" s="5" t="str">
        <f>IFERROR(INDEX('بيانات الحركات'!B:B,MATCH(1074,'بيانات الحركات'!$G:$G,0)),"")</f>
        <v/>
      </c>
      <c r="C1075" s="3" t="str">
        <f>IFERROR(INDEX('بيانات الحركات'!C:C,MATCH(1074,'بيانات الحركات'!$G:$G,0)),"")</f>
        <v/>
      </c>
      <c r="D1075" s="3" t="str">
        <f>IFERROR(INDEX('بيانات الحركات'!D:D,MATCH(1074,'بيانات الحركات'!$G:$G,0)),"")</f>
        <v/>
      </c>
      <c r="E1075" s="21" t="str">
        <f>IF($B1075="إنتاج طبخة","",IFERROR(INDEX('بيانات الحركات'!E:E,MATCH(1074,'بيانات الحركات'!$G:$G,0)),""))</f>
        <v/>
      </c>
      <c r="F1075" s="3" t="str">
        <f>IFERROR(INDEX('بيانات الحركات'!F:F,MATCH(1074,'بيانات الحركات'!$G:$G,0)),"")</f>
        <v/>
      </c>
    </row>
    <row r="1076" spans="1:6" ht="21.95" customHeight="1">
      <c r="A1076" s="8" t="str">
        <f>IFERROR(INDEX('بيانات الحركات'!A:A,MATCH(1075,'بيانات الحركات'!$G:$G,0)),"")</f>
        <v/>
      </c>
      <c r="B1076" s="5" t="str">
        <f>IFERROR(INDEX('بيانات الحركات'!B:B,MATCH(1075,'بيانات الحركات'!$G:$G,0)),"")</f>
        <v/>
      </c>
      <c r="C1076" s="3" t="str">
        <f>IFERROR(INDEX('بيانات الحركات'!C:C,MATCH(1075,'بيانات الحركات'!$G:$G,0)),"")</f>
        <v/>
      </c>
      <c r="D1076" s="3" t="str">
        <f>IFERROR(INDEX('بيانات الحركات'!D:D,MATCH(1075,'بيانات الحركات'!$G:$G,0)),"")</f>
        <v/>
      </c>
      <c r="E1076" s="21" t="str">
        <f>IF($B1076="إنتاج طبخة","",IFERROR(INDEX('بيانات الحركات'!E:E,MATCH(1075,'بيانات الحركات'!$G:$G,0)),""))</f>
        <v/>
      </c>
      <c r="F1076" s="3" t="str">
        <f>IFERROR(INDEX('بيانات الحركات'!F:F,MATCH(1075,'بيانات الحركات'!$G:$G,0)),"")</f>
        <v/>
      </c>
    </row>
    <row r="1077" spans="1:6" ht="21.95" customHeight="1">
      <c r="A1077" s="8" t="str">
        <f>IFERROR(INDEX('بيانات الحركات'!A:A,MATCH(1076,'بيانات الحركات'!$G:$G,0)),"")</f>
        <v/>
      </c>
      <c r="B1077" s="5" t="str">
        <f>IFERROR(INDEX('بيانات الحركات'!B:B,MATCH(1076,'بيانات الحركات'!$G:$G,0)),"")</f>
        <v/>
      </c>
      <c r="C1077" s="3" t="str">
        <f>IFERROR(INDEX('بيانات الحركات'!C:C,MATCH(1076,'بيانات الحركات'!$G:$G,0)),"")</f>
        <v/>
      </c>
      <c r="D1077" s="3" t="str">
        <f>IFERROR(INDEX('بيانات الحركات'!D:D,MATCH(1076,'بيانات الحركات'!$G:$G,0)),"")</f>
        <v/>
      </c>
      <c r="E1077" s="21" t="str">
        <f>IF($B1077="إنتاج طبخة","",IFERROR(INDEX('بيانات الحركات'!E:E,MATCH(1076,'بيانات الحركات'!$G:$G,0)),""))</f>
        <v/>
      </c>
      <c r="F1077" s="3" t="str">
        <f>IFERROR(INDEX('بيانات الحركات'!F:F,MATCH(1076,'بيانات الحركات'!$G:$G,0)),"")</f>
        <v/>
      </c>
    </row>
    <row r="1078" spans="1:6" ht="21.95" customHeight="1">
      <c r="A1078" s="8" t="str">
        <f>IFERROR(INDEX('بيانات الحركات'!A:A,MATCH(1077,'بيانات الحركات'!$G:$G,0)),"")</f>
        <v/>
      </c>
      <c r="B1078" s="5" t="str">
        <f>IFERROR(INDEX('بيانات الحركات'!B:B,MATCH(1077,'بيانات الحركات'!$G:$G,0)),"")</f>
        <v/>
      </c>
      <c r="C1078" s="3" t="str">
        <f>IFERROR(INDEX('بيانات الحركات'!C:C,MATCH(1077,'بيانات الحركات'!$G:$G,0)),"")</f>
        <v/>
      </c>
      <c r="D1078" s="3" t="str">
        <f>IFERROR(INDEX('بيانات الحركات'!D:D,MATCH(1077,'بيانات الحركات'!$G:$G,0)),"")</f>
        <v/>
      </c>
      <c r="E1078" s="21" t="str">
        <f>IF($B1078="إنتاج طبخة","",IFERROR(INDEX('بيانات الحركات'!E:E,MATCH(1077,'بيانات الحركات'!$G:$G,0)),""))</f>
        <v/>
      </c>
      <c r="F1078" s="3" t="str">
        <f>IFERROR(INDEX('بيانات الحركات'!F:F,MATCH(1077,'بيانات الحركات'!$G:$G,0)),"")</f>
        <v/>
      </c>
    </row>
    <row r="1079" spans="1:6" ht="21.95" customHeight="1">
      <c r="A1079" s="8" t="str">
        <f>IFERROR(INDEX('بيانات الحركات'!A:A,MATCH(1078,'بيانات الحركات'!$G:$G,0)),"")</f>
        <v/>
      </c>
      <c r="B1079" s="5" t="str">
        <f>IFERROR(INDEX('بيانات الحركات'!B:B,MATCH(1078,'بيانات الحركات'!$G:$G,0)),"")</f>
        <v/>
      </c>
      <c r="C1079" s="3" t="str">
        <f>IFERROR(INDEX('بيانات الحركات'!C:C,MATCH(1078,'بيانات الحركات'!$G:$G,0)),"")</f>
        <v/>
      </c>
      <c r="D1079" s="3" t="str">
        <f>IFERROR(INDEX('بيانات الحركات'!D:D,MATCH(1078,'بيانات الحركات'!$G:$G,0)),"")</f>
        <v/>
      </c>
      <c r="E1079" s="21" t="str">
        <f>IF($B1079="إنتاج طبخة","",IFERROR(INDEX('بيانات الحركات'!E:E,MATCH(1078,'بيانات الحركات'!$G:$G,0)),""))</f>
        <v/>
      </c>
      <c r="F1079" s="3" t="str">
        <f>IFERROR(INDEX('بيانات الحركات'!F:F,MATCH(1078,'بيانات الحركات'!$G:$G,0)),"")</f>
        <v/>
      </c>
    </row>
    <row r="1080" spans="1:6" ht="21.95" customHeight="1">
      <c r="A1080" s="8" t="str">
        <f>IFERROR(INDEX('بيانات الحركات'!A:A,MATCH(1079,'بيانات الحركات'!$G:$G,0)),"")</f>
        <v/>
      </c>
      <c r="B1080" s="5" t="str">
        <f>IFERROR(INDEX('بيانات الحركات'!B:B,MATCH(1079,'بيانات الحركات'!$G:$G,0)),"")</f>
        <v/>
      </c>
      <c r="C1080" s="3" t="str">
        <f>IFERROR(INDEX('بيانات الحركات'!C:C,MATCH(1079,'بيانات الحركات'!$G:$G,0)),"")</f>
        <v/>
      </c>
      <c r="D1080" s="3" t="str">
        <f>IFERROR(INDEX('بيانات الحركات'!D:D,MATCH(1079,'بيانات الحركات'!$G:$G,0)),"")</f>
        <v/>
      </c>
      <c r="E1080" s="21" t="str">
        <f>IF($B1080="إنتاج طبخة","",IFERROR(INDEX('بيانات الحركات'!E:E,MATCH(1079,'بيانات الحركات'!$G:$G,0)),""))</f>
        <v/>
      </c>
      <c r="F1080" s="3" t="str">
        <f>IFERROR(INDEX('بيانات الحركات'!F:F,MATCH(1079,'بيانات الحركات'!$G:$G,0)),"")</f>
        <v/>
      </c>
    </row>
    <row r="1081" spans="1:6" ht="21.95" customHeight="1">
      <c r="A1081" s="8" t="str">
        <f>IFERROR(INDEX('بيانات الحركات'!A:A,MATCH(1080,'بيانات الحركات'!$G:$G,0)),"")</f>
        <v/>
      </c>
      <c r="B1081" s="5" t="str">
        <f>IFERROR(INDEX('بيانات الحركات'!B:B,MATCH(1080,'بيانات الحركات'!$G:$G,0)),"")</f>
        <v/>
      </c>
      <c r="C1081" s="3" t="str">
        <f>IFERROR(INDEX('بيانات الحركات'!C:C,MATCH(1080,'بيانات الحركات'!$G:$G,0)),"")</f>
        <v/>
      </c>
      <c r="D1081" s="3" t="str">
        <f>IFERROR(INDEX('بيانات الحركات'!D:D,MATCH(1080,'بيانات الحركات'!$G:$G,0)),"")</f>
        <v/>
      </c>
      <c r="E1081" s="21" t="str">
        <f>IF($B1081="إنتاج طبخة","",IFERROR(INDEX('بيانات الحركات'!E:E,MATCH(1080,'بيانات الحركات'!$G:$G,0)),""))</f>
        <v/>
      </c>
      <c r="F1081" s="3" t="str">
        <f>IFERROR(INDEX('بيانات الحركات'!F:F,MATCH(1080,'بيانات الحركات'!$G:$G,0)),"")</f>
        <v/>
      </c>
    </row>
    <row r="1082" spans="1:6" ht="21.95" customHeight="1">
      <c r="A1082" s="8" t="str">
        <f>IFERROR(INDEX('بيانات الحركات'!A:A,MATCH(1081,'بيانات الحركات'!$G:$G,0)),"")</f>
        <v/>
      </c>
      <c r="B1082" s="5" t="str">
        <f>IFERROR(INDEX('بيانات الحركات'!B:B,MATCH(1081,'بيانات الحركات'!$G:$G,0)),"")</f>
        <v/>
      </c>
      <c r="C1082" s="3" t="str">
        <f>IFERROR(INDEX('بيانات الحركات'!C:C,MATCH(1081,'بيانات الحركات'!$G:$G,0)),"")</f>
        <v/>
      </c>
      <c r="D1082" s="3" t="str">
        <f>IFERROR(INDEX('بيانات الحركات'!D:D,MATCH(1081,'بيانات الحركات'!$G:$G,0)),"")</f>
        <v/>
      </c>
      <c r="E1082" s="21" t="str">
        <f>IF($B1082="إنتاج طبخة","",IFERROR(INDEX('بيانات الحركات'!E:E,MATCH(1081,'بيانات الحركات'!$G:$G,0)),""))</f>
        <v/>
      </c>
      <c r="F1082" s="3" t="str">
        <f>IFERROR(INDEX('بيانات الحركات'!F:F,MATCH(1081,'بيانات الحركات'!$G:$G,0)),"")</f>
        <v/>
      </c>
    </row>
    <row r="1083" spans="1:6" ht="21.95" customHeight="1">
      <c r="A1083" s="8" t="str">
        <f>IFERROR(INDEX('بيانات الحركات'!A:A,MATCH(1082,'بيانات الحركات'!$G:$G,0)),"")</f>
        <v/>
      </c>
      <c r="B1083" s="5" t="str">
        <f>IFERROR(INDEX('بيانات الحركات'!B:B,MATCH(1082,'بيانات الحركات'!$G:$G,0)),"")</f>
        <v/>
      </c>
      <c r="C1083" s="3" t="str">
        <f>IFERROR(INDEX('بيانات الحركات'!C:C,MATCH(1082,'بيانات الحركات'!$G:$G,0)),"")</f>
        <v/>
      </c>
      <c r="D1083" s="3" t="str">
        <f>IFERROR(INDEX('بيانات الحركات'!D:D,MATCH(1082,'بيانات الحركات'!$G:$G,0)),"")</f>
        <v/>
      </c>
      <c r="E1083" s="21" t="str">
        <f>IF($B1083="إنتاج طبخة","",IFERROR(INDEX('بيانات الحركات'!E:E,MATCH(1082,'بيانات الحركات'!$G:$G,0)),""))</f>
        <v/>
      </c>
      <c r="F1083" s="3" t="str">
        <f>IFERROR(INDEX('بيانات الحركات'!F:F,MATCH(1082,'بيانات الحركات'!$G:$G,0)),"")</f>
        <v/>
      </c>
    </row>
    <row r="1084" spans="1:6" ht="21.95" customHeight="1">
      <c r="A1084" s="8" t="str">
        <f>IFERROR(INDEX('بيانات الحركات'!A:A,MATCH(1083,'بيانات الحركات'!$G:$G,0)),"")</f>
        <v/>
      </c>
      <c r="B1084" s="5" t="str">
        <f>IFERROR(INDEX('بيانات الحركات'!B:B,MATCH(1083,'بيانات الحركات'!$G:$G,0)),"")</f>
        <v/>
      </c>
      <c r="C1084" s="3" t="str">
        <f>IFERROR(INDEX('بيانات الحركات'!C:C,MATCH(1083,'بيانات الحركات'!$G:$G,0)),"")</f>
        <v/>
      </c>
      <c r="D1084" s="3" t="str">
        <f>IFERROR(INDEX('بيانات الحركات'!D:D,MATCH(1083,'بيانات الحركات'!$G:$G,0)),"")</f>
        <v/>
      </c>
      <c r="E1084" s="21" t="str">
        <f>IF($B1084="إنتاج طبخة","",IFERROR(INDEX('بيانات الحركات'!E:E,MATCH(1083,'بيانات الحركات'!$G:$G,0)),""))</f>
        <v/>
      </c>
      <c r="F1084" s="3" t="str">
        <f>IFERROR(INDEX('بيانات الحركات'!F:F,MATCH(1083,'بيانات الحركات'!$G:$G,0)),"")</f>
        <v/>
      </c>
    </row>
    <row r="1085" spans="1:6" ht="21.95" customHeight="1">
      <c r="A1085" s="8" t="str">
        <f>IFERROR(INDEX('بيانات الحركات'!A:A,MATCH(1084,'بيانات الحركات'!$G:$G,0)),"")</f>
        <v/>
      </c>
      <c r="B1085" s="5" t="str">
        <f>IFERROR(INDEX('بيانات الحركات'!B:B,MATCH(1084,'بيانات الحركات'!$G:$G,0)),"")</f>
        <v/>
      </c>
      <c r="C1085" s="3" t="str">
        <f>IFERROR(INDEX('بيانات الحركات'!C:C,MATCH(1084,'بيانات الحركات'!$G:$G,0)),"")</f>
        <v/>
      </c>
      <c r="D1085" s="3" t="str">
        <f>IFERROR(INDEX('بيانات الحركات'!D:D,MATCH(1084,'بيانات الحركات'!$G:$G,0)),"")</f>
        <v/>
      </c>
      <c r="E1085" s="21" t="str">
        <f>IF($B1085="إنتاج طبخة","",IFERROR(INDEX('بيانات الحركات'!E:E,MATCH(1084,'بيانات الحركات'!$G:$G,0)),""))</f>
        <v/>
      </c>
      <c r="F1085" s="3" t="str">
        <f>IFERROR(INDEX('بيانات الحركات'!F:F,MATCH(1084,'بيانات الحركات'!$G:$G,0)),"")</f>
        <v/>
      </c>
    </row>
    <row r="1086" spans="1:6" ht="21.95" customHeight="1">
      <c r="A1086" s="8" t="str">
        <f>IFERROR(INDEX('بيانات الحركات'!A:A,MATCH(1085,'بيانات الحركات'!$G:$G,0)),"")</f>
        <v/>
      </c>
      <c r="B1086" s="5" t="str">
        <f>IFERROR(INDEX('بيانات الحركات'!B:B,MATCH(1085,'بيانات الحركات'!$G:$G,0)),"")</f>
        <v/>
      </c>
      <c r="C1086" s="3" t="str">
        <f>IFERROR(INDEX('بيانات الحركات'!C:C,MATCH(1085,'بيانات الحركات'!$G:$G,0)),"")</f>
        <v/>
      </c>
      <c r="D1086" s="3" t="str">
        <f>IFERROR(INDEX('بيانات الحركات'!D:D,MATCH(1085,'بيانات الحركات'!$G:$G,0)),"")</f>
        <v/>
      </c>
      <c r="E1086" s="21" t="str">
        <f>IF($B1086="إنتاج طبخة","",IFERROR(INDEX('بيانات الحركات'!E:E,MATCH(1085,'بيانات الحركات'!$G:$G,0)),""))</f>
        <v/>
      </c>
      <c r="F1086" s="3" t="str">
        <f>IFERROR(INDEX('بيانات الحركات'!F:F,MATCH(1085,'بيانات الحركات'!$G:$G,0)),"")</f>
        <v/>
      </c>
    </row>
    <row r="1087" spans="1:6" ht="21.95" customHeight="1">
      <c r="A1087" s="8" t="str">
        <f>IFERROR(INDEX('بيانات الحركات'!A:A,MATCH(1086,'بيانات الحركات'!$G:$G,0)),"")</f>
        <v/>
      </c>
      <c r="B1087" s="5" t="str">
        <f>IFERROR(INDEX('بيانات الحركات'!B:B,MATCH(1086,'بيانات الحركات'!$G:$G,0)),"")</f>
        <v/>
      </c>
      <c r="C1087" s="3" t="str">
        <f>IFERROR(INDEX('بيانات الحركات'!C:C,MATCH(1086,'بيانات الحركات'!$G:$G,0)),"")</f>
        <v/>
      </c>
      <c r="D1087" s="3" t="str">
        <f>IFERROR(INDEX('بيانات الحركات'!D:D,MATCH(1086,'بيانات الحركات'!$G:$G,0)),"")</f>
        <v/>
      </c>
      <c r="E1087" s="21" t="str">
        <f>IF($B1087="إنتاج طبخة","",IFERROR(INDEX('بيانات الحركات'!E:E,MATCH(1086,'بيانات الحركات'!$G:$G,0)),""))</f>
        <v/>
      </c>
      <c r="F1087" s="3" t="str">
        <f>IFERROR(INDEX('بيانات الحركات'!F:F,MATCH(1086,'بيانات الحركات'!$G:$G,0)),"")</f>
        <v/>
      </c>
    </row>
    <row r="1088" spans="1:6" ht="21.95" customHeight="1">
      <c r="A1088" s="8" t="str">
        <f>IFERROR(INDEX('بيانات الحركات'!A:A,MATCH(1087,'بيانات الحركات'!$G:$G,0)),"")</f>
        <v/>
      </c>
      <c r="B1088" s="5" t="str">
        <f>IFERROR(INDEX('بيانات الحركات'!B:B,MATCH(1087,'بيانات الحركات'!$G:$G,0)),"")</f>
        <v/>
      </c>
      <c r="C1088" s="3" t="str">
        <f>IFERROR(INDEX('بيانات الحركات'!C:C,MATCH(1087,'بيانات الحركات'!$G:$G,0)),"")</f>
        <v/>
      </c>
      <c r="D1088" s="3" t="str">
        <f>IFERROR(INDEX('بيانات الحركات'!D:D,MATCH(1087,'بيانات الحركات'!$G:$G,0)),"")</f>
        <v/>
      </c>
      <c r="E1088" s="21" t="str">
        <f>IF($B1088="إنتاج طبخة","",IFERROR(INDEX('بيانات الحركات'!E:E,MATCH(1087,'بيانات الحركات'!$G:$G,0)),""))</f>
        <v/>
      </c>
      <c r="F1088" s="3" t="str">
        <f>IFERROR(INDEX('بيانات الحركات'!F:F,MATCH(1087,'بيانات الحركات'!$G:$G,0)),"")</f>
        <v/>
      </c>
    </row>
    <row r="1089" spans="1:6" ht="21.95" customHeight="1">
      <c r="A1089" s="8" t="str">
        <f>IFERROR(INDEX('بيانات الحركات'!A:A,MATCH(1088,'بيانات الحركات'!$G:$G,0)),"")</f>
        <v/>
      </c>
      <c r="B1089" s="5" t="str">
        <f>IFERROR(INDEX('بيانات الحركات'!B:B,MATCH(1088,'بيانات الحركات'!$G:$G,0)),"")</f>
        <v/>
      </c>
      <c r="C1089" s="3" t="str">
        <f>IFERROR(INDEX('بيانات الحركات'!C:C,MATCH(1088,'بيانات الحركات'!$G:$G,0)),"")</f>
        <v/>
      </c>
      <c r="D1089" s="3" t="str">
        <f>IFERROR(INDEX('بيانات الحركات'!D:D,MATCH(1088,'بيانات الحركات'!$G:$G,0)),"")</f>
        <v/>
      </c>
      <c r="E1089" s="21" t="str">
        <f>IF($B1089="إنتاج طبخة","",IFERROR(INDEX('بيانات الحركات'!E:E,MATCH(1088,'بيانات الحركات'!$G:$G,0)),""))</f>
        <v/>
      </c>
      <c r="F1089" s="3" t="str">
        <f>IFERROR(INDEX('بيانات الحركات'!F:F,MATCH(1088,'بيانات الحركات'!$G:$G,0)),"")</f>
        <v/>
      </c>
    </row>
    <row r="1090" spans="1:6" ht="21.95" customHeight="1">
      <c r="A1090" s="8" t="str">
        <f>IFERROR(INDEX('بيانات الحركات'!A:A,MATCH(1089,'بيانات الحركات'!$G:$G,0)),"")</f>
        <v/>
      </c>
      <c r="B1090" s="5" t="str">
        <f>IFERROR(INDEX('بيانات الحركات'!B:B,MATCH(1089,'بيانات الحركات'!$G:$G,0)),"")</f>
        <v/>
      </c>
      <c r="C1090" s="3" t="str">
        <f>IFERROR(INDEX('بيانات الحركات'!C:C,MATCH(1089,'بيانات الحركات'!$G:$G,0)),"")</f>
        <v/>
      </c>
      <c r="D1090" s="3" t="str">
        <f>IFERROR(INDEX('بيانات الحركات'!D:D,MATCH(1089,'بيانات الحركات'!$G:$G,0)),"")</f>
        <v/>
      </c>
      <c r="E1090" s="21" t="str">
        <f>IF($B1090="إنتاج طبخة","",IFERROR(INDEX('بيانات الحركات'!E:E,MATCH(1089,'بيانات الحركات'!$G:$G,0)),""))</f>
        <v/>
      </c>
      <c r="F1090" s="3" t="str">
        <f>IFERROR(INDEX('بيانات الحركات'!F:F,MATCH(1089,'بيانات الحركات'!$G:$G,0)),"")</f>
        <v/>
      </c>
    </row>
    <row r="1091" spans="1:6" ht="21.95" customHeight="1">
      <c r="A1091" s="8" t="str">
        <f>IFERROR(INDEX('بيانات الحركات'!A:A,MATCH(1090,'بيانات الحركات'!$G:$G,0)),"")</f>
        <v/>
      </c>
      <c r="B1091" s="5" t="str">
        <f>IFERROR(INDEX('بيانات الحركات'!B:B,MATCH(1090,'بيانات الحركات'!$G:$G,0)),"")</f>
        <v/>
      </c>
      <c r="C1091" s="3" t="str">
        <f>IFERROR(INDEX('بيانات الحركات'!C:C,MATCH(1090,'بيانات الحركات'!$G:$G,0)),"")</f>
        <v/>
      </c>
      <c r="D1091" s="3" t="str">
        <f>IFERROR(INDEX('بيانات الحركات'!D:D,MATCH(1090,'بيانات الحركات'!$G:$G,0)),"")</f>
        <v/>
      </c>
      <c r="E1091" s="21" t="str">
        <f>IF($B1091="إنتاج طبخة","",IFERROR(INDEX('بيانات الحركات'!E:E,MATCH(1090,'بيانات الحركات'!$G:$G,0)),""))</f>
        <v/>
      </c>
      <c r="F1091" s="3" t="str">
        <f>IFERROR(INDEX('بيانات الحركات'!F:F,MATCH(1090,'بيانات الحركات'!$G:$G,0)),"")</f>
        <v/>
      </c>
    </row>
    <row r="1092" spans="1:6" ht="21.95" customHeight="1">
      <c r="A1092" s="8" t="str">
        <f>IFERROR(INDEX('بيانات الحركات'!A:A,MATCH(1091,'بيانات الحركات'!$G:$G,0)),"")</f>
        <v/>
      </c>
      <c r="B1092" s="5" t="str">
        <f>IFERROR(INDEX('بيانات الحركات'!B:B,MATCH(1091,'بيانات الحركات'!$G:$G,0)),"")</f>
        <v/>
      </c>
      <c r="C1092" s="3" t="str">
        <f>IFERROR(INDEX('بيانات الحركات'!C:C,MATCH(1091,'بيانات الحركات'!$G:$G,0)),"")</f>
        <v/>
      </c>
      <c r="D1092" s="3" t="str">
        <f>IFERROR(INDEX('بيانات الحركات'!D:D,MATCH(1091,'بيانات الحركات'!$G:$G,0)),"")</f>
        <v/>
      </c>
      <c r="E1092" s="21" t="str">
        <f>IF($B1092="إنتاج طبخة","",IFERROR(INDEX('بيانات الحركات'!E:E,MATCH(1091,'بيانات الحركات'!$G:$G,0)),""))</f>
        <v/>
      </c>
      <c r="F1092" s="3" t="str">
        <f>IFERROR(INDEX('بيانات الحركات'!F:F,MATCH(1091,'بيانات الحركات'!$G:$G,0)),"")</f>
        <v/>
      </c>
    </row>
    <row r="1093" spans="1:6" ht="21.95" customHeight="1">
      <c r="A1093" s="8" t="str">
        <f>IFERROR(INDEX('بيانات الحركات'!A:A,MATCH(1092,'بيانات الحركات'!$G:$G,0)),"")</f>
        <v/>
      </c>
      <c r="B1093" s="5" t="str">
        <f>IFERROR(INDEX('بيانات الحركات'!B:B,MATCH(1092,'بيانات الحركات'!$G:$G,0)),"")</f>
        <v/>
      </c>
      <c r="C1093" s="3" t="str">
        <f>IFERROR(INDEX('بيانات الحركات'!C:C,MATCH(1092,'بيانات الحركات'!$G:$G,0)),"")</f>
        <v/>
      </c>
      <c r="D1093" s="3" t="str">
        <f>IFERROR(INDEX('بيانات الحركات'!D:D,MATCH(1092,'بيانات الحركات'!$G:$G,0)),"")</f>
        <v/>
      </c>
      <c r="E1093" s="21" t="str">
        <f>IF($B1093="إنتاج طبخة","",IFERROR(INDEX('بيانات الحركات'!E:E,MATCH(1092,'بيانات الحركات'!$G:$G,0)),""))</f>
        <v/>
      </c>
      <c r="F1093" s="3" t="str">
        <f>IFERROR(INDEX('بيانات الحركات'!F:F,MATCH(1092,'بيانات الحركات'!$G:$G,0)),"")</f>
        <v/>
      </c>
    </row>
    <row r="1094" spans="1:6" ht="21.95" customHeight="1">
      <c r="A1094" s="8" t="str">
        <f>IFERROR(INDEX('بيانات الحركات'!A:A,MATCH(1093,'بيانات الحركات'!$G:$G,0)),"")</f>
        <v/>
      </c>
      <c r="B1094" s="5" t="str">
        <f>IFERROR(INDEX('بيانات الحركات'!B:B,MATCH(1093,'بيانات الحركات'!$G:$G,0)),"")</f>
        <v/>
      </c>
      <c r="C1094" s="3" t="str">
        <f>IFERROR(INDEX('بيانات الحركات'!C:C,MATCH(1093,'بيانات الحركات'!$G:$G,0)),"")</f>
        <v/>
      </c>
      <c r="D1094" s="3" t="str">
        <f>IFERROR(INDEX('بيانات الحركات'!D:D,MATCH(1093,'بيانات الحركات'!$G:$G,0)),"")</f>
        <v/>
      </c>
      <c r="E1094" s="21" t="str">
        <f>IF($B1094="إنتاج طبخة","",IFERROR(INDEX('بيانات الحركات'!E:E,MATCH(1093,'بيانات الحركات'!$G:$G,0)),""))</f>
        <v/>
      </c>
      <c r="F1094" s="3" t="str">
        <f>IFERROR(INDEX('بيانات الحركات'!F:F,MATCH(1093,'بيانات الحركات'!$G:$G,0)),"")</f>
        <v/>
      </c>
    </row>
    <row r="1095" spans="1:6" ht="21.95" customHeight="1">
      <c r="A1095" s="8" t="str">
        <f>IFERROR(INDEX('بيانات الحركات'!A:A,MATCH(1094,'بيانات الحركات'!$G:$G,0)),"")</f>
        <v/>
      </c>
      <c r="B1095" s="5" t="str">
        <f>IFERROR(INDEX('بيانات الحركات'!B:B,MATCH(1094,'بيانات الحركات'!$G:$G,0)),"")</f>
        <v/>
      </c>
      <c r="C1095" s="3" t="str">
        <f>IFERROR(INDEX('بيانات الحركات'!C:C,MATCH(1094,'بيانات الحركات'!$G:$G,0)),"")</f>
        <v/>
      </c>
      <c r="D1095" s="3" t="str">
        <f>IFERROR(INDEX('بيانات الحركات'!D:D,MATCH(1094,'بيانات الحركات'!$G:$G,0)),"")</f>
        <v/>
      </c>
      <c r="E1095" s="21" t="str">
        <f>IF($B1095="إنتاج طبخة","",IFERROR(INDEX('بيانات الحركات'!E:E,MATCH(1094,'بيانات الحركات'!$G:$G,0)),""))</f>
        <v/>
      </c>
      <c r="F1095" s="3" t="str">
        <f>IFERROR(INDEX('بيانات الحركات'!F:F,MATCH(1094,'بيانات الحركات'!$G:$G,0)),"")</f>
        <v/>
      </c>
    </row>
    <row r="1096" spans="1:6" ht="21.95" customHeight="1">
      <c r="A1096" s="8" t="str">
        <f>IFERROR(INDEX('بيانات الحركات'!A:A,MATCH(1095,'بيانات الحركات'!$G:$G,0)),"")</f>
        <v/>
      </c>
      <c r="B1096" s="5" t="str">
        <f>IFERROR(INDEX('بيانات الحركات'!B:B,MATCH(1095,'بيانات الحركات'!$G:$G,0)),"")</f>
        <v/>
      </c>
      <c r="C1096" s="3" t="str">
        <f>IFERROR(INDEX('بيانات الحركات'!C:C,MATCH(1095,'بيانات الحركات'!$G:$G,0)),"")</f>
        <v/>
      </c>
      <c r="D1096" s="3" t="str">
        <f>IFERROR(INDEX('بيانات الحركات'!D:D,MATCH(1095,'بيانات الحركات'!$G:$G,0)),"")</f>
        <v/>
      </c>
      <c r="E1096" s="21" t="str">
        <f>IF($B1096="إنتاج طبخة","",IFERROR(INDEX('بيانات الحركات'!E:E,MATCH(1095,'بيانات الحركات'!$G:$G,0)),""))</f>
        <v/>
      </c>
      <c r="F1096" s="3" t="str">
        <f>IFERROR(INDEX('بيانات الحركات'!F:F,MATCH(1095,'بيانات الحركات'!$G:$G,0)),"")</f>
        <v/>
      </c>
    </row>
    <row r="1097" spans="1:6" ht="21.95" customHeight="1">
      <c r="A1097" s="8" t="str">
        <f>IFERROR(INDEX('بيانات الحركات'!A:A,MATCH(1096,'بيانات الحركات'!$G:$G,0)),"")</f>
        <v/>
      </c>
      <c r="B1097" s="5" t="str">
        <f>IFERROR(INDEX('بيانات الحركات'!B:B,MATCH(1096,'بيانات الحركات'!$G:$G,0)),"")</f>
        <v/>
      </c>
      <c r="C1097" s="3" t="str">
        <f>IFERROR(INDEX('بيانات الحركات'!C:C,MATCH(1096,'بيانات الحركات'!$G:$G,0)),"")</f>
        <v/>
      </c>
      <c r="D1097" s="3" t="str">
        <f>IFERROR(INDEX('بيانات الحركات'!D:D,MATCH(1096,'بيانات الحركات'!$G:$G,0)),"")</f>
        <v/>
      </c>
      <c r="E1097" s="21" t="str">
        <f>IF($B1097="إنتاج طبخة","",IFERROR(INDEX('بيانات الحركات'!E:E,MATCH(1096,'بيانات الحركات'!$G:$G,0)),""))</f>
        <v/>
      </c>
      <c r="F1097" s="3" t="str">
        <f>IFERROR(INDEX('بيانات الحركات'!F:F,MATCH(1096,'بيانات الحركات'!$G:$G,0)),"")</f>
        <v/>
      </c>
    </row>
    <row r="1098" spans="1:6" ht="21.95" customHeight="1">
      <c r="A1098" s="8" t="str">
        <f>IFERROR(INDEX('بيانات الحركات'!A:A,MATCH(1097,'بيانات الحركات'!$G:$G,0)),"")</f>
        <v/>
      </c>
      <c r="B1098" s="5" t="str">
        <f>IFERROR(INDEX('بيانات الحركات'!B:B,MATCH(1097,'بيانات الحركات'!$G:$G,0)),"")</f>
        <v/>
      </c>
      <c r="C1098" s="3" t="str">
        <f>IFERROR(INDEX('بيانات الحركات'!C:C,MATCH(1097,'بيانات الحركات'!$G:$G,0)),"")</f>
        <v/>
      </c>
      <c r="D1098" s="3" t="str">
        <f>IFERROR(INDEX('بيانات الحركات'!D:D,MATCH(1097,'بيانات الحركات'!$G:$G,0)),"")</f>
        <v/>
      </c>
      <c r="E1098" s="21" t="str">
        <f>IF($B1098="إنتاج طبخة","",IFERROR(INDEX('بيانات الحركات'!E:E,MATCH(1097,'بيانات الحركات'!$G:$G,0)),""))</f>
        <v/>
      </c>
      <c r="F1098" s="3" t="str">
        <f>IFERROR(INDEX('بيانات الحركات'!F:F,MATCH(1097,'بيانات الحركات'!$G:$G,0)),"")</f>
        <v/>
      </c>
    </row>
    <row r="1099" spans="1:6" ht="21.95" customHeight="1">
      <c r="A1099" s="8" t="str">
        <f>IFERROR(INDEX('بيانات الحركات'!A:A,MATCH(1098,'بيانات الحركات'!$G:$G,0)),"")</f>
        <v/>
      </c>
      <c r="B1099" s="5" t="str">
        <f>IFERROR(INDEX('بيانات الحركات'!B:B,MATCH(1098,'بيانات الحركات'!$G:$G,0)),"")</f>
        <v/>
      </c>
      <c r="C1099" s="3" t="str">
        <f>IFERROR(INDEX('بيانات الحركات'!C:C,MATCH(1098,'بيانات الحركات'!$G:$G,0)),"")</f>
        <v/>
      </c>
      <c r="D1099" s="3" t="str">
        <f>IFERROR(INDEX('بيانات الحركات'!D:D,MATCH(1098,'بيانات الحركات'!$G:$G,0)),"")</f>
        <v/>
      </c>
      <c r="E1099" s="21" t="str">
        <f>IF($B1099="إنتاج طبخة","",IFERROR(INDEX('بيانات الحركات'!E:E,MATCH(1098,'بيانات الحركات'!$G:$G,0)),""))</f>
        <v/>
      </c>
      <c r="F1099" s="3" t="str">
        <f>IFERROR(INDEX('بيانات الحركات'!F:F,MATCH(1098,'بيانات الحركات'!$G:$G,0)),"")</f>
        <v/>
      </c>
    </row>
    <row r="1100" spans="1:6" ht="21.95" customHeight="1">
      <c r="A1100" s="8" t="str">
        <f>IFERROR(INDEX('بيانات الحركات'!A:A,MATCH(1099,'بيانات الحركات'!$G:$G,0)),"")</f>
        <v/>
      </c>
      <c r="B1100" s="5" t="str">
        <f>IFERROR(INDEX('بيانات الحركات'!B:B,MATCH(1099,'بيانات الحركات'!$G:$G,0)),"")</f>
        <v/>
      </c>
      <c r="C1100" s="3" t="str">
        <f>IFERROR(INDEX('بيانات الحركات'!C:C,MATCH(1099,'بيانات الحركات'!$G:$G,0)),"")</f>
        <v/>
      </c>
      <c r="D1100" s="3" t="str">
        <f>IFERROR(INDEX('بيانات الحركات'!D:D,MATCH(1099,'بيانات الحركات'!$G:$G,0)),"")</f>
        <v/>
      </c>
      <c r="E1100" s="21" t="str">
        <f>IF($B1100="إنتاج طبخة","",IFERROR(INDEX('بيانات الحركات'!E:E,MATCH(1099,'بيانات الحركات'!$G:$G,0)),""))</f>
        <v/>
      </c>
      <c r="F1100" s="3" t="str">
        <f>IFERROR(INDEX('بيانات الحركات'!F:F,MATCH(1099,'بيانات الحركات'!$G:$G,0)),"")</f>
        <v/>
      </c>
    </row>
    <row r="1101" spans="1:6" ht="21.95" customHeight="1">
      <c r="A1101" s="8" t="str">
        <f>IFERROR(INDEX('بيانات الحركات'!A:A,MATCH(1100,'بيانات الحركات'!$G:$G,0)),"")</f>
        <v/>
      </c>
      <c r="B1101" s="5" t="str">
        <f>IFERROR(INDEX('بيانات الحركات'!B:B,MATCH(1100,'بيانات الحركات'!$G:$G,0)),"")</f>
        <v/>
      </c>
      <c r="C1101" s="3" t="str">
        <f>IFERROR(INDEX('بيانات الحركات'!C:C,MATCH(1100,'بيانات الحركات'!$G:$G,0)),"")</f>
        <v/>
      </c>
      <c r="D1101" s="3" t="str">
        <f>IFERROR(INDEX('بيانات الحركات'!D:D,MATCH(1100,'بيانات الحركات'!$G:$G,0)),"")</f>
        <v/>
      </c>
      <c r="E1101" s="21" t="str">
        <f>IF($B1101="إنتاج طبخة","",IFERROR(INDEX('بيانات الحركات'!E:E,MATCH(1100,'بيانات الحركات'!$G:$G,0)),""))</f>
        <v/>
      </c>
      <c r="F1101" s="3" t="str">
        <f>IFERROR(INDEX('بيانات الحركات'!F:F,MATCH(1100,'بيانات الحركات'!$G:$G,0)),"")</f>
        <v/>
      </c>
    </row>
    <row r="1102" spans="1:6" ht="21.95" customHeight="1">
      <c r="A1102" s="8" t="str">
        <f>IFERROR(INDEX('بيانات الحركات'!A:A,MATCH(1101,'بيانات الحركات'!$G:$G,0)),"")</f>
        <v/>
      </c>
      <c r="B1102" s="5" t="str">
        <f>IFERROR(INDEX('بيانات الحركات'!B:B,MATCH(1101,'بيانات الحركات'!$G:$G,0)),"")</f>
        <v/>
      </c>
      <c r="C1102" s="3" t="str">
        <f>IFERROR(INDEX('بيانات الحركات'!C:C,MATCH(1101,'بيانات الحركات'!$G:$G,0)),"")</f>
        <v/>
      </c>
      <c r="D1102" s="3" t="str">
        <f>IFERROR(INDEX('بيانات الحركات'!D:D,MATCH(1101,'بيانات الحركات'!$G:$G,0)),"")</f>
        <v/>
      </c>
      <c r="E1102" s="21" t="str">
        <f>IF($B1102="إنتاج طبخة","",IFERROR(INDEX('بيانات الحركات'!E:E,MATCH(1101,'بيانات الحركات'!$G:$G,0)),""))</f>
        <v/>
      </c>
      <c r="F1102" s="3" t="str">
        <f>IFERROR(INDEX('بيانات الحركات'!F:F,MATCH(1101,'بيانات الحركات'!$G:$G,0)),"")</f>
        <v/>
      </c>
    </row>
    <row r="1103" spans="1:6" ht="21.95" customHeight="1">
      <c r="A1103" s="8" t="str">
        <f>IFERROR(INDEX('بيانات الحركات'!A:A,MATCH(1102,'بيانات الحركات'!$G:$G,0)),"")</f>
        <v/>
      </c>
      <c r="B1103" s="5" t="str">
        <f>IFERROR(INDEX('بيانات الحركات'!B:B,MATCH(1102,'بيانات الحركات'!$G:$G,0)),"")</f>
        <v/>
      </c>
      <c r="C1103" s="3" t="str">
        <f>IFERROR(INDEX('بيانات الحركات'!C:C,MATCH(1102,'بيانات الحركات'!$G:$G,0)),"")</f>
        <v/>
      </c>
      <c r="D1103" s="3" t="str">
        <f>IFERROR(INDEX('بيانات الحركات'!D:D,MATCH(1102,'بيانات الحركات'!$G:$G,0)),"")</f>
        <v/>
      </c>
      <c r="E1103" s="21" t="str">
        <f>IF($B1103="إنتاج طبخة","",IFERROR(INDEX('بيانات الحركات'!E:E,MATCH(1102,'بيانات الحركات'!$G:$G,0)),""))</f>
        <v/>
      </c>
      <c r="F1103" s="3" t="str">
        <f>IFERROR(INDEX('بيانات الحركات'!F:F,MATCH(1102,'بيانات الحركات'!$G:$G,0)),"")</f>
        <v/>
      </c>
    </row>
    <row r="1104" spans="1:6" ht="21.95" customHeight="1">
      <c r="A1104" s="8" t="str">
        <f>IFERROR(INDEX('بيانات الحركات'!A:A,MATCH(1103,'بيانات الحركات'!$G:$G,0)),"")</f>
        <v/>
      </c>
      <c r="B1104" s="5" t="str">
        <f>IFERROR(INDEX('بيانات الحركات'!B:B,MATCH(1103,'بيانات الحركات'!$G:$G,0)),"")</f>
        <v/>
      </c>
      <c r="C1104" s="3" t="str">
        <f>IFERROR(INDEX('بيانات الحركات'!C:C,MATCH(1103,'بيانات الحركات'!$G:$G,0)),"")</f>
        <v/>
      </c>
      <c r="D1104" s="3" t="str">
        <f>IFERROR(INDEX('بيانات الحركات'!D:D,MATCH(1103,'بيانات الحركات'!$G:$G,0)),"")</f>
        <v/>
      </c>
      <c r="E1104" s="21" t="str">
        <f>IF($B1104="إنتاج طبخة","",IFERROR(INDEX('بيانات الحركات'!E:E,MATCH(1103,'بيانات الحركات'!$G:$G,0)),""))</f>
        <v/>
      </c>
      <c r="F1104" s="3" t="str">
        <f>IFERROR(INDEX('بيانات الحركات'!F:F,MATCH(1103,'بيانات الحركات'!$G:$G,0)),"")</f>
        <v/>
      </c>
    </row>
    <row r="1105" spans="1:6" ht="21.95" customHeight="1">
      <c r="A1105" s="8" t="str">
        <f>IFERROR(INDEX('بيانات الحركات'!A:A,MATCH(1104,'بيانات الحركات'!$G:$G,0)),"")</f>
        <v/>
      </c>
      <c r="B1105" s="5" t="str">
        <f>IFERROR(INDEX('بيانات الحركات'!B:B,MATCH(1104,'بيانات الحركات'!$G:$G,0)),"")</f>
        <v/>
      </c>
      <c r="C1105" s="3" t="str">
        <f>IFERROR(INDEX('بيانات الحركات'!C:C,MATCH(1104,'بيانات الحركات'!$G:$G,0)),"")</f>
        <v/>
      </c>
      <c r="D1105" s="3" t="str">
        <f>IFERROR(INDEX('بيانات الحركات'!D:D,MATCH(1104,'بيانات الحركات'!$G:$G,0)),"")</f>
        <v/>
      </c>
      <c r="E1105" s="21" t="str">
        <f>IF($B1105="إنتاج طبخة","",IFERROR(INDEX('بيانات الحركات'!E:E,MATCH(1104,'بيانات الحركات'!$G:$G,0)),""))</f>
        <v/>
      </c>
      <c r="F1105" s="3" t="str">
        <f>IFERROR(INDEX('بيانات الحركات'!F:F,MATCH(1104,'بيانات الحركات'!$G:$G,0)),"")</f>
        <v/>
      </c>
    </row>
    <row r="1106" spans="1:6" ht="21.95" customHeight="1">
      <c r="A1106" s="8" t="str">
        <f>IFERROR(INDEX('بيانات الحركات'!A:A,MATCH(1105,'بيانات الحركات'!$G:$G,0)),"")</f>
        <v/>
      </c>
      <c r="B1106" s="5" t="str">
        <f>IFERROR(INDEX('بيانات الحركات'!B:B,MATCH(1105,'بيانات الحركات'!$G:$G,0)),"")</f>
        <v/>
      </c>
      <c r="C1106" s="3" t="str">
        <f>IFERROR(INDEX('بيانات الحركات'!C:C,MATCH(1105,'بيانات الحركات'!$G:$G,0)),"")</f>
        <v/>
      </c>
      <c r="D1106" s="3" t="str">
        <f>IFERROR(INDEX('بيانات الحركات'!D:D,MATCH(1105,'بيانات الحركات'!$G:$G,0)),"")</f>
        <v/>
      </c>
      <c r="E1106" s="21" t="str">
        <f>IF($B1106="إنتاج طبخة","",IFERROR(INDEX('بيانات الحركات'!E:E,MATCH(1105,'بيانات الحركات'!$G:$G,0)),""))</f>
        <v/>
      </c>
      <c r="F1106" s="3" t="str">
        <f>IFERROR(INDEX('بيانات الحركات'!F:F,MATCH(1105,'بيانات الحركات'!$G:$G,0)),"")</f>
        <v/>
      </c>
    </row>
    <row r="1107" spans="1:6" ht="21.95" customHeight="1">
      <c r="A1107" s="8" t="str">
        <f>IFERROR(INDEX('بيانات الحركات'!A:A,MATCH(1106,'بيانات الحركات'!$G:$G,0)),"")</f>
        <v/>
      </c>
      <c r="B1107" s="5" t="str">
        <f>IFERROR(INDEX('بيانات الحركات'!B:B,MATCH(1106,'بيانات الحركات'!$G:$G,0)),"")</f>
        <v/>
      </c>
      <c r="C1107" s="3" t="str">
        <f>IFERROR(INDEX('بيانات الحركات'!C:C,MATCH(1106,'بيانات الحركات'!$G:$G,0)),"")</f>
        <v/>
      </c>
      <c r="D1107" s="3" t="str">
        <f>IFERROR(INDEX('بيانات الحركات'!D:D,MATCH(1106,'بيانات الحركات'!$G:$G,0)),"")</f>
        <v/>
      </c>
      <c r="E1107" s="21" t="str">
        <f>IF($B1107="إنتاج طبخة","",IFERROR(INDEX('بيانات الحركات'!E:E,MATCH(1106,'بيانات الحركات'!$G:$G,0)),""))</f>
        <v/>
      </c>
      <c r="F1107" s="3" t="str">
        <f>IFERROR(INDEX('بيانات الحركات'!F:F,MATCH(1106,'بيانات الحركات'!$G:$G,0)),"")</f>
        <v/>
      </c>
    </row>
    <row r="1108" spans="1:6" ht="21.95" customHeight="1">
      <c r="A1108" s="8" t="str">
        <f>IFERROR(INDEX('بيانات الحركات'!A:A,MATCH(1107,'بيانات الحركات'!$G:$G,0)),"")</f>
        <v/>
      </c>
      <c r="B1108" s="5" t="str">
        <f>IFERROR(INDEX('بيانات الحركات'!B:B,MATCH(1107,'بيانات الحركات'!$G:$G,0)),"")</f>
        <v/>
      </c>
      <c r="C1108" s="3" t="str">
        <f>IFERROR(INDEX('بيانات الحركات'!C:C,MATCH(1107,'بيانات الحركات'!$G:$G,0)),"")</f>
        <v/>
      </c>
      <c r="D1108" s="3" t="str">
        <f>IFERROR(INDEX('بيانات الحركات'!D:D,MATCH(1107,'بيانات الحركات'!$G:$G,0)),"")</f>
        <v/>
      </c>
      <c r="E1108" s="21" t="str">
        <f>IF($B1108="إنتاج طبخة","",IFERROR(INDEX('بيانات الحركات'!E:E,MATCH(1107,'بيانات الحركات'!$G:$G,0)),""))</f>
        <v/>
      </c>
      <c r="F1108" s="3" t="str">
        <f>IFERROR(INDEX('بيانات الحركات'!F:F,MATCH(1107,'بيانات الحركات'!$G:$G,0)),"")</f>
        <v/>
      </c>
    </row>
    <row r="1109" spans="1:6" ht="21.95" customHeight="1">
      <c r="A1109" s="8" t="str">
        <f>IFERROR(INDEX('بيانات الحركات'!A:A,MATCH(1108,'بيانات الحركات'!$G:$G,0)),"")</f>
        <v/>
      </c>
      <c r="B1109" s="5" t="str">
        <f>IFERROR(INDEX('بيانات الحركات'!B:B,MATCH(1108,'بيانات الحركات'!$G:$G,0)),"")</f>
        <v/>
      </c>
      <c r="C1109" s="3" t="str">
        <f>IFERROR(INDEX('بيانات الحركات'!C:C,MATCH(1108,'بيانات الحركات'!$G:$G,0)),"")</f>
        <v/>
      </c>
      <c r="D1109" s="3" t="str">
        <f>IFERROR(INDEX('بيانات الحركات'!D:D,MATCH(1108,'بيانات الحركات'!$G:$G,0)),"")</f>
        <v/>
      </c>
      <c r="E1109" s="21" t="str">
        <f>IF($B1109="إنتاج طبخة","",IFERROR(INDEX('بيانات الحركات'!E:E,MATCH(1108,'بيانات الحركات'!$G:$G,0)),""))</f>
        <v/>
      </c>
      <c r="F1109" s="3" t="str">
        <f>IFERROR(INDEX('بيانات الحركات'!F:F,MATCH(1108,'بيانات الحركات'!$G:$G,0)),"")</f>
        <v/>
      </c>
    </row>
    <row r="1110" spans="1:6" ht="21.95" customHeight="1">
      <c r="A1110" s="8" t="str">
        <f>IFERROR(INDEX('بيانات الحركات'!A:A,MATCH(1109,'بيانات الحركات'!$G:$G,0)),"")</f>
        <v/>
      </c>
      <c r="B1110" s="5" t="str">
        <f>IFERROR(INDEX('بيانات الحركات'!B:B,MATCH(1109,'بيانات الحركات'!$G:$G,0)),"")</f>
        <v/>
      </c>
      <c r="C1110" s="3" t="str">
        <f>IFERROR(INDEX('بيانات الحركات'!C:C,MATCH(1109,'بيانات الحركات'!$G:$G,0)),"")</f>
        <v/>
      </c>
      <c r="D1110" s="3" t="str">
        <f>IFERROR(INDEX('بيانات الحركات'!D:D,MATCH(1109,'بيانات الحركات'!$G:$G,0)),"")</f>
        <v/>
      </c>
      <c r="E1110" s="21" t="str">
        <f>IF($B1110="إنتاج طبخة","",IFERROR(INDEX('بيانات الحركات'!E:E,MATCH(1109,'بيانات الحركات'!$G:$G,0)),""))</f>
        <v/>
      </c>
      <c r="F1110" s="3" t="str">
        <f>IFERROR(INDEX('بيانات الحركات'!F:F,MATCH(1109,'بيانات الحركات'!$G:$G,0)),"")</f>
        <v/>
      </c>
    </row>
    <row r="1111" spans="1:6" ht="21.95" customHeight="1">
      <c r="A1111" s="8" t="str">
        <f>IFERROR(INDEX('بيانات الحركات'!A:A,MATCH(1110,'بيانات الحركات'!$G:$G,0)),"")</f>
        <v/>
      </c>
      <c r="B1111" s="5" t="str">
        <f>IFERROR(INDEX('بيانات الحركات'!B:B,MATCH(1110,'بيانات الحركات'!$G:$G,0)),"")</f>
        <v/>
      </c>
      <c r="C1111" s="3" t="str">
        <f>IFERROR(INDEX('بيانات الحركات'!C:C,MATCH(1110,'بيانات الحركات'!$G:$G,0)),"")</f>
        <v/>
      </c>
      <c r="D1111" s="3" t="str">
        <f>IFERROR(INDEX('بيانات الحركات'!D:D,MATCH(1110,'بيانات الحركات'!$G:$G,0)),"")</f>
        <v/>
      </c>
      <c r="E1111" s="21" t="str">
        <f>IF($B1111="إنتاج طبخة","",IFERROR(INDEX('بيانات الحركات'!E:E,MATCH(1110,'بيانات الحركات'!$G:$G,0)),""))</f>
        <v/>
      </c>
      <c r="F1111" s="3" t="str">
        <f>IFERROR(INDEX('بيانات الحركات'!F:F,MATCH(1110,'بيانات الحركات'!$G:$G,0)),"")</f>
        <v/>
      </c>
    </row>
    <row r="1112" spans="1:6" ht="21.95" customHeight="1">
      <c r="A1112" s="8" t="str">
        <f>IFERROR(INDEX('بيانات الحركات'!A:A,MATCH(1111,'بيانات الحركات'!$G:$G,0)),"")</f>
        <v/>
      </c>
      <c r="B1112" s="5" t="str">
        <f>IFERROR(INDEX('بيانات الحركات'!B:B,MATCH(1111,'بيانات الحركات'!$G:$G,0)),"")</f>
        <v/>
      </c>
      <c r="C1112" s="3" t="str">
        <f>IFERROR(INDEX('بيانات الحركات'!C:C,MATCH(1111,'بيانات الحركات'!$G:$G,0)),"")</f>
        <v/>
      </c>
      <c r="D1112" s="3" t="str">
        <f>IFERROR(INDEX('بيانات الحركات'!D:D,MATCH(1111,'بيانات الحركات'!$G:$G,0)),"")</f>
        <v/>
      </c>
      <c r="E1112" s="21" t="str">
        <f>IF($B1112="إنتاج طبخة","",IFERROR(INDEX('بيانات الحركات'!E:E,MATCH(1111,'بيانات الحركات'!$G:$G,0)),""))</f>
        <v/>
      </c>
      <c r="F1112" s="3" t="str">
        <f>IFERROR(INDEX('بيانات الحركات'!F:F,MATCH(1111,'بيانات الحركات'!$G:$G,0)),"")</f>
        <v/>
      </c>
    </row>
    <row r="1113" spans="1:6" ht="21.95" customHeight="1">
      <c r="A1113" s="8" t="str">
        <f>IFERROR(INDEX('بيانات الحركات'!A:A,MATCH(1112,'بيانات الحركات'!$G:$G,0)),"")</f>
        <v/>
      </c>
      <c r="B1113" s="5" t="str">
        <f>IFERROR(INDEX('بيانات الحركات'!B:B,MATCH(1112,'بيانات الحركات'!$G:$G,0)),"")</f>
        <v/>
      </c>
      <c r="C1113" s="3" t="str">
        <f>IFERROR(INDEX('بيانات الحركات'!C:C,MATCH(1112,'بيانات الحركات'!$G:$G,0)),"")</f>
        <v/>
      </c>
      <c r="D1113" s="3" t="str">
        <f>IFERROR(INDEX('بيانات الحركات'!D:D,MATCH(1112,'بيانات الحركات'!$G:$G,0)),"")</f>
        <v/>
      </c>
      <c r="E1113" s="21" t="str">
        <f>IF($B1113="إنتاج طبخة","",IFERROR(INDEX('بيانات الحركات'!E:E,MATCH(1112,'بيانات الحركات'!$G:$G,0)),""))</f>
        <v/>
      </c>
      <c r="F1113" s="3" t="str">
        <f>IFERROR(INDEX('بيانات الحركات'!F:F,MATCH(1112,'بيانات الحركات'!$G:$G,0)),"")</f>
        <v/>
      </c>
    </row>
    <row r="1114" spans="1:6" ht="21.95" customHeight="1">
      <c r="A1114" s="8" t="str">
        <f>IFERROR(INDEX('بيانات الحركات'!A:A,MATCH(1113,'بيانات الحركات'!$G:$G,0)),"")</f>
        <v/>
      </c>
      <c r="B1114" s="5" t="str">
        <f>IFERROR(INDEX('بيانات الحركات'!B:B,MATCH(1113,'بيانات الحركات'!$G:$G,0)),"")</f>
        <v/>
      </c>
      <c r="C1114" s="3" t="str">
        <f>IFERROR(INDEX('بيانات الحركات'!C:C,MATCH(1113,'بيانات الحركات'!$G:$G,0)),"")</f>
        <v/>
      </c>
      <c r="D1114" s="3" t="str">
        <f>IFERROR(INDEX('بيانات الحركات'!D:D,MATCH(1113,'بيانات الحركات'!$G:$G,0)),"")</f>
        <v/>
      </c>
      <c r="E1114" s="21" t="str">
        <f>IF($B1114="إنتاج طبخة","",IFERROR(INDEX('بيانات الحركات'!E:E,MATCH(1113,'بيانات الحركات'!$G:$G,0)),""))</f>
        <v/>
      </c>
      <c r="F1114" s="3" t="str">
        <f>IFERROR(INDEX('بيانات الحركات'!F:F,MATCH(1113,'بيانات الحركات'!$G:$G,0)),"")</f>
        <v/>
      </c>
    </row>
    <row r="1115" spans="1:6" ht="21.95" customHeight="1">
      <c r="A1115" s="8" t="str">
        <f>IFERROR(INDEX('بيانات الحركات'!A:A,MATCH(1114,'بيانات الحركات'!$G:$G,0)),"")</f>
        <v/>
      </c>
      <c r="B1115" s="5" t="str">
        <f>IFERROR(INDEX('بيانات الحركات'!B:B,MATCH(1114,'بيانات الحركات'!$G:$G,0)),"")</f>
        <v/>
      </c>
      <c r="C1115" s="3" t="str">
        <f>IFERROR(INDEX('بيانات الحركات'!C:C,MATCH(1114,'بيانات الحركات'!$G:$G,0)),"")</f>
        <v/>
      </c>
      <c r="D1115" s="3" t="str">
        <f>IFERROR(INDEX('بيانات الحركات'!D:D,MATCH(1114,'بيانات الحركات'!$G:$G,0)),"")</f>
        <v/>
      </c>
      <c r="E1115" s="21" t="str">
        <f>IF($B1115="إنتاج طبخة","",IFERROR(INDEX('بيانات الحركات'!E:E,MATCH(1114,'بيانات الحركات'!$G:$G,0)),""))</f>
        <v/>
      </c>
      <c r="F1115" s="3" t="str">
        <f>IFERROR(INDEX('بيانات الحركات'!F:F,MATCH(1114,'بيانات الحركات'!$G:$G,0)),"")</f>
        <v/>
      </c>
    </row>
    <row r="1116" spans="1:6" ht="21.95" customHeight="1">
      <c r="A1116" s="8" t="str">
        <f>IFERROR(INDEX('بيانات الحركات'!A:A,MATCH(1115,'بيانات الحركات'!$G:$G,0)),"")</f>
        <v/>
      </c>
      <c r="B1116" s="5" t="str">
        <f>IFERROR(INDEX('بيانات الحركات'!B:B,MATCH(1115,'بيانات الحركات'!$G:$G,0)),"")</f>
        <v/>
      </c>
      <c r="C1116" s="3" t="str">
        <f>IFERROR(INDEX('بيانات الحركات'!C:C,MATCH(1115,'بيانات الحركات'!$G:$G,0)),"")</f>
        <v/>
      </c>
      <c r="D1116" s="3" t="str">
        <f>IFERROR(INDEX('بيانات الحركات'!D:D,MATCH(1115,'بيانات الحركات'!$G:$G,0)),"")</f>
        <v/>
      </c>
      <c r="E1116" s="21" t="str">
        <f>IF($B1116="إنتاج طبخة","",IFERROR(INDEX('بيانات الحركات'!E:E,MATCH(1115,'بيانات الحركات'!$G:$G,0)),""))</f>
        <v/>
      </c>
      <c r="F1116" s="3" t="str">
        <f>IFERROR(INDEX('بيانات الحركات'!F:F,MATCH(1115,'بيانات الحركات'!$G:$G,0)),"")</f>
        <v/>
      </c>
    </row>
    <row r="1117" spans="1:6" ht="21.95" customHeight="1">
      <c r="A1117" s="8" t="str">
        <f>IFERROR(INDEX('بيانات الحركات'!A:A,MATCH(1116,'بيانات الحركات'!$G:$G,0)),"")</f>
        <v/>
      </c>
      <c r="B1117" s="5" t="str">
        <f>IFERROR(INDEX('بيانات الحركات'!B:B,MATCH(1116,'بيانات الحركات'!$G:$G,0)),"")</f>
        <v/>
      </c>
      <c r="C1117" s="3" t="str">
        <f>IFERROR(INDEX('بيانات الحركات'!C:C,MATCH(1116,'بيانات الحركات'!$G:$G,0)),"")</f>
        <v/>
      </c>
      <c r="D1117" s="3" t="str">
        <f>IFERROR(INDEX('بيانات الحركات'!D:D,MATCH(1116,'بيانات الحركات'!$G:$G,0)),"")</f>
        <v/>
      </c>
      <c r="E1117" s="21" t="str">
        <f>IF($B1117="إنتاج طبخة","",IFERROR(INDEX('بيانات الحركات'!E:E,MATCH(1116,'بيانات الحركات'!$G:$G,0)),""))</f>
        <v/>
      </c>
      <c r="F1117" s="3" t="str">
        <f>IFERROR(INDEX('بيانات الحركات'!F:F,MATCH(1116,'بيانات الحركات'!$G:$G,0)),"")</f>
        <v/>
      </c>
    </row>
    <row r="1118" spans="1:6" ht="21.95" customHeight="1">
      <c r="A1118" s="8" t="str">
        <f>IFERROR(INDEX('بيانات الحركات'!A:A,MATCH(1117,'بيانات الحركات'!$G:$G,0)),"")</f>
        <v/>
      </c>
      <c r="B1118" s="5" t="str">
        <f>IFERROR(INDEX('بيانات الحركات'!B:B,MATCH(1117,'بيانات الحركات'!$G:$G,0)),"")</f>
        <v/>
      </c>
      <c r="C1118" s="3" t="str">
        <f>IFERROR(INDEX('بيانات الحركات'!C:C,MATCH(1117,'بيانات الحركات'!$G:$G,0)),"")</f>
        <v/>
      </c>
      <c r="D1118" s="3" t="str">
        <f>IFERROR(INDEX('بيانات الحركات'!D:D,MATCH(1117,'بيانات الحركات'!$G:$G,0)),"")</f>
        <v/>
      </c>
      <c r="E1118" s="21" t="str">
        <f>IF($B1118="إنتاج طبخة","",IFERROR(INDEX('بيانات الحركات'!E:E,MATCH(1117,'بيانات الحركات'!$G:$G,0)),""))</f>
        <v/>
      </c>
      <c r="F1118" s="3" t="str">
        <f>IFERROR(INDEX('بيانات الحركات'!F:F,MATCH(1117,'بيانات الحركات'!$G:$G,0)),"")</f>
        <v/>
      </c>
    </row>
    <row r="1119" spans="1:6" ht="21.95" customHeight="1">
      <c r="A1119" s="8" t="str">
        <f>IFERROR(INDEX('بيانات الحركات'!A:A,MATCH(1118,'بيانات الحركات'!$G:$G,0)),"")</f>
        <v/>
      </c>
      <c r="B1119" s="5" t="str">
        <f>IFERROR(INDEX('بيانات الحركات'!B:B,MATCH(1118,'بيانات الحركات'!$G:$G,0)),"")</f>
        <v/>
      </c>
      <c r="C1119" s="3" t="str">
        <f>IFERROR(INDEX('بيانات الحركات'!C:C,MATCH(1118,'بيانات الحركات'!$G:$G,0)),"")</f>
        <v/>
      </c>
      <c r="D1119" s="3" t="str">
        <f>IFERROR(INDEX('بيانات الحركات'!D:D,MATCH(1118,'بيانات الحركات'!$G:$G,0)),"")</f>
        <v/>
      </c>
      <c r="E1119" s="21" t="str">
        <f>IF($B1119="إنتاج طبخة","",IFERROR(INDEX('بيانات الحركات'!E:E,MATCH(1118,'بيانات الحركات'!$G:$G,0)),""))</f>
        <v/>
      </c>
      <c r="F1119" s="3" t="str">
        <f>IFERROR(INDEX('بيانات الحركات'!F:F,MATCH(1118,'بيانات الحركات'!$G:$G,0)),"")</f>
        <v/>
      </c>
    </row>
    <row r="1120" spans="1:6" ht="21.95" customHeight="1">
      <c r="A1120" s="8" t="str">
        <f>IFERROR(INDEX('بيانات الحركات'!A:A,MATCH(1119,'بيانات الحركات'!$G:$G,0)),"")</f>
        <v/>
      </c>
      <c r="B1120" s="5" t="str">
        <f>IFERROR(INDEX('بيانات الحركات'!B:B,MATCH(1119,'بيانات الحركات'!$G:$G,0)),"")</f>
        <v/>
      </c>
      <c r="C1120" s="3" t="str">
        <f>IFERROR(INDEX('بيانات الحركات'!C:C,MATCH(1119,'بيانات الحركات'!$G:$G,0)),"")</f>
        <v/>
      </c>
      <c r="D1120" s="3" t="str">
        <f>IFERROR(INDEX('بيانات الحركات'!D:D,MATCH(1119,'بيانات الحركات'!$G:$G,0)),"")</f>
        <v/>
      </c>
      <c r="E1120" s="21" t="str">
        <f>IF($B1120="إنتاج طبخة","",IFERROR(INDEX('بيانات الحركات'!E:E,MATCH(1119,'بيانات الحركات'!$G:$G,0)),""))</f>
        <v/>
      </c>
      <c r="F1120" s="3" t="str">
        <f>IFERROR(INDEX('بيانات الحركات'!F:F,MATCH(1119,'بيانات الحركات'!$G:$G,0)),"")</f>
        <v/>
      </c>
    </row>
    <row r="1121" spans="1:6" ht="21.95" customHeight="1">
      <c r="A1121" s="8" t="str">
        <f>IFERROR(INDEX('بيانات الحركات'!A:A,MATCH(1120,'بيانات الحركات'!$G:$G,0)),"")</f>
        <v/>
      </c>
      <c r="B1121" s="5" t="str">
        <f>IFERROR(INDEX('بيانات الحركات'!B:B,MATCH(1120,'بيانات الحركات'!$G:$G,0)),"")</f>
        <v/>
      </c>
      <c r="C1121" s="3" t="str">
        <f>IFERROR(INDEX('بيانات الحركات'!C:C,MATCH(1120,'بيانات الحركات'!$G:$G,0)),"")</f>
        <v/>
      </c>
      <c r="D1121" s="3" t="str">
        <f>IFERROR(INDEX('بيانات الحركات'!D:D,MATCH(1120,'بيانات الحركات'!$G:$G,0)),"")</f>
        <v/>
      </c>
      <c r="E1121" s="21" t="str">
        <f>IF($B1121="إنتاج طبخة","",IFERROR(INDEX('بيانات الحركات'!E:E,MATCH(1120,'بيانات الحركات'!$G:$G,0)),""))</f>
        <v/>
      </c>
      <c r="F1121" s="3" t="str">
        <f>IFERROR(INDEX('بيانات الحركات'!F:F,MATCH(1120,'بيانات الحركات'!$G:$G,0)),"")</f>
        <v/>
      </c>
    </row>
    <row r="1122" spans="1:6" ht="21.95" customHeight="1">
      <c r="A1122" s="8" t="str">
        <f>IFERROR(INDEX('بيانات الحركات'!A:A,MATCH(1121,'بيانات الحركات'!$G:$G,0)),"")</f>
        <v/>
      </c>
      <c r="B1122" s="5" t="str">
        <f>IFERROR(INDEX('بيانات الحركات'!B:B,MATCH(1121,'بيانات الحركات'!$G:$G,0)),"")</f>
        <v/>
      </c>
      <c r="C1122" s="3" t="str">
        <f>IFERROR(INDEX('بيانات الحركات'!C:C,MATCH(1121,'بيانات الحركات'!$G:$G,0)),"")</f>
        <v/>
      </c>
      <c r="D1122" s="3" t="str">
        <f>IFERROR(INDEX('بيانات الحركات'!D:D,MATCH(1121,'بيانات الحركات'!$G:$G,0)),"")</f>
        <v/>
      </c>
      <c r="E1122" s="21" t="str">
        <f>IF($B1122="إنتاج طبخة","",IFERROR(INDEX('بيانات الحركات'!E:E,MATCH(1121,'بيانات الحركات'!$G:$G,0)),""))</f>
        <v/>
      </c>
      <c r="F1122" s="3" t="str">
        <f>IFERROR(INDEX('بيانات الحركات'!F:F,MATCH(1121,'بيانات الحركات'!$G:$G,0)),"")</f>
        <v/>
      </c>
    </row>
    <row r="1123" spans="1:6" ht="21.95" customHeight="1">
      <c r="A1123" s="8" t="str">
        <f>IFERROR(INDEX('بيانات الحركات'!A:A,MATCH(1122,'بيانات الحركات'!$G:$G,0)),"")</f>
        <v/>
      </c>
      <c r="B1123" s="5" t="str">
        <f>IFERROR(INDEX('بيانات الحركات'!B:B,MATCH(1122,'بيانات الحركات'!$G:$G,0)),"")</f>
        <v/>
      </c>
      <c r="C1123" s="3" t="str">
        <f>IFERROR(INDEX('بيانات الحركات'!C:C,MATCH(1122,'بيانات الحركات'!$G:$G,0)),"")</f>
        <v/>
      </c>
      <c r="D1123" s="3" t="str">
        <f>IFERROR(INDEX('بيانات الحركات'!D:D,MATCH(1122,'بيانات الحركات'!$G:$G,0)),"")</f>
        <v/>
      </c>
      <c r="E1123" s="21" t="str">
        <f>IF($B1123="إنتاج طبخة","",IFERROR(INDEX('بيانات الحركات'!E:E,MATCH(1122,'بيانات الحركات'!$G:$G,0)),""))</f>
        <v/>
      </c>
      <c r="F1123" s="3" t="str">
        <f>IFERROR(INDEX('بيانات الحركات'!F:F,MATCH(1122,'بيانات الحركات'!$G:$G,0)),"")</f>
        <v/>
      </c>
    </row>
    <row r="1124" spans="1:6" ht="21.95" customHeight="1">
      <c r="A1124" s="8" t="str">
        <f>IFERROR(INDEX('بيانات الحركات'!A:A,MATCH(1123,'بيانات الحركات'!$G:$G,0)),"")</f>
        <v/>
      </c>
      <c r="B1124" s="5" t="str">
        <f>IFERROR(INDEX('بيانات الحركات'!B:B,MATCH(1123,'بيانات الحركات'!$G:$G,0)),"")</f>
        <v/>
      </c>
      <c r="C1124" s="3" t="str">
        <f>IFERROR(INDEX('بيانات الحركات'!C:C,MATCH(1123,'بيانات الحركات'!$G:$G,0)),"")</f>
        <v/>
      </c>
      <c r="D1124" s="3" t="str">
        <f>IFERROR(INDEX('بيانات الحركات'!D:D,MATCH(1123,'بيانات الحركات'!$G:$G,0)),"")</f>
        <v/>
      </c>
      <c r="E1124" s="21" t="str">
        <f>IF($B1124="إنتاج طبخة","",IFERROR(INDEX('بيانات الحركات'!E:E,MATCH(1123,'بيانات الحركات'!$G:$G,0)),""))</f>
        <v/>
      </c>
      <c r="F1124" s="3" t="str">
        <f>IFERROR(INDEX('بيانات الحركات'!F:F,MATCH(1123,'بيانات الحركات'!$G:$G,0)),"")</f>
        <v/>
      </c>
    </row>
    <row r="1125" spans="1:6" ht="21.95" customHeight="1">
      <c r="A1125" s="8" t="str">
        <f>IFERROR(INDEX('بيانات الحركات'!A:A,MATCH(1124,'بيانات الحركات'!$G:$G,0)),"")</f>
        <v/>
      </c>
      <c r="B1125" s="5" t="str">
        <f>IFERROR(INDEX('بيانات الحركات'!B:B,MATCH(1124,'بيانات الحركات'!$G:$G,0)),"")</f>
        <v/>
      </c>
      <c r="C1125" s="3" t="str">
        <f>IFERROR(INDEX('بيانات الحركات'!C:C,MATCH(1124,'بيانات الحركات'!$G:$G,0)),"")</f>
        <v/>
      </c>
      <c r="D1125" s="3" t="str">
        <f>IFERROR(INDEX('بيانات الحركات'!D:D,MATCH(1124,'بيانات الحركات'!$G:$G,0)),"")</f>
        <v/>
      </c>
      <c r="E1125" s="21" t="str">
        <f>IF($B1125="إنتاج طبخة","",IFERROR(INDEX('بيانات الحركات'!E:E,MATCH(1124,'بيانات الحركات'!$G:$G,0)),""))</f>
        <v/>
      </c>
      <c r="F1125" s="3" t="str">
        <f>IFERROR(INDEX('بيانات الحركات'!F:F,MATCH(1124,'بيانات الحركات'!$G:$G,0)),"")</f>
        <v/>
      </c>
    </row>
    <row r="1126" spans="1:6" ht="21.95" customHeight="1">
      <c r="A1126" s="8" t="str">
        <f>IFERROR(INDEX('بيانات الحركات'!A:A,MATCH(1125,'بيانات الحركات'!$G:$G,0)),"")</f>
        <v/>
      </c>
      <c r="B1126" s="5" t="str">
        <f>IFERROR(INDEX('بيانات الحركات'!B:B,MATCH(1125,'بيانات الحركات'!$G:$G,0)),"")</f>
        <v/>
      </c>
      <c r="C1126" s="3" t="str">
        <f>IFERROR(INDEX('بيانات الحركات'!C:C,MATCH(1125,'بيانات الحركات'!$G:$G,0)),"")</f>
        <v/>
      </c>
      <c r="D1126" s="3" t="str">
        <f>IFERROR(INDEX('بيانات الحركات'!D:D,MATCH(1125,'بيانات الحركات'!$G:$G,0)),"")</f>
        <v/>
      </c>
      <c r="E1126" s="21" t="str">
        <f>IF($B1126="إنتاج طبخة","",IFERROR(INDEX('بيانات الحركات'!E:E,MATCH(1125,'بيانات الحركات'!$G:$G,0)),""))</f>
        <v/>
      </c>
      <c r="F1126" s="3" t="str">
        <f>IFERROR(INDEX('بيانات الحركات'!F:F,MATCH(1125,'بيانات الحركات'!$G:$G,0)),"")</f>
        <v/>
      </c>
    </row>
    <row r="1127" spans="1:6" ht="21.95" customHeight="1">
      <c r="A1127" s="8" t="str">
        <f>IFERROR(INDEX('بيانات الحركات'!A:A,MATCH(1126,'بيانات الحركات'!$G:$G,0)),"")</f>
        <v/>
      </c>
      <c r="B1127" s="5" t="str">
        <f>IFERROR(INDEX('بيانات الحركات'!B:B,MATCH(1126,'بيانات الحركات'!$G:$G,0)),"")</f>
        <v/>
      </c>
      <c r="C1127" s="3" t="str">
        <f>IFERROR(INDEX('بيانات الحركات'!C:C,MATCH(1126,'بيانات الحركات'!$G:$G,0)),"")</f>
        <v/>
      </c>
      <c r="D1127" s="3" t="str">
        <f>IFERROR(INDEX('بيانات الحركات'!D:D,MATCH(1126,'بيانات الحركات'!$G:$G,0)),"")</f>
        <v/>
      </c>
      <c r="E1127" s="21" t="str">
        <f>IF($B1127="إنتاج طبخة","",IFERROR(INDEX('بيانات الحركات'!E:E,MATCH(1126,'بيانات الحركات'!$G:$G,0)),""))</f>
        <v/>
      </c>
      <c r="F1127" s="3" t="str">
        <f>IFERROR(INDEX('بيانات الحركات'!F:F,MATCH(1126,'بيانات الحركات'!$G:$G,0)),"")</f>
        <v/>
      </c>
    </row>
    <row r="1128" spans="1:6" ht="21.95" customHeight="1">
      <c r="A1128" s="8" t="str">
        <f>IFERROR(INDEX('بيانات الحركات'!A:A,MATCH(1127,'بيانات الحركات'!$G:$G,0)),"")</f>
        <v/>
      </c>
      <c r="B1128" s="5" t="str">
        <f>IFERROR(INDEX('بيانات الحركات'!B:B,MATCH(1127,'بيانات الحركات'!$G:$G,0)),"")</f>
        <v/>
      </c>
      <c r="C1128" s="3" t="str">
        <f>IFERROR(INDEX('بيانات الحركات'!C:C,MATCH(1127,'بيانات الحركات'!$G:$G,0)),"")</f>
        <v/>
      </c>
      <c r="D1128" s="3" t="str">
        <f>IFERROR(INDEX('بيانات الحركات'!D:D,MATCH(1127,'بيانات الحركات'!$G:$G,0)),"")</f>
        <v/>
      </c>
      <c r="E1128" s="21" t="str">
        <f>IF($B1128="إنتاج طبخة","",IFERROR(INDEX('بيانات الحركات'!E:E,MATCH(1127,'بيانات الحركات'!$G:$G,0)),""))</f>
        <v/>
      </c>
      <c r="F1128" s="3" t="str">
        <f>IFERROR(INDEX('بيانات الحركات'!F:F,MATCH(1127,'بيانات الحركات'!$G:$G,0)),"")</f>
        <v/>
      </c>
    </row>
    <row r="1129" spans="1:6" ht="21.95" customHeight="1">
      <c r="A1129" s="8" t="str">
        <f>IFERROR(INDEX('بيانات الحركات'!A:A,MATCH(1128,'بيانات الحركات'!$G:$G,0)),"")</f>
        <v/>
      </c>
      <c r="B1129" s="5" t="str">
        <f>IFERROR(INDEX('بيانات الحركات'!B:B,MATCH(1128,'بيانات الحركات'!$G:$G,0)),"")</f>
        <v/>
      </c>
      <c r="C1129" s="3" t="str">
        <f>IFERROR(INDEX('بيانات الحركات'!C:C,MATCH(1128,'بيانات الحركات'!$G:$G,0)),"")</f>
        <v/>
      </c>
      <c r="D1129" s="3" t="str">
        <f>IFERROR(INDEX('بيانات الحركات'!D:D,MATCH(1128,'بيانات الحركات'!$G:$G,0)),"")</f>
        <v/>
      </c>
      <c r="E1129" s="21" t="str">
        <f>IF($B1129="إنتاج طبخة","",IFERROR(INDEX('بيانات الحركات'!E:E,MATCH(1128,'بيانات الحركات'!$G:$G,0)),""))</f>
        <v/>
      </c>
      <c r="F1129" s="3" t="str">
        <f>IFERROR(INDEX('بيانات الحركات'!F:F,MATCH(1128,'بيانات الحركات'!$G:$G,0)),"")</f>
        <v/>
      </c>
    </row>
    <row r="1130" spans="1:6" ht="21.95" customHeight="1">
      <c r="A1130" s="8" t="str">
        <f>IFERROR(INDEX('بيانات الحركات'!A:A,MATCH(1129,'بيانات الحركات'!$G:$G,0)),"")</f>
        <v/>
      </c>
      <c r="B1130" s="5" t="str">
        <f>IFERROR(INDEX('بيانات الحركات'!B:B,MATCH(1129,'بيانات الحركات'!$G:$G,0)),"")</f>
        <v/>
      </c>
      <c r="C1130" s="3" t="str">
        <f>IFERROR(INDEX('بيانات الحركات'!C:C,MATCH(1129,'بيانات الحركات'!$G:$G,0)),"")</f>
        <v/>
      </c>
      <c r="D1130" s="3" t="str">
        <f>IFERROR(INDEX('بيانات الحركات'!D:D,MATCH(1129,'بيانات الحركات'!$G:$G,0)),"")</f>
        <v/>
      </c>
      <c r="E1130" s="21" t="str">
        <f>IF($B1130="إنتاج طبخة","",IFERROR(INDEX('بيانات الحركات'!E:E,MATCH(1129,'بيانات الحركات'!$G:$G,0)),""))</f>
        <v/>
      </c>
      <c r="F1130" s="3" t="str">
        <f>IFERROR(INDEX('بيانات الحركات'!F:F,MATCH(1129,'بيانات الحركات'!$G:$G,0)),"")</f>
        <v/>
      </c>
    </row>
    <row r="1131" spans="1:6" ht="21.95" customHeight="1">
      <c r="A1131" s="8" t="str">
        <f>IFERROR(INDEX('بيانات الحركات'!A:A,MATCH(1130,'بيانات الحركات'!$G:$G,0)),"")</f>
        <v/>
      </c>
      <c r="B1131" s="5" t="str">
        <f>IFERROR(INDEX('بيانات الحركات'!B:B,MATCH(1130,'بيانات الحركات'!$G:$G,0)),"")</f>
        <v/>
      </c>
      <c r="C1131" s="3" t="str">
        <f>IFERROR(INDEX('بيانات الحركات'!C:C,MATCH(1130,'بيانات الحركات'!$G:$G,0)),"")</f>
        <v/>
      </c>
      <c r="D1131" s="3" t="str">
        <f>IFERROR(INDEX('بيانات الحركات'!D:D,MATCH(1130,'بيانات الحركات'!$G:$G,0)),"")</f>
        <v/>
      </c>
      <c r="E1131" s="21" t="str">
        <f>IF($B1131="إنتاج طبخة","",IFERROR(INDEX('بيانات الحركات'!E:E,MATCH(1130,'بيانات الحركات'!$G:$G,0)),""))</f>
        <v/>
      </c>
      <c r="F1131" s="3" t="str">
        <f>IFERROR(INDEX('بيانات الحركات'!F:F,MATCH(1130,'بيانات الحركات'!$G:$G,0)),"")</f>
        <v/>
      </c>
    </row>
    <row r="1132" spans="1:6" ht="21.95" customHeight="1">
      <c r="A1132" s="8" t="str">
        <f>IFERROR(INDEX('بيانات الحركات'!A:A,MATCH(1131,'بيانات الحركات'!$G:$G,0)),"")</f>
        <v/>
      </c>
      <c r="B1132" s="5" t="str">
        <f>IFERROR(INDEX('بيانات الحركات'!B:B,MATCH(1131,'بيانات الحركات'!$G:$G,0)),"")</f>
        <v/>
      </c>
      <c r="C1132" s="3" t="str">
        <f>IFERROR(INDEX('بيانات الحركات'!C:C,MATCH(1131,'بيانات الحركات'!$G:$G,0)),"")</f>
        <v/>
      </c>
      <c r="D1132" s="3" t="str">
        <f>IFERROR(INDEX('بيانات الحركات'!D:D,MATCH(1131,'بيانات الحركات'!$G:$G,0)),"")</f>
        <v/>
      </c>
      <c r="E1132" s="21" t="str">
        <f>IF($B1132="إنتاج طبخة","",IFERROR(INDEX('بيانات الحركات'!E:E,MATCH(1131,'بيانات الحركات'!$G:$G,0)),""))</f>
        <v/>
      </c>
      <c r="F1132" s="3" t="str">
        <f>IFERROR(INDEX('بيانات الحركات'!F:F,MATCH(1131,'بيانات الحركات'!$G:$G,0)),"")</f>
        <v/>
      </c>
    </row>
    <row r="1133" spans="1:6" ht="21.95" customHeight="1">
      <c r="A1133" s="8" t="str">
        <f>IFERROR(INDEX('بيانات الحركات'!A:A,MATCH(1132,'بيانات الحركات'!$G:$G,0)),"")</f>
        <v/>
      </c>
      <c r="B1133" s="5" t="str">
        <f>IFERROR(INDEX('بيانات الحركات'!B:B,MATCH(1132,'بيانات الحركات'!$G:$G,0)),"")</f>
        <v/>
      </c>
      <c r="C1133" s="3" t="str">
        <f>IFERROR(INDEX('بيانات الحركات'!C:C,MATCH(1132,'بيانات الحركات'!$G:$G,0)),"")</f>
        <v/>
      </c>
      <c r="D1133" s="3" t="str">
        <f>IFERROR(INDEX('بيانات الحركات'!D:D,MATCH(1132,'بيانات الحركات'!$G:$G,0)),"")</f>
        <v/>
      </c>
      <c r="E1133" s="21" t="str">
        <f>IF($B1133="إنتاج طبخة","",IFERROR(INDEX('بيانات الحركات'!E:E,MATCH(1132,'بيانات الحركات'!$G:$G,0)),""))</f>
        <v/>
      </c>
      <c r="F1133" s="3" t="str">
        <f>IFERROR(INDEX('بيانات الحركات'!F:F,MATCH(1132,'بيانات الحركات'!$G:$G,0)),"")</f>
        <v/>
      </c>
    </row>
    <row r="1134" spans="1:6" ht="21.95" customHeight="1">
      <c r="A1134" s="8" t="str">
        <f>IFERROR(INDEX('بيانات الحركات'!A:A,MATCH(1133,'بيانات الحركات'!$G:$G,0)),"")</f>
        <v/>
      </c>
      <c r="B1134" s="5" t="str">
        <f>IFERROR(INDEX('بيانات الحركات'!B:B,MATCH(1133,'بيانات الحركات'!$G:$G,0)),"")</f>
        <v/>
      </c>
      <c r="C1134" s="3" t="str">
        <f>IFERROR(INDEX('بيانات الحركات'!C:C,MATCH(1133,'بيانات الحركات'!$G:$G,0)),"")</f>
        <v/>
      </c>
      <c r="D1134" s="3" t="str">
        <f>IFERROR(INDEX('بيانات الحركات'!D:D,MATCH(1133,'بيانات الحركات'!$G:$G,0)),"")</f>
        <v/>
      </c>
      <c r="E1134" s="21" t="str">
        <f>IF($B1134="إنتاج طبخة","",IFERROR(INDEX('بيانات الحركات'!E:E,MATCH(1133,'بيانات الحركات'!$G:$G,0)),""))</f>
        <v/>
      </c>
      <c r="F1134" s="3" t="str">
        <f>IFERROR(INDEX('بيانات الحركات'!F:F,MATCH(1133,'بيانات الحركات'!$G:$G,0)),"")</f>
        <v/>
      </c>
    </row>
    <row r="1135" spans="1:6" ht="21.95" customHeight="1">
      <c r="A1135" s="8" t="str">
        <f>IFERROR(INDEX('بيانات الحركات'!A:A,MATCH(1134,'بيانات الحركات'!$G:$G,0)),"")</f>
        <v/>
      </c>
      <c r="B1135" s="5" t="str">
        <f>IFERROR(INDEX('بيانات الحركات'!B:B,MATCH(1134,'بيانات الحركات'!$G:$G,0)),"")</f>
        <v/>
      </c>
      <c r="C1135" s="3" t="str">
        <f>IFERROR(INDEX('بيانات الحركات'!C:C,MATCH(1134,'بيانات الحركات'!$G:$G,0)),"")</f>
        <v/>
      </c>
      <c r="D1135" s="3" t="str">
        <f>IFERROR(INDEX('بيانات الحركات'!D:D,MATCH(1134,'بيانات الحركات'!$G:$G,0)),"")</f>
        <v/>
      </c>
      <c r="E1135" s="21" t="str">
        <f>IF($B1135="إنتاج طبخة","",IFERROR(INDEX('بيانات الحركات'!E:E,MATCH(1134,'بيانات الحركات'!$G:$G,0)),""))</f>
        <v/>
      </c>
      <c r="F1135" s="3" t="str">
        <f>IFERROR(INDEX('بيانات الحركات'!F:F,MATCH(1134,'بيانات الحركات'!$G:$G,0)),"")</f>
        <v/>
      </c>
    </row>
    <row r="1136" spans="1:6" ht="21.95" customHeight="1">
      <c r="A1136" s="8" t="str">
        <f>IFERROR(INDEX('بيانات الحركات'!A:A,MATCH(1135,'بيانات الحركات'!$G:$G,0)),"")</f>
        <v/>
      </c>
      <c r="B1136" s="5" t="str">
        <f>IFERROR(INDEX('بيانات الحركات'!B:B,MATCH(1135,'بيانات الحركات'!$G:$G,0)),"")</f>
        <v/>
      </c>
      <c r="C1136" s="3" t="str">
        <f>IFERROR(INDEX('بيانات الحركات'!C:C,MATCH(1135,'بيانات الحركات'!$G:$G,0)),"")</f>
        <v/>
      </c>
      <c r="D1136" s="3" t="str">
        <f>IFERROR(INDEX('بيانات الحركات'!D:D,MATCH(1135,'بيانات الحركات'!$G:$G,0)),"")</f>
        <v/>
      </c>
      <c r="E1136" s="21" t="str">
        <f>IF($B1136="إنتاج طبخة","",IFERROR(INDEX('بيانات الحركات'!E:E,MATCH(1135,'بيانات الحركات'!$G:$G,0)),""))</f>
        <v/>
      </c>
      <c r="F1136" s="3" t="str">
        <f>IFERROR(INDEX('بيانات الحركات'!F:F,MATCH(1135,'بيانات الحركات'!$G:$G,0)),"")</f>
        <v/>
      </c>
    </row>
    <row r="1137" spans="1:6" ht="21.95" customHeight="1">
      <c r="A1137" s="8" t="str">
        <f>IFERROR(INDEX('بيانات الحركات'!A:A,MATCH(1136,'بيانات الحركات'!$G:$G,0)),"")</f>
        <v/>
      </c>
      <c r="B1137" s="5" t="str">
        <f>IFERROR(INDEX('بيانات الحركات'!B:B,MATCH(1136,'بيانات الحركات'!$G:$G,0)),"")</f>
        <v/>
      </c>
      <c r="C1137" s="3" t="str">
        <f>IFERROR(INDEX('بيانات الحركات'!C:C,MATCH(1136,'بيانات الحركات'!$G:$G,0)),"")</f>
        <v/>
      </c>
      <c r="D1137" s="3" t="str">
        <f>IFERROR(INDEX('بيانات الحركات'!D:D,MATCH(1136,'بيانات الحركات'!$G:$G,0)),"")</f>
        <v/>
      </c>
      <c r="E1137" s="21" t="str">
        <f>IF($B1137="إنتاج طبخة","",IFERROR(INDEX('بيانات الحركات'!E:E,MATCH(1136,'بيانات الحركات'!$G:$G,0)),""))</f>
        <v/>
      </c>
      <c r="F1137" s="3" t="str">
        <f>IFERROR(INDEX('بيانات الحركات'!F:F,MATCH(1136,'بيانات الحركات'!$G:$G,0)),"")</f>
        <v/>
      </c>
    </row>
    <row r="1138" spans="1:6" ht="21.95" customHeight="1">
      <c r="A1138" s="8" t="str">
        <f>IFERROR(INDEX('بيانات الحركات'!A:A,MATCH(1137,'بيانات الحركات'!$G:$G,0)),"")</f>
        <v/>
      </c>
      <c r="B1138" s="5" t="str">
        <f>IFERROR(INDEX('بيانات الحركات'!B:B,MATCH(1137,'بيانات الحركات'!$G:$G,0)),"")</f>
        <v/>
      </c>
      <c r="C1138" s="3" t="str">
        <f>IFERROR(INDEX('بيانات الحركات'!C:C,MATCH(1137,'بيانات الحركات'!$G:$G,0)),"")</f>
        <v/>
      </c>
      <c r="D1138" s="3" t="str">
        <f>IFERROR(INDEX('بيانات الحركات'!D:D,MATCH(1137,'بيانات الحركات'!$G:$G,0)),"")</f>
        <v/>
      </c>
      <c r="E1138" s="21" t="str">
        <f>IF($B1138="إنتاج طبخة","",IFERROR(INDEX('بيانات الحركات'!E:E,MATCH(1137,'بيانات الحركات'!$G:$G,0)),""))</f>
        <v/>
      </c>
      <c r="F1138" s="3" t="str">
        <f>IFERROR(INDEX('بيانات الحركات'!F:F,MATCH(1137,'بيانات الحركات'!$G:$G,0)),"")</f>
        <v/>
      </c>
    </row>
    <row r="1139" spans="1:6" ht="21.95" customHeight="1">
      <c r="A1139" s="8" t="str">
        <f>IFERROR(INDEX('بيانات الحركات'!A:A,MATCH(1138,'بيانات الحركات'!$G:$G,0)),"")</f>
        <v/>
      </c>
      <c r="B1139" s="5" t="str">
        <f>IFERROR(INDEX('بيانات الحركات'!B:B,MATCH(1138,'بيانات الحركات'!$G:$G,0)),"")</f>
        <v/>
      </c>
      <c r="C1139" s="3" t="str">
        <f>IFERROR(INDEX('بيانات الحركات'!C:C,MATCH(1138,'بيانات الحركات'!$G:$G,0)),"")</f>
        <v/>
      </c>
      <c r="D1139" s="3" t="str">
        <f>IFERROR(INDEX('بيانات الحركات'!D:D,MATCH(1138,'بيانات الحركات'!$G:$G,0)),"")</f>
        <v/>
      </c>
      <c r="E1139" s="21" t="str">
        <f>IF($B1139="إنتاج طبخة","",IFERROR(INDEX('بيانات الحركات'!E:E,MATCH(1138,'بيانات الحركات'!$G:$G,0)),""))</f>
        <v/>
      </c>
      <c r="F1139" s="3" t="str">
        <f>IFERROR(INDEX('بيانات الحركات'!F:F,MATCH(1138,'بيانات الحركات'!$G:$G,0)),"")</f>
        <v/>
      </c>
    </row>
    <row r="1140" spans="1:6" ht="21.95" customHeight="1">
      <c r="A1140" s="8" t="str">
        <f>IFERROR(INDEX('بيانات الحركات'!A:A,MATCH(1139,'بيانات الحركات'!$G:$G,0)),"")</f>
        <v/>
      </c>
      <c r="B1140" s="5" t="str">
        <f>IFERROR(INDEX('بيانات الحركات'!B:B,MATCH(1139,'بيانات الحركات'!$G:$G,0)),"")</f>
        <v/>
      </c>
      <c r="C1140" s="3" t="str">
        <f>IFERROR(INDEX('بيانات الحركات'!C:C,MATCH(1139,'بيانات الحركات'!$G:$G,0)),"")</f>
        <v/>
      </c>
      <c r="D1140" s="3" t="str">
        <f>IFERROR(INDEX('بيانات الحركات'!D:D,MATCH(1139,'بيانات الحركات'!$G:$G,0)),"")</f>
        <v/>
      </c>
      <c r="E1140" s="21" t="str">
        <f>IF($B1140="إنتاج طبخة","",IFERROR(INDEX('بيانات الحركات'!E:E,MATCH(1139,'بيانات الحركات'!$G:$G,0)),""))</f>
        <v/>
      </c>
      <c r="F1140" s="3" t="str">
        <f>IFERROR(INDEX('بيانات الحركات'!F:F,MATCH(1139,'بيانات الحركات'!$G:$G,0)),"")</f>
        <v/>
      </c>
    </row>
    <row r="1141" spans="1:6" ht="21.95" customHeight="1">
      <c r="A1141" s="8" t="str">
        <f>IFERROR(INDEX('بيانات الحركات'!A:A,MATCH(1140,'بيانات الحركات'!$G:$G,0)),"")</f>
        <v/>
      </c>
      <c r="B1141" s="5" t="str">
        <f>IFERROR(INDEX('بيانات الحركات'!B:B,MATCH(1140,'بيانات الحركات'!$G:$G,0)),"")</f>
        <v/>
      </c>
      <c r="C1141" s="3" t="str">
        <f>IFERROR(INDEX('بيانات الحركات'!C:C,MATCH(1140,'بيانات الحركات'!$G:$G,0)),"")</f>
        <v/>
      </c>
      <c r="D1141" s="3" t="str">
        <f>IFERROR(INDEX('بيانات الحركات'!D:D,MATCH(1140,'بيانات الحركات'!$G:$G,0)),"")</f>
        <v/>
      </c>
      <c r="E1141" s="21" t="str">
        <f>IF($B1141="إنتاج طبخة","",IFERROR(INDEX('بيانات الحركات'!E:E,MATCH(1140,'بيانات الحركات'!$G:$G,0)),""))</f>
        <v/>
      </c>
      <c r="F1141" s="3" t="str">
        <f>IFERROR(INDEX('بيانات الحركات'!F:F,MATCH(1140,'بيانات الحركات'!$G:$G,0)),"")</f>
        <v/>
      </c>
    </row>
    <row r="1142" spans="1:6" ht="21.95" customHeight="1">
      <c r="A1142" s="8" t="str">
        <f>IFERROR(INDEX('بيانات الحركات'!A:A,MATCH(1141,'بيانات الحركات'!$G:$G,0)),"")</f>
        <v/>
      </c>
      <c r="B1142" s="5" t="str">
        <f>IFERROR(INDEX('بيانات الحركات'!B:B,MATCH(1141,'بيانات الحركات'!$G:$G,0)),"")</f>
        <v/>
      </c>
      <c r="C1142" s="3" t="str">
        <f>IFERROR(INDEX('بيانات الحركات'!C:C,MATCH(1141,'بيانات الحركات'!$G:$G,0)),"")</f>
        <v/>
      </c>
      <c r="D1142" s="3" t="str">
        <f>IFERROR(INDEX('بيانات الحركات'!D:D,MATCH(1141,'بيانات الحركات'!$G:$G,0)),"")</f>
        <v/>
      </c>
      <c r="E1142" s="21" t="str">
        <f>IF($B1142="إنتاج طبخة","",IFERROR(INDEX('بيانات الحركات'!E:E,MATCH(1141,'بيانات الحركات'!$G:$G,0)),""))</f>
        <v/>
      </c>
      <c r="F1142" s="3" t="str">
        <f>IFERROR(INDEX('بيانات الحركات'!F:F,MATCH(1141,'بيانات الحركات'!$G:$G,0)),"")</f>
        <v/>
      </c>
    </row>
    <row r="1143" spans="1:6" ht="21.95" customHeight="1">
      <c r="A1143" s="8" t="str">
        <f>IFERROR(INDEX('بيانات الحركات'!A:A,MATCH(1142,'بيانات الحركات'!$G:$G,0)),"")</f>
        <v/>
      </c>
      <c r="B1143" s="5" t="str">
        <f>IFERROR(INDEX('بيانات الحركات'!B:B,MATCH(1142,'بيانات الحركات'!$G:$G,0)),"")</f>
        <v/>
      </c>
      <c r="C1143" s="3" t="str">
        <f>IFERROR(INDEX('بيانات الحركات'!C:C,MATCH(1142,'بيانات الحركات'!$G:$G,0)),"")</f>
        <v/>
      </c>
      <c r="D1143" s="3" t="str">
        <f>IFERROR(INDEX('بيانات الحركات'!D:D,MATCH(1142,'بيانات الحركات'!$G:$G,0)),"")</f>
        <v/>
      </c>
      <c r="E1143" s="21" t="str">
        <f>IF($B1143="إنتاج طبخة","",IFERROR(INDEX('بيانات الحركات'!E:E,MATCH(1142,'بيانات الحركات'!$G:$G,0)),""))</f>
        <v/>
      </c>
      <c r="F1143" s="3" t="str">
        <f>IFERROR(INDEX('بيانات الحركات'!F:F,MATCH(1142,'بيانات الحركات'!$G:$G,0)),"")</f>
        <v/>
      </c>
    </row>
    <row r="1144" spans="1:6" ht="21.95" customHeight="1">
      <c r="A1144" s="8" t="str">
        <f>IFERROR(INDEX('بيانات الحركات'!A:A,MATCH(1143,'بيانات الحركات'!$G:$G,0)),"")</f>
        <v/>
      </c>
      <c r="B1144" s="5" t="str">
        <f>IFERROR(INDEX('بيانات الحركات'!B:B,MATCH(1143,'بيانات الحركات'!$G:$G,0)),"")</f>
        <v/>
      </c>
      <c r="C1144" s="3" t="str">
        <f>IFERROR(INDEX('بيانات الحركات'!C:C,MATCH(1143,'بيانات الحركات'!$G:$G,0)),"")</f>
        <v/>
      </c>
      <c r="D1144" s="3" t="str">
        <f>IFERROR(INDEX('بيانات الحركات'!D:D,MATCH(1143,'بيانات الحركات'!$G:$G,0)),"")</f>
        <v/>
      </c>
      <c r="E1144" s="21" t="str">
        <f>IF($B1144="إنتاج طبخة","",IFERROR(INDEX('بيانات الحركات'!E:E,MATCH(1143,'بيانات الحركات'!$G:$G,0)),""))</f>
        <v/>
      </c>
      <c r="F1144" s="3" t="str">
        <f>IFERROR(INDEX('بيانات الحركات'!F:F,MATCH(1143,'بيانات الحركات'!$G:$G,0)),"")</f>
        <v/>
      </c>
    </row>
    <row r="1145" spans="1:6" ht="21.95" customHeight="1">
      <c r="A1145" s="8" t="str">
        <f>IFERROR(INDEX('بيانات الحركات'!A:A,MATCH(1144,'بيانات الحركات'!$G:$G,0)),"")</f>
        <v/>
      </c>
      <c r="B1145" s="5" t="str">
        <f>IFERROR(INDEX('بيانات الحركات'!B:B,MATCH(1144,'بيانات الحركات'!$G:$G,0)),"")</f>
        <v/>
      </c>
      <c r="C1145" s="3" t="str">
        <f>IFERROR(INDEX('بيانات الحركات'!C:C,MATCH(1144,'بيانات الحركات'!$G:$G,0)),"")</f>
        <v/>
      </c>
      <c r="D1145" s="3" t="str">
        <f>IFERROR(INDEX('بيانات الحركات'!D:D,MATCH(1144,'بيانات الحركات'!$G:$G,0)),"")</f>
        <v/>
      </c>
      <c r="E1145" s="21" t="str">
        <f>IF($B1145="إنتاج طبخة","",IFERROR(INDEX('بيانات الحركات'!E:E,MATCH(1144,'بيانات الحركات'!$G:$G,0)),""))</f>
        <v/>
      </c>
      <c r="F1145" s="3" t="str">
        <f>IFERROR(INDEX('بيانات الحركات'!F:F,MATCH(1144,'بيانات الحركات'!$G:$G,0)),"")</f>
        <v/>
      </c>
    </row>
    <row r="1146" spans="1:6" ht="21.95" customHeight="1">
      <c r="A1146" s="8" t="str">
        <f>IFERROR(INDEX('بيانات الحركات'!A:A,MATCH(1145,'بيانات الحركات'!$G:$G,0)),"")</f>
        <v/>
      </c>
      <c r="B1146" s="5" t="str">
        <f>IFERROR(INDEX('بيانات الحركات'!B:B,MATCH(1145,'بيانات الحركات'!$G:$G,0)),"")</f>
        <v/>
      </c>
      <c r="C1146" s="3" t="str">
        <f>IFERROR(INDEX('بيانات الحركات'!C:C,MATCH(1145,'بيانات الحركات'!$G:$G,0)),"")</f>
        <v/>
      </c>
      <c r="D1146" s="3" t="str">
        <f>IFERROR(INDEX('بيانات الحركات'!D:D,MATCH(1145,'بيانات الحركات'!$G:$G,0)),"")</f>
        <v/>
      </c>
      <c r="E1146" s="21" t="str">
        <f>IF($B1146="إنتاج طبخة","",IFERROR(INDEX('بيانات الحركات'!E:E,MATCH(1145,'بيانات الحركات'!$G:$G,0)),""))</f>
        <v/>
      </c>
      <c r="F1146" s="3" t="str">
        <f>IFERROR(INDEX('بيانات الحركات'!F:F,MATCH(1145,'بيانات الحركات'!$G:$G,0)),"")</f>
        <v/>
      </c>
    </row>
    <row r="1147" spans="1:6" ht="21.95" customHeight="1">
      <c r="A1147" s="8" t="str">
        <f>IFERROR(INDEX('بيانات الحركات'!A:A,MATCH(1146,'بيانات الحركات'!$G:$G,0)),"")</f>
        <v/>
      </c>
      <c r="B1147" s="5" t="str">
        <f>IFERROR(INDEX('بيانات الحركات'!B:B,MATCH(1146,'بيانات الحركات'!$G:$G,0)),"")</f>
        <v/>
      </c>
      <c r="C1147" s="3" t="str">
        <f>IFERROR(INDEX('بيانات الحركات'!C:C,MATCH(1146,'بيانات الحركات'!$G:$G,0)),"")</f>
        <v/>
      </c>
      <c r="D1147" s="3" t="str">
        <f>IFERROR(INDEX('بيانات الحركات'!D:D,MATCH(1146,'بيانات الحركات'!$G:$G,0)),"")</f>
        <v/>
      </c>
      <c r="E1147" s="21" t="str">
        <f>IF($B1147="إنتاج طبخة","",IFERROR(INDEX('بيانات الحركات'!E:E,MATCH(1146,'بيانات الحركات'!$G:$G,0)),""))</f>
        <v/>
      </c>
      <c r="F1147" s="3" t="str">
        <f>IFERROR(INDEX('بيانات الحركات'!F:F,MATCH(1146,'بيانات الحركات'!$G:$G,0)),"")</f>
        <v/>
      </c>
    </row>
    <row r="1148" spans="1:6" ht="21.95" customHeight="1">
      <c r="A1148" s="8" t="str">
        <f>IFERROR(INDEX('بيانات الحركات'!A:A,MATCH(1147,'بيانات الحركات'!$G:$G,0)),"")</f>
        <v/>
      </c>
      <c r="B1148" s="5" t="str">
        <f>IFERROR(INDEX('بيانات الحركات'!B:B,MATCH(1147,'بيانات الحركات'!$G:$G,0)),"")</f>
        <v/>
      </c>
      <c r="C1148" s="3" t="str">
        <f>IFERROR(INDEX('بيانات الحركات'!C:C,MATCH(1147,'بيانات الحركات'!$G:$G,0)),"")</f>
        <v/>
      </c>
      <c r="D1148" s="3" t="str">
        <f>IFERROR(INDEX('بيانات الحركات'!D:D,MATCH(1147,'بيانات الحركات'!$G:$G,0)),"")</f>
        <v/>
      </c>
      <c r="E1148" s="21" t="str">
        <f>IF($B1148="إنتاج طبخة","",IFERROR(INDEX('بيانات الحركات'!E:E,MATCH(1147,'بيانات الحركات'!$G:$G,0)),""))</f>
        <v/>
      </c>
      <c r="F1148" s="3" t="str">
        <f>IFERROR(INDEX('بيانات الحركات'!F:F,MATCH(1147,'بيانات الحركات'!$G:$G,0)),"")</f>
        <v/>
      </c>
    </row>
    <row r="1149" spans="1:6" ht="21.95" customHeight="1">
      <c r="A1149" s="8" t="str">
        <f>IFERROR(INDEX('بيانات الحركات'!A:A,MATCH(1148,'بيانات الحركات'!$G:$G,0)),"")</f>
        <v/>
      </c>
      <c r="B1149" s="5" t="str">
        <f>IFERROR(INDEX('بيانات الحركات'!B:B,MATCH(1148,'بيانات الحركات'!$G:$G,0)),"")</f>
        <v/>
      </c>
      <c r="C1149" s="3" t="str">
        <f>IFERROR(INDEX('بيانات الحركات'!C:C,MATCH(1148,'بيانات الحركات'!$G:$G,0)),"")</f>
        <v/>
      </c>
      <c r="D1149" s="3" t="str">
        <f>IFERROR(INDEX('بيانات الحركات'!D:D,MATCH(1148,'بيانات الحركات'!$G:$G,0)),"")</f>
        <v/>
      </c>
      <c r="E1149" s="21" t="str">
        <f>IF($B1149="إنتاج طبخة","",IFERROR(INDEX('بيانات الحركات'!E:E,MATCH(1148,'بيانات الحركات'!$G:$G,0)),""))</f>
        <v/>
      </c>
      <c r="F1149" s="3" t="str">
        <f>IFERROR(INDEX('بيانات الحركات'!F:F,MATCH(1148,'بيانات الحركات'!$G:$G,0)),"")</f>
        <v/>
      </c>
    </row>
    <row r="1150" spans="1:6" ht="21.95" customHeight="1">
      <c r="A1150" s="8" t="str">
        <f>IFERROR(INDEX('بيانات الحركات'!A:A,MATCH(1149,'بيانات الحركات'!$G:$G,0)),"")</f>
        <v/>
      </c>
      <c r="B1150" s="5" t="str">
        <f>IFERROR(INDEX('بيانات الحركات'!B:B,MATCH(1149,'بيانات الحركات'!$G:$G,0)),"")</f>
        <v/>
      </c>
      <c r="C1150" s="3" t="str">
        <f>IFERROR(INDEX('بيانات الحركات'!C:C,MATCH(1149,'بيانات الحركات'!$G:$G,0)),"")</f>
        <v/>
      </c>
      <c r="D1150" s="3" t="str">
        <f>IFERROR(INDEX('بيانات الحركات'!D:D,MATCH(1149,'بيانات الحركات'!$G:$G,0)),"")</f>
        <v/>
      </c>
      <c r="E1150" s="21" t="str">
        <f>IF($B1150="إنتاج طبخة","",IFERROR(INDEX('بيانات الحركات'!E:E,MATCH(1149,'بيانات الحركات'!$G:$G,0)),""))</f>
        <v/>
      </c>
      <c r="F1150" s="3" t="str">
        <f>IFERROR(INDEX('بيانات الحركات'!F:F,MATCH(1149,'بيانات الحركات'!$G:$G,0)),"")</f>
        <v/>
      </c>
    </row>
    <row r="1151" spans="1:6" ht="21.95" customHeight="1">
      <c r="A1151" s="8" t="str">
        <f>IFERROR(INDEX('بيانات الحركات'!A:A,MATCH(1150,'بيانات الحركات'!$G:$G,0)),"")</f>
        <v/>
      </c>
      <c r="B1151" s="5" t="str">
        <f>IFERROR(INDEX('بيانات الحركات'!B:B,MATCH(1150,'بيانات الحركات'!$G:$G,0)),"")</f>
        <v/>
      </c>
      <c r="C1151" s="3" t="str">
        <f>IFERROR(INDEX('بيانات الحركات'!C:C,MATCH(1150,'بيانات الحركات'!$G:$G,0)),"")</f>
        <v/>
      </c>
      <c r="D1151" s="3" t="str">
        <f>IFERROR(INDEX('بيانات الحركات'!D:D,MATCH(1150,'بيانات الحركات'!$G:$G,0)),"")</f>
        <v/>
      </c>
      <c r="E1151" s="21" t="str">
        <f>IF($B1151="إنتاج طبخة","",IFERROR(INDEX('بيانات الحركات'!E:E,MATCH(1150,'بيانات الحركات'!$G:$G,0)),""))</f>
        <v/>
      </c>
      <c r="F1151" s="3" t="str">
        <f>IFERROR(INDEX('بيانات الحركات'!F:F,MATCH(1150,'بيانات الحركات'!$G:$G,0)),"")</f>
        <v/>
      </c>
    </row>
    <row r="1152" spans="1:6" ht="21.95" customHeight="1">
      <c r="A1152" s="8" t="str">
        <f>IFERROR(INDEX('بيانات الحركات'!A:A,MATCH(1151,'بيانات الحركات'!$G:$G,0)),"")</f>
        <v/>
      </c>
      <c r="B1152" s="5" t="str">
        <f>IFERROR(INDEX('بيانات الحركات'!B:B,MATCH(1151,'بيانات الحركات'!$G:$G,0)),"")</f>
        <v/>
      </c>
      <c r="C1152" s="3" t="str">
        <f>IFERROR(INDEX('بيانات الحركات'!C:C,MATCH(1151,'بيانات الحركات'!$G:$G,0)),"")</f>
        <v/>
      </c>
      <c r="D1152" s="3" t="str">
        <f>IFERROR(INDEX('بيانات الحركات'!D:D,MATCH(1151,'بيانات الحركات'!$G:$G,0)),"")</f>
        <v/>
      </c>
      <c r="E1152" s="21" t="str">
        <f>IF($B1152="إنتاج طبخة","",IFERROR(INDEX('بيانات الحركات'!E:E,MATCH(1151,'بيانات الحركات'!$G:$G,0)),""))</f>
        <v/>
      </c>
      <c r="F1152" s="3" t="str">
        <f>IFERROR(INDEX('بيانات الحركات'!F:F,MATCH(1151,'بيانات الحركات'!$G:$G,0)),"")</f>
        <v/>
      </c>
    </row>
    <row r="1153" spans="1:6" ht="21.95" customHeight="1">
      <c r="A1153" s="8" t="str">
        <f>IFERROR(INDEX('بيانات الحركات'!A:A,MATCH(1152,'بيانات الحركات'!$G:$G,0)),"")</f>
        <v/>
      </c>
      <c r="B1153" s="5" t="str">
        <f>IFERROR(INDEX('بيانات الحركات'!B:B,MATCH(1152,'بيانات الحركات'!$G:$G,0)),"")</f>
        <v/>
      </c>
      <c r="C1153" s="3" t="str">
        <f>IFERROR(INDEX('بيانات الحركات'!C:C,MATCH(1152,'بيانات الحركات'!$G:$G,0)),"")</f>
        <v/>
      </c>
      <c r="D1153" s="3" t="str">
        <f>IFERROR(INDEX('بيانات الحركات'!D:D,MATCH(1152,'بيانات الحركات'!$G:$G,0)),"")</f>
        <v/>
      </c>
      <c r="E1153" s="21" t="str">
        <f>IF($B1153="إنتاج طبخة","",IFERROR(INDEX('بيانات الحركات'!E:E,MATCH(1152,'بيانات الحركات'!$G:$G,0)),""))</f>
        <v/>
      </c>
      <c r="F1153" s="3" t="str">
        <f>IFERROR(INDEX('بيانات الحركات'!F:F,MATCH(1152,'بيانات الحركات'!$G:$G,0)),"")</f>
        <v/>
      </c>
    </row>
    <row r="1154" spans="1:6" ht="21.95" customHeight="1">
      <c r="A1154" s="8" t="str">
        <f>IFERROR(INDEX('بيانات الحركات'!A:A,MATCH(1153,'بيانات الحركات'!$G:$G,0)),"")</f>
        <v/>
      </c>
      <c r="B1154" s="5" t="str">
        <f>IFERROR(INDEX('بيانات الحركات'!B:B,MATCH(1153,'بيانات الحركات'!$G:$G,0)),"")</f>
        <v/>
      </c>
      <c r="C1154" s="3" t="str">
        <f>IFERROR(INDEX('بيانات الحركات'!C:C,MATCH(1153,'بيانات الحركات'!$G:$G,0)),"")</f>
        <v/>
      </c>
      <c r="D1154" s="3" t="str">
        <f>IFERROR(INDEX('بيانات الحركات'!D:D,MATCH(1153,'بيانات الحركات'!$G:$G,0)),"")</f>
        <v/>
      </c>
      <c r="E1154" s="21" t="str">
        <f>IF($B1154="إنتاج طبخة","",IFERROR(INDEX('بيانات الحركات'!E:E,MATCH(1153,'بيانات الحركات'!$G:$G,0)),""))</f>
        <v/>
      </c>
      <c r="F1154" s="3" t="str">
        <f>IFERROR(INDEX('بيانات الحركات'!F:F,MATCH(1153,'بيانات الحركات'!$G:$G,0)),"")</f>
        <v/>
      </c>
    </row>
    <row r="1155" spans="1:6" ht="21.95" customHeight="1">
      <c r="A1155" s="8" t="str">
        <f>IFERROR(INDEX('بيانات الحركات'!A:A,MATCH(1154,'بيانات الحركات'!$G:$G,0)),"")</f>
        <v/>
      </c>
      <c r="B1155" s="5" t="str">
        <f>IFERROR(INDEX('بيانات الحركات'!B:B,MATCH(1154,'بيانات الحركات'!$G:$G,0)),"")</f>
        <v/>
      </c>
      <c r="C1155" s="3" t="str">
        <f>IFERROR(INDEX('بيانات الحركات'!C:C,MATCH(1154,'بيانات الحركات'!$G:$G,0)),"")</f>
        <v/>
      </c>
      <c r="D1155" s="3" t="str">
        <f>IFERROR(INDEX('بيانات الحركات'!D:D,MATCH(1154,'بيانات الحركات'!$G:$G,0)),"")</f>
        <v/>
      </c>
      <c r="E1155" s="21" t="str">
        <f>IF($B1155="إنتاج طبخة","",IFERROR(INDEX('بيانات الحركات'!E:E,MATCH(1154,'بيانات الحركات'!$G:$G,0)),""))</f>
        <v/>
      </c>
      <c r="F1155" s="3" t="str">
        <f>IFERROR(INDEX('بيانات الحركات'!F:F,MATCH(1154,'بيانات الحركات'!$G:$G,0)),"")</f>
        <v/>
      </c>
    </row>
    <row r="1156" spans="1:6" ht="21.95" customHeight="1">
      <c r="A1156" s="8" t="str">
        <f>IFERROR(INDEX('بيانات الحركات'!A:A,MATCH(1155,'بيانات الحركات'!$G:$G,0)),"")</f>
        <v/>
      </c>
      <c r="B1156" s="5" t="str">
        <f>IFERROR(INDEX('بيانات الحركات'!B:B,MATCH(1155,'بيانات الحركات'!$G:$G,0)),"")</f>
        <v/>
      </c>
      <c r="C1156" s="3" t="str">
        <f>IFERROR(INDEX('بيانات الحركات'!C:C,MATCH(1155,'بيانات الحركات'!$G:$G,0)),"")</f>
        <v/>
      </c>
      <c r="D1156" s="3" t="str">
        <f>IFERROR(INDEX('بيانات الحركات'!D:D,MATCH(1155,'بيانات الحركات'!$G:$G,0)),"")</f>
        <v/>
      </c>
      <c r="E1156" s="21" t="str">
        <f>IF($B1156="إنتاج طبخة","",IFERROR(INDEX('بيانات الحركات'!E:E,MATCH(1155,'بيانات الحركات'!$G:$G,0)),""))</f>
        <v/>
      </c>
      <c r="F1156" s="3" t="str">
        <f>IFERROR(INDEX('بيانات الحركات'!F:F,MATCH(1155,'بيانات الحركات'!$G:$G,0)),"")</f>
        <v/>
      </c>
    </row>
    <row r="1157" spans="1:6" ht="21.95" customHeight="1">
      <c r="A1157" s="8" t="str">
        <f>IFERROR(INDEX('بيانات الحركات'!A:A,MATCH(1156,'بيانات الحركات'!$G:$G,0)),"")</f>
        <v/>
      </c>
      <c r="B1157" s="5" t="str">
        <f>IFERROR(INDEX('بيانات الحركات'!B:B,MATCH(1156,'بيانات الحركات'!$G:$G,0)),"")</f>
        <v/>
      </c>
      <c r="C1157" s="3" t="str">
        <f>IFERROR(INDEX('بيانات الحركات'!C:C,MATCH(1156,'بيانات الحركات'!$G:$G,0)),"")</f>
        <v/>
      </c>
      <c r="D1157" s="3" t="str">
        <f>IFERROR(INDEX('بيانات الحركات'!D:D,MATCH(1156,'بيانات الحركات'!$G:$G,0)),"")</f>
        <v/>
      </c>
      <c r="E1157" s="21" t="str">
        <f>IF($B1157="إنتاج طبخة","",IFERROR(INDEX('بيانات الحركات'!E:E,MATCH(1156,'بيانات الحركات'!$G:$G,0)),""))</f>
        <v/>
      </c>
      <c r="F1157" s="3" t="str">
        <f>IFERROR(INDEX('بيانات الحركات'!F:F,MATCH(1156,'بيانات الحركات'!$G:$G,0)),"")</f>
        <v/>
      </c>
    </row>
    <row r="1158" spans="1:6" ht="21.95" customHeight="1">
      <c r="A1158" s="8" t="str">
        <f>IFERROR(INDEX('بيانات الحركات'!A:A,MATCH(1157,'بيانات الحركات'!$G:$G,0)),"")</f>
        <v/>
      </c>
      <c r="B1158" s="5" t="str">
        <f>IFERROR(INDEX('بيانات الحركات'!B:B,MATCH(1157,'بيانات الحركات'!$G:$G,0)),"")</f>
        <v/>
      </c>
      <c r="C1158" s="3" t="str">
        <f>IFERROR(INDEX('بيانات الحركات'!C:C,MATCH(1157,'بيانات الحركات'!$G:$G,0)),"")</f>
        <v/>
      </c>
      <c r="D1158" s="3" t="str">
        <f>IFERROR(INDEX('بيانات الحركات'!D:D,MATCH(1157,'بيانات الحركات'!$G:$G,0)),"")</f>
        <v/>
      </c>
      <c r="E1158" s="21" t="str">
        <f>IF($B1158="إنتاج طبخة","",IFERROR(INDEX('بيانات الحركات'!E:E,MATCH(1157,'بيانات الحركات'!$G:$G,0)),""))</f>
        <v/>
      </c>
      <c r="F1158" s="3" t="str">
        <f>IFERROR(INDEX('بيانات الحركات'!F:F,MATCH(1157,'بيانات الحركات'!$G:$G,0)),"")</f>
        <v/>
      </c>
    </row>
    <row r="1159" spans="1:6" ht="21.95" customHeight="1">
      <c r="A1159" s="8" t="str">
        <f>IFERROR(INDEX('بيانات الحركات'!A:A,MATCH(1158,'بيانات الحركات'!$G:$G,0)),"")</f>
        <v/>
      </c>
      <c r="B1159" s="5" t="str">
        <f>IFERROR(INDEX('بيانات الحركات'!B:B,MATCH(1158,'بيانات الحركات'!$G:$G,0)),"")</f>
        <v/>
      </c>
      <c r="C1159" s="3" t="str">
        <f>IFERROR(INDEX('بيانات الحركات'!C:C,MATCH(1158,'بيانات الحركات'!$G:$G,0)),"")</f>
        <v/>
      </c>
      <c r="D1159" s="3" t="str">
        <f>IFERROR(INDEX('بيانات الحركات'!D:D,MATCH(1158,'بيانات الحركات'!$G:$G,0)),"")</f>
        <v/>
      </c>
      <c r="E1159" s="21" t="str">
        <f>IF($B1159="إنتاج طبخة","",IFERROR(INDEX('بيانات الحركات'!E:E,MATCH(1158,'بيانات الحركات'!$G:$G,0)),""))</f>
        <v/>
      </c>
      <c r="F1159" s="3" t="str">
        <f>IFERROR(INDEX('بيانات الحركات'!F:F,MATCH(1158,'بيانات الحركات'!$G:$G,0)),"")</f>
        <v/>
      </c>
    </row>
    <row r="1160" spans="1:6" ht="21.95" customHeight="1">
      <c r="A1160" s="8" t="str">
        <f>IFERROR(INDEX('بيانات الحركات'!A:A,MATCH(1159,'بيانات الحركات'!$G:$G,0)),"")</f>
        <v/>
      </c>
      <c r="B1160" s="5" t="str">
        <f>IFERROR(INDEX('بيانات الحركات'!B:B,MATCH(1159,'بيانات الحركات'!$G:$G,0)),"")</f>
        <v/>
      </c>
      <c r="C1160" s="3" t="str">
        <f>IFERROR(INDEX('بيانات الحركات'!C:C,MATCH(1159,'بيانات الحركات'!$G:$G,0)),"")</f>
        <v/>
      </c>
      <c r="D1160" s="3" t="str">
        <f>IFERROR(INDEX('بيانات الحركات'!D:D,MATCH(1159,'بيانات الحركات'!$G:$G,0)),"")</f>
        <v/>
      </c>
      <c r="E1160" s="21" t="str">
        <f>IF($B1160="إنتاج طبخة","",IFERROR(INDEX('بيانات الحركات'!E:E,MATCH(1159,'بيانات الحركات'!$G:$G,0)),""))</f>
        <v/>
      </c>
      <c r="F1160" s="3" t="str">
        <f>IFERROR(INDEX('بيانات الحركات'!F:F,MATCH(1159,'بيانات الحركات'!$G:$G,0)),"")</f>
        <v/>
      </c>
    </row>
    <row r="1161" spans="1:6" ht="21.95" customHeight="1">
      <c r="A1161" s="8" t="str">
        <f>IFERROR(INDEX('بيانات الحركات'!A:A,MATCH(1160,'بيانات الحركات'!$G:$G,0)),"")</f>
        <v/>
      </c>
      <c r="B1161" s="5" t="str">
        <f>IFERROR(INDEX('بيانات الحركات'!B:B,MATCH(1160,'بيانات الحركات'!$G:$G,0)),"")</f>
        <v/>
      </c>
      <c r="C1161" s="3" t="str">
        <f>IFERROR(INDEX('بيانات الحركات'!C:C,MATCH(1160,'بيانات الحركات'!$G:$G,0)),"")</f>
        <v/>
      </c>
      <c r="D1161" s="3" t="str">
        <f>IFERROR(INDEX('بيانات الحركات'!D:D,MATCH(1160,'بيانات الحركات'!$G:$G,0)),"")</f>
        <v/>
      </c>
      <c r="E1161" s="21" t="str">
        <f>IF($B1161="إنتاج طبخة","",IFERROR(INDEX('بيانات الحركات'!E:E,MATCH(1160,'بيانات الحركات'!$G:$G,0)),""))</f>
        <v/>
      </c>
      <c r="F1161" s="3" t="str">
        <f>IFERROR(INDEX('بيانات الحركات'!F:F,MATCH(1160,'بيانات الحركات'!$G:$G,0)),"")</f>
        <v/>
      </c>
    </row>
    <row r="1162" spans="1:6" ht="21.95" customHeight="1">
      <c r="A1162" s="8" t="str">
        <f>IFERROR(INDEX('بيانات الحركات'!A:A,MATCH(1161,'بيانات الحركات'!$G:$G,0)),"")</f>
        <v/>
      </c>
      <c r="B1162" s="5" t="str">
        <f>IFERROR(INDEX('بيانات الحركات'!B:B,MATCH(1161,'بيانات الحركات'!$G:$G,0)),"")</f>
        <v/>
      </c>
      <c r="C1162" s="3" t="str">
        <f>IFERROR(INDEX('بيانات الحركات'!C:C,MATCH(1161,'بيانات الحركات'!$G:$G,0)),"")</f>
        <v/>
      </c>
      <c r="D1162" s="3" t="str">
        <f>IFERROR(INDEX('بيانات الحركات'!D:D,MATCH(1161,'بيانات الحركات'!$G:$G,0)),"")</f>
        <v/>
      </c>
      <c r="E1162" s="21" t="str">
        <f>IF($B1162="إنتاج طبخة","",IFERROR(INDEX('بيانات الحركات'!E:E,MATCH(1161,'بيانات الحركات'!$G:$G,0)),""))</f>
        <v/>
      </c>
      <c r="F1162" s="3" t="str">
        <f>IFERROR(INDEX('بيانات الحركات'!F:F,MATCH(1161,'بيانات الحركات'!$G:$G,0)),"")</f>
        <v/>
      </c>
    </row>
    <row r="1163" spans="1:6" ht="21.95" customHeight="1">
      <c r="A1163" s="8" t="str">
        <f>IFERROR(INDEX('بيانات الحركات'!A:A,MATCH(1162,'بيانات الحركات'!$G:$G,0)),"")</f>
        <v/>
      </c>
      <c r="B1163" s="5" t="str">
        <f>IFERROR(INDEX('بيانات الحركات'!B:B,MATCH(1162,'بيانات الحركات'!$G:$G,0)),"")</f>
        <v/>
      </c>
      <c r="C1163" s="3" t="str">
        <f>IFERROR(INDEX('بيانات الحركات'!C:C,MATCH(1162,'بيانات الحركات'!$G:$G,0)),"")</f>
        <v/>
      </c>
      <c r="D1163" s="3" t="str">
        <f>IFERROR(INDEX('بيانات الحركات'!D:D,MATCH(1162,'بيانات الحركات'!$G:$G,0)),"")</f>
        <v/>
      </c>
      <c r="E1163" s="21" t="str">
        <f>IF($B1163="إنتاج طبخة","",IFERROR(INDEX('بيانات الحركات'!E:E,MATCH(1162,'بيانات الحركات'!$G:$G,0)),""))</f>
        <v/>
      </c>
      <c r="F1163" s="3" t="str">
        <f>IFERROR(INDEX('بيانات الحركات'!F:F,MATCH(1162,'بيانات الحركات'!$G:$G,0)),"")</f>
        <v/>
      </c>
    </row>
    <row r="1164" spans="1:6" ht="21.95" customHeight="1">
      <c r="A1164" s="8" t="str">
        <f>IFERROR(INDEX('بيانات الحركات'!A:A,MATCH(1163,'بيانات الحركات'!$G:$G,0)),"")</f>
        <v/>
      </c>
      <c r="B1164" s="5" t="str">
        <f>IFERROR(INDEX('بيانات الحركات'!B:B,MATCH(1163,'بيانات الحركات'!$G:$G,0)),"")</f>
        <v/>
      </c>
      <c r="C1164" s="3" t="str">
        <f>IFERROR(INDEX('بيانات الحركات'!C:C,MATCH(1163,'بيانات الحركات'!$G:$G,0)),"")</f>
        <v/>
      </c>
      <c r="D1164" s="3" t="str">
        <f>IFERROR(INDEX('بيانات الحركات'!D:D,MATCH(1163,'بيانات الحركات'!$G:$G,0)),"")</f>
        <v/>
      </c>
      <c r="E1164" s="21" t="str">
        <f>IF($B1164="إنتاج طبخة","",IFERROR(INDEX('بيانات الحركات'!E:E,MATCH(1163,'بيانات الحركات'!$G:$G,0)),""))</f>
        <v/>
      </c>
      <c r="F1164" s="3" t="str">
        <f>IFERROR(INDEX('بيانات الحركات'!F:F,MATCH(1163,'بيانات الحركات'!$G:$G,0)),"")</f>
        <v/>
      </c>
    </row>
    <row r="1165" spans="1:6" ht="21.95" customHeight="1">
      <c r="A1165" s="8" t="str">
        <f>IFERROR(INDEX('بيانات الحركات'!A:A,MATCH(1164,'بيانات الحركات'!$G:$G,0)),"")</f>
        <v/>
      </c>
      <c r="B1165" s="5" t="str">
        <f>IFERROR(INDEX('بيانات الحركات'!B:B,MATCH(1164,'بيانات الحركات'!$G:$G,0)),"")</f>
        <v/>
      </c>
      <c r="C1165" s="3" t="str">
        <f>IFERROR(INDEX('بيانات الحركات'!C:C,MATCH(1164,'بيانات الحركات'!$G:$G,0)),"")</f>
        <v/>
      </c>
      <c r="D1165" s="3" t="str">
        <f>IFERROR(INDEX('بيانات الحركات'!D:D,MATCH(1164,'بيانات الحركات'!$G:$G,0)),"")</f>
        <v/>
      </c>
      <c r="E1165" s="21" t="str">
        <f>IF($B1165="إنتاج طبخة","",IFERROR(INDEX('بيانات الحركات'!E:E,MATCH(1164,'بيانات الحركات'!$G:$G,0)),""))</f>
        <v/>
      </c>
      <c r="F1165" s="3" t="str">
        <f>IFERROR(INDEX('بيانات الحركات'!F:F,MATCH(1164,'بيانات الحركات'!$G:$G,0)),"")</f>
        <v/>
      </c>
    </row>
    <row r="1166" spans="1:6" ht="21.95" customHeight="1">
      <c r="A1166" s="8" t="str">
        <f>IFERROR(INDEX('بيانات الحركات'!A:A,MATCH(1165,'بيانات الحركات'!$G:$G,0)),"")</f>
        <v/>
      </c>
      <c r="B1166" s="5" t="str">
        <f>IFERROR(INDEX('بيانات الحركات'!B:B,MATCH(1165,'بيانات الحركات'!$G:$G,0)),"")</f>
        <v/>
      </c>
      <c r="C1166" s="3" t="str">
        <f>IFERROR(INDEX('بيانات الحركات'!C:C,MATCH(1165,'بيانات الحركات'!$G:$G,0)),"")</f>
        <v/>
      </c>
      <c r="D1166" s="3" t="str">
        <f>IFERROR(INDEX('بيانات الحركات'!D:D,MATCH(1165,'بيانات الحركات'!$G:$G,0)),"")</f>
        <v/>
      </c>
      <c r="E1166" s="21" t="str">
        <f>IF($B1166="إنتاج طبخة","",IFERROR(INDEX('بيانات الحركات'!E:E,MATCH(1165,'بيانات الحركات'!$G:$G,0)),""))</f>
        <v/>
      </c>
      <c r="F1166" s="3" t="str">
        <f>IFERROR(INDEX('بيانات الحركات'!F:F,MATCH(1165,'بيانات الحركات'!$G:$G,0)),"")</f>
        <v/>
      </c>
    </row>
    <row r="1167" spans="1:6" ht="21.95" customHeight="1">
      <c r="A1167" s="8" t="str">
        <f>IFERROR(INDEX('بيانات الحركات'!A:A,MATCH(1166,'بيانات الحركات'!$G:$G,0)),"")</f>
        <v/>
      </c>
      <c r="B1167" s="5" t="str">
        <f>IFERROR(INDEX('بيانات الحركات'!B:B,MATCH(1166,'بيانات الحركات'!$G:$G,0)),"")</f>
        <v/>
      </c>
      <c r="C1167" s="3" t="str">
        <f>IFERROR(INDEX('بيانات الحركات'!C:C,MATCH(1166,'بيانات الحركات'!$G:$G,0)),"")</f>
        <v/>
      </c>
      <c r="D1167" s="3" t="str">
        <f>IFERROR(INDEX('بيانات الحركات'!D:D,MATCH(1166,'بيانات الحركات'!$G:$G,0)),"")</f>
        <v/>
      </c>
      <c r="E1167" s="21" t="str">
        <f>IF($B1167="إنتاج طبخة","",IFERROR(INDEX('بيانات الحركات'!E:E,MATCH(1166,'بيانات الحركات'!$G:$G,0)),""))</f>
        <v/>
      </c>
      <c r="F1167" s="3" t="str">
        <f>IFERROR(INDEX('بيانات الحركات'!F:F,MATCH(1166,'بيانات الحركات'!$G:$G,0)),"")</f>
        <v/>
      </c>
    </row>
    <row r="1168" spans="1:6" ht="21.95" customHeight="1">
      <c r="A1168" s="8" t="str">
        <f>IFERROR(INDEX('بيانات الحركات'!A:A,MATCH(1167,'بيانات الحركات'!$G:$G,0)),"")</f>
        <v/>
      </c>
      <c r="B1168" s="5" t="str">
        <f>IFERROR(INDEX('بيانات الحركات'!B:B,MATCH(1167,'بيانات الحركات'!$G:$G,0)),"")</f>
        <v/>
      </c>
      <c r="C1168" s="3" t="str">
        <f>IFERROR(INDEX('بيانات الحركات'!C:C,MATCH(1167,'بيانات الحركات'!$G:$G,0)),"")</f>
        <v/>
      </c>
      <c r="D1168" s="3" t="str">
        <f>IFERROR(INDEX('بيانات الحركات'!D:D,MATCH(1167,'بيانات الحركات'!$G:$G,0)),"")</f>
        <v/>
      </c>
      <c r="E1168" s="21" t="str">
        <f>IF($B1168="إنتاج طبخة","",IFERROR(INDEX('بيانات الحركات'!E:E,MATCH(1167,'بيانات الحركات'!$G:$G,0)),""))</f>
        <v/>
      </c>
      <c r="F1168" s="3" t="str">
        <f>IFERROR(INDEX('بيانات الحركات'!F:F,MATCH(1167,'بيانات الحركات'!$G:$G,0)),"")</f>
        <v/>
      </c>
    </row>
    <row r="1169" spans="1:6" ht="21.95" customHeight="1">
      <c r="A1169" s="8" t="str">
        <f>IFERROR(INDEX('بيانات الحركات'!A:A,MATCH(1168,'بيانات الحركات'!$G:$G,0)),"")</f>
        <v/>
      </c>
      <c r="B1169" s="5" t="str">
        <f>IFERROR(INDEX('بيانات الحركات'!B:B,MATCH(1168,'بيانات الحركات'!$G:$G,0)),"")</f>
        <v/>
      </c>
      <c r="C1169" s="3" t="str">
        <f>IFERROR(INDEX('بيانات الحركات'!C:C,MATCH(1168,'بيانات الحركات'!$G:$G,0)),"")</f>
        <v/>
      </c>
      <c r="D1169" s="3" t="str">
        <f>IFERROR(INDEX('بيانات الحركات'!D:D,MATCH(1168,'بيانات الحركات'!$G:$G,0)),"")</f>
        <v/>
      </c>
      <c r="E1169" s="21" t="str">
        <f>IF($B1169="إنتاج طبخة","",IFERROR(INDEX('بيانات الحركات'!E:E,MATCH(1168,'بيانات الحركات'!$G:$G,0)),""))</f>
        <v/>
      </c>
      <c r="F1169" s="3" t="str">
        <f>IFERROR(INDEX('بيانات الحركات'!F:F,MATCH(1168,'بيانات الحركات'!$G:$G,0)),"")</f>
        <v/>
      </c>
    </row>
    <row r="1170" spans="1:6" ht="21.95" customHeight="1">
      <c r="A1170" s="8" t="str">
        <f>IFERROR(INDEX('بيانات الحركات'!A:A,MATCH(1169,'بيانات الحركات'!$G:$G,0)),"")</f>
        <v/>
      </c>
      <c r="B1170" s="5" t="str">
        <f>IFERROR(INDEX('بيانات الحركات'!B:B,MATCH(1169,'بيانات الحركات'!$G:$G,0)),"")</f>
        <v/>
      </c>
      <c r="C1170" s="3" t="str">
        <f>IFERROR(INDEX('بيانات الحركات'!C:C,MATCH(1169,'بيانات الحركات'!$G:$G,0)),"")</f>
        <v/>
      </c>
      <c r="D1170" s="3" t="str">
        <f>IFERROR(INDEX('بيانات الحركات'!D:D,MATCH(1169,'بيانات الحركات'!$G:$G,0)),"")</f>
        <v/>
      </c>
      <c r="E1170" s="21" t="str">
        <f>IF($B1170="إنتاج طبخة","",IFERROR(INDEX('بيانات الحركات'!E:E,MATCH(1169,'بيانات الحركات'!$G:$G,0)),""))</f>
        <v/>
      </c>
      <c r="F1170" s="3" t="str">
        <f>IFERROR(INDEX('بيانات الحركات'!F:F,MATCH(1169,'بيانات الحركات'!$G:$G,0)),"")</f>
        <v/>
      </c>
    </row>
    <row r="1171" spans="1:6" ht="21.95" customHeight="1">
      <c r="A1171" s="8" t="str">
        <f>IFERROR(INDEX('بيانات الحركات'!A:A,MATCH(1170,'بيانات الحركات'!$G:$G,0)),"")</f>
        <v/>
      </c>
      <c r="B1171" s="5" t="str">
        <f>IFERROR(INDEX('بيانات الحركات'!B:B,MATCH(1170,'بيانات الحركات'!$G:$G,0)),"")</f>
        <v/>
      </c>
      <c r="C1171" s="3" t="str">
        <f>IFERROR(INDEX('بيانات الحركات'!C:C,MATCH(1170,'بيانات الحركات'!$G:$G,0)),"")</f>
        <v/>
      </c>
      <c r="D1171" s="3" t="str">
        <f>IFERROR(INDEX('بيانات الحركات'!D:D,MATCH(1170,'بيانات الحركات'!$G:$G,0)),"")</f>
        <v/>
      </c>
      <c r="E1171" s="21" t="str">
        <f>IF($B1171="إنتاج طبخة","",IFERROR(INDEX('بيانات الحركات'!E:E,MATCH(1170,'بيانات الحركات'!$G:$G,0)),""))</f>
        <v/>
      </c>
      <c r="F1171" s="3" t="str">
        <f>IFERROR(INDEX('بيانات الحركات'!F:F,MATCH(1170,'بيانات الحركات'!$G:$G,0)),"")</f>
        <v/>
      </c>
    </row>
    <row r="1172" spans="1:6" ht="21.95" customHeight="1">
      <c r="A1172" s="8" t="str">
        <f>IFERROR(INDEX('بيانات الحركات'!A:A,MATCH(1171,'بيانات الحركات'!$G:$G,0)),"")</f>
        <v/>
      </c>
      <c r="B1172" s="5" t="str">
        <f>IFERROR(INDEX('بيانات الحركات'!B:B,MATCH(1171,'بيانات الحركات'!$G:$G,0)),"")</f>
        <v/>
      </c>
      <c r="C1172" s="3" t="str">
        <f>IFERROR(INDEX('بيانات الحركات'!C:C,MATCH(1171,'بيانات الحركات'!$G:$G,0)),"")</f>
        <v/>
      </c>
      <c r="D1172" s="3" t="str">
        <f>IFERROR(INDEX('بيانات الحركات'!D:D,MATCH(1171,'بيانات الحركات'!$G:$G,0)),"")</f>
        <v/>
      </c>
      <c r="E1172" s="21" t="str">
        <f>IF($B1172="إنتاج طبخة","",IFERROR(INDEX('بيانات الحركات'!E:E,MATCH(1171,'بيانات الحركات'!$G:$G,0)),""))</f>
        <v/>
      </c>
      <c r="F1172" s="3" t="str">
        <f>IFERROR(INDEX('بيانات الحركات'!F:F,MATCH(1171,'بيانات الحركات'!$G:$G,0)),"")</f>
        <v/>
      </c>
    </row>
    <row r="1173" spans="1:6" ht="21.95" customHeight="1">
      <c r="A1173" s="8" t="str">
        <f>IFERROR(INDEX('بيانات الحركات'!A:A,MATCH(1172,'بيانات الحركات'!$G:$G,0)),"")</f>
        <v/>
      </c>
      <c r="B1173" s="5" t="str">
        <f>IFERROR(INDEX('بيانات الحركات'!B:B,MATCH(1172,'بيانات الحركات'!$G:$G,0)),"")</f>
        <v/>
      </c>
      <c r="C1173" s="3" t="str">
        <f>IFERROR(INDEX('بيانات الحركات'!C:C,MATCH(1172,'بيانات الحركات'!$G:$G,0)),"")</f>
        <v/>
      </c>
      <c r="D1173" s="3" t="str">
        <f>IFERROR(INDEX('بيانات الحركات'!D:D,MATCH(1172,'بيانات الحركات'!$G:$G,0)),"")</f>
        <v/>
      </c>
      <c r="E1173" s="21" t="str">
        <f>IF($B1173="إنتاج طبخة","",IFERROR(INDEX('بيانات الحركات'!E:E,MATCH(1172,'بيانات الحركات'!$G:$G,0)),""))</f>
        <v/>
      </c>
      <c r="F1173" s="3" t="str">
        <f>IFERROR(INDEX('بيانات الحركات'!F:F,MATCH(1172,'بيانات الحركات'!$G:$G,0)),"")</f>
        <v/>
      </c>
    </row>
    <row r="1174" spans="1:6" ht="21.95" customHeight="1">
      <c r="A1174" s="8" t="str">
        <f>IFERROR(INDEX('بيانات الحركات'!A:A,MATCH(1173,'بيانات الحركات'!$G:$G,0)),"")</f>
        <v/>
      </c>
      <c r="B1174" s="5" t="str">
        <f>IFERROR(INDEX('بيانات الحركات'!B:B,MATCH(1173,'بيانات الحركات'!$G:$G,0)),"")</f>
        <v/>
      </c>
      <c r="C1174" s="3" t="str">
        <f>IFERROR(INDEX('بيانات الحركات'!C:C,MATCH(1173,'بيانات الحركات'!$G:$G,0)),"")</f>
        <v/>
      </c>
      <c r="D1174" s="3" t="str">
        <f>IFERROR(INDEX('بيانات الحركات'!D:D,MATCH(1173,'بيانات الحركات'!$G:$G,0)),"")</f>
        <v/>
      </c>
      <c r="E1174" s="21" t="str">
        <f>IF($B1174="إنتاج طبخة","",IFERROR(INDEX('بيانات الحركات'!E:E,MATCH(1173,'بيانات الحركات'!$G:$G,0)),""))</f>
        <v/>
      </c>
      <c r="F1174" s="3" t="str">
        <f>IFERROR(INDEX('بيانات الحركات'!F:F,MATCH(1173,'بيانات الحركات'!$G:$G,0)),"")</f>
        <v/>
      </c>
    </row>
    <row r="1175" spans="1:6" ht="21.95" customHeight="1">
      <c r="A1175" s="8" t="str">
        <f>IFERROR(INDEX('بيانات الحركات'!A:A,MATCH(1174,'بيانات الحركات'!$G:$G,0)),"")</f>
        <v/>
      </c>
      <c r="B1175" s="5" t="str">
        <f>IFERROR(INDEX('بيانات الحركات'!B:B,MATCH(1174,'بيانات الحركات'!$G:$G,0)),"")</f>
        <v/>
      </c>
      <c r="C1175" s="3" t="str">
        <f>IFERROR(INDEX('بيانات الحركات'!C:C,MATCH(1174,'بيانات الحركات'!$G:$G,0)),"")</f>
        <v/>
      </c>
      <c r="D1175" s="3" t="str">
        <f>IFERROR(INDEX('بيانات الحركات'!D:D,MATCH(1174,'بيانات الحركات'!$G:$G,0)),"")</f>
        <v/>
      </c>
      <c r="E1175" s="21" t="str">
        <f>IF($B1175="إنتاج طبخة","",IFERROR(INDEX('بيانات الحركات'!E:E,MATCH(1174,'بيانات الحركات'!$G:$G,0)),""))</f>
        <v/>
      </c>
      <c r="F1175" s="3" t="str">
        <f>IFERROR(INDEX('بيانات الحركات'!F:F,MATCH(1174,'بيانات الحركات'!$G:$G,0)),"")</f>
        <v/>
      </c>
    </row>
    <row r="1176" spans="1:6" ht="21.95" customHeight="1">
      <c r="A1176" s="8" t="str">
        <f>IFERROR(INDEX('بيانات الحركات'!A:A,MATCH(1175,'بيانات الحركات'!$G:$G,0)),"")</f>
        <v/>
      </c>
      <c r="B1176" s="5" t="str">
        <f>IFERROR(INDEX('بيانات الحركات'!B:B,MATCH(1175,'بيانات الحركات'!$G:$G,0)),"")</f>
        <v/>
      </c>
      <c r="C1176" s="3" t="str">
        <f>IFERROR(INDEX('بيانات الحركات'!C:C,MATCH(1175,'بيانات الحركات'!$G:$G,0)),"")</f>
        <v/>
      </c>
      <c r="D1176" s="3" t="str">
        <f>IFERROR(INDEX('بيانات الحركات'!D:D,MATCH(1175,'بيانات الحركات'!$G:$G,0)),"")</f>
        <v/>
      </c>
      <c r="E1176" s="21" t="str">
        <f>IF($B1176="إنتاج طبخة","",IFERROR(INDEX('بيانات الحركات'!E:E,MATCH(1175,'بيانات الحركات'!$G:$G,0)),""))</f>
        <v/>
      </c>
      <c r="F1176" s="3" t="str">
        <f>IFERROR(INDEX('بيانات الحركات'!F:F,MATCH(1175,'بيانات الحركات'!$G:$G,0)),"")</f>
        <v/>
      </c>
    </row>
    <row r="1177" spans="1:6" ht="21.95" customHeight="1">
      <c r="A1177" s="8" t="str">
        <f>IFERROR(INDEX('بيانات الحركات'!A:A,MATCH(1176,'بيانات الحركات'!$G:$G,0)),"")</f>
        <v/>
      </c>
      <c r="B1177" s="5" t="str">
        <f>IFERROR(INDEX('بيانات الحركات'!B:B,MATCH(1176,'بيانات الحركات'!$G:$G,0)),"")</f>
        <v/>
      </c>
      <c r="C1177" s="3" t="str">
        <f>IFERROR(INDEX('بيانات الحركات'!C:C,MATCH(1176,'بيانات الحركات'!$G:$G,0)),"")</f>
        <v/>
      </c>
      <c r="D1177" s="3" t="str">
        <f>IFERROR(INDEX('بيانات الحركات'!D:D,MATCH(1176,'بيانات الحركات'!$G:$G,0)),"")</f>
        <v/>
      </c>
      <c r="E1177" s="21" t="str">
        <f>IF($B1177="إنتاج طبخة","",IFERROR(INDEX('بيانات الحركات'!E:E,MATCH(1176,'بيانات الحركات'!$G:$G,0)),""))</f>
        <v/>
      </c>
      <c r="F1177" s="3" t="str">
        <f>IFERROR(INDEX('بيانات الحركات'!F:F,MATCH(1176,'بيانات الحركات'!$G:$G,0)),"")</f>
        <v/>
      </c>
    </row>
    <row r="1178" spans="1:6" ht="21.95" customHeight="1">
      <c r="A1178" s="8" t="str">
        <f>IFERROR(INDEX('بيانات الحركات'!A:A,MATCH(1177,'بيانات الحركات'!$G:$G,0)),"")</f>
        <v/>
      </c>
      <c r="B1178" s="5" t="str">
        <f>IFERROR(INDEX('بيانات الحركات'!B:B,MATCH(1177,'بيانات الحركات'!$G:$G,0)),"")</f>
        <v/>
      </c>
      <c r="C1178" s="3" t="str">
        <f>IFERROR(INDEX('بيانات الحركات'!C:C,MATCH(1177,'بيانات الحركات'!$G:$G,0)),"")</f>
        <v/>
      </c>
      <c r="D1178" s="3" t="str">
        <f>IFERROR(INDEX('بيانات الحركات'!D:D,MATCH(1177,'بيانات الحركات'!$G:$G,0)),"")</f>
        <v/>
      </c>
      <c r="E1178" s="21" t="str">
        <f>IF($B1178="إنتاج طبخة","",IFERROR(INDEX('بيانات الحركات'!E:E,MATCH(1177,'بيانات الحركات'!$G:$G,0)),""))</f>
        <v/>
      </c>
      <c r="F1178" s="3" t="str">
        <f>IFERROR(INDEX('بيانات الحركات'!F:F,MATCH(1177,'بيانات الحركات'!$G:$G,0)),"")</f>
        <v/>
      </c>
    </row>
    <row r="1179" spans="1:6" ht="21.95" customHeight="1">
      <c r="A1179" s="8" t="str">
        <f>IFERROR(INDEX('بيانات الحركات'!A:A,MATCH(1178,'بيانات الحركات'!$G:$G,0)),"")</f>
        <v/>
      </c>
      <c r="B1179" s="5" t="str">
        <f>IFERROR(INDEX('بيانات الحركات'!B:B,MATCH(1178,'بيانات الحركات'!$G:$G,0)),"")</f>
        <v/>
      </c>
      <c r="C1179" s="3" t="str">
        <f>IFERROR(INDEX('بيانات الحركات'!C:C,MATCH(1178,'بيانات الحركات'!$G:$G,0)),"")</f>
        <v/>
      </c>
      <c r="D1179" s="3" t="str">
        <f>IFERROR(INDEX('بيانات الحركات'!D:D,MATCH(1178,'بيانات الحركات'!$G:$G,0)),"")</f>
        <v/>
      </c>
      <c r="E1179" s="21" t="str">
        <f>IF($B1179="إنتاج طبخة","",IFERROR(INDEX('بيانات الحركات'!E:E,MATCH(1178,'بيانات الحركات'!$G:$G,0)),""))</f>
        <v/>
      </c>
      <c r="F1179" s="3" t="str">
        <f>IFERROR(INDEX('بيانات الحركات'!F:F,MATCH(1178,'بيانات الحركات'!$G:$G,0)),"")</f>
        <v/>
      </c>
    </row>
    <row r="1180" spans="1:6" ht="21.95" customHeight="1">
      <c r="A1180" s="8" t="str">
        <f>IFERROR(INDEX('بيانات الحركات'!A:A,MATCH(1179,'بيانات الحركات'!$G:$G,0)),"")</f>
        <v/>
      </c>
      <c r="B1180" s="5" t="str">
        <f>IFERROR(INDEX('بيانات الحركات'!B:B,MATCH(1179,'بيانات الحركات'!$G:$G,0)),"")</f>
        <v/>
      </c>
      <c r="C1180" s="3" t="str">
        <f>IFERROR(INDEX('بيانات الحركات'!C:C,MATCH(1179,'بيانات الحركات'!$G:$G,0)),"")</f>
        <v/>
      </c>
      <c r="D1180" s="3" t="str">
        <f>IFERROR(INDEX('بيانات الحركات'!D:D,MATCH(1179,'بيانات الحركات'!$G:$G,0)),"")</f>
        <v/>
      </c>
      <c r="E1180" s="21" t="str">
        <f>IF($B1180="إنتاج طبخة","",IFERROR(INDEX('بيانات الحركات'!E:E,MATCH(1179,'بيانات الحركات'!$G:$G,0)),""))</f>
        <v/>
      </c>
      <c r="F1180" s="3" t="str">
        <f>IFERROR(INDEX('بيانات الحركات'!F:F,MATCH(1179,'بيانات الحركات'!$G:$G,0)),"")</f>
        <v/>
      </c>
    </row>
    <row r="1181" spans="1:6" ht="21.95" customHeight="1">
      <c r="A1181" s="8" t="str">
        <f>IFERROR(INDEX('بيانات الحركات'!A:A,MATCH(1180,'بيانات الحركات'!$G:$G,0)),"")</f>
        <v/>
      </c>
      <c r="B1181" s="5" t="str">
        <f>IFERROR(INDEX('بيانات الحركات'!B:B,MATCH(1180,'بيانات الحركات'!$G:$G,0)),"")</f>
        <v/>
      </c>
      <c r="C1181" s="3" t="str">
        <f>IFERROR(INDEX('بيانات الحركات'!C:C,MATCH(1180,'بيانات الحركات'!$G:$G,0)),"")</f>
        <v/>
      </c>
      <c r="D1181" s="3" t="str">
        <f>IFERROR(INDEX('بيانات الحركات'!D:D,MATCH(1180,'بيانات الحركات'!$G:$G,0)),"")</f>
        <v/>
      </c>
      <c r="E1181" s="21" t="str">
        <f>IF($B1181="إنتاج طبخة","",IFERROR(INDEX('بيانات الحركات'!E:E,MATCH(1180,'بيانات الحركات'!$G:$G,0)),""))</f>
        <v/>
      </c>
      <c r="F1181" s="3" t="str">
        <f>IFERROR(INDEX('بيانات الحركات'!F:F,MATCH(1180,'بيانات الحركات'!$G:$G,0)),"")</f>
        <v/>
      </c>
    </row>
    <row r="1182" spans="1:6" ht="21.95" customHeight="1">
      <c r="A1182" s="8" t="str">
        <f>IFERROR(INDEX('بيانات الحركات'!A:A,MATCH(1181,'بيانات الحركات'!$G:$G,0)),"")</f>
        <v/>
      </c>
      <c r="B1182" s="5" t="str">
        <f>IFERROR(INDEX('بيانات الحركات'!B:B,MATCH(1181,'بيانات الحركات'!$G:$G,0)),"")</f>
        <v/>
      </c>
      <c r="C1182" s="3" t="str">
        <f>IFERROR(INDEX('بيانات الحركات'!C:C,MATCH(1181,'بيانات الحركات'!$G:$G,0)),"")</f>
        <v/>
      </c>
      <c r="D1182" s="3" t="str">
        <f>IFERROR(INDEX('بيانات الحركات'!D:D,MATCH(1181,'بيانات الحركات'!$G:$G,0)),"")</f>
        <v/>
      </c>
      <c r="E1182" s="21" t="str">
        <f>IF($B1182="إنتاج طبخة","",IFERROR(INDEX('بيانات الحركات'!E:E,MATCH(1181,'بيانات الحركات'!$G:$G,0)),""))</f>
        <v/>
      </c>
      <c r="F1182" s="3" t="str">
        <f>IFERROR(INDEX('بيانات الحركات'!F:F,MATCH(1181,'بيانات الحركات'!$G:$G,0)),"")</f>
        <v/>
      </c>
    </row>
    <row r="1183" spans="1:6" ht="21.95" customHeight="1">
      <c r="A1183" s="8" t="str">
        <f>IFERROR(INDEX('بيانات الحركات'!A:A,MATCH(1182,'بيانات الحركات'!$G:$G,0)),"")</f>
        <v/>
      </c>
      <c r="B1183" s="5" t="str">
        <f>IFERROR(INDEX('بيانات الحركات'!B:B,MATCH(1182,'بيانات الحركات'!$G:$G,0)),"")</f>
        <v/>
      </c>
      <c r="C1183" s="3" t="str">
        <f>IFERROR(INDEX('بيانات الحركات'!C:C,MATCH(1182,'بيانات الحركات'!$G:$G,0)),"")</f>
        <v/>
      </c>
      <c r="D1183" s="3" t="str">
        <f>IFERROR(INDEX('بيانات الحركات'!D:D,MATCH(1182,'بيانات الحركات'!$G:$G,0)),"")</f>
        <v/>
      </c>
      <c r="E1183" s="21" t="str">
        <f>IF($B1183="إنتاج طبخة","",IFERROR(INDEX('بيانات الحركات'!E:E,MATCH(1182,'بيانات الحركات'!$G:$G,0)),""))</f>
        <v/>
      </c>
      <c r="F1183" s="3" t="str">
        <f>IFERROR(INDEX('بيانات الحركات'!F:F,MATCH(1182,'بيانات الحركات'!$G:$G,0)),"")</f>
        <v/>
      </c>
    </row>
    <row r="1184" spans="1:6" ht="21.95" customHeight="1">
      <c r="A1184" s="8" t="str">
        <f>IFERROR(INDEX('بيانات الحركات'!A:A,MATCH(1183,'بيانات الحركات'!$G:$G,0)),"")</f>
        <v/>
      </c>
      <c r="B1184" s="5" t="str">
        <f>IFERROR(INDEX('بيانات الحركات'!B:B,MATCH(1183,'بيانات الحركات'!$G:$G,0)),"")</f>
        <v/>
      </c>
      <c r="C1184" s="3" t="str">
        <f>IFERROR(INDEX('بيانات الحركات'!C:C,MATCH(1183,'بيانات الحركات'!$G:$G,0)),"")</f>
        <v/>
      </c>
      <c r="D1184" s="3" t="str">
        <f>IFERROR(INDEX('بيانات الحركات'!D:D,MATCH(1183,'بيانات الحركات'!$G:$G,0)),"")</f>
        <v/>
      </c>
      <c r="E1184" s="21" t="str">
        <f>IF($B1184="إنتاج طبخة","",IFERROR(INDEX('بيانات الحركات'!E:E,MATCH(1183,'بيانات الحركات'!$G:$G,0)),""))</f>
        <v/>
      </c>
      <c r="F1184" s="3" t="str">
        <f>IFERROR(INDEX('بيانات الحركات'!F:F,MATCH(1183,'بيانات الحركات'!$G:$G,0)),"")</f>
        <v/>
      </c>
    </row>
    <row r="1185" spans="1:6" ht="21.95" customHeight="1">
      <c r="A1185" s="8" t="str">
        <f>IFERROR(INDEX('بيانات الحركات'!A:A,MATCH(1184,'بيانات الحركات'!$G:$G,0)),"")</f>
        <v/>
      </c>
      <c r="B1185" s="5" t="str">
        <f>IFERROR(INDEX('بيانات الحركات'!B:B,MATCH(1184,'بيانات الحركات'!$G:$G,0)),"")</f>
        <v/>
      </c>
      <c r="C1185" s="3" t="str">
        <f>IFERROR(INDEX('بيانات الحركات'!C:C,MATCH(1184,'بيانات الحركات'!$G:$G,0)),"")</f>
        <v/>
      </c>
      <c r="D1185" s="3" t="str">
        <f>IFERROR(INDEX('بيانات الحركات'!D:D,MATCH(1184,'بيانات الحركات'!$G:$G,0)),"")</f>
        <v/>
      </c>
      <c r="E1185" s="21" t="str">
        <f>IF($B1185="إنتاج طبخة","",IFERROR(INDEX('بيانات الحركات'!E:E,MATCH(1184,'بيانات الحركات'!$G:$G,0)),""))</f>
        <v/>
      </c>
      <c r="F1185" s="3" t="str">
        <f>IFERROR(INDEX('بيانات الحركات'!F:F,MATCH(1184,'بيانات الحركات'!$G:$G,0)),"")</f>
        <v/>
      </c>
    </row>
    <row r="1186" spans="1:6" ht="21.95" customHeight="1">
      <c r="A1186" s="8" t="str">
        <f>IFERROR(INDEX('بيانات الحركات'!A:A,MATCH(1185,'بيانات الحركات'!$G:$G,0)),"")</f>
        <v/>
      </c>
      <c r="B1186" s="5" t="str">
        <f>IFERROR(INDEX('بيانات الحركات'!B:B,MATCH(1185,'بيانات الحركات'!$G:$G,0)),"")</f>
        <v/>
      </c>
      <c r="C1186" s="3" t="str">
        <f>IFERROR(INDEX('بيانات الحركات'!C:C,MATCH(1185,'بيانات الحركات'!$G:$G,0)),"")</f>
        <v/>
      </c>
      <c r="D1186" s="3" t="str">
        <f>IFERROR(INDEX('بيانات الحركات'!D:D,MATCH(1185,'بيانات الحركات'!$G:$G,0)),"")</f>
        <v/>
      </c>
      <c r="E1186" s="21" t="str">
        <f>IF($B1186="إنتاج طبخة","",IFERROR(INDEX('بيانات الحركات'!E:E,MATCH(1185,'بيانات الحركات'!$G:$G,0)),""))</f>
        <v/>
      </c>
      <c r="F1186" s="3" t="str">
        <f>IFERROR(INDEX('بيانات الحركات'!F:F,MATCH(1185,'بيانات الحركات'!$G:$G,0)),"")</f>
        <v/>
      </c>
    </row>
    <row r="1187" spans="1:6" ht="21.95" customHeight="1">
      <c r="A1187" s="8" t="str">
        <f>IFERROR(INDEX('بيانات الحركات'!A:A,MATCH(1186,'بيانات الحركات'!$G:$G,0)),"")</f>
        <v/>
      </c>
      <c r="B1187" s="5" t="str">
        <f>IFERROR(INDEX('بيانات الحركات'!B:B,MATCH(1186,'بيانات الحركات'!$G:$G,0)),"")</f>
        <v/>
      </c>
      <c r="C1187" s="3" t="str">
        <f>IFERROR(INDEX('بيانات الحركات'!C:C,MATCH(1186,'بيانات الحركات'!$G:$G,0)),"")</f>
        <v/>
      </c>
      <c r="D1187" s="3" t="str">
        <f>IFERROR(INDEX('بيانات الحركات'!D:D,MATCH(1186,'بيانات الحركات'!$G:$G,0)),"")</f>
        <v/>
      </c>
      <c r="E1187" s="21" t="str">
        <f>IF($B1187="إنتاج طبخة","",IFERROR(INDEX('بيانات الحركات'!E:E,MATCH(1186,'بيانات الحركات'!$G:$G,0)),""))</f>
        <v/>
      </c>
      <c r="F1187" s="3" t="str">
        <f>IFERROR(INDEX('بيانات الحركات'!F:F,MATCH(1186,'بيانات الحركات'!$G:$G,0)),"")</f>
        <v/>
      </c>
    </row>
    <row r="1188" spans="1:6" ht="21.95" customHeight="1">
      <c r="A1188" s="8" t="str">
        <f>IFERROR(INDEX('بيانات الحركات'!A:A,MATCH(1187,'بيانات الحركات'!$G:$G,0)),"")</f>
        <v/>
      </c>
      <c r="B1188" s="5" t="str">
        <f>IFERROR(INDEX('بيانات الحركات'!B:B,MATCH(1187,'بيانات الحركات'!$G:$G,0)),"")</f>
        <v/>
      </c>
      <c r="C1188" s="3" t="str">
        <f>IFERROR(INDEX('بيانات الحركات'!C:C,MATCH(1187,'بيانات الحركات'!$G:$G,0)),"")</f>
        <v/>
      </c>
      <c r="D1188" s="3" t="str">
        <f>IFERROR(INDEX('بيانات الحركات'!D:D,MATCH(1187,'بيانات الحركات'!$G:$G,0)),"")</f>
        <v/>
      </c>
      <c r="E1188" s="21" t="str">
        <f>IF($B1188="إنتاج طبخة","",IFERROR(INDEX('بيانات الحركات'!E:E,MATCH(1187,'بيانات الحركات'!$G:$G,0)),""))</f>
        <v/>
      </c>
      <c r="F1188" s="3" t="str">
        <f>IFERROR(INDEX('بيانات الحركات'!F:F,MATCH(1187,'بيانات الحركات'!$G:$G,0)),"")</f>
        <v/>
      </c>
    </row>
    <row r="1189" spans="1:6" ht="21.95" customHeight="1">
      <c r="A1189" s="8" t="str">
        <f>IFERROR(INDEX('بيانات الحركات'!A:A,MATCH(1188,'بيانات الحركات'!$G:$G,0)),"")</f>
        <v/>
      </c>
      <c r="B1189" s="5" t="str">
        <f>IFERROR(INDEX('بيانات الحركات'!B:B,MATCH(1188,'بيانات الحركات'!$G:$G,0)),"")</f>
        <v/>
      </c>
      <c r="C1189" s="3" t="str">
        <f>IFERROR(INDEX('بيانات الحركات'!C:C,MATCH(1188,'بيانات الحركات'!$G:$G,0)),"")</f>
        <v/>
      </c>
      <c r="D1189" s="3" t="str">
        <f>IFERROR(INDEX('بيانات الحركات'!D:D,MATCH(1188,'بيانات الحركات'!$G:$G,0)),"")</f>
        <v/>
      </c>
      <c r="E1189" s="21" t="str">
        <f>IF($B1189="إنتاج طبخة","",IFERROR(INDEX('بيانات الحركات'!E:E,MATCH(1188,'بيانات الحركات'!$G:$G,0)),""))</f>
        <v/>
      </c>
      <c r="F1189" s="3" t="str">
        <f>IFERROR(INDEX('بيانات الحركات'!F:F,MATCH(1188,'بيانات الحركات'!$G:$G,0)),"")</f>
        <v/>
      </c>
    </row>
    <row r="1190" spans="1:6" ht="21.95" customHeight="1">
      <c r="A1190" s="8" t="str">
        <f>IFERROR(INDEX('بيانات الحركات'!A:A,MATCH(1189,'بيانات الحركات'!$G:$G,0)),"")</f>
        <v/>
      </c>
      <c r="B1190" s="5" t="str">
        <f>IFERROR(INDEX('بيانات الحركات'!B:B,MATCH(1189,'بيانات الحركات'!$G:$G,0)),"")</f>
        <v/>
      </c>
      <c r="C1190" s="3" t="str">
        <f>IFERROR(INDEX('بيانات الحركات'!C:C,MATCH(1189,'بيانات الحركات'!$G:$G,0)),"")</f>
        <v/>
      </c>
      <c r="D1190" s="3" t="str">
        <f>IFERROR(INDEX('بيانات الحركات'!D:D,MATCH(1189,'بيانات الحركات'!$G:$G,0)),"")</f>
        <v/>
      </c>
      <c r="E1190" s="21" t="str">
        <f>IF($B1190="إنتاج طبخة","",IFERROR(INDEX('بيانات الحركات'!E:E,MATCH(1189,'بيانات الحركات'!$G:$G,0)),""))</f>
        <v/>
      </c>
      <c r="F1190" s="3" t="str">
        <f>IFERROR(INDEX('بيانات الحركات'!F:F,MATCH(1189,'بيانات الحركات'!$G:$G,0)),"")</f>
        <v/>
      </c>
    </row>
    <row r="1191" spans="1:6" ht="21.95" customHeight="1">
      <c r="A1191" s="8" t="str">
        <f>IFERROR(INDEX('بيانات الحركات'!A:A,MATCH(1190,'بيانات الحركات'!$G:$G,0)),"")</f>
        <v/>
      </c>
      <c r="B1191" s="5" t="str">
        <f>IFERROR(INDEX('بيانات الحركات'!B:B,MATCH(1190,'بيانات الحركات'!$G:$G,0)),"")</f>
        <v/>
      </c>
      <c r="C1191" s="3" t="str">
        <f>IFERROR(INDEX('بيانات الحركات'!C:C,MATCH(1190,'بيانات الحركات'!$G:$G,0)),"")</f>
        <v/>
      </c>
      <c r="D1191" s="3" t="str">
        <f>IFERROR(INDEX('بيانات الحركات'!D:D,MATCH(1190,'بيانات الحركات'!$G:$G,0)),"")</f>
        <v/>
      </c>
      <c r="E1191" s="21" t="str">
        <f>IF($B1191="إنتاج طبخة","",IFERROR(INDEX('بيانات الحركات'!E:E,MATCH(1190,'بيانات الحركات'!$G:$G,0)),""))</f>
        <v/>
      </c>
      <c r="F1191" s="3" t="str">
        <f>IFERROR(INDEX('بيانات الحركات'!F:F,MATCH(1190,'بيانات الحركات'!$G:$G,0)),"")</f>
        <v/>
      </c>
    </row>
    <row r="1192" spans="1:6" ht="21.95" customHeight="1">
      <c r="A1192" s="8" t="str">
        <f>IFERROR(INDEX('بيانات الحركات'!A:A,MATCH(1191,'بيانات الحركات'!$G:$G,0)),"")</f>
        <v/>
      </c>
      <c r="B1192" s="5" t="str">
        <f>IFERROR(INDEX('بيانات الحركات'!B:B,MATCH(1191,'بيانات الحركات'!$G:$G,0)),"")</f>
        <v/>
      </c>
      <c r="C1192" s="3" t="str">
        <f>IFERROR(INDEX('بيانات الحركات'!C:C,MATCH(1191,'بيانات الحركات'!$G:$G,0)),"")</f>
        <v/>
      </c>
      <c r="D1192" s="3" t="str">
        <f>IFERROR(INDEX('بيانات الحركات'!D:D,MATCH(1191,'بيانات الحركات'!$G:$G,0)),"")</f>
        <v/>
      </c>
      <c r="E1192" s="21" t="str">
        <f>IF($B1192="إنتاج طبخة","",IFERROR(INDEX('بيانات الحركات'!E:E,MATCH(1191,'بيانات الحركات'!$G:$G,0)),""))</f>
        <v/>
      </c>
      <c r="F1192" s="3" t="str">
        <f>IFERROR(INDEX('بيانات الحركات'!F:F,MATCH(1191,'بيانات الحركات'!$G:$G,0)),"")</f>
        <v/>
      </c>
    </row>
    <row r="1193" spans="1:6" ht="21.95" customHeight="1">
      <c r="A1193" s="8" t="str">
        <f>IFERROR(INDEX('بيانات الحركات'!A:A,MATCH(1192,'بيانات الحركات'!$G:$G,0)),"")</f>
        <v/>
      </c>
      <c r="B1193" s="5" t="str">
        <f>IFERROR(INDEX('بيانات الحركات'!B:B,MATCH(1192,'بيانات الحركات'!$G:$G,0)),"")</f>
        <v/>
      </c>
      <c r="C1193" s="3" t="str">
        <f>IFERROR(INDEX('بيانات الحركات'!C:C,MATCH(1192,'بيانات الحركات'!$G:$G,0)),"")</f>
        <v/>
      </c>
      <c r="D1193" s="3" t="str">
        <f>IFERROR(INDEX('بيانات الحركات'!D:D,MATCH(1192,'بيانات الحركات'!$G:$G,0)),"")</f>
        <v/>
      </c>
      <c r="E1193" s="21" t="str">
        <f>IF($B1193="إنتاج طبخة","",IFERROR(INDEX('بيانات الحركات'!E:E,MATCH(1192,'بيانات الحركات'!$G:$G,0)),""))</f>
        <v/>
      </c>
      <c r="F1193" s="3" t="str">
        <f>IFERROR(INDEX('بيانات الحركات'!F:F,MATCH(1192,'بيانات الحركات'!$G:$G,0)),"")</f>
        <v/>
      </c>
    </row>
    <row r="1194" spans="1:6" ht="21.95" customHeight="1">
      <c r="A1194" s="8" t="str">
        <f>IFERROR(INDEX('بيانات الحركات'!A:A,MATCH(1193,'بيانات الحركات'!$G:$G,0)),"")</f>
        <v/>
      </c>
      <c r="B1194" s="5" t="str">
        <f>IFERROR(INDEX('بيانات الحركات'!B:B,MATCH(1193,'بيانات الحركات'!$G:$G,0)),"")</f>
        <v/>
      </c>
      <c r="C1194" s="3" t="str">
        <f>IFERROR(INDEX('بيانات الحركات'!C:C,MATCH(1193,'بيانات الحركات'!$G:$G,0)),"")</f>
        <v/>
      </c>
      <c r="D1194" s="3" t="str">
        <f>IFERROR(INDEX('بيانات الحركات'!D:D,MATCH(1193,'بيانات الحركات'!$G:$G,0)),"")</f>
        <v/>
      </c>
      <c r="E1194" s="21" t="str">
        <f>IF($B1194="إنتاج طبخة","",IFERROR(INDEX('بيانات الحركات'!E:E,MATCH(1193,'بيانات الحركات'!$G:$G,0)),""))</f>
        <v/>
      </c>
      <c r="F1194" s="3" t="str">
        <f>IFERROR(INDEX('بيانات الحركات'!F:F,MATCH(1193,'بيانات الحركات'!$G:$G,0)),"")</f>
        <v/>
      </c>
    </row>
    <row r="1195" spans="1:6" ht="21.95" customHeight="1">
      <c r="A1195" s="8" t="str">
        <f>IFERROR(INDEX('بيانات الحركات'!A:A,MATCH(1194,'بيانات الحركات'!$G:$G,0)),"")</f>
        <v/>
      </c>
      <c r="B1195" s="5" t="str">
        <f>IFERROR(INDEX('بيانات الحركات'!B:B,MATCH(1194,'بيانات الحركات'!$G:$G,0)),"")</f>
        <v/>
      </c>
      <c r="C1195" s="3" t="str">
        <f>IFERROR(INDEX('بيانات الحركات'!C:C,MATCH(1194,'بيانات الحركات'!$G:$G,0)),"")</f>
        <v/>
      </c>
      <c r="D1195" s="3" t="str">
        <f>IFERROR(INDEX('بيانات الحركات'!D:D,MATCH(1194,'بيانات الحركات'!$G:$G,0)),"")</f>
        <v/>
      </c>
      <c r="E1195" s="21" t="str">
        <f>IF($B1195="إنتاج طبخة","",IFERROR(INDEX('بيانات الحركات'!E:E,MATCH(1194,'بيانات الحركات'!$G:$G,0)),""))</f>
        <v/>
      </c>
      <c r="F1195" s="3" t="str">
        <f>IFERROR(INDEX('بيانات الحركات'!F:F,MATCH(1194,'بيانات الحركات'!$G:$G,0)),"")</f>
        <v/>
      </c>
    </row>
    <row r="1196" spans="1:6" ht="21.95" customHeight="1">
      <c r="A1196" s="8" t="str">
        <f>IFERROR(INDEX('بيانات الحركات'!A:A,MATCH(1195,'بيانات الحركات'!$G:$G,0)),"")</f>
        <v/>
      </c>
      <c r="B1196" s="5" t="str">
        <f>IFERROR(INDEX('بيانات الحركات'!B:B,MATCH(1195,'بيانات الحركات'!$G:$G,0)),"")</f>
        <v/>
      </c>
      <c r="C1196" s="3" t="str">
        <f>IFERROR(INDEX('بيانات الحركات'!C:C,MATCH(1195,'بيانات الحركات'!$G:$G,0)),"")</f>
        <v/>
      </c>
      <c r="D1196" s="3" t="str">
        <f>IFERROR(INDEX('بيانات الحركات'!D:D,MATCH(1195,'بيانات الحركات'!$G:$G,0)),"")</f>
        <v/>
      </c>
      <c r="E1196" s="21" t="str">
        <f>IF($B1196="إنتاج طبخة","",IFERROR(INDEX('بيانات الحركات'!E:E,MATCH(1195,'بيانات الحركات'!$G:$G,0)),""))</f>
        <v/>
      </c>
      <c r="F1196" s="3" t="str">
        <f>IFERROR(INDEX('بيانات الحركات'!F:F,MATCH(1195,'بيانات الحركات'!$G:$G,0)),"")</f>
        <v/>
      </c>
    </row>
    <row r="1197" spans="1:6" ht="21.95" customHeight="1">
      <c r="A1197" s="8" t="str">
        <f>IFERROR(INDEX('بيانات الحركات'!A:A,MATCH(1196,'بيانات الحركات'!$G:$G,0)),"")</f>
        <v/>
      </c>
      <c r="B1197" s="5" t="str">
        <f>IFERROR(INDEX('بيانات الحركات'!B:B,MATCH(1196,'بيانات الحركات'!$G:$G,0)),"")</f>
        <v/>
      </c>
      <c r="C1197" s="3" t="str">
        <f>IFERROR(INDEX('بيانات الحركات'!C:C,MATCH(1196,'بيانات الحركات'!$G:$G,0)),"")</f>
        <v/>
      </c>
      <c r="D1197" s="3" t="str">
        <f>IFERROR(INDEX('بيانات الحركات'!D:D,MATCH(1196,'بيانات الحركات'!$G:$G,0)),"")</f>
        <v/>
      </c>
      <c r="E1197" s="21" t="str">
        <f>IF($B1197="إنتاج طبخة","",IFERROR(INDEX('بيانات الحركات'!E:E,MATCH(1196,'بيانات الحركات'!$G:$G,0)),""))</f>
        <v/>
      </c>
      <c r="F1197" s="3" t="str">
        <f>IFERROR(INDEX('بيانات الحركات'!F:F,MATCH(1196,'بيانات الحركات'!$G:$G,0)),"")</f>
        <v/>
      </c>
    </row>
    <row r="1198" spans="1:6" ht="21.95" customHeight="1">
      <c r="A1198" s="8" t="str">
        <f>IFERROR(INDEX('بيانات الحركات'!A:A,MATCH(1197,'بيانات الحركات'!$G:$G,0)),"")</f>
        <v/>
      </c>
      <c r="B1198" s="5" t="str">
        <f>IFERROR(INDEX('بيانات الحركات'!B:B,MATCH(1197,'بيانات الحركات'!$G:$G,0)),"")</f>
        <v/>
      </c>
      <c r="C1198" s="3" t="str">
        <f>IFERROR(INDEX('بيانات الحركات'!C:C,MATCH(1197,'بيانات الحركات'!$G:$G,0)),"")</f>
        <v/>
      </c>
      <c r="D1198" s="3" t="str">
        <f>IFERROR(INDEX('بيانات الحركات'!D:D,MATCH(1197,'بيانات الحركات'!$G:$G,0)),"")</f>
        <v/>
      </c>
      <c r="E1198" s="21" t="str">
        <f>IF($B1198="إنتاج طبخة","",IFERROR(INDEX('بيانات الحركات'!E:E,MATCH(1197,'بيانات الحركات'!$G:$G,0)),""))</f>
        <v/>
      </c>
      <c r="F1198" s="3" t="str">
        <f>IFERROR(INDEX('بيانات الحركات'!F:F,MATCH(1197,'بيانات الحركات'!$G:$G,0)),"")</f>
        <v/>
      </c>
    </row>
    <row r="1199" spans="1:6" ht="21.95" customHeight="1">
      <c r="A1199" s="8" t="str">
        <f>IFERROR(INDEX('بيانات الحركات'!A:A,MATCH(1198,'بيانات الحركات'!$G:$G,0)),"")</f>
        <v/>
      </c>
      <c r="B1199" s="5" t="str">
        <f>IFERROR(INDEX('بيانات الحركات'!B:B,MATCH(1198,'بيانات الحركات'!$G:$G,0)),"")</f>
        <v/>
      </c>
      <c r="C1199" s="3" t="str">
        <f>IFERROR(INDEX('بيانات الحركات'!C:C,MATCH(1198,'بيانات الحركات'!$G:$G,0)),"")</f>
        <v/>
      </c>
      <c r="D1199" s="3" t="str">
        <f>IFERROR(INDEX('بيانات الحركات'!D:D,MATCH(1198,'بيانات الحركات'!$G:$G,0)),"")</f>
        <v/>
      </c>
      <c r="E1199" s="21" t="str">
        <f>IF($B1199="إنتاج طبخة","",IFERROR(INDEX('بيانات الحركات'!E:E,MATCH(1198,'بيانات الحركات'!$G:$G,0)),""))</f>
        <v/>
      </c>
      <c r="F1199" s="3" t="str">
        <f>IFERROR(INDEX('بيانات الحركات'!F:F,MATCH(1198,'بيانات الحركات'!$G:$G,0)),"")</f>
        <v/>
      </c>
    </row>
    <row r="1200" spans="1:6" ht="21.95" customHeight="1">
      <c r="A1200" s="8" t="str">
        <f>IFERROR(INDEX('بيانات الحركات'!A:A,MATCH(1199,'بيانات الحركات'!$G:$G,0)),"")</f>
        <v/>
      </c>
      <c r="B1200" s="5" t="str">
        <f>IFERROR(INDEX('بيانات الحركات'!B:B,MATCH(1199,'بيانات الحركات'!$G:$G,0)),"")</f>
        <v/>
      </c>
      <c r="C1200" s="3" t="str">
        <f>IFERROR(INDEX('بيانات الحركات'!C:C,MATCH(1199,'بيانات الحركات'!$G:$G,0)),"")</f>
        <v/>
      </c>
      <c r="D1200" s="3" t="str">
        <f>IFERROR(INDEX('بيانات الحركات'!D:D,MATCH(1199,'بيانات الحركات'!$G:$G,0)),"")</f>
        <v/>
      </c>
      <c r="E1200" s="21" t="str">
        <f>IF($B1200="إنتاج طبخة","",IFERROR(INDEX('بيانات الحركات'!E:E,MATCH(1199,'بيانات الحركات'!$G:$G,0)),""))</f>
        <v/>
      </c>
      <c r="F1200" s="3" t="str">
        <f>IFERROR(INDEX('بيانات الحركات'!F:F,MATCH(1199,'بيانات الحركات'!$G:$G,0)),"")</f>
        <v/>
      </c>
    </row>
    <row r="1201" spans="1:6" ht="21.95" customHeight="1">
      <c r="A1201" s="8" t="str">
        <f>IFERROR(INDEX('بيانات الحركات'!A:A,MATCH(1200,'بيانات الحركات'!$G:$G,0)),"")</f>
        <v/>
      </c>
      <c r="B1201" s="5" t="str">
        <f>IFERROR(INDEX('بيانات الحركات'!B:B,MATCH(1200,'بيانات الحركات'!$G:$G,0)),"")</f>
        <v/>
      </c>
      <c r="C1201" s="3" t="str">
        <f>IFERROR(INDEX('بيانات الحركات'!C:C,MATCH(1200,'بيانات الحركات'!$G:$G,0)),"")</f>
        <v/>
      </c>
      <c r="D1201" s="3" t="str">
        <f>IFERROR(INDEX('بيانات الحركات'!D:D,MATCH(1200,'بيانات الحركات'!$G:$G,0)),"")</f>
        <v/>
      </c>
      <c r="E1201" s="21" t="str">
        <f>IF($B1201="إنتاج طبخة","",IFERROR(INDEX('بيانات الحركات'!E:E,MATCH(1200,'بيانات الحركات'!$G:$G,0)),""))</f>
        <v/>
      </c>
      <c r="F1201" s="3" t="str">
        <f>IFERROR(INDEX('بيانات الحركات'!F:F,MATCH(1200,'بيانات الحركات'!$G:$G,0)),"")</f>
        <v/>
      </c>
    </row>
    <row r="1202" spans="1:6" ht="21.95" customHeight="1">
      <c r="A1202" s="8" t="str">
        <f>IFERROR(INDEX('بيانات الحركات'!A:A,MATCH(1201,'بيانات الحركات'!$G:$G,0)),"")</f>
        <v/>
      </c>
      <c r="B1202" s="5" t="str">
        <f>IFERROR(INDEX('بيانات الحركات'!B:B,MATCH(1201,'بيانات الحركات'!$G:$G,0)),"")</f>
        <v/>
      </c>
      <c r="C1202" s="3" t="str">
        <f>IFERROR(INDEX('بيانات الحركات'!C:C,MATCH(1201,'بيانات الحركات'!$G:$G,0)),"")</f>
        <v/>
      </c>
      <c r="D1202" s="3" t="str">
        <f>IFERROR(INDEX('بيانات الحركات'!D:D,MATCH(1201,'بيانات الحركات'!$G:$G,0)),"")</f>
        <v/>
      </c>
      <c r="E1202" s="21" t="str">
        <f>IF($B1202="إنتاج طبخة","",IFERROR(INDEX('بيانات الحركات'!E:E,MATCH(1201,'بيانات الحركات'!$G:$G,0)),""))</f>
        <v/>
      </c>
      <c r="F1202" s="3" t="str">
        <f>IFERROR(INDEX('بيانات الحركات'!F:F,MATCH(1201,'بيانات الحركات'!$G:$G,0)),"")</f>
        <v/>
      </c>
    </row>
    <row r="1203" spans="1:6" ht="21.95" customHeight="1">
      <c r="A1203" s="8" t="str">
        <f>IFERROR(INDEX('بيانات الحركات'!A:A,MATCH(1202,'بيانات الحركات'!$G:$G,0)),"")</f>
        <v/>
      </c>
      <c r="B1203" s="5" t="str">
        <f>IFERROR(INDEX('بيانات الحركات'!B:B,MATCH(1202,'بيانات الحركات'!$G:$G,0)),"")</f>
        <v/>
      </c>
      <c r="C1203" s="3" t="str">
        <f>IFERROR(INDEX('بيانات الحركات'!C:C,MATCH(1202,'بيانات الحركات'!$G:$G,0)),"")</f>
        <v/>
      </c>
      <c r="D1203" s="3" t="str">
        <f>IFERROR(INDEX('بيانات الحركات'!D:D,MATCH(1202,'بيانات الحركات'!$G:$G,0)),"")</f>
        <v/>
      </c>
      <c r="E1203" s="21" t="str">
        <f>IF($B1203="إنتاج طبخة","",IFERROR(INDEX('بيانات الحركات'!E:E,MATCH(1202,'بيانات الحركات'!$G:$G,0)),""))</f>
        <v/>
      </c>
      <c r="F1203" s="3" t="str">
        <f>IFERROR(INDEX('بيانات الحركات'!F:F,MATCH(1202,'بيانات الحركات'!$G:$G,0)),"")</f>
        <v/>
      </c>
    </row>
    <row r="1204" spans="1:6" ht="21.95" customHeight="1">
      <c r="A1204" s="8" t="str">
        <f>IFERROR(INDEX('بيانات الحركات'!A:A,MATCH(1203,'بيانات الحركات'!$G:$G,0)),"")</f>
        <v/>
      </c>
      <c r="B1204" s="5" t="str">
        <f>IFERROR(INDEX('بيانات الحركات'!B:B,MATCH(1203,'بيانات الحركات'!$G:$G,0)),"")</f>
        <v/>
      </c>
      <c r="C1204" s="3" t="str">
        <f>IFERROR(INDEX('بيانات الحركات'!C:C,MATCH(1203,'بيانات الحركات'!$G:$G,0)),"")</f>
        <v/>
      </c>
      <c r="D1204" s="3" t="str">
        <f>IFERROR(INDEX('بيانات الحركات'!D:D,MATCH(1203,'بيانات الحركات'!$G:$G,0)),"")</f>
        <v/>
      </c>
      <c r="E1204" s="21" t="str">
        <f>IF($B1204="إنتاج طبخة","",IFERROR(INDEX('بيانات الحركات'!E:E,MATCH(1203,'بيانات الحركات'!$G:$G,0)),""))</f>
        <v/>
      </c>
      <c r="F1204" s="3" t="str">
        <f>IFERROR(INDEX('بيانات الحركات'!F:F,MATCH(1203,'بيانات الحركات'!$G:$G,0)),"")</f>
        <v/>
      </c>
    </row>
    <row r="1205" spans="1:6" ht="21.95" customHeight="1">
      <c r="A1205" s="8" t="str">
        <f>IFERROR(INDEX('بيانات الحركات'!A:A,MATCH(1204,'بيانات الحركات'!$G:$G,0)),"")</f>
        <v/>
      </c>
      <c r="B1205" s="5" t="str">
        <f>IFERROR(INDEX('بيانات الحركات'!B:B,MATCH(1204,'بيانات الحركات'!$G:$G,0)),"")</f>
        <v/>
      </c>
      <c r="C1205" s="3" t="str">
        <f>IFERROR(INDEX('بيانات الحركات'!C:C,MATCH(1204,'بيانات الحركات'!$G:$G,0)),"")</f>
        <v/>
      </c>
      <c r="D1205" s="3" t="str">
        <f>IFERROR(INDEX('بيانات الحركات'!D:D,MATCH(1204,'بيانات الحركات'!$G:$G,0)),"")</f>
        <v/>
      </c>
      <c r="E1205" s="21" t="str">
        <f>IF($B1205="إنتاج طبخة","",IFERROR(INDEX('بيانات الحركات'!E:E,MATCH(1204,'بيانات الحركات'!$G:$G,0)),""))</f>
        <v/>
      </c>
      <c r="F1205" s="3" t="str">
        <f>IFERROR(INDEX('بيانات الحركات'!F:F,MATCH(1204,'بيانات الحركات'!$G:$G,0)),"")</f>
        <v/>
      </c>
    </row>
    <row r="1206" spans="1:6" ht="21.95" customHeight="1">
      <c r="A1206" s="8" t="str">
        <f>IFERROR(INDEX('بيانات الحركات'!A:A,MATCH(1205,'بيانات الحركات'!$G:$G,0)),"")</f>
        <v/>
      </c>
      <c r="B1206" s="5" t="str">
        <f>IFERROR(INDEX('بيانات الحركات'!B:B,MATCH(1205,'بيانات الحركات'!$G:$G,0)),"")</f>
        <v/>
      </c>
      <c r="C1206" s="3" t="str">
        <f>IFERROR(INDEX('بيانات الحركات'!C:C,MATCH(1205,'بيانات الحركات'!$G:$G,0)),"")</f>
        <v/>
      </c>
      <c r="D1206" s="3" t="str">
        <f>IFERROR(INDEX('بيانات الحركات'!D:D,MATCH(1205,'بيانات الحركات'!$G:$G,0)),"")</f>
        <v/>
      </c>
      <c r="E1206" s="21" t="str">
        <f>IF($B1206="إنتاج طبخة","",IFERROR(INDEX('بيانات الحركات'!E:E,MATCH(1205,'بيانات الحركات'!$G:$G,0)),""))</f>
        <v/>
      </c>
      <c r="F1206" s="3" t="str">
        <f>IFERROR(INDEX('بيانات الحركات'!F:F,MATCH(1205,'بيانات الحركات'!$G:$G,0)),"")</f>
        <v/>
      </c>
    </row>
    <row r="1207" spans="1:6" ht="21.95" customHeight="1">
      <c r="A1207" s="8" t="str">
        <f>IFERROR(INDEX('بيانات الحركات'!A:A,MATCH(1206,'بيانات الحركات'!$G:$G,0)),"")</f>
        <v/>
      </c>
      <c r="B1207" s="5" t="str">
        <f>IFERROR(INDEX('بيانات الحركات'!B:B,MATCH(1206,'بيانات الحركات'!$G:$G,0)),"")</f>
        <v/>
      </c>
      <c r="C1207" s="3" t="str">
        <f>IFERROR(INDEX('بيانات الحركات'!C:C,MATCH(1206,'بيانات الحركات'!$G:$G,0)),"")</f>
        <v/>
      </c>
      <c r="D1207" s="3" t="str">
        <f>IFERROR(INDEX('بيانات الحركات'!D:D,MATCH(1206,'بيانات الحركات'!$G:$G,0)),"")</f>
        <v/>
      </c>
      <c r="E1207" s="21" t="str">
        <f>IF($B1207="إنتاج طبخة","",IFERROR(INDEX('بيانات الحركات'!E:E,MATCH(1206,'بيانات الحركات'!$G:$G,0)),""))</f>
        <v/>
      </c>
      <c r="F1207" s="3" t="str">
        <f>IFERROR(INDEX('بيانات الحركات'!F:F,MATCH(1206,'بيانات الحركات'!$G:$G,0)),"")</f>
        <v/>
      </c>
    </row>
    <row r="1208" spans="1:6" ht="21.95" customHeight="1">
      <c r="A1208" s="8" t="str">
        <f>IFERROR(INDEX('بيانات الحركات'!A:A,MATCH(1207,'بيانات الحركات'!$G:$G,0)),"")</f>
        <v/>
      </c>
      <c r="B1208" s="5" t="str">
        <f>IFERROR(INDEX('بيانات الحركات'!B:B,MATCH(1207,'بيانات الحركات'!$G:$G,0)),"")</f>
        <v/>
      </c>
      <c r="C1208" s="3" t="str">
        <f>IFERROR(INDEX('بيانات الحركات'!C:C,MATCH(1207,'بيانات الحركات'!$G:$G,0)),"")</f>
        <v/>
      </c>
      <c r="D1208" s="3" t="str">
        <f>IFERROR(INDEX('بيانات الحركات'!D:D,MATCH(1207,'بيانات الحركات'!$G:$G,0)),"")</f>
        <v/>
      </c>
      <c r="E1208" s="21" t="str">
        <f>IF($B1208="إنتاج طبخة","",IFERROR(INDEX('بيانات الحركات'!E:E,MATCH(1207,'بيانات الحركات'!$G:$G,0)),""))</f>
        <v/>
      </c>
      <c r="F1208" s="3" t="str">
        <f>IFERROR(INDEX('بيانات الحركات'!F:F,MATCH(1207,'بيانات الحركات'!$G:$G,0)),"")</f>
        <v/>
      </c>
    </row>
    <row r="1209" spans="1:6" ht="21.95" customHeight="1">
      <c r="A1209" s="8" t="str">
        <f>IFERROR(INDEX('بيانات الحركات'!A:A,MATCH(1208,'بيانات الحركات'!$G:$G,0)),"")</f>
        <v/>
      </c>
      <c r="B1209" s="5" t="str">
        <f>IFERROR(INDEX('بيانات الحركات'!B:B,MATCH(1208,'بيانات الحركات'!$G:$G,0)),"")</f>
        <v/>
      </c>
      <c r="C1209" s="3" t="str">
        <f>IFERROR(INDEX('بيانات الحركات'!C:C,MATCH(1208,'بيانات الحركات'!$G:$G,0)),"")</f>
        <v/>
      </c>
      <c r="D1209" s="3" t="str">
        <f>IFERROR(INDEX('بيانات الحركات'!D:D,MATCH(1208,'بيانات الحركات'!$G:$G,0)),"")</f>
        <v/>
      </c>
      <c r="E1209" s="21" t="str">
        <f>IF($B1209="إنتاج طبخة","",IFERROR(INDEX('بيانات الحركات'!E:E,MATCH(1208,'بيانات الحركات'!$G:$G,0)),""))</f>
        <v/>
      </c>
      <c r="F1209" s="3" t="str">
        <f>IFERROR(INDEX('بيانات الحركات'!F:F,MATCH(1208,'بيانات الحركات'!$G:$G,0)),"")</f>
        <v/>
      </c>
    </row>
    <row r="1210" spans="1:6" ht="21.95" customHeight="1">
      <c r="A1210" s="8" t="str">
        <f>IFERROR(INDEX('بيانات الحركات'!A:A,MATCH(1209,'بيانات الحركات'!$G:$G,0)),"")</f>
        <v/>
      </c>
      <c r="B1210" s="5" t="str">
        <f>IFERROR(INDEX('بيانات الحركات'!B:B,MATCH(1209,'بيانات الحركات'!$G:$G,0)),"")</f>
        <v/>
      </c>
      <c r="C1210" s="3" t="str">
        <f>IFERROR(INDEX('بيانات الحركات'!C:C,MATCH(1209,'بيانات الحركات'!$G:$G,0)),"")</f>
        <v/>
      </c>
      <c r="D1210" s="3" t="str">
        <f>IFERROR(INDEX('بيانات الحركات'!D:D,MATCH(1209,'بيانات الحركات'!$G:$G,0)),"")</f>
        <v/>
      </c>
      <c r="E1210" s="21" t="str">
        <f>IF($B1210="إنتاج طبخة","",IFERROR(INDEX('بيانات الحركات'!E:E,MATCH(1209,'بيانات الحركات'!$G:$G,0)),""))</f>
        <v/>
      </c>
      <c r="F1210" s="3" t="str">
        <f>IFERROR(INDEX('بيانات الحركات'!F:F,MATCH(1209,'بيانات الحركات'!$G:$G,0)),"")</f>
        <v/>
      </c>
    </row>
    <row r="1211" spans="1:6" ht="21.95" customHeight="1">
      <c r="A1211" s="8" t="str">
        <f>IFERROR(INDEX('بيانات الحركات'!A:A,MATCH(1210,'بيانات الحركات'!$G:$G,0)),"")</f>
        <v/>
      </c>
      <c r="B1211" s="5" t="str">
        <f>IFERROR(INDEX('بيانات الحركات'!B:B,MATCH(1210,'بيانات الحركات'!$G:$G,0)),"")</f>
        <v/>
      </c>
      <c r="C1211" s="3" t="str">
        <f>IFERROR(INDEX('بيانات الحركات'!C:C,MATCH(1210,'بيانات الحركات'!$G:$G,0)),"")</f>
        <v/>
      </c>
      <c r="D1211" s="3" t="str">
        <f>IFERROR(INDEX('بيانات الحركات'!D:D,MATCH(1210,'بيانات الحركات'!$G:$G,0)),"")</f>
        <v/>
      </c>
      <c r="E1211" s="21" t="str">
        <f>IF($B1211="إنتاج طبخة","",IFERROR(INDEX('بيانات الحركات'!E:E,MATCH(1210,'بيانات الحركات'!$G:$G,0)),""))</f>
        <v/>
      </c>
      <c r="F1211" s="3" t="str">
        <f>IFERROR(INDEX('بيانات الحركات'!F:F,MATCH(1210,'بيانات الحركات'!$G:$G,0)),"")</f>
        <v/>
      </c>
    </row>
    <row r="1212" spans="1:6" ht="21.95" customHeight="1">
      <c r="A1212" s="8" t="str">
        <f>IFERROR(INDEX('بيانات الحركات'!A:A,MATCH(1211,'بيانات الحركات'!$G:$G,0)),"")</f>
        <v/>
      </c>
      <c r="B1212" s="5" t="str">
        <f>IFERROR(INDEX('بيانات الحركات'!B:B,MATCH(1211,'بيانات الحركات'!$G:$G,0)),"")</f>
        <v/>
      </c>
      <c r="C1212" s="3" t="str">
        <f>IFERROR(INDEX('بيانات الحركات'!C:C,MATCH(1211,'بيانات الحركات'!$G:$G,0)),"")</f>
        <v/>
      </c>
      <c r="D1212" s="3" t="str">
        <f>IFERROR(INDEX('بيانات الحركات'!D:D,MATCH(1211,'بيانات الحركات'!$G:$G,0)),"")</f>
        <v/>
      </c>
      <c r="E1212" s="21" t="str">
        <f>IF($B1212="إنتاج طبخة","",IFERROR(INDEX('بيانات الحركات'!E:E,MATCH(1211,'بيانات الحركات'!$G:$G,0)),""))</f>
        <v/>
      </c>
      <c r="F1212" s="3" t="str">
        <f>IFERROR(INDEX('بيانات الحركات'!F:F,MATCH(1211,'بيانات الحركات'!$G:$G,0)),"")</f>
        <v/>
      </c>
    </row>
    <row r="1213" spans="1:6" ht="21.95" customHeight="1">
      <c r="A1213" s="8" t="str">
        <f>IFERROR(INDEX('بيانات الحركات'!A:A,MATCH(1212,'بيانات الحركات'!$G:$G,0)),"")</f>
        <v/>
      </c>
      <c r="B1213" s="5" t="str">
        <f>IFERROR(INDEX('بيانات الحركات'!B:B,MATCH(1212,'بيانات الحركات'!$G:$G,0)),"")</f>
        <v/>
      </c>
      <c r="C1213" s="3" t="str">
        <f>IFERROR(INDEX('بيانات الحركات'!C:C,MATCH(1212,'بيانات الحركات'!$G:$G,0)),"")</f>
        <v/>
      </c>
      <c r="D1213" s="3" t="str">
        <f>IFERROR(INDEX('بيانات الحركات'!D:D,MATCH(1212,'بيانات الحركات'!$G:$G,0)),"")</f>
        <v/>
      </c>
      <c r="E1213" s="21" t="str">
        <f>IF($B1213="إنتاج طبخة","",IFERROR(INDEX('بيانات الحركات'!E:E,MATCH(1212,'بيانات الحركات'!$G:$G,0)),""))</f>
        <v/>
      </c>
      <c r="F1213" s="3" t="str">
        <f>IFERROR(INDEX('بيانات الحركات'!F:F,MATCH(1212,'بيانات الحركات'!$G:$G,0)),"")</f>
        <v/>
      </c>
    </row>
    <row r="1214" spans="1:6" ht="21.95" customHeight="1">
      <c r="A1214" s="8" t="str">
        <f>IFERROR(INDEX('بيانات الحركات'!A:A,MATCH(1213,'بيانات الحركات'!$G:$G,0)),"")</f>
        <v/>
      </c>
      <c r="B1214" s="5" t="str">
        <f>IFERROR(INDEX('بيانات الحركات'!B:B,MATCH(1213,'بيانات الحركات'!$G:$G,0)),"")</f>
        <v/>
      </c>
      <c r="C1214" s="3" t="str">
        <f>IFERROR(INDEX('بيانات الحركات'!C:C,MATCH(1213,'بيانات الحركات'!$G:$G,0)),"")</f>
        <v/>
      </c>
      <c r="D1214" s="3" t="str">
        <f>IFERROR(INDEX('بيانات الحركات'!D:D,MATCH(1213,'بيانات الحركات'!$G:$G,0)),"")</f>
        <v/>
      </c>
      <c r="E1214" s="21" t="str">
        <f>IF($B1214="إنتاج طبخة","",IFERROR(INDEX('بيانات الحركات'!E:E,MATCH(1213,'بيانات الحركات'!$G:$G,0)),""))</f>
        <v/>
      </c>
      <c r="F1214" s="3" t="str">
        <f>IFERROR(INDEX('بيانات الحركات'!F:F,MATCH(1213,'بيانات الحركات'!$G:$G,0)),"")</f>
        <v/>
      </c>
    </row>
    <row r="1215" spans="1:6" ht="21.95" customHeight="1">
      <c r="A1215" s="8" t="str">
        <f>IFERROR(INDEX('بيانات الحركات'!A:A,MATCH(1214,'بيانات الحركات'!$G:$G,0)),"")</f>
        <v/>
      </c>
      <c r="B1215" s="5" t="str">
        <f>IFERROR(INDEX('بيانات الحركات'!B:B,MATCH(1214,'بيانات الحركات'!$G:$G,0)),"")</f>
        <v/>
      </c>
      <c r="C1215" s="3" t="str">
        <f>IFERROR(INDEX('بيانات الحركات'!C:C,MATCH(1214,'بيانات الحركات'!$G:$G,0)),"")</f>
        <v/>
      </c>
      <c r="D1215" s="3" t="str">
        <f>IFERROR(INDEX('بيانات الحركات'!D:D,MATCH(1214,'بيانات الحركات'!$G:$G,0)),"")</f>
        <v/>
      </c>
      <c r="E1215" s="21" t="str">
        <f>IF($B1215="إنتاج طبخة","",IFERROR(INDEX('بيانات الحركات'!E:E,MATCH(1214,'بيانات الحركات'!$G:$G,0)),""))</f>
        <v/>
      </c>
      <c r="F1215" s="3" t="str">
        <f>IFERROR(INDEX('بيانات الحركات'!F:F,MATCH(1214,'بيانات الحركات'!$G:$G,0)),"")</f>
        <v/>
      </c>
    </row>
    <row r="1216" spans="1:6" ht="21.95" customHeight="1">
      <c r="A1216" s="8" t="str">
        <f>IFERROR(INDEX('بيانات الحركات'!A:A,MATCH(1215,'بيانات الحركات'!$G:$G,0)),"")</f>
        <v/>
      </c>
      <c r="B1216" s="5" t="str">
        <f>IFERROR(INDEX('بيانات الحركات'!B:B,MATCH(1215,'بيانات الحركات'!$G:$G,0)),"")</f>
        <v/>
      </c>
      <c r="C1216" s="3" t="str">
        <f>IFERROR(INDEX('بيانات الحركات'!C:C,MATCH(1215,'بيانات الحركات'!$G:$G,0)),"")</f>
        <v/>
      </c>
      <c r="D1216" s="3" t="str">
        <f>IFERROR(INDEX('بيانات الحركات'!D:D,MATCH(1215,'بيانات الحركات'!$G:$G,0)),"")</f>
        <v/>
      </c>
      <c r="E1216" s="21" t="str">
        <f>IF($B1216="إنتاج طبخة","",IFERROR(INDEX('بيانات الحركات'!E:E,MATCH(1215,'بيانات الحركات'!$G:$G,0)),""))</f>
        <v/>
      </c>
      <c r="F1216" s="3" t="str">
        <f>IFERROR(INDEX('بيانات الحركات'!F:F,MATCH(1215,'بيانات الحركات'!$G:$G,0)),"")</f>
        <v/>
      </c>
    </row>
    <row r="1217" spans="1:6" ht="21.95" customHeight="1">
      <c r="A1217" s="8" t="str">
        <f>IFERROR(INDEX('بيانات الحركات'!A:A,MATCH(1216,'بيانات الحركات'!$G:$G,0)),"")</f>
        <v/>
      </c>
      <c r="B1217" s="5" t="str">
        <f>IFERROR(INDEX('بيانات الحركات'!B:B,MATCH(1216,'بيانات الحركات'!$G:$G,0)),"")</f>
        <v/>
      </c>
      <c r="C1217" s="3" t="str">
        <f>IFERROR(INDEX('بيانات الحركات'!C:C,MATCH(1216,'بيانات الحركات'!$G:$G,0)),"")</f>
        <v/>
      </c>
      <c r="D1217" s="3" t="str">
        <f>IFERROR(INDEX('بيانات الحركات'!D:D,MATCH(1216,'بيانات الحركات'!$G:$G,0)),"")</f>
        <v/>
      </c>
      <c r="E1217" s="21" t="str">
        <f>IF($B1217="إنتاج طبخة","",IFERROR(INDEX('بيانات الحركات'!E:E,MATCH(1216,'بيانات الحركات'!$G:$G,0)),""))</f>
        <v/>
      </c>
      <c r="F1217" s="3" t="str">
        <f>IFERROR(INDEX('بيانات الحركات'!F:F,MATCH(1216,'بيانات الحركات'!$G:$G,0)),"")</f>
        <v/>
      </c>
    </row>
    <row r="1218" spans="1:6" ht="21.95" customHeight="1">
      <c r="A1218" s="8" t="str">
        <f>IFERROR(INDEX('بيانات الحركات'!A:A,MATCH(1217,'بيانات الحركات'!$G:$G,0)),"")</f>
        <v/>
      </c>
      <c r="B1218" s="5" t="str">
        <f>IFERROR(INDEX('بيانات الحركات'!B:B,MATCH(1217,'بيانات الحركات'!$G:$G,0)),"")</f>
        <v/>
      </c>
      <c r="C1218" s="3" t="str">
        <f>IFERROR(INDEX('بيانات الحركات'!C:C,MATCH(1217,'بيانات الحركات'!$G:$G,0)),"")</f>
        <v/>
      </c>
      <c r="D1218" s="3" t="str">
        <f>IFERROR(INDEX('بيانات الحركات'!D:D,MATCH(1217,'بيانات الحركات'!$G:$G,0)),"")</f>
        <v/>
      </c>
      <c r="E1218" s="21" t="str">
        <f>IF($B1218="إنتاج طبخة","",IFERROR(INDEX('بيانات الحركات'!E:E,MATCH(1217,'بيانات الحركات'!$G:$G,0)),""))</f>
        <v/>
      </c>
      <c r="F1218" s="3" t="str">
        <f>IFERROR(INDEX('بيانات الحركات'!F:F,MATCH(1217,'بيانات الحركات'!$G:$G,0)),"")</f>
        <v/>
      </c>
    </row>
    <row r="1219" spans="1:6" ht="21.95" customHeight="1">
      <c r="A1219" s="8" t="str">
        <f>IFERROR(INDEX('بيانات الحركات'!A:A,MATCH(1218,'بيانات الحركات'!$G:$G,0)),"")</f>
        <v/>
      </c>
      <c r="B1219" s="5" t="str">
        <f>IFERROR(INDEX('بيانات الحركات'!B:B,MATCH(1218,'بيانات الحركات'!$G:$G,0)),"")</f>
        <v/>
      </c>
      <c r="C1219" s="3" t="str">
        <f>IFERROR(INDEX('بيانات الحركات'!C:C,MATCH(1218,'بيانات الحركات'!$G:$G,0)),"")</f>
        <v/>
      </c>
      <c r="D1219" s="3" t="str">
        <f>IFERROR(INDEX('بيانات الحركات'!D:D,MATCH(1218,'بيانات الحركات'!$G:$G,0)),"")</f>
        <v/>
      </c>
      <c r="E1219" s="21" t="str">
        <f>IF($B1219="إنتاج طبخة","",IFERROR(INDEX('بيانات الحركات'!E:E,MATCH(1218,'بيانات الحركات'!$G:$G,0)),""))</f>
        <v/>
      </c>
      <c r="F1219" s="3" t="str">
        <f>IFERROR(INDEX('بيانات الحركات'!F:F,MATCH(1218,'بيانات الحركات'!$G:$G,0)),"")</f>
        <v/>
      </c>
    </row>
    <row r="1220" spans="1:6" ht="21.95" customHeight="1">
      <c r="A1220" s="8" t="str">
        <f>IFERROR(INDEX('بيانات الحركات'!A:A,MATCH(1219,'بيانات الحركات'!$G:$G,0)),"")</f>
        <v/>
      </c>
      <c r="B1220" s="5" t="str">
        <f>IFERROR(INDEX('بيانات الحركات'!B:B,MATCH(1219,'بيانات الحركات'!$G:$G,0)),"")</f>
        <v/>
      </c>
      <c r="C1220" s="3" t="str">
        <f>IFERROR(INDEX('بيانات الحركات'!C:C,MATCH(1219,'بيانات الحركات'!$G:$G,0)),"")</f>
        <v/>
      </c>
      <c r="D1220" s="3" t="str">
        <f>IFERROR(INDEX('بيانات الحركات'!D:D,MATCH(1219,'بيانات الحركات'!$G:$G,0)),"")</f>
        <v/>
      </c>
      <c r="E1220" s="21" t="str">
        <f>IF($B1220="إنتاج طبخة","",IFERROR(INDEX('بيانات الحركات'!E:E,MATCH(1219,'بيانات الحركات'!$G:$G,0)),""))</f>
        <v/>
      </c>
      <c r="F1220" s="3" t="str">
        <f>IFERROR(INDEX('بيانات الحركات'!F:F,MATCH(1219,'بيانات الحركات'!$G:$G,0)),"")</f>
        <v/>
      </c>
    </row>
    <row r="1221" spans="1:6" ht="21.95" customHeight="1">
      <c r="A1221" s="8" t="str">
        <f>IFERROR(INDEX('بيانات الحركات'!A:A,MATCH(1220,'بيانات الحركات'!$G:$G,0)),"")</f>
        <v/>
      </c>
      <c r="B1221" s="5" t="str">
        <f>IFERROR(INDEX('بيانات الحركات'!B:B,MATCH(1220,'بيانات الحركات'!$G:$G,0)),"")</f>
        <v/>
      </c>
      <c r="C1221" s="3" t="str">
        <f>IFERROR(INDEX('بيانات الحركات'!C:C,MATCH(1220,'بيانات الحركات'!$G:$G,0)),"")</f>
        <v/>
      </c>
      <c r="D1221" s="3" t="str">
        <f>IFERROR(INDEX('بيانات الحركات'!D:D,MATCH(1220,'بيانات الحركات'!$G:$G,0)),"")</f>
        <v/>
      </c>
      <c r="E1221" s="21" t="str">
        <f>IF($B1221="إنتاج طبخة","",IFERROR(INDEX('بيانات الحركات'!E:E,MATCH(1220,'بيانات الحركات'!$G:$G,0)),""))</f>
        <v/>
      </c>
      <c r="F1221" s="3" t="str">
        <f>IFERROR(INDEX('بيانات الحركات'!F:F,MATCH(1220,'بيانات الحركات'!$G:$G,0)),"")</f>
        <v/>
      </c>
    </row>
    <row r="1222" spans="1:6" ht="21.95" customHeight="1">
      <c r="A1222" s="8" t="str">
        <f>IFERROR(INDEX('بيانات الحركات'!A:A,MATCH(1221,'بيانات الحركات'!$G:$G,0)),"")</f>
        <v/>
      </c>
      <c r="B1222" s="5" t="str">
        <f>IFERROR(INDEX('بيانات الحركات'!B:B,MATCH(1221,'بيانات الحركات'!$G:$G,0)),"")</f>
        <v/>
      </c>
      <c r="C1222" s="3" t="str">
        <f>IFERROR(INDEX('بيانات الحركات'!C:C,MATCH(1221,'بيانات الحركات'!$G:$G,0)),"")</f>
        <v/>
      </c>
      <c r="D1222" s="3" t="str">
        <f>IFERROR(INDEX('بيانات الحركات'!D:D,MATCH(1221,'بيانات الحركات'!$G:$G,0)),"")</f>
        <v/>
      </c>
      <c r="E1222" s="21" t="str">
        <f>IF($B1222="إنتاج طبخة","",IFERROR(INDEX('بيانات الحركات'!E:E,MATCH(1221,'بيانات الحركات'!$G:$G,0)),""))</f>
        <v/>
      </c>
      <c r="F1222" s="3" t="str">
        <f>IFERROR(INDEX('بيانات الحركات'!F:F,MATCH(1221,'بيانات الحركات'!$G:$G,0)),"")</f>
        <v/>
      </c>
    </row>
    <row r="1223" spans="1:6" ht="21.95" customHeight="1">
      <c r="A1223" s="8" t="str">
        <f>IFERROR(INDEX('بيانات الحركات'!A:A,MATCH(1222,'بيانات الحركات'!$G:$G,0)),"")</f>
        <v/>
      </c>
      <c r="B1223" s="5" t="str">
        <f>IFERROR(INDEX('بيانات الحركات'!B:B,MATCH(1222,'بيانات الحركات'!$G:$G,0)),"")</f>
        <v/>
      </c>
      <c r="C1223" s="3" t="str">
        <f>IFERROR(INDEX('بيانات الحركات'!C:C,MATCH(1222,'بيانات الحركات'!$G:$G,0)),"")</f>
        <v/>
      </c>
      <c r="D1223" s="3" t="str">
        <f>IFERROR(INDEX('بيانات الحركات'!D:D,MATCH(1222,'بيانات الحركات'!$G:$G,0)),"")</f>
        <v/>
      </c>
      <c r="E1223" s="21" t="str">
        <f>IF($B1223="إنتاج طبخة","",IFERROR(INDEX('بيانات الحركات'!E:E,MATCH(1222,'بيانات الحركات'!$G:$G,0)),""))</f>
        <v/>
      </c>
      <c r="F1223" s="3" t="str">
        <f>IFERROR(INDEX('بيانات الحركات'!F:F,MATCH(1222,'بيانات الحركات'!$G:$G,0)),"")</f>
        <v/>
      </c>
    </row>
    <row r="1224" spans="1:6" ht="21.95" customHeight="1">
      <c r="A1224" s="8" t="str">
        <f>IFERROR(INDEX('بيانات الحركات'!A:A,MATCH(1223,'بيانات الحركات'!$G:$G,0)),"")</f>
        <v/>
      </c>
      <c r="B1224" s="5" t="str">
        <f>IFERROR(INDEX('بيانات الحركات'!B:B,MATCH(1223,'بيانات الحركات'!$G:$G,0)),"")</f>
        <v/>
      </c>
      <c r="C1224" s="3" t="str">
        <f>IFERROR(INDEX('بيانات الحركات'!C:C,MATCH(1223,'بيانات الحركات'!$G:$G,0)),"")</f>
        <v/>
      </c>
      <c r="D1224" s="3" t="str">
        <f>IFERROR(INDEX('بيانات الحركات'!D:D,MATCH(1223,'بيانات الحركات'!$G:$G,0)),"")</f>
        <v/>
      </c>
      <c r="E1224" s="21" t="str">
        <f>IF($B1224="إنتاج طبخة","",IFERROR(INDEX('بيانات الحركات'!E:E,MATCH(1223,'بيانات الحركات'!$G:$G,0)),""))</f>
        <v/>
      </c>
      <c r="F1224" s="3" t="str">
        <f>IFERROR(INDEX('بيانات الحركات'!F:F,MATCH(1223,'بيانات الحركات'!$G:$G,0)),"")</f>
        <v/>
      </c>
    </row>
    <row r="1225" spans="1:6" ht="21.95" customHeight="1">
      <c r="A1225" s="8" t="str">
        <f>IFERROR(INDEX('بيانات الحركات'!A:A,MATCH(1224,'بيانات الحركات'!$G:$G,0)),"")</f>
        <v/>
      </c>
      <c r="B1225" s="5" t="str">
        <f>IFERROR(INDEX('بيانات الحركات'!B:B,MATCH(1224,'بيانات الحركات'!$G:$G,0)),"")</f>
        <v/>
      </c>
      <c r="C1225" s="3" t="str">
        <f>IFERROR(INDEX('بيانات الحركات'!C:C,MATCH(1224,'بيانات الحركات'!$G:$G,0)),"")</f>
        <v/>
      </c>
      <c r="D1225" s="3" t="str">
        <f>IFERROR(INDEX('بيانات الحركات'!D:D,MATCH(1224,'بيانات الحركات'!$G:$G,0)),"")</f>
        <v/>
      </c>
      <c r="E1225" s="21" t="str">
        <f>IF($B1225="إنتاج طبخة","",IFERROR(INDEX('بيانات الحركات'!E:E,MATCH(1224,'بيانات الحركات'!$G:$G,0)),""))</f>
        <v/>
      </c>
      <c r="F1225" s="3" t="str">
        <f>IFERROR(INDEX('بيانات الحركات'!F:F,MATCH(1224,'بيانات الحركات'!$G:$G,0)),"")</f>
        <v/>
      </c>
    </row>
    <row r="1226" spans="1:6" ht="21.95" customHeight="1">
      <c r="A1226" s="8" t="str">
        <f>IFERROR(INDEX('بيانات الحركات'!A:A,MATCH(1225,'بيانات الحركات'!$G:$G,0)),"")</f>
        <v/>
      </c>
      <c r="B1226" s="5" t="str">
        <f>IFERROR(INDEX('بيانات الحركات'!B:B,MATCH(1225,'بيانات الحركات'!$G:$G,0)),"")</f>
        <v/>
      </c>
      <c r="C1226" s="3" t="str">
        <f>IFERROR(INDEX('بيانات الحركات'!C:C,MATCH(1225,'بيانات الحركات'!$G:$G,0)),"")</f>
        <v/>
      </c>
      <c r="D1226" s="3" t="str">
        <f>IFERROR(INDEX('بيانات الحركات'!D:D,MATCH(1225,'بيانات الحركات'!$G:$G,0)),"")</f>
        <v/>
      </c>
      <c r="E1226" s="21" t="str">
        <f>IF($B1226="إنتاج طبخة","",IFERROR(INDEX('بيانات الحركات'!E:E,MATCH(1225,'بيانات الحركات'!$G:$G,0)),""))</f>
        <v/>
      </c>
      <c r="F1226" s="3" t="str">
        <f>IFERROR(INDEX('بيانات الحركات'!F:F,MATCH(1225,'بيانات الحركات'!$G:$G,0)),"")</f>
        <v/>
      </c>
    </row>
    <row r="1227" spans="1:6" ht="21.95" customHeight="1">
      <c r="A1227" s="8" t="str">
        <f>IFERROR(INDEX('بيانات الحركات'!A:A,MATCH(1226,'بيانات الحركات'!$G:$G,0)),"")</f>
        <v/>
      </c>
      <c r="B1227" s="5" t="str">
        <f>IFERROR(INDEX('بيانات الحركات'!B:B,MATCH(1226,'بيانات الحركات'!$G:$G,0)),"")</f>
        <v/>
      </c>
      <c r="C1227" s="3" t="str">
        <f>IFERROR(INDEX('بيانات الحركات'!C:C,MATCH(1226,'بيانات الحركات'!$G:$G,0)),"")</f>
        <v/>
      </c>
      <c r="D1227" s="3" t="str">
        <f>IFERROR(INDEX('بيانات الحركات'!D:D,MATCH(1226,'بيانات الحركات'!$G:$G,0)),"")</f>
        <v/>
      </c>
      <c r="E1227" s="21" t="str">
        <f>IF($B1227="إنتاج طبخة","",IFERROR(INDEX('بيانات الحركات'!E:E,MATCH(1226,'بيانات الحركات'!$G:$G,0)),""))</f>
        <v/>
      </c>
      <c r="F1227" s="3" t="str">
        <f>IFERROR(INDEX('بيانات الحركات'!F:F,MATCH(1226,'بيانات الحركات'!$G:$G,0)),"")</f>
        <v/>
      </c>
    </row>
    <row r="1228" spans="1:6" ht="21.95" customHeight="1">
      <c r="A1228" s="8" t="str">
        <f>IFERROR(INDEX('بيانات الحركات'!A:A,MATCH(1227,'بيانات الحركات'!$G:$G,0)),"")</f>
        <v/>
      </c>
      <c r="B1228" s="5" t="str">
        <f>IFERROR(INDEX('بيانات الحركات'!B:B,MATCH(1227,'بيانات الحركات'!$G:$G,0)),"")</f>
        <v/>
      </c>
      <c r="C1228" s="3" t="str">
        <f>IFERROR(INDEX('بيانات الحركات'!C:C,MATCH(1227,'بيانات الحركات'!$G:$G,0)),"")</f>
        <v/>
      </c>
      <c r="D1228" s="3" t="str">
        <f>IFERROR(INDEX('بيانات الحركات'!D:D,MATCH(1227,'بيانات الحركات'!$G:$G,0)),"")</f>
        <v/>
      </c>
      <c r="E1228" s="21" t="str">
        <f>IF($B1228="إنتاج طبخة","",IFERROR(INDEX('بيانات الحركات'!E:E,MATCH(1227,'بيانات الحركات'!$G:$G,0)),""))</f>
        <v/>
      </c>
      <c r="F1228" s="3" t="str">
        <f>IFERROR(INDEX('بيانات الحركات'!F:F,MATCH(1227,'بيانات الحركات'!$G:$G,0)),"")</f>
        <v/>
      </c>
    </row>
    <row r="1229" spans="1:6" ht="21.95" customHeight="1">
      <c r="A1229" s="8" t="str">
        <f>IFERROR(INDEX('بيانات الحركات'!A:A,MATCH(1228,'بيانات الحركات'!$G:$G,0)),"")</f>
        <v/>
      </c>
      <c r="B1229" s="5" t="str">
        <f>IFERROR(INDEX('بيانات الحركات'!B:B,MATCH(1228,'بيانات الحركات'!$G:$G,0)),"")</f>
        <v/>
      </c>
      <c r="C1229" s="3" t="str">
        <f>IFERROR(INDEX('بيانات الحركات'!C:C,MATCH(1228,'بيانات الحركات'!$G:$G,0)),"")</f>
        <v/>
      </c>
      <c r="D1229" s="3" t="str">
        <f>IFERROR(INDEX('بيانات الحركات'!D:D,MATCH(1228,'بيانات الحركات'!$G:$G,0)),"")</f>
        <v/>
      </c>
      <c r="E1229" s="21" t="str">
        <f>IF($B1229="إنتاج طبخة","",IFERROR(INDEX('بيانات الحركات'!E:E,MATCH(1228,'بيانات الحركات'!$G:$G,0)),""))</f>
        <v/>
      </c>
      <c r="F1229" s="3" t="str">
        <f>IFERROR(INDEX('بيانات الحركات'!F:F,MATCH(1228,'بيانات الحركات'!$G:$G,0)),"")</f>
        <v/>
      </c>
    </row>
    <row r="1230" spans="1:6" ht="21.95" customHeight="1">
      <c r="A1230" s="8" t="str">
        <f>IFERROR(INDEX('بيانات الحركات'!A:A,MATCH(1229,'بيانات الحركات'!$G:$G,0)),"")</f>
        <v/>
      </c>
      <c r="B1230" s="5" t="str">
        <f>IFERROR(INDEX('بيانات الحركات'!B:B,MATCH(1229,'بيانات الحركات'!$G:$G,0)),"")</f>
        <v/>
      </c>
      <c r="C1230" s="3" t="str">
        <f>IFERROR(INDEX('بيانات الحركات'!C:C,MATCH(1229,'بيانات الحركات'!$G:$G,0)),"")</f>
        <v/>
      </c>
      <c r="D1230" s="3" t="str">
        <f>IFERROR(INDEX('بيانات الحركات'!D:D,MATCH(1229,'بيانات الحركات'!$G:$G,0)),"")</f>
        <v/>
      </c>
      <c r="E1230" s="21" t="str">
        <f>IF($B1230="إنتاج طبخة","",IFERROR(INDEX('بيانات الحركات'!E:E,MATCH(1229,'بيانات الحركات'!$G:$G,0)),""))</f>
        <v/>
      </c>
      <c r="F1230" s="3" t="str">
        <f>IFERROR(INDEX('بيانات الحركات'!F:F,MATCH(1229,'بيانات الحركات'!$G:$G,0)),"")</f>
        <v/>
      </c>
    </row>
    <row r="1231" spans="1:6" ht="21.95" customHeight="1">
      <c r="A1231" s="8" t="str">
        <f>IFERROR(INDEX('بيانات الحركات'!A:A,MATCH(1230,'بيانات الحركات'!$G:$G,0)),"")</f>
        <v/>
      </c>
      <c r="B1231" s="5" t="str">
        <f>IFERROR(INDEX('بيانات الحركات'!B:B,MATCH(1230,'بيانات الحركات'!$G:$G,0)),"")</f>
        <v/>
      </c>
      <c r="C1231" s="3" t="str">
        <f>IFERROR(INDEX('بيانات الحركات'!C:C,MATCH(1230,'بيانات الحركات'!$G:$G,0)),"")</f>
        <v/>
      </c>
      <c r="D1231" s="3" t="str">
        <f>IFERROR(INDEX('بيانات الحركات'!D:D,MATCH(1230,'بيانات الحركات'!$G:$G,0)),"")</f>
        <v/>
      </c>
      <c r="E1231" s="21" t="str">
        <f>IF($B1231="إنتاج طبخة","",IFERROR(INDEX('بيانات الحركات'!E:E,MATCH(1230,'بيانات الحركات'!$G:$G,0)),""))</f>
        <v/>
      </c>
      <c r="F1231" s="3" t="str">
        <f>IFERROR(INDEX('بيانات الحركات'!F:F,MATCH(1230,'بيانات الحركات'!$G:$G,0)),"")</f>
        <v/>
      </c>
    </row>
    <row r="1232" spans="1:6" ht="21.95" customHeight="1">
      <c r="A1232" s="8" t="str">
        <f>IFERROR(INDEX('بيانات الحركات'!A:A,MATCH(1231,'بيانات الحركات'!$G:$G,0)),"")</f>
        <v/>
      </c>
      <c r="B1232" s="5" t="str">
        <f>IFERROR(INDEX('بيانات الحركات'!B:B,MATCH(1231,'بيانات الحركات'!$G:$G,0)),"")</f>
        <v/>
      </c>
      <c r="C1232" s="3" t="str">
        <f>IFERROR(INDEX('بيانات الحركات'!C:C,MATCH(1231,'بيانات الحركات'!$G:$G,0)),"")</f>
        <v/>
      </c>
      <c r="D1232" s="3" t="str">
        <f>IFERROR(INDEX('بيانات الحركات'!D:D,MATCH(1231,'بيانات الحركات'!$G:$G,0)),"")</f>
        <v/>
      </c>
      <c r="E1232" s="21" t="str">
        <f>IF($B1232="إنتاج طبخة","",IFERROR(INDEX('بيانات الحركات'!E:E,MATCH(1231,'بيانات الحركات'!$G:$G,0)),""))</f>
        <v/>
      </c>
      <c r="F1232" s="3" t="str">
        <f>IFERROR(INDEX('بيانات الحركات'!F:F,MATCH(1231,'بيانات الحركات'!$G:$G,0)),"")</f>
        <v/>
      </c>
    </row>
    <row r="1233" spans="1:6" ht="21.95" customHeight="1">
      <c r="A1233" s="8" t="str">
        <f>IFERROR(INDEX('بيانات الحركات'!A:A,MATCH(1232,'بيانات الحركات'!$G:$G,0)),"")</f>
        <v/>
      </c>
      <c r="B1233" s="5" t="str">
        <f>IFERROR(INDEX('بيانات الحركات'!B:B,MATCH(1232,'بيانات الحركات'!$G:$G,0)),"")</f>
        <v/>
      </c>
      <c r="C1233" s="3" t="str">
        <f>IFERROR(INDEX('بيانات الحركات'!C:C,MATCH(1232,'بيانات الحركات'!$G:$G,0)),"")</f>
        <v/>
      </c>
      <c r="D1233" s="3" t="str">
        <f>IFERROR(INDEX('بيانات الحركات'!D:D,MATCH(1232,'بيانات الحركات'!$G:$G,0)),"")</f>
        <v/>
      </c>
      <c r="E1233" s="21" t="str">
        <f>IF($B1233="إنتاج طبخة","",IFERROR(INDEX('بيانات الحركات'!E:E,MATCH(1232,'بيانات الحركات'!$G:$G,0)),""))</f>
        <v/>
      </c>
      <c r="F1233" s="3" t="str">
        <f>IFERROR(INDEX('بيانات الحركات'!F:F,MATCH(1232,'بيانات الحركات'!$G:$G,0)),"")</f>
        <v/>
      </c>
    </row>
    <row r="1234" spans="1:6" ht="21.95" customHeight="1">
      <c r="A1234" s="8" t="str">
        <f>IFERROR(INDEX('بيانات الحركات'!A:A,MATCH(1233,'بيانات الحركات'!$G:$G,0)),"")</f>
        <v/>
      </c>
      <c r="B1234" s="5" t="str">
        <f>IFERROR(INDEX('بيانات الحركات'!B:B,MATCH(1233,'بيانات الحركات'!$G:$G,0)),"")</f>
        <v/>
      </c>
      <c r="C1234" s="3" t="str">
        <f>IFERROR(INDEX('بيانات الحركات'!C:C,MATCH(1233,'بيانات الحركات'!$G:$G,0)),"")</f>
        <v/>
      </c>
      <c r="D1234" s="3" t="str">
        <f>IFERROR(INDEX('بيانات الحركات'!D:D,MATCH(1233,'بيانات الحركات'!$G:$G,0)),"")</f>
        <v/>
      </c>
      <c r="E1234" s="21" t="str">
        <f>IF($B1234="إنتاج طبخة","",IFERROR(INDEX('بيانات الحركات'!E:E,MATCH(1233,'بيانات الحركات'!$G:$G,0)),""))</f>
        <v/>
      </c>
      <c r="F1234" s="3" t="str">
        <f>IFERROR(INDEX('بيانات الحركات'!F:F,MATCH(1233,'بيانات الحركات'!$G:$G,0)),"")</f>
        <v/>
      </c>
    </row>
    <row r="1235" spans="1:6" ht="21.95" customHeight="1">
      <c r="A1235" s="8" t="str">
        <f>IFERROR(INDEX('بيانات الحركات'!A:A,MATCH(1234,'بيانات الحركات'!$G:$G,0)),"")</f>
        <v/>
      </c>
      <c r="B1235" s="5" t="str">
        <f>IFERROR(INDEX('بيانات الحركات'!B:B,MATCH(1234,'بيانات الحركات'!$G:$G,0)),"")</f>
        <v/>
      </c>
      <c r="C1235" s="3" t="str">
        <f>IFERROR(INDEX('بيانات الحركات'!C:C,MATCH(1234,'بيانات الحركات'!$G:$G,0)),"")</f>
        <v/>
      </c>
      <c r="D1235" s="3" t="str">
        <f>IFERROR(INDEX('بيانات الحركات'!D:D,MATCH(1234,'بيانات الحركات'!$G:$G,0)),"")</f>
        <v/>
      </c>
      <c r="E1235" s="21" t="str">
        <f>IF($B1235="إنتاج طبخة","",IFERROR(INDEX('بيانات الحركات'!E:E,MATCH(1234,'بيانات الحركات'!$G:$G,0)),""))</f>
        <v/>
      </c>
      <c r="F1235" s="3" t="str">
        <f>IFERROR(INDEX('بيانات الحركات'!F:F,MATCH(1234,'بيانات الحركات'!$G:$G,0)),"")</f>
        <v/>
      </c>
    </row>
    <row r="1236" spans="1:6" ht="21.95" customHeight="1">
      <c r="A1236" s="8" t="str">
        <f>IFERROR(INDEX('بيانات الحركات'!A:A,MATCH(1235,'بيانات الحركات'!$G:$G,0)),"")</f>
        <v/>
      </c>
      <c r="B1236" s="5" t="str">
        <f>IFERROR(INDEX('بيانات الحركات'!B:B,MATCH(1235,'بيانات الحركات'!$G:$G,0)),"")</f>
        <v/>
      </c>
      <c r="C1236" s="3" t="str">
        <f>IFERROR(INDEX('بيانات الحركات'!C:C,MATCH(1235,'بيانات الحركات'!$G:$G,0)),"")</f>
        <v/>
      </c>
      <c r="D1236" s="3" t="str">
        <f>IFERROR(INDEX('بيانات الحركات'!D:D,MATCH(1235,'بيانات الحركات'!$G:$G,0)),"")</f>
        <v/>
      </c>
      <c r="E1236" s="21" t="str">
        <f>IF($B1236="إنتاج طبخة","",IFERROR(INDEX('بيانات الحركات'!E:E,MATCH(1235,'بيانات الحركات'!$G:$G,0)),""))</f>
        <v/>
      </c>
      <c r="F1236" s="3" t="str">
        <f>IFERROR(INDEX('بيانات الحركات'!F:F,MATCH(1235,'بيانات الحركات'!$G:$G,0)),"")</f>
        <v/>
      </c>
    </row>
    <row r="1237" spans="1:6" ht="21.95" customHeight="1">
      <c r="A1237" s="8" t="str">
        <f>IFERROR(INDEX('بيانات الحركات'!A:A,MATCH(1236,'بيانات الحركات'!$G:$G,0)),"")</f>
        <v/>
      </c>
      <c r="B1237" s="5" t="str">
        <f>IFERROR(INDEX('بيانات الحركات'!B:B,MATCH(1236,'بيانات الحركات'!$G:$G,0)),"")</f>
        <v/>
      </c>
      <c r="C1237" s="3" t="str">
        <f>IFERROR(INDEX('بيانات الحركات'!C:C,MATCH(1236,'بيانات الحركات'!$G:$G,0)),"")</f>
        <v/>
      </c>
      <c r="D1237" s="3" t="str">
        <f>IFERROR(INDEX('بيانات الحركات'!D:D,MATCH(1236,'بيانات الحركات'!$G:$G,0)),"")</f>
        <v/>
      </c>
      <c r="E1237" s="21" t="str">
        <f>IF($B1237="إنتاج طبخة","",IFERROR(INDEX('بيانات الحركات'!E:E,MATCH(1236,'بيانات الحركات'!$G:$G,0)),""))</f>
        <v/>
      </c>
      <c r="F1237" s="3" t="str">
        <f>IFERROR(INDEX('بيانات الحركات'!F:F,MATCH(1236,'بيانات الحركات'!$G:$G,0)),"")</f>
        <v/>
      </c>
    </row>
    <row r="1238" spans="1:6" ht="21.95" customHeight="1">
      <c r="A1238" s="8" t="str">
        <f>IFERROR(INDEX('بيانات الحركات'!A:A,MATCH(1237,'بيانات الحركات'!$G:$G,0)),"")</f>
        <v/>
      </c>
      <c r="B1238" s="5" t="str">
        <f>IFERROR(INDEX('بيانات الحركات'!B:B,MATCH(1237,'بيانات الحركات'!$G:$G,0)),"")</f>
        <v/>
      </c>
      <c r="C1238" s="3" t="str">
        <f>IFERROR(INDEX('بيانات الحركات'!C:C,MATCH(1237,'بيانات الحركات'!$G:$G,0)),"")</f>
        <v/>
      </c>
      <c r="D1238" s="3" t="str">
        <f>IFERROR(INDEX('بيانات الحركات'!D:D,MATCH(1237,'بيانات الحركات'!$G:$G,0)),"")</f>
        <v/>
      </c>
      <c r="E1238" s="21" t="str">
        <f>IF($B1238="إنتاج طبخة","",IFERROR(INDEX('بيانات الحركات'!E:E,MATCH(1237,'بيانات الحركات'!$G:$G,0)),""))</f>
        <v/>
      </c>
      <c r="F1238" s="3" t="str">
        <f>IFERROR(INDEX('بيانات الحركات'!F:F,MATCH(1237,'بيانات الحركات'!$G:$G,0)),"")</f>
        <v/>
      </c>
    </row>
    <row r="1239" spans="1:6" ht="21.95" customHeight="1">
      <c r="A1239" s="8" t="str">
        <f>IFERROR(INDEX('بيانات الحركات'!A:A,MATCH(1238,'بيانات الحركات'!$G:$G,0)),"")</f>
        <v/>
      </c>
      <c r="B1239" s="5" t="str">
        <f>IFERROR(INDEX('بيانات الحركات'!B:B,MATCH(1238,'بيانات الحركات'!$G:$G,0)),"")</f>
        <v/>
      </c>
      <c r="C1239" s="3" t="str">
        <f>IFERROR(INDEX('بيانات الحركات'!C:C,MATCH(1238,'بيانات الحركات'!$G:$G,0)),"")</f>
        <v/>
      </c>
      <c r="D1239" s="3" t="str">
        <f>IFERROR(INDEX('بيانات الحركات'!D:D,MATCH(1238,'بيانات الحركات'!$G:$G,0)),"")</f>
        <v/>
      </c>
      <c r="E1239" s="21" t="str">
        <f>IF($B1239="إنتاج طبخة","",IFERROR(INDEX('بيانات الحركات'!E:E,MATCH(1238,'بيانات الحركات'!$G:$G,0)),""))</f>
        <v/>
      </c>
      <c r="F1239" s="3" t="str">
        <f>IFERROR(INDEX('بيانات الحركات'!F:F,MATCH(1238,'بيانات الحركات'!$G:$G,0)),"")</f>
        <v/>
      </c>
    </row>
    <row r="1240" spans="1:6" ht="21.95" customHeight="1">
      <c r="A1240" s="8" t="str">
        <f>IFERROR(INDEX('بيانات الحركات'!A:A,MATCH(1239,'بيانات الحركات'!$G:$G,0)),"")</f>
        <v/>
      </c>
      <c r="B1240" s="5" t="str">
        <f>IFERROR(INDEX('بيانات الحركات'!B:B,MATCH(1239,'بيانات الحركات'!$G:$G,0)),"")</f>
        <v/>
      </c>
      <c r="C1240" s="3" t="str">
        <f>IFERROR(INDEX('بيانات الحركات'!C:C,MATCH(1239,'بيانات الحركات'!$G:$G,0)),"")</f>
        <v/>
      </c>
      <c r="D1240" s="3" t="str">
        <f>IFERROR(INDEX('بيانات الحركات'!D:D,MATCH(1239,'بيانات الحركات'!$G:$G,0)),"")</f>
        <v/>
      </c>
      <c r="E1240" s="21" t="str">
        <f>IF($B1240="إنتاج طبخة","",IFERROR(INDEX('بيانات الحركات'!E:E,MATCH(1239,'بيانات الحركات'!$G:$G,0)),""))</f>
        <v/>
      </c>
      <c r="F1240" s="3" t="str">
        <f>IFERROR(INDEX('بيانات الحركات'!F:F,MATCH(1239,'بيانات الحركات'!$G:$G,0)),"")</f>
        <v/>
      </c>
    </row>
    <row r="1241" spans="1:6" ht="21.95" customHeight="1">
      <c r="A1241" s="8" t="str">
        <f>IFERROR(INDEX('بيانات الحركات'!A:A,MATCH(1240,'بيانات الحركات'!$G:$G,0)),"")</f>
        <v/>
      </c>
      <c r="B1241" s="5" t="str">
        <f>IFERROR(INDEX('بيانات الحركات'!B:B,MATCH(1240,'بيانات الحركات'!$G:$G,0)),"")</f>
        <v/>
      </c>
      <c r="C1241" s="3" t="str">
        <f>IFERROR(INDEX('بيانات الحركات'!C:C,MATCH(1240,'بيانات الحركات'!$G:$G,0)),"")</f>
        <v/>
      </c>
      <c r="D1241" s="3" t="str">
        <f>IFERROR(INDEX('بيانات الحركات'!D:D,MATCH(1240,'بيانات الحركات'!$G:$G,0)),"")</f>
        <v/>
      </c>
      <c r="E1241" s="21" t="str">
        <f>IF($B1241="إنتاج طبخة","",IFERROR(INDEX('بيانات الحركات'!E:E,MATCH(1240,'بيانات الحركات'!$G:$G,0)),""))</f>
        <v/>
      </c>
      <c r="F1241" s="3" t="str">
        <f>IFERROR(INDEX('بيانات الحركات'!F:F,MATCH(1240,'بيانات الحركات'!$G:$G,0)),"")</f>
        <v/>
      </c>
    </row>
    <row r="1242" spans="1:6" ht="21.95" customHeight="1">
      <c r="A1242" s="8" t="str">
        <f>IFERROR(INDEX('بيانات الحركات'!A:A,MATCH(1241,'بيانات الحركات'!$G:$G,0)),"")</f>
        <v/>
      </c>
      <c r="B1242" s="5" t="str">
        <f>IFERROR(INDEX('بيانات الحركات'!B:B,MATCH(1241,'بيانات الحركات'!$G:$G,0)),"")</f>
        <v/>
      </c>
      <c r="C1242" s="3" t="str">
        <f>IFERROR(INDEX('بيانات الحركات'!C:C,MATCH(1241,'بيانات الحركات'!$G:$G,0)),"")</f>
        <v/>
      </c>
      <c r="D1242" s="3" t="str">
        <f>IFERROR(INDEX('بيانات الحركات'!D:D,MATCH(1241,'بيانات الحركات'!$G:$G,0)),"")</f>
        <v/>
      </c>
      <c r="E1242" s="21" t="str">
        <f>IF($B1242="إنتاج طبخة","",IFERROR(INDEX('بيانات الحركات'!E:E,MATCH(1241,'بيانات الحركات'!$G:$G,0)),""))</f>
        <v/>
      </c>
      <c r="F1242" s="3" t="str">
        <f>IFERROR(INDEX('بيانات الحركات'!F:F,MATCH(1241,'بيانات الحركات'!$G:$G,0)),"")</f>
        <v/>
      </c>
    </row>
    <row r="1243" spans="1:6" ht="21.95" customHeight="1">
      <c r="A1243" s="8" t="str">
        <f>IFERROR(INDEX('بيانات الحركات'!A:A,MATCH(1242,'بيانات الحركات'!$G:$G,0)),"")</f>
        <v/>
      </c>
      <c r="B1243" s="5" t="str">
        <f>IFERROR(INDEX('بيانات الحركات'!B:B,MATCH(1242,'بيانات الحركات'!$G:$G,0)),"")</f>
        <v/>
      </c>
      <c r="C1243" s="3" t="str">
        <f>IFERROR(INDEX('بيانات الحركات'!C:C,MATCH(1242,'بيانات الحركات'!$G:$G,0)),"")</f>
        <v/>
      </c>
      <c r="D1243" s="3" t="str">
        <f>IFERROR(INDEX('بيانات الحركات'!D:D,MATCH(1242,'بيانات الحركات'!$G:$G,0)),"")</f>
        <v/>
      </c>
      <c r="E1243" s="21" t="str">
        <f>IF($B1243="إنتاج طبخة","",IFERROR(INDEX('بيانات الحركات'!E:E,MATCH(1242,'بيانات الحركات'!$G:$G,0)),""))</f>
        <v/>
      </c>
      <c r="F1243" s="3" t="str">
        <f>IFERROR(INDEX('بيانات الحركات'!F:F,MATCH(1242,'بيانات الحركات'!$G:$G,0)),"")</f>
        <v/>
      </c>
    </row>
    <row r="1244" spans="1:6" ht="21.95" customHeight="1">
      <c r="A1244" s="8" t="str">
        <f>IFERROR(INDEX('بيانات الحركات'!A:A,MATCH(1243,'بيانات الحركات'!$G:$G,0)),"")</f>
        <v/>
      </c>
      <c r="B1244" s="5" t="str">
        <f>IFERROR(INDEX('بيانات الحركات'!B:B,MATCH(1243,'بيانات الحركات'!$G:$G,0)),"")</f>
        <v/>
      </c>
      <c r="C1244" s="3" t="str">
        <f>IFERROR(INDEX('بيانات الحركات'!C:C,MATCH(1243,'بيانات الحركات'!$G:$G,0)),"")</f>
        <v/>
      </c>
      <c r="D1244" s="3" t="str">
        <f>IFERROR(INDEX('بيانات الحركات'!D:D,MATCH(1243,'بيانات الحركات'!$G:$G,0)),"")</f>
        <v/>
      </c>
      <c r="E1244" s="21" t="str">
        <f>IF($B1244="إنتاج طبخة","",IFERROR(INDEX('بيانات الحركات'!E:E,MATCH(1243,'بيانات الحركات'!$G:$G,0)),""))</f>
        <v/>
      </c>
      <c r="F1244" s="3" t="str">
        <f>IFERROR(INDEX('بيانات الحركات'!F:F,MATCH(1243,'بيانات الحركات'!$G:$G,0)),"")</f>
        <v/>
      </c>
    </row>
    <row r="1245" spans="1:6" ht="21.95" customHeight="1">
      <c r="A1245" s="8" t="str">
        <f>IFERROR(INDEX('بيانات الحركات'!A:A,MATCH(1244,'بيانات الحركات'!$G:$G,0)),"")</f>
        <v/>
      </c>
      <c r="B1245" s="5" t="str">
        <f>IFERROR(INDEX('بيانات الحركات'!B:B,MATCH(1244,'بيانات الحركات'!$G:$G,0)),"")</f>
        <v/>
      </c>
      <c r="C1245" s="3" t="str">
        <f>IFERROR(INDEX('بيانات الحركات'!C:C,MATCH(1244,'بيانات الحركات'!$G:$G,0)),"")</f>
        <v/>
      </c>
      <c r="D1245" s="3" t="str">
        <f>IFERROR(INDEX('بيانات الحركات'!D:D,MATCH(1244,'بيانات الحركات'!$G:$G,0)),"")</f>
        <v/>
      </c>
      <c r="E1245" s="21" t="str">
        <f>IF($B1245="إنتاج طبخة","",IFERROR(INDEX('بيانات الحركات'!E:E,MATCH(1244,'بيانات الحركات'!$G:$G,0)),""))</f>
        <v/>
      </c>
      <c r="F1245" s="3" t="str">
        <f>IFERROR(INDEX('بيانات الحركات'!F:F,MATCH(1244,'بيانات الحركات'!$G:$G,0)),"")</f>
        <v/>
      </c>
    </row>
    <row r="1246" spans="1:6" ht="21.95" customHeight="1">
      <c r="A1246" s="8" t="str">
        <f>IFERROR(INDEX('بيانات الحركات'!A:A,MATCH(1245,'بيانات الحركات'!$G:$G,0)),"")</f>
        <v/>
      </c>
      <c r="B1246" s="5" t="str">
        <f>IFERROR(INDEX('بيانات الحركات'!B:B,MATCH(1245,'بيانات الحركات'!$G:$G,0)),"")</f>
        <v/>
      </c>
      <c r="C1246" s="3" t="str">
        <f>IFERROR(INDEX('بيانات الحركات'!C:C,MATCH(1245,'بيانات الحركات'!$G:$G,0)),"")</f>
        <v/>
      </c>
      <c r="D1246" s="3" t="str">
        <f>IFERROR(INDEX('بيانات الحركات'!D:D,MATCH(1245,'بيانات الحركات'!$G:$G,0)),"")</f>
        <v/>
      </c>
      <c r="E1246" s="21" t="str">
        <f>IF($B1246="إنتاج طبخة","",IFERROR(INDEX('بيانات الحركات'!E:E,MATCH(1245,'بيانات الحركات'!$G:$G,0)),""))</f>
        <v/>
      </c>
      <c r="F1246" s="3" t="str">
        <f>IFERROR(INDEX('بيانات الحركات'!F:F,MATCH(1245,'بيانات الحركات'!$G:$G,0)),"")</f>
        <v/>
      </c>
    </row>
    <row r="1247" spans="1:6" ht="21.95" customHeight="1">
      <c r="A1247" s="8" t="str">
        <f>IFERROR(INDEX('بيانات الحركات'!A:A,MATCH(1246,'بيانات الحركات'!$G:$G,0)),"")</f>
        <v/>
      </c>
      <c r="B1247" s="5" t="str">
        <f>IFERROR(INDEX('بيانات الحركات'!B:B,MATCH(1246,'بيانات الحركات'!$G:$G,0)),"")</f>
        <v/>
      </c>
      <c r="C1247" s="3" t="str">
        <f>IFERROR(INDEX('بيانات الحركات'!C:C,MATCH(1246,'بيانات الحركات'!$G:$G,0)),"")</f>
        <v/>
      </c>
      <c r="D1247" s="3" t="str">
        <f>IFERROR(INDEX('بيانات الحركات'!D:D,MATCH(1246,'بيانات الحركات'!$G:$G,0)),"")</f>
        <v/>
      </c>
      <c r="E1247" s="21" t="str">
        <f>IF($B1247="إنتاج طبخة","",IFERROR(INDEX('بيانات الحركات'!E:E,MATCH(1246,'بيانات الحركات'!$G:$G,0)),""))</f>
        <v/>
      </c>
      <c r="F1247" s="3" t="str">
        <f>IFERROR(INDEX('بيانات الحركات'!F:F,MATCH(1246,'بيانات الحركات'!$G:$G,0)),"")</f>
        <v/>
      </c>
    </row>
    <row r="1248" spans="1:6" ht="21.95" customHeight="1">
      <c r="A1248" s="8" t="str">
        <f>IFERROR(INDEX('بيانات الحركات'!A:A,MATCH(1247,'بيانات الحركات'!$G:$G,0)),"")</f>
        <v/>
      </c>
      <c r="B1248" s="5" t="str">
        <f>IFERROR(INDEX('بيانات الحركات'!B:B,MATCH(1247,'بيانات الحركات'!$G:$G,0)),"")</f>
        <v/>
      </c>
      <c r="C1248" s="3" t="str">
        <f>IFERROR(INDEX('بيانات الحركات'!C:C,MATCH(1247,'بيانات الحركات'!$G:$G,0)),"")</f>
        <v/>
      </c>
      <c r="D1248" s="3" t="str">
        <f>IFERROR(INDEX('بيانات الحركات'!D:D,MATCH(1247,'بيانات الحركات'!$G:$G,0)),"")</f>
        <v/>
      </c>
      <c r="E1248" s="21" t="str">
        <f>IF($B1248="إنتاج طبخة","",IFERROR(INDEX('بيانات الحركات'!E:E,MATCH(1247,'بيانات الحركات'!$G:$G,0)),""))</f>
        <v/>
      </c>
      <c r="F1248" s="3" t="str">
        <f>IFERROR(INDEX('بيانات الحركات'!F:F,MATCH(1247,'بيانات الحركات'!$G:$G,0)),"")</f>
        <v/>
      </c>
    </row>
    <row r="1249" spans="1:6" ht="21.95" customHeight="1">
      <c r="A1249" s="8" t="str">
        <f>IFERROR(INDEX('بيانات الحركات'!A:A,MATCH(1248,'بيانات الحركات'!$G:$G,0)),"")</f>
        <v/>
      </c>
      <c r="B1249" s="5" t="str">
        <f>IFERROR(INDEX('بيانات الحركات'!B:B,MATCH(1248,'بيانات الحركات'!$G:$G,0)),"")</f>
        <v/>
      </c>
      <c r="C1249" s="3" t="str">
        <f>IFERROR(INDEX('بيانات الحركات'!C:C,MATCH(1248,'بيانات الحركات'!$G:$G,0)),"")</f>
        <v/>
      </c>
      <c r="D1249" s="3" t="str">
        <f>IFERROR(INDEX('بيانات الحركات'!D:D,MATCH(1248,'بيانات الحركات'!$G:$G,0)),"")</f>
        <v/>
      </c>
      <c r="E1249" s="21" t="str">
        <f>IF($B1249="إنتاج طبخة","",IFERROR(INDEX('بيانات الحركات'!E:E,MATCH(1248,'بيانات الحركات'!$G:$G,0)),""))</f>
        <v/>
      </c>
      <c r="F1249" s="3" t="str">
        <f>IFERROR(INDEX('بيانات الحركات'!F:F,MATCH(1248,'بيانات الحركات'!$G:$G,0)),"")</f>
        <v/>
      </c>
    </row>
    <row r="1250" spans="1:6" ht="21.95" customHeight="1">
      <c r="A1250" s="8" t="str">
        <f>IFERROR(INDEX('بيانات الحركات'!A:A,MATCH(1249,'بيانات الحركات'!$G:$G,0)),"")</f>
        <v/>
      </c>
      <c r="B1250" s="5" t="str">
        <f>IFERROR(INDEX('بيانات الحركات'!B:B,MATCH(1249,'بيانات الحركات'!$G:$G,0)),"")</f>
        <v/>
      </c>
      <c r="C1250" s="3" t="str">
        <f>IFERROR(INDEX('بيانات الحركات'!C:C,MATCH(1249,'بيانات الحركات'!$G:$G,0)),"")</f>
        <v/>
      </c>
      <c r="D1250" s="3" t="str">
        <f>IFERROR(INDEX('بيانات الحركات'!D:D,MATCH(1249,'بيانات الحركات'!$G:$G,0)),"")</f>
        <v/>
      </c>
      <c r="E1250" s="21" t="str">
        <f>IF($B1250="إنتاج طبخة","",IFERROR(INDEX('بيانات الحركات'!E:E,MATCH(1249,'بيانات الحركات'!$G:$G,0)),""))</f>
        <v/>
      </c>
      <c r="F1250" s="3" t="str">
        <f>IFERROR(INDEX('بيانات الحركات'!F:F,MATCH(1249,'بيانات الحركات'!$G:$G,0)),"")</f>
        <v/>
      </c>
    </row>
    <row r="1251" spans="1:6" ht="21.95" customHeight="1">
      <c r="A1251" s="8" t="str">
        <f>IFERROR(INDEX('بيانات الحركات'!A:A,MATCH(1250,'بيانات الحركات'!$G:$G,0)),"")</f>
        <v/>
      </c>
      <c r="B1251" s="5" t="str">
        <f>IFERROR(INDEX('بيانات الحركات'!B:B,MATCH(1250,'بيانات الحركات'!$G:$G,0)),"")</f>
        <v/>
      </c>
      <c r="C1251" s="3" t="str">
        <f>IFERROR(INDEX('بيانات الحركات'!C:C,MATCH(1250,'بيانات الحركات'!$G:$G,0)),"")</f>
        <v/>
      </c>
      <c r="D1251" s="3" t="str">
        <f>IFERROR(INDEX('بيانات الحركات'!D:D,MATCH(1250,'بيانات الحركات'!$G:$G,0)),"")</f>
        <v/>
      </c>
      <c r="E1251" s="21" t="str">
        <f>IF($B1251="إنتاج طبخة","",IFERROR(INDEX('بيانات الحركات'!E:E,MATCH(1250,'بيانات الحركات'!$G:$G,0)),""))</f>
        <v/>
      </c>
      <c r="F1251" s="3" t="str">
        <f>IFERROR(INDEX('بيانات الحركات'!F:F,MATCH(1250,'بيانات الحركات'!$G:$G,0)),"")</f>
        <v/>
      </c>
    </row>
    <row r="1252" spans="1:6" ht="21.95" customHeight="1">
      <c r="A1252" s="8" t="str">
        <f>IFERROR(INDEX('بيانات الحركات'!A:A,MATCH(1251,'بيانات الحركات'!$G:$G,0)),"")</f>
        <v/>
      </c>
      <c r="B1252" s="5" t="str">
        <f>IFERROR(INDEX('بيانات الحركات'!B:B,MATCH(1251,'بيانات الحركات'!$G:$G,0)),"")</f>
        <v/>
      </c>
      <c r="C1252" s="3" t="str">
        <f>IFERROR(INDEX('بيانات الحركات'!C:C,MATCH(1251,'بيانات الحركات'!$G:$G,0)),"")</f>
        <v/>
      </c>
      <c r="D1252" s="3" t="str">
        <f>IFERROR(INDEX('بيانات الحركات'!D:D,MATCH(1251,'بيانات الحركات'!$G:$G,0)),"")</f>
        <v/>
      </c>
      <c r="E1252" s="21" t="str">
        <f>IF($B1252="إنتاج طبخة","",IFERROR(INDEX('بيانات الحركات'!E:E,MATCH(1251,'بيانات الحركات'!$G:$G,0)),""))</f>
        <v/>
      </c>
      <c r="F1252" s="3" t="str">
        <f>IFERROR(INDEX('بيانات الحركات'!F:F,MATCH(1251,'بيانات الحركات'!$G:$G,0)),"")</f>
        <v/>
      </c>
    </row>
    <row r="1253" spans="1:6" ht="21.95" customHeight="1">
      <c r="A1253" s="8" t="str">
        <f>IFERROR(INDEX('بيانات الحركات'!A:A,MATCH(1252,'بيانات الحركات'!$G:$G,0)),"")</f>
        <v/>
      </c>
      <c r="B1253" s="5" t="str">
        <f>IFERROR(INDEX('بيانات الحركات'!B:B,MATCH(1252,'بيانات الحركات'!$G:$G,0)),"")</f>
        <v/>
      </c>
      <c r="C1253" s="3" t="str">
        <f>IFERROR(INDEX('بيانات الحركات'!C:C,MATCH(1252,'بيانات الحركات'!$G:$G,0)),"")</f>
        <v/>
      </c>
      <c r="D1253" s="3" t="str">
        <f>IFERROR(INDEX('بيانات الحركات'!D:D,MATCH(1252,'بيانات الحركات'!$G:$G,0)),"")</f>
        <v/>
      </c>
      <c r="E1253" s="21" t="str">
        <f>IF($B1253="إنتاج طبخة","",IFERROR(INDEX('بيانات الحركات'!E:E,MATCH(1252,'بيانات الحركات'!$G:$G,0)),""))</f>
        <v/>
      </c>
      <c r="F1253" s="3" t="str">
        <f>IFERROR(INDEX('بيانات الحركات'!F:F,MATCH(1252,'بيانات الحركات'!$G:$G,0)),"")</f>
        <v/>
      </c>
    </row>
    <row r="1254" spans="1:6" ht="21.95" customHeight="1">
      <c r="A1254" s="8" t="str">
        <f>IFERROR(INDEX('بيانات الحركات'!A:A,MATCH(1253,'بيانات الحركات'!$G:$G,0)),"")</f>
        <v/>
      </c>
      <c r="B1254" s="5" t="str">
        <f>IFERROR(INDEX('بيانات الحركات'!B:B,MATCH(1253,'بيانات الحركات'!$G:$G,0)),"")</f>
        <v/>
      </c>
      <c r="C1254" s="3" t="str">
        <f>IFERROR(INDEX('بيانات الحركات'!C:C,MATCH(1253,'بيانات الحركات'!$G:$G,0)),"")</f>
        <v/>
      </c>
      <c r="D1254" s="3" t="str">
        <f>IFERROR(INDEX('بيانات الحركات'!D:D,MATCH(1253,'بيانات الحركات'!$G:$G,0)),"")</f>
        <v/>
      </c>
      <c r="E1254" s="21" t="str">
        <f>IF($B1254="إنتاج طبخة","",IFERROR(INDEX('بيانات الحركات'!E:E,MATCH(1253,'بيانات الحركات'!$G:$G,0)),""))</f>
        <v/>
      </c>
      <c r="F1254" s="3" t="str">
        <f>IFERROR(INDEX('بيانات الحركات'!F:F,MATCH(1253,'بيانات الحركات'!$G:$G,0)),"")</f>
        <v/>
      </c>
    </row>
    <row r="1255" spans="1:6" ht="21.95" customHeight="1">
      <c r="A1255" s="8" t="str">
        <f>IFERROR(INDEX('بيانات الحركات'!A:A,MATCH(1254,'بيانات الحركات'!$G:$G,0)),"")</f>
        <v/>
      </c>
      <c r="B1255" s="5" t="str">
        <f>IFERROR(INDEX('بيانات الحركات'!B:B,MATCH(1254,'بيانات الحركات'!$G:$G,0)),"")</f>
        <v/>
      </c>
      <c r="C1255" s="3" t="str">
        <f>IFERROR(INDEX('بيانات الحركات'!C:C,MATCH(1254,'بيانات الحركات'!$G:$G,0)),"")</f>
        <v/>
      </c>
      <c r="D1255" s="3" t="str">
        <f>IFERROR(INDEX('بيانات الحركات'!D:D,MATCH(1254,'بيانات الحركات'!$G:$G,0)),"")</f>
        <v/>
      </c>
      <c r="E1255" s="21" t="str">
        <f>IF($B1255="إنتاج طبخة","",IFERROR(INDEX('بيانات الحركات'!E:E,MATCH(1254,'بيانات الحركات'!$G:$G,0)),""))</f>
        <v/>
      </c>
      <c r="F1255" s="3" t="str">
        <f>IFERROR(INDEX('بيانات الحركات'!F:F,MATCH(1254,'بيانات الحركات'!$G:$G,0)),"")</f>
        <v/>
      </c>
    </row>
    <row r="1256" spans="1:6" ht="21.95" customHeight="1">
      <c r="A1256" s="8" t="str">
        <f>IFERROR(INDEX('بيانات الحركات'!A:A,MATCH(1255,'بيانات الحركات'!$G:$G,0)),"")</f>
        <v/>
      </c>
      <c r="B1256" s="5" t="str">
        <f>IFERROR(INDEX('بيانات الحركات'!B:B,MATCH(1255,'بيانات الحركات'!$G:$G,0)),"")</f>
        <v/>
      </c>
      <c r="C1256" s="3" t="str">
        <f>IFERROR(INDEX('بيانات الحركات'!C:C,MATCH(1255,'بيانات الحركات'!$G:$G,0)),"")</f>
        <v/>
      </c>
      <c r="D1256" s="3" t="str">
        <f>IFERROR(INDEX('بيانات الحركات'!D:D,MATCH(1255,'بيانات الحركات'!$G:$G,0)),"")</f>
        <v/>
      </c>
      <c r="E1256" s="21" t="str">
        <f>IF($B1256="إنتاج طبخة","",IFERROR(INDEX('بيانات الحركات'!E:E,MATCH(1255,'بيانات الحركات'!$G:$G,0)),""))</f>
        <v/>
      </c>
      <c r="F1256" s="3" t="str">
        <f>IFERROR(INDEX('بيانات الحركات'!F:F,MATCH(1255,'بيانات الحركات'!$G:$G,0)),"")</f>
        <v/>
      </c>
    </row>
    <row r="1257" spans="1:6" ht="21.95" customHeight="1">
      <c r="A1257" s="8" t="str">
        <f>IFERROR(INDEX('بيانات الحركات'!A:A,MATCH(1256,'بيانات الحركات'!$G:$G,0)),"")</f>
        <v/>
      </c>
      <c r="B1257" s="5" t="str">
        <f>IFERROR(INDEX('بيانات الحركات'!B:B,MATCH(1256,'بيانات الحركات'!$G:$G,0)),"")</f>
        <v/>
      </c>
      <c r="C1257" s="3" t="str">
        <f>IFERROR(INDEX('بيانات الحركات'!C:C,MATCH(1256,'بيانات الحركات'!$G:$G,0)),"")</f>
        <v/>
      </c>
      <c r="D1257" s="3" t="str">
        <f>IFERROR(INDEX('بيانات الحركات'!D:D,MATCH(1256,'بيانات الحركات'!$G:$G,0)),"")</f>
        <v/>
      </c>
      <c r="E1257" s="21" t="str">
        <f>IF($B1257="إنتاج طبخة","",IFERROR(INDEX('بيانات الحركات'!E:E,MATCH(1256,'بيانات الحركات'!$G:$G,0)),""))</f>
        <v/>
      </c>
      <c r="F1257" s="3" t="str">
        <f>IFERROR(INDEX('بيانات الحركات'!F:F,MATCH(1256,'بيانات الحركات'!$G:$G,0)),"")</f>
        <v/>
      </c>
    </row>
    <row r="1258" spans="1:6" ht="21.95" customHeight="1">
      <c r="A1258" s="8" t="str">
        <f>IFERROR(INDEX('بيانات الحركات'!A:A,MATCH(1257,'بيانات الحركات'!$G:$G,0)),"")</f>
        <v/>
      </c>
      <c r="B1258" s="5" t="str">
        <f>IFERROR(INDEX('بيانات الحركات'!B:B,MATCH(1257,'بيانات الحركات'!$G:$G,0)),"")</f>
        <v/>
      </c>
      <c r="C1258" s="3" t="str">
        <f>IFERROR(INDEX('بيانات الحركات'!C:C,MATCH(1257,'بيانات الحركات'!$G:$G,0)),"")</f>
        <v/>
      </c>
      <c r="D1258" s="3" t="str">
        <f>IFERROR(INDEX('بيانات الحركات'!D:D,MATCH(1257,'بيانات الحركات'!$G:$G,0)),"")</f>
        <v/>
      </c>
      <c r="E1258" s="21" t="str">
        <f>IF($B1258="إنتاج طبخة","",IFERROR(INDEX('بيانات الحركات'!E:E,MATCH(1257,'بيانات الحركات'!$G:$G,0)),""))</f>
        <v/>
      </c>
      <c r="F1258" s="3" t="str">
        <f>IFERROR(INDEX('بيانات الحركات'!F:F,MATCH(1257,'بيانات الحركات'!$G:$G,0)),"")</f>
        <v/>
      </c>
    </row>
    <row r="1259" spans="1:6" ht="21.95" customHeight="1">
      <c r="A1259" s="8" t="str">
        <f>IFERROR(INDEX('بيانات الحركات'!A:A,MATCH(1258,'بيانات الحركات'!$G:$G,0)),"")</f>
        <v/>
      </c>
      <c r="B1259" s="5" t="str">
        <f>IFERROR(INDEX('بيانات الحركات'!B:B,MATCH(1258,'بيانات الحركات'!$G:$G,0)),"")</f>
        <v/>
      </c>
      <c r="C1259" s="3" t="str">
        <f>IFERROR(INDEX('بيانات الحركات'!C:C,MATCH(1258,'بيانات الحركات'!$G:$G,0)),"")</f>
        <v/>
      </c>
      <c r="D1259" s="3" t="str">
        <f>IFERROR(INDEX('بيانات الحركات'!D:D,MATCH(1258,'بيانات الحركات'!$G:$G,0)),"")</f>
        <v/>
      </c>
      <c r="E1259" s="21" t="str">
        <f>IF($B1259="إنتاج طبخة","",IFERROR(INDEX('بيانات الحركات'!E:E,MATCH(1258,'بيانات الحركات'!$G:$G,0)),""))</f>
        <v/>
      </c>
      <c r="F1259" s="3" t="str">
        <f>IFERROR(INDEX('بيانات الحركات'!F:F,MATCH(1258,'بيانات الحركات'!$G:$G,0)),"")</f>
        <v/>
      </c>
    </row>
    <row r="1260" spans="1:6" ht="21.95" customHeight="1">
      <c r="A1260" s="8" t="str">
        <f>IFERROR(INDEX('بيانات الحركات'!A:A,MATCH(1259,'بيانات الحركات'!$G:$G,0)),"")</f>
        <v/>
      </c>
      <c r="B1260" s="5" t="str">
        <f>IFERROR(INDEX('بيانات الحركات'!B:B,MATCH(1259,'بيانات الحركات'!$G:$G,0)),"")</f>
        <v/>
      </c>
      <c r="C1260" s="3" t="str">
        <f>IFERROR(INDEX('بيانات الحركات'!C:C,MATCH(1259,'بيانات الحركات'!$G:$G,0)),"")</f>
        <v/>
      </c>
      <c r="D1260" s="3" t="str">
        <f>IFERROR(INDEX('بيانات الحركات'!D:D,MATCH(1259,'بيانات الحركات'!$G:$G,0)),"")</f>
        <v/>
      </c>
      <c r="E1260" s="21" t="str">
        <f>IF($B1260="إنتاج طبخة","",IFERROR(INDEX('بيانات الحركات'!E:E,MATCH(1259,'بيانات الحركات'!$G:$G,0)),""))</f>
        <v/>
      </c>
      <c r="F1260" s="3" t="str">
        <f>IFERROR(INDEX('بيانات الحركات'!F:F,MATCH(1259,'بيانات الحركات'!$G:$G,0)),"")</f>
        <v/>
      </c>
    </row>
    <row r="1261" spans="1:6" ht="21.95" customHeight="1">
      <c r="A1261" s="8" t="str">
        <f>IFERROR(INDEX('بيانات الحركات'!A:A,MATCH(1260,'بيانات الحركات'!$G:$G,0)),"")</f>
        <v/>
      </c>
      <c r="B1261" s="5" t="str">
        <f>IFERROR(INDEX('بيانات الحركات'!B:B,MATCH(1260,'بيانات الحركات'!$G:$G,0)),"")</f>
        <v/>
      </c>
      <c r="C1261" s="3" t="str">
        <f>IFERROR(INDEX('بيانات الحركات'!C:C,MATCH(1260,'بيانات الحركات'!$G:$G,0)),"")</f>
        <v/>
      </c>
      <c r="D1261" s="3" t="str">
        <f>IFERROR(INDEX('بيانات الحركات'!D:D,MATCH(1260,'بيانات الحركات'!$G:$G,0)),"")</f>
        <v/>
      </c>
      <c r="E1261" s="21" t="str">
        <f>IF($B1261="إنتاج طبخة","",IFERROR(INDEX('بيانات الحركات'!E:E,MATCH(1260,'بيانات الحركات'!$G:$G,0)),""))</f>
        <v/>
      </c>
      <c r="F1261" s="3" t="str">
        <f>IFERROR(INDEX('بيانات الحركات'!F:F,MATCH(1260,'بيانات الحركات'!$G:$G,0)),"")</f>
        <v/>
      </c>
    </row>
    <row r="1262" spans="1:6" ht="21.95" customHeight="1">
      <c r="A1262" s="8" t="str">
        <f>IFERROR(INDEX('بيانات الحركات'!A:A,MATCH(1261,'بيانات الحركات'!$G:$G,0)),"")</f>
        <v/>
      </c>
      <c r="B1262" s="5" t="str">
        <f>IFERROR(INDEX('بيانات الحركات'!B:B,MATCH(1261,'بيانات الحركات'!$G:$G,0)),"")</f>
        <v/>
      </c>
      <c r="C1262" s="3" t="str">
        <f>IFERROR(INDEX('بيانات الحركات'!C:C,MATCH(1261,'بيانات الحركات'!$G:$G,0)),"")</f>
        <v/>
      </c>
      <c r="D1262" s="3" t="str">
        <f>IFERROR(INDEX('بيانات الحركات'!D:D,MATCH(1261,'بيانات الحركات'!$G:$G,0)),"")</f>
        <v/>
      </c>
      <c r="E1262" s="21" t="str">
        <f>IF($B1262="إنتاج طبخة","",IFERROR(INDEX('بيانات الحركات'!E:E,MATCH(1261,'بيانات الحركات'!$G:$G,0)),""))</f>
        <v/>
      </c>
      <c r="F1262" s="3" t="str">
        <f>IFERROR(INDEX('بيانات الحركات'!F:F,MATCH(1261,'بيانات الحركات'!$G:$G,0)),"")</f>
        <v/>
      </c>
    </row>
    <row r="1263" spans="1:6" ht="21.95" customHeight="1">
      <c r="A1263" s="8" t="str">
        <f>IFERROR(INDEX('بيانات الحركات'!A:A,MATCH(1262,'بيانات الحركات'!$G:$G,0)),"")</f>
        <v/>
      </c>
      <c r="B1263" s="5" t="str">
        <f>IFERROR(INDEX('بيانات الحركات'!B:B,MATCH(1262,'بيانات الحركات'!$G:$G,0)),"")</f>
        <v/>
      </c>
      <c r="C1263" s="3" t="str">
        <f>IFERROR(INDEX('بيانات الحركات'!C:C,MATCH(1262,'بيانات الحركات'!$G:$G,0)),"")</f>
        <v/>
      </c>
      <c r="D1263" s="3" t="str">
        <f>IFERROR(INDEX('بيانات الحركات'!D:D,MATCH(1262,'بيانات الحركات'!$G:$G,0)),"")</f>
        <v/>
      </c>
      <c r="E1263" s="21" t="str">
        <f>IF($B1263="إنتاج طبخة","",IFERROR(INDEX('بيانات الحركات'!E:E,MATCH(1262,'بيانات الحركات'!$G:$G,0)),""))</f>
        <v/>
      </c>
      <c r="F1263" s="3" t="str">
        <f>IFERROR(INDEX('بيانات الحركات'!F:F,MATCH(1262,'بيانات الحركات'!$G:$G,0)),"")</f>
        <v/>
      </c>
    </row>
    <row r="1264" spans="1:6" ht="21.95" customHeight="1">
      <c r="A1264" s="8" t="str">
        <f>IFERROR(INDEX('بيانات الحركات'!A:A,MATCH(1263,'بيانات الحركات'!$G:$G,0)),"")</f>
        <v/>
      </c>
      <c r="B1264" s="5" t="str">
        <f>IFERROR(INDEX('بيانات الحركات'!B:B,MATCH(1263,'بيانات الحركات'!$G:$G,0)),"")</f>
        <v/>
      </c>
      <c r="C1264" s="3" t="str">
        <f>IFERROR(INDEX('بيانات الحركات'!C:C,MATCH(1263,'بيانات الحركات'!$G:$G,0)),"")</f>
        <v/>
      </c>
      <c r="D1264" s="3" t="str">
        <f>IFERROR(INDEX('بيانات الحركات'!D:D,MATCH(1263,'بيانات الحركات'!$G:$G,0)),"")</f>
        <v/>
      </c>
      <c r="E1264" s="21" t="str">
        <f>IF($B1264="إنتاج طبخة","",IFERROR(INDEX('بيانات الحركات'!E:E,MATCH(1263,'بيانات الحركات'!$G:$G,0)),""))</f>
        <v/>
      </c>
      <c r="F1264" s="3" t="str">
        <f>IFERROR(INDEX('بيانات الحركات'!F:F,MATCH(1263,'بيانات الحركات'!$G:$G,0)),"")</f>
        <v/>
      </c>
    </row>
    <row r="1265" spans="1:6" ht="21.95" customHeight="1">
      <c r="A1265" s="8" t="str">
        <f>IFERROR(INDEX('بيانات الحركات'!A:A,MATCH(1264,'بيانات الحركات'!$G:$G,0)),"")</f>
        <v/>
      </c>
      <c r="B1265" s="5" t="str">
        <f>IFERROR(INDEX('بيانات الحركات'!B:B,MATCH(1264,'بيانات الحركات'!$G:$G,0)),"")</f>
        <v/>
      </c>
      <c r="C1265" s="3" t="str">
        <f>IFERROR(INDEX('بيانات الحركات'!C:C,MATCH(1264,'بيانات الحركات'!$G:$G,0)),"")</f>
        <v/>
      </c>
      <c r="D1265" s="3" t="str">
        <f>IFERROR(INDEX('بيانات الحركات'!D:D,MATCH(1264,'بيانات الحركات'!$G:$G,0)),"")</f>
        <v/>
      </c>
      <c r="E1265" s="21" t="str">
        <f>IF($B1265="إنتاج طبخة","",IFERROR(INDEX('بيانات الحركات'!E:E,MATCH(1264,'بيانات الحركات'!$G:$G,0)),""))</f>
        <v/>
      </c>
      <c r="F1265" s="3" t="str">
        <f>IFERROR(INDEX('بيانات الحركات'!F:F,MATCH(1264,'بيانات الحركات'!$G:$G,0)),"")</f>
        <v/>
      </c>
    </row>
    <row r="1266" spans="1:6" ht="21.95" customHeight="1">
      <c r="A1266" s="8" t="str">
        <f>IFERROR(INDEX('بيانات الحركات'!A:A,MATCH(1265,'بيانات الحركات'!$G:$G,0)),"")</f>
        <v/>
      </c>
      <c r="B1266" s="5" t="str">
        <f>IFERROR(INDEX('بيانات الحركات'!B:B,MATCH(1265,'بيانات الحركات'!$G:$G,0)),"")</f>
        <v/>
      </c>
      <c r="C1266" s="3" t="str">
        <f>IFERROR(INDEX('بيانات الحركات'!C:C,MATCH(1265,'بيانات الحركات'!$G:$G,0)),"")</f>
        <v/>
      </c>
      <c r="D1266" s="3" t="str">
        <f>IFERROR(INDEX('بيانات الحركات'!D:D,MATCH(1265,'بيانات الحركات'!$G:$G,0)),"")</f>
        <v/>
      </c>
      <c r="E1266" s="21" t="str">
        <f>IF($B1266="إنتاج طبخة","",IFERROR(INDEX('بيانات الحركات'!E:E,MATCH(1265,'بيانات الحركات'!$G:$G,0)),""))</f>
        <v/>
      </c>
      <c r="F1266" s="3" t="str">
        <f>IFERROR(INDEX('بيانات الحركات'!F:F,MATCH(1265,'بيانات الحركات'!$G:$G,0)),"")</f>
        <v/>
      </c>
    </row>
    <row r="1267" spans="1:6" ht="21.95" customHeight="1">
      <c r="A1267" s="8" t="str">
        <f>IFERROR(INDEX('بيانات الحركات'!A:A,MATCH(1266,'بيانات الحركات'!$G:$G,0)),"")</f>
        <v/>
      </c>
      <c r="B1267" s="5" t="str">
        <f>IFERROR(INDEX('بيانات الحركات'!B:B,MATCH(1266,'بيانات الحركات'!$G:$G,0)),"")</f>
        <v/>
      </c>
      <c r="C1267" s="3" t="str">
        <f>IFERROR(INDEX('بيانات الحركات'!C:C,MATCH(1266,'بيانات الحركات'!$G:$G,0)),"")</f>
        <v/>
      </c>
      <c r="D1267" s="3" t="str">
        <f>IFERROR(INDEX('بيانات الحركات'!D:D,MATCH(1266,'بيانات الحركات'!$G:$G,0)),"")</f>
        <v/>
      </c>
      <c r="E1267" s="21" t="str">
        <f>IF($B1267="إنتاج طبخة","",IFERROR(INDEX('بيانات الحركات'!E:E,MATCH(1266,'بيانات الحركات'!$G:$G,0)),""))</f>
        <v/>
      </c>
      <c r="F1267" s="3" t="str">
        <f>IFERROR(INDEX('بيانات الحركات'!F:F,MATCH(1266,'بيانات الحركات'!$G:$G,0)),"")</f>
        <v/>
      </c>
    </row>
    <row r="1268" spans="1:6" ht="21.95" customHeight="1">
      <c r="A1268" s="8" t="str">
        <f>IFERROR(INDEX('بيانات الحركات'!A:A,MATCH(1267,'بيانات الحركات'!$G:$G,0)),"")</f>
        <v/>
      </c>
      <c r="B1268" s="5" t="str">
        <f>IFERROR(INDEX('بيانات الحركات'!B:B,MATCH(1267,'بيانات الحركات'!$G:$G,0)),"")</f>
        <v/>
      </c>
      <c r="C1268" s="3" t="str">
        <f>IFERROR(INDEX('بيانات الحركات'!C:C,MATCH(1267,'بيانات الحركات'!$G:$G,0)),"")</f>
        <v/>
      </c>
      <c r="D1268" s="3" t="str">
        <f>IFERROR(INDEX('بيانات الحركات'!D:D,MATCH(1267,'بيانات الحركات'!$G:$G,0)),"")</f>
        <v/>
      </c>
      <c r="E1268" s="21" t="str">
        <f>IF($B1268="إنتاج طبخة","",IFERROR(INDEX('بيانات الحركات'!E:E,MATCH(1267,'بيانات الحركات'!$G:$G,0)),""))</f>
        <v/>
      </c>
      <c r="F1268" s="3" t="str">
        <f>IFERROR(INDEX('بيانات الحركات'!F:F,MATCH(1267,'بيانات الحركات'!$G:$G,0)),"")</f>
        <v/>
      </c>
    </row>
    <row r="1269" spans="1:6" ht="21.95" customHeight="1">
      <c r="A1269" s="8" t="str">
        <f>IFERROR(INDEX('بيانات الحركات'!A:A,MATCH(1268,'بيانات الحركات'!$G:$G,0)),"")</f>
        <v/>
      </c>
      <c r="B1269" s="5" t="str">
        <f>IFERROR(INDEX('بيانات الحركات'!B:B,MATCH(1268,'بيانات الحركات'!$G:$G,0)),"")</f>
        <v/>
      </c>
      <c r="C1269" s="3" t="str">
        <f>IFERROR(INDEX('بيانات الحركات'!C:C,MATCH(1268,'بيانات الحركات'!$G:$G,0)),"")</f>
        <v/>
      </c>
      <c r="D1269" s="3" t="str">
        <f>IFERROR(INDEX('بيانات الحركات'!D:D,MATCH(1268,'بيانات الحركات'!$G:$G,0)),"")</f>
        <v/>
      </c>
      <c r="E1269" s="21" t="str">
        <f>IF($B1269="إنتاج طبخة","",IFERROR(INDEX('بيانات الحركات'!E:E,MATCH(1268,'بيانات الحركات'!$G:$G,0)),""))</f>
        <v/>
      </c>
      <c r="F1269" s="3" t="str">
        <f>IFERROR(INDEX('بيانات الحركات'!F:F,MATCH(1268,'بيانات الحركات'!$G:$G,0)),"")</f>
        <v/>
      </c>
    </row>
    <row r="1270" spans="1:6" ht="21.95" customHeight="1">
      <c r="A1270" s="8" t="str">
        <f>IFERROR(INDEX('بيانات الحركات'!A:A,MATCH(1269,'بيانات الحركات'!$G:$G,0)),"")</f>
        <v/>
      </c>
      <c r="B1270" s="5" t="str">
        <f>IFERROR(INDEX('بيانات الحركات'!B:B,MATCH(1269,'بيانات الحركات'!$G:$G,0)),"")</f>
        <v/>
      </c>
      <c r="C1270" s="3" t="str">
        <f>IFERROR(INDEX('بيانات الحركات'!C:C,MATCH(1269,'بيانات الحركات'!$G:$G,0)),"")</f>
        <v/>
      </c>
      <c r="D1270" s="3" t="str">
        <f>IFERROR(INDEX('بيانات الحركات'!D:D,MATCH(1269,'بيانات الحركات'!$G:$G,0)),"")</f>
        <v/>
      </c>
      <c r="E1270" s="21" t="str">
        <f>IF($B1270="إنتاج طبخة","",IFERROR(INDEX('بيانات الحركات'!E:E,MATCH(1269,'بيانات الحركات'!$G:$G,0)),""))</f>
        <v/>
      </c>
      <c r="F1270" s="3" t="str">
        <f>IFERROR(INDEX('بيانات الحركات'!F:F,MATCH(1269,'بيانات الحركات'!$G:$G,0)),"")</f>
        <v/>
      </c>
    </row>
    <row r="1271" spans="1:6" ht="21.95" customHeight="1">
      <c r="A1271" s="8" t="str">
        <f>IFERROR(INDEX('بيانات الحركات'!A:A,MATCH(1270,'بيانات الحركات'!$G:$G,0)),"")</f>
        <v/>
      </c>
      <c r="B1271" s="5" t="str">
        <f>IFERROR(INDEX('بيانات الحركات'!B:B,MATCH(1270,'بيانات الحركات'!$G:$G,0)),"")</f>
        <v/>
      </c>
      <c r="C1271" s="3" t="str">
        <f>IFERROR(INDEX('بيانات الحركات'!C:C,MATCH(1270,'بيانات الحركات'!$G:$G,0)),"")</f>
        <v/>
      </c>
      <c r="D1271" s="3" t="str">
        <f>IFERROR(INDEX('بيانات الحركات'!D:D,MATCH(1270,'بيانات الحركات'!$G:$G,0)),"")</f>
        <v/>
      </c>
      <c r="E1271" s="21" t="str">
        <f>IF($B1271="إنتاج طبخة","",IFERROR(INDEX('بيانات الحركات'!E:E,MATCH(1270,'بيانات الحركات'!$G:$G,0)),""))</f>
        <v/>
      </c>
      <c r="F1271" s="3" t="str">
        <f>IFERROR(INDEX('بيانات الحركات'!F:F,MATCH(1270,'بيانات الحركات'!$G:$G,0)),"")</f>
        <v/>
      </c>
    </row>
    <row r="1272" spans="1:6" ht="21.95" customHeight="1">
      <c r="A1272" s="8" t="str">
        <f>IFERROR(INDEX('بيانات الحركات'!A:A,MATCH(1271,'بيانات الحركات'!$G:$G,0)),"")</f>
        <v/>
      </c>
      <c r="B1272" s="5" t="str">
        <f>IFERROR(INDEX('بيانات الحركات'!B:B,MATCH(1271,'بيانات الحركات'!$G:$G,0)),"")</f>
        <v/>
      </c>
      <c r="C1272" s="3" t="str">
        <f>IFERROR(INDEX('بيانات الحركات'!C:C,MATCH(1271,'بيانات الحركات'!$G:$G,0)),"")</f>
        <v/>
      </c>
      <c r="D1272" s="3" t="str">
        <f>IFERROR(INDEX('بيانات الحركات'!D:D,MATCH(1271,'بيانات الحركات'!$G:$G,0)),"")</f>
        <v/>
      </c>
      <c r="E1272" s="21" t="str">
        <f>IF($B1272="إنتاج طبخة","",IFERROR(INDEX('بيانات الحركات'!E:E,MATCH(1271,'بيانات الحركات'!$G:$G,0)),""))</f>
        <v/>
      </c>
      <c r="F1272" s="3" t="str">
        <f>IFERROR(INDEX('بيانات الحركات'!F:F,MATCH(1271,'بيانات الحركات'!$G:$G,0)),"")</f>
        <v/>
      </c>
    </row>
    <row r="1273" spans="1:6" ht="21.95" customHeight="1">
      <c r="A1273" s="8" t="str">
        <f>IFERROR(INDEX('بيانات الحركات'!A:A,MATCH(1272,'بيانات الحركات'!$G:$G,0)),"")</f>
        <v/>
      </c>
      <c r="B1273" s="5" t="str">
        <f>IFERROR(INDEX('بيانات الحركات'!B:B,MATCH(1272,'بيانات الحركات'!$G:$G,0)),"")</f>
        <v/>
      </c>
      <c r="C1273" s="3" t="str">
        <f>IFERROR(INDEX('بيانات الحركات'!C:C,MATCH(1272,'بيانات الحركات'!$G:$G,0)),"")</f>
        <v/>
      </c>
      <c r="D1273" s="3" t="str">
        <f>IFERROR(INDEX('بيانات الحركات'!D:D,MATCH(1272,'بيانات الحركات'!$G:$G,0)),"")</f>
        <v/>
      </c>
      <c r="E1273" s="21" t="str">
        <f>IF($B1273="إنتاج طبخة","",IFERROR(INDEX('بيانات الحركات'!E:E,MATCH(1272,'بيانات الحركات'!$G:$G,0)),""))</f>
        <v/>
      </c>
      <c r="F1273" s="3" t="str">
        <f>IFERROR(INDEX('بيانات الحركات'!F:F,MATCH(1272,'بيانات الحركات'!$G:$G,0)),"")</f>
        <v/>
      </c>
    </row>
    <row r="1274" spans="1:6" ht="21.95" customHeight="1">
      <c r="A1274" s="8" t="str">
        <f>IFERROR(INDEX('بيانات الحركات'!A:A,MATCH(1273,'بيانات الحركات'!$G:$G,0)),"")</f>
        <v/>
      </c>
      <c r="B1274" s="5" t="str">
        <f>IFERROR(INDEX('بيانات الحركات'!B:B,MATCH(1273,'بيانات الحركات'!$G:$G,0)),"")</f>
        <v/>
      </c>
      <c r="C1274" s="3" t="str">
        <f>IFERROR(INDEX('بيانات الحركات'!C:C,MATCH(1273,'بيانات الحركات'!$G:$G,0)),"")</f>
        <v/>
      </c>
      <c r="D1274" s="3" t="str">
        <f>IFERROR(INDEX('بيانات الحركات'!D:D,MATCH(1273,'بيانات الحركات'!$G:$G,0)),"")</f>
        <v/>
      </c>
      <c r="E1274" s="21" t="str">
        <f>IF($B1274="إنتاج طبخة","",IFERROR(INDEX('بيانات الحركات'!E:E,MATCH(1273,'بيانات الحركات'!$G:$G,0)),""))</f>
        <v/>
      </c>
      <c r="F1274" s="3" t="str">
        <f>IFERROR(INDEX('بيانات الحركات'!F:F,MATCH(1273,'بيانات الحركات'!$G:$G,0)),"")</f>
        <v/>
      </c>
    </row>
    <row r="1275" spans="1:6" ht="21.95" customHeight="1">
      <c r="A1275" s="8" t="str">
        <f>IFERROR(INDEX('بيانات الحركات'!A:A,MATCH(1274,'بيانات الحركات'!$G:$G,0)),"")</f>
        <v/>
      </c>
      <c r="B1275" s="5" t="str">
        <f>IFERROR(INDEX('بيانات الحركات'!B:B,MATCH(1274,'بيانات الحركات'!$G:$G,0)),"")</f>
        <v/>
      </c>
      <c r="C1275" s="3" t="str">
        <f>IFERROR(INDEX('بيانات الحركات'!C:C,MATCH(1274,'بيانات الحركات'!$G:$G,0)),"")</f>
        <v/>
      </c>
      <c r="D1275" s="3" t="str">
        <f>IFERROR(INDEX('بيانات الحركات'!D:D,MATCH(1274,'بيانات الحركات'!$G:$G,0)),"")</f>
        <v/>
      </c>
      <c r="E1275" s="21" t="str">
        <f>IF($B1275="إنتاج طبخة","",IFERROR(INDEX('بيانات الحركات'!E:E,MATCH(1274,'بيانات الحركات'!$G:$G,0)),""))</f>
        <v/>
      </c>
      <c r="F1275" s="3" t="str">
        <f>IFERROR(INDEX('بيانات الحركات'!F:F,MATCH(1274,'بيانات الحركات'!$G:$G,0)),"")</f>
        <v/>
      </c>
    </row>
    <row r="1276" spans="1:6" ht="21.95" customHeight="1">
      <c r="A1276" s="8" t="str">
        <f>IFERROR(INDEX('بيانات الحركات'!A:A,MATCH(1275,'بيانات الحركات'!$G:$G,0)),"")</f>
        <v/>
      </c>
      <c r="B1276" s="5" t="str">
        <f>IFERROR(INDEX('بيانات الحركات'!B:B,MATCH(1275,'بيانات الحركات'!$G:$G,0)),"")</f>
        <v/>
      </c>
      <c r="C1276" s="3" t="str">
        <f>IFERROR(INDEX('بيانات الحركات'!C:C,MATCH(1275,'بيانات الحركات'!$G:$G,0)),"")</f>
        <v/>
      </c>
      <c r="D1276" s="3" t="str">
        <f>IFERROR(INDEX('بيانات الحركات'!D:D,MATCH(1275,'بيانات الحركات'!$G:$G,0)),"")</f>
        <v/>
      </c>
      <c r="E1276" s="21" t="str">
        <f>IF($B1276="إنتاج طبخة","",IFERROR(INDEX('بيانات الحركات'!E:E,MATCH(1275,'بيانات الحركات'!$G:$G,0)),""))</f>
        <v/>
      </c>
      <c r="F1276" s="3" t="str">
        <f>IFERROR(INDEX('بيانات الحركات'!F:F,MATCH(1275,'بيانات الحركات'!$G:$G,0)),"")</f>
        <v/>
      </c>
    </row>
    <row r="1277" spans="1:6" ht="21.95" customHeight="1">
      <c r="A1277" s="8" t="str">
        <f>IFERROR(INDEX('بيانات الحركات'!A:A,MATCH(1276,'بيانات الحركات'!$G:$G,0)),"")</f>
        <v/>
      </c>
      <c r="B1277" s="5" t="str">
        <f>IFERROR(INDEX('بيانات الحركات'!B:B,MATCH(1276,'بيانات الحركات'!$G:$G,0)),"")</f>
        <v/>
      </c>
      <c r="C1277" s="3" t="str">
        <f>IFERROR(INDEX('بيانات الحركات'!C:C,MATCH(1276,'بيانات الحركات'!$G:$G,0)),"")</f>
        <v/>
      </c>
      <c r="D1277" s="3" t="str">
        <f>IFERROR(INDEX('بيانات الحركات'!D:D,MATCH(1276,'بيانات الحركات'!$G:$G,0)),"")</f>
        <v/>
      </c>
      <c r="E1277" s="21" t="str">
        <f>IF($B1277="إنتاج طبخة","",IFERROR(INDEX('بيانات الحركات'!E:E,MATCH(1276,'بيانات الحركات'!$G:$G,0)),""))</f>
        <v/>
      </c>
      <c r="F1277" s="3" t="str">
        <f>IFERROR(INDEX('بيانات الحركات'!F:F,MATCH(1276,'بيانات الحركات'!$G:$G,0)),"")</f>
        <v/>
      </c>
    </row>
    <row r="1278" spans="1:6" ht="21.95" customHeight="1">
      <c r="A1278" s="8" t="str">
        <f>IFERROR(INDEX('بيانات الحركات'!A:A,MATCH(1277,'بيانات الحركات'!$G:$G,0)),"")</f>
        <v/>
      </c>
      <c r="B1278" s="5" t="str">
        <f>IFERROR(INDEX('بيانات الحركات'!B:B,MATCH(1277,'بيانات الحركات'!$G:$G,0)),"")</f>
        <v/>
      </c>
      <c r="C1278" s="3" t="str">
        <f>IFERROR(INDEX('بيانات الحركات'!C:C,MATCH(1277,'بيانات الحركات'!$G:$G,0)),"")</f>
        <v/>
      </c>
      <c r="D1278" s="3" t="str">
        <f>IFERROR(INDEX('بيانات الحركات'!D:D,MATCH(1277,'بيانات الحركات'!$G:$G,0)),"")</f>
        <v/>
      </c>
      <c r="E1278" s="21" t="str">
        <f>IF($B1278="إنتاج طبخة","",IFERROR(INDEX('بيانات الحركات'!E:E,MATCH(1277,'بيانات الحركات'!$G:$G,0)),""))</f>
        <v/>
      </c>
      <c r="F1278" s="3" t="str">
        <f>IFERROR(INDEX('بيانات الحركات'!F:F,MATCH(1277,'بيانات الحركات'!$G:$G,0)),"")</f>
        <v/>
      </c>
    </row>
    <row r="1279" spans="1:6" ht="21.95" customHeight="1">
      <c r="A1279" s="8" t="str">
        <f>IFERROR(INDEX('بيانات الحركات'!A:A,MATCH(1278,'بيانات الحركات'!$G:$G,0)),"")</f>
        <v/>
      </c>
      <c r="B1279" s="5" t="str">
        <f>IFERROR(INDEX('بيانات الحركات'!B:B,MATCH(1278,'بيانات الحركات'!$G:$G,0)),"")</f>
        <v/>
      </c>
      <c r="C1279" s="3" t="str">
        <f>IFERROR(INDEX('بيانات الحركات'!C:C,MATCH(1278,'بيانات الحركات'!$G:$G,0)),"")</f>
        <v/>
      </c>
      <c r="D1279" s="3" t="str">
        <f>IFERROR(INDEX('بيانات الحركات'!D:D,MATCH(1278,'بيانات الحركات'!$G:$G,0)),"")</f>
        <v/>
      </c>
      <c r="E1279" s="21" t="str">
        <f>IF($B1279="إنتاج طبخة","",IFERROR(INDEX('بيانات الحركات'!E:E,MATCH(1278,'بيانات الحركات'!$G:$G,0)),""))</f>
        <v/>
      </c>
      <c r="F1279" s="3" t="str">
        <f>IFERROR(INDEX('بيانات الحركات'!F:F,MATCH(1278,'بيانات الحركات'!$G:$G,0)),"")</f>
        <v/>
      </c>
    </row>
    <row r="1280" spans="1:6" ht="21.95" customHeight="1">
      <c r="A1280" s="8" t="str">
        <f>IFERROR(INDEX('بيانات الحركات'!A:A,MATCH(1279,'بيانات الحركات'!$G:$G,0)),"")</f>
        <v/>
      </c>
      <c r="B1280" s="5" t="str">
        <f>IFERROR(INDEX('بيانات الحركات'!B:B,MATCH(1279,'بيانات الحركات'!$G:$G,0)),"")</f>
        <v/>
      </c>
      <c r="C1280" s="3" t="str">
        <f>IFERROR(INDEX('بيانات الحركات'!C:C,MATCH(1279,'بيانات الحركات'!$G:$G,0)),"")</f>
        <v/>
      </c>
      <c r="D1280" s="3" t="str">
        <f>IFERROR(INDEX('بيانات الحركات'!D:D,MATCH(1279,'بيانات الحركات'!$G:$G,0)),"")</f>
        <v/>
      </c>
      <c r="E1280" s="21" t="str">
        <f>IF($B1280="إنتاج طبخة","",IFERROR(INDEX('بيانات الحركات'!E:E,MATCH(1279,'بيانات الحركات'!$G:$G,0)),""))</f>
        <v/>
      </c>
      <c r="F1280" s="3" t="str">
        <f>IFERROR(INDEX('بيانات الحركات'!F:F,MATCH(1279,'بيانات الحركات'!$G:$G,0)),"")</f>
        <v/>
      </c>
    </row>
    <row r="1281" spans="1:6" ht="21.95" customHeight="1">
      <c r="A1281" s="8" t="str">
        <f>IFERROR(INDEX('بيانات الحركات'!A:A,MATCH(1280,'بيانات الحركات'!$G:$G,0)),"")</f>
        <v/>
      </c>
      <c r="B1281" s="5" t="str">
        <f>IFERROR(INDEX('بيانات الحركات'!B:B,MATCH(1280,'بيانات الحركات'!$G:$G,0)),"")</f>
        <v/>
      </c>
      <c r="C1281" s="3" t="str">
        <f>IFERROR(INDEX('بيانات الحركات'!C:C,MATCH(1280,'بيانات الحركات'!$G:$G,0)),"")</f>
        <v/>
      </c>
      <c r="D1281" s="3" t="str">
        <f>IFERROR(INDEX('بيانات الحركات'!D:D,MATCH(1280,'بيانات الحركات'!$G:$G,0)),"")</f>
        <v/>
      </c>
      <c r="E1281" s="21" t="str">
        <f>IF($B1281="إنتاج طبخة","",IFERROR(INDEX('بيانات الحركات'!E:E,MATCH(1280,'بيانات الحركات'!$G:$G,0)),""))</f>
        <v/>
      </c>
      <c r="F1281" s="3" t="str">
        <f>IFERROR(INDEX('بيانات الحركات'!F:F,MATCH(1280,'بيانات الحركات'!$G:$G,0)),"")</f>
        <v/>
      </c>
    </row>
    <row r="1282" spans="1:6" ht="21.95" customHeight="1">
      <c r="A1282" s="8" t="str">
        <f>IFERROR(INDEX('بيانات الحركات'!A:A,MATCH(1281,'بيانات الحركات'!$G:$G,0)),"")</f>
        <v/>
      </c>
      <c r="B1282" s="5" t="str">
        <f>IFERROR(INDEX('بيانات الحركات'!B:B,MATCH(1281,'بيانات الحركات'!$G:$G,0)),"")</f>
        <v/>
      </c>
      <c r="C1282" s="3" t="str">
        <f>IFERROR(INDEX('بيانات الحركات'!C:C,MATCH(1281,'بيانات الحركات'!$G:$G,0)),"")</f>
        <v/>
      </c>
      <c r="D1282" s="3" t="str">
        <f>IFERROR(INDEX('بيانات الحركات'!D:D,MATCH(1281,'بيانات الحركات'!$G:$G,0)),"")</f>
        <v/>
      </c>
      <c r="E1282" s="21" t="str">
        <f>IF($B1282="إنتاج طبخة","",IFERROR(INDEX('بيانات الحركات'!E:E,MATCH(1281,'بيانات الحركات'!$G:$G,0)),""))</f>
        <v/>
      </c>
      <c r="F1282" s="3" t="str">
        <f>IFERROR(INDEX('بيانات الحركات'!F:F,MATCH(1281,'بيانات الحركات'!$G:$G,0)),"")</f>
        <v/>
      </c>
    </row>
    <row r="1283" spans="1:6" ht="21.95" customHeight="1">
      <c r="A1283" s="8" t="str">
        <f>IFERROR(INDEX('بيانات الحركات'!A:A,MATCH(1282,'بيانات الحركات'!$G:$G,0)),"")</f>
        <v/>
      </c>
      <c r="B1283" s="5" t="str">
        <f>IFERROR(INDEX('بيانات الحركات'!B:B,MATCH(1282,'بيانات الحركات'!$G:$G,0)),"")</f>
        <v/>
      </c>
      <c r="C1283" s="3" t="str">
        <f>IFERROR(INDEX('بيانات الحركات'!C:C,MATCH(1282,'بيانات الحركات'!$G:$G,0)),"")</f>
        <v/>
      </c>
      <c r="D1283" s="3" t="str">
        <f>IFERROR(INDEX('بيانات الحركات'!D:D,MATCH(1282,'بيانات الحركات'!$G:$G,0)),"")</f>
        <v/>
      </c>
      <c r="E1283" s="21" t="str">
        <f>IF($B1283="إنتاج طبخة","",IFERROR(INDEX('بيانات الحركات'!E:E,MATCH(1282,'بيانات الحركات'!$G:$G,0)),""))</f>
        <v/>
      </c>
      <c r="F1283" s="3" t="str">
        <f>IFERROR(INDEX('بيانات الحركات'!F:F,MATCH(1282,'بيانات الحركات'!$G:$G,0)),"")</f>
        <v/>
      </c>
    </row>
    <row r="1284" spans="1:6" ht="21.95" customHeight="1">
      <c r="A1284" s="8" t="str">
        <f>IFERROR(INDEX('بيانات الحركات'!A:A,MATCH(1283,'بيانات الحركات'!$G:$G,0)),"")</f>
        <v/>
      </c>
      <c r="B1284" s="5" t="str">
        <f>IFERROR(INDEX('بيانات الحركات'!B:B,MATCH(1283,'بيانات الحركات'!$G:$G,0)),"")</f>
        <v/>
      </c>
      <c r="C1284" s="3" t="str">
        <f>IFERROR(INDEX('بيانات الحركات'!C:C,MATCH(1283,'بيانات الحركات'!$G:$G,0)),"")</f>
        <v/>
      </c>
      <c r="D1284" s="3" t="str">
        <f>IFERROR(INDEX('بيانات الحركات'!D:D,MATCH(1283,'بيانات الحركات'!$G:$G,0)),"")</f>
        <v/>
      </c>
      <c r="E1284" s="21" t="str">
        <f>IF($B1284="إنتاج طبخة","",IFERROR(INDEX('بيانات الحركات'!E:E,MATCH(1283,'بيانات الحركات'!$G:$G,0)),""))</f>
        <v/>
      </c>
      <c r="F1284" s="3" t="str">
        <f>IFERROR(INDEX('بيانات الحركات'!F:F,MATCH(1283,'بيانات الحركات'!$G:$G,0)),"")</f>
        <v/>
      </c>
    </row>
    <row r="1285" spans="1:6" ht="21.95" customHeight="1">
      <c r="A1285" s="8" t="str">
        <f>IFERROR(INDEX('بيانات الحركات'!A:A,MATCH(1284,'بيانات الحركات'!$G:$G,0)),"")</f>
        <v/>
      </c>
      <c r="B1285" s="5" t="str">
        <f>IFERROR(INDEX('بيانات الحركات'!B:B,MATCH(1284,'بيانات الحركات'!$G:$G,0)),"")</f>
        <v/>
      </c>
      <c r="C1285" s="3" t="str">
        <f>IFERROR(INDEX('بيانات الحركات'!C:C,MATCH(1284,'بيانات الحركات'!$G:$G,0)),"")</f>
        <v/>
      </c>
      <c r="D1285" s="3" t="str">
        <f>IFERROR(INDEX('بيانات الحركات'!D:D,MATCH(1284,'بيانات الحركات'!$G:$G,0)),"")</f>
        <v/>
      </c>
      <c r="E1285" s="21" t="str">
        <f>IF($B1285="إنتاج طبخة","",IFERROR(INDEX('بيانات الحركات'!E:E,MATCH(1284,'بيانات الحركات'!$G:$G,0)),""))</f>
        <v/>
      </c>
      <c r="F1285" s="3" t="str">
        <f>IFERROR(INDEX('بيانات الحركات'!F:F,MATCH(1284,'بيانات الحركات'!$G:$G,0)),"")</f>
        <v/>
      </c>
    </row>
    <row r="1286" spans="1:6" ht="21.95" customHeight="1">
      <c r="A1286" s="8" t="str">
        <f>IFERROR(INDEX('بيانات الحركات'!A:A,MATCH(1285,'بيانات الحركات'!$G:$G,0)),"")</f>
        <v/>
      </c>
      <c r="B1286" s="5" t="str">
        <f>IFERROR(INDEX('بيانات الحركات'!B:B,MATCH(1285,'بيانات الحركات'!$G:$G,0)),"")</f>
        <v/>
      </c>
      <c r="C1286" s="3" t="str">
        <f>IFERROR(INDEX('بيانات الحركات'!C:C,MATCH(1285,'بيانات الحركات'!$G:$G,0)),"")</f>
        <v/>
      </c>
      <c r="D1286" s="3" t="str">
        <f>IFERROR(INDEX('بيانات الحركات'!D:D,MATCH(1285,'بيانات الحركات'!$G:$G,0)),"")</f>
        <v/>
      </c>
      <c r="E1286" s="21" t="str">
        <f>IF($B1286="إنتاج طبخة","",IFERROR(INDEX('بيانات الحركات'!E:E,MATCH(1285,'بيانات الحركات'!$G:$G,0)),""))</f>
        <v/>
      </c>
      <c r="F1286" s="3" t="str">
        <f>IFERROR(INDEX('بيانات الحركات'!F:F,MATCH(1285,'بيانات الحركات'!$G:$G,0)),"")</f>
        <v/>
      </c>
    </row>
    <row r="1287" spans="1:6" ht="21.95" customHeight="1">
      <c r="A1287" s="8" t="str">
        <f>IFERROR(INDEX('بيانات الحركات'!A:A,MATCH(1286,'بيانات الحركات'!$G:$G,0)),"")</f>
        <v/>
      </c>
      <c r="B1287" s="5" t="str">
        <f>IFERROR(INDEX('بيانات الحركات'!B:B,MATCH(1286,'بيانات الحركات'!$G:$G,0)),"")</f>
        <v/>
      </c>
      <c r="C1287" s="3" t="str">
        <f>IFERROR(INDEX('بيانات الحركات'!C:C,MATCH(1286,'بيانات الحركات'!$G:$G,0)),"")</f>
        <v/>
      </c>
      <c r="D1287" s="3" t="str">
        <f>IFERROR(INDEX('بيانات الحركات'!D:D,MATCH(1286,'بيانات الحركات'!$G:$G,0)),"")</f>
        <v/>
      </c>
      <c r="E1287" s="21" t="str">
        <f>IF($B1287="إنتاج طبخة","",IFERROR(INDEX('بيانات الحركات'!E:E,MATCH(1286,'بيانات الحركات'!$G:$G,0)),""))</f>
        <v/>
      </c>
      <c r="F1287" s="3" t="str">
        <f>IFERROR(INDEX('بيانات الحركات'!F:F,MATCH(1286,'بيانات الحركات'!$G:$G,0)),"")</f>
        <v/>
      </c>
    </row>
    <row r="1288" spans="1:6" ht="21.95" customHeight="1">
      <c r="A1288" s="8" t="str">
        <f>IFERROR(INDEX('بيانات الحركات'!A:A,MATCH(1287,'بيانات الحركات'!$G:$G,0)),"")</f>
        <v/>
      </c>
      <c r="B1288" s="5" t="str">
        <f>IFERROR(INDEX('بيانات الحركات'!B:B,MATCH(1287,'بيانات الحركات'!$G:$G,0)),"")</f>
        <v/>
      </c>
      <c r="C1288" s="3" t="str">
        <f>IFERROR(INDEX('بيانات الحركات'!C:C,MATCH(1287,'بيانات الحركات'!$G:$G,0)),"")</f>
        <v/>
      </c>
      <c r="D1288" s="3" t="str">
        <f>IFERROR(INDEX('بيانات الحركات'!D:D,MATCH(1287,'بيانات الحركات'!$G:$G,0)),"")</f>
        <v/>
      </c>
      <c r="E1288" s="21" t="str">
        <f>IF($B1288="إنتاج طبخة","",IFERROR(INDEX('بيانات الحركات'!E:E,MATCH(1287,'بيانات الحركات'!$G:$G,0)),""))</f>
        <v/>
      </c>
      <c r="F1288" s="3" t="str">
        <f>IFERROR(INDEX('بيانات الحركات'!F:F,MATCH(1287,'بيانات الحركات'!$G:$G,0)),"")</f>
        <v/>
      </c>
    </row>
    <row r="1289" spans="1:6" ht="21.95" customHeight="1">
      <c r="A1289" s="8" t="str">
        <f>IFERROR(INDEX('بيانات الحركات'!A:A,MATCH(1288,'بيانات الحركات'!$G:$G,0)),"")</f>
        <v/>
      </c>
      <c r="B1289" s="5" t="str">
        <f>IFERROR(INDEX('بيانات الحركات'!B:B,MATCH(1288,'بيانات الحركات'!$G:$G,0)),"")</f>
        <v/>
      </c>
      <c r="C1289" s="3" t="str">
        <f>IFERROR(INDEX('بيانات الحركات'!C:C,MATCH(1288,'بيانات الحركات'!$G:$G,0)),"")</f>
        <v/>
      </c>
      <c r="D1289" s="3" t="str">
        <f>IFERROR(INDEX('بيانات الحركات'!D:D,MATCH(1288,'بيانات الحركات'!$G:$G,0)),"")</f>
        <v/>
      </c>
      <c r="E1289" s="21" t="str">
        <f>IF($B1289="إنتاج طبخة","",IFERROR(INDEX('بيانات الحركات'!E:E,MATCH(1288,'بيانات الحركات'!$G:$G,0)),""))</f>
        <v/>
      </c>
      <c r="F1289" s="3" t="str">
        <f>IFERROR(INDEX('بيانات الحركات'!F:F,MATCH(1288,'بيانات الحركات'!$G:$G,0)),"")</f>
        <v/>
      </c>
    </row>
    <row r="1290" spans="1:6" ht="21.95" customHeight="1">
      <c r="A1290" s="8" t="str">
        <f>IFERROR(INDEX('بيانات الحركات'!A:A,MATCH(1289,'بيانات الحركات'!$G:$G,0)),"")</f>
        <v/>
      </c>
      <c r="B1290" s="5" t="str">
        <f>IFERROR(INDEX('بيانات الحركات'!B:B,MATCH(1289,'بيانات الحركات'!$G:$G,0)),"")</f>
        <v/>
      </c>
      <c r="C1290" s="3" t="str">
        <f>IFERROR(INDEX('بيانات الحركات'!C:C,MATCH(1289,'بيانات الحركات'!$G:$G,0)),"")</f>
        <v/>
      </c>
      <c r="D1290" s="3" t="str">
        <f>IFERROR(INDEX('بيانات الحركات'!D:D,MATCH(1289,'بيانات الحركات'!$G:$G,0)),"")</f>
        <v/>
      </c>
      <c r="E1290" s="21" t="str">
        <f>IF($B1290="إنتاج طبخة","",IFERROR(INDEX('بيانات الحركات'!E:E,MATCH(1289,'بيانات الحركات'!$G:$G,0)),""))</f>
        <v/>
      </c>
      <c r="F1290" s="3" t="str">
        <f>IFERROR(INDEX('بيانات الحركات'!F:F,MATCH(1289,'بيانات الحركات'!$G:$G,0)),"")</f>
        <v/>
      </c>
    </row>
    <row r="1291" spans="1:6" ht="21.95" customHeight="1">
      <c r="A1291" s="8" t="str">
        <f>IFERROR(INDEX('بيانات الحركات'!A:A,MATCH(1290,'بيانات الحركات'!$G:$G,0)),"")</f>
        <v/>
      </c>
      <c r="B1291" s="5" t="str">
        <f>IFERROR(INDEX('بيانات الحركات'!B:B,MATCH(1290,'بيانات الحركات'!$G:$G,0)),"")</f>
        <v/>
      </c>
      <c r="C1291" s="3" t="str">
        <f>IFERROR(INDEX('بيانات الحركات'!C:C,MATCH(1290,'بيانات الحركات'!$G:$G,0)),"")</f>
        <v/>
      </c>
      <c r="D1291" s="3" t="str">
        <f>IFERROR(INDEX('بيانات الحركات'!D:D,MATCH(1290,'بيانات الحركات'!$G:$G,0)),"")</f>
        <v/>
      </c>
      <c r="E1291" s="21" t="str">
        <f>IF($B1291="إنتاج طبخة","",IFERROR(INDEX('بيانات الحركات'!E:E,MATCH(1290,'بيانات الحركات'!$G:$G,0)),""))</f>
        <v/>
      </c>
      <c r="F1291" s="3" t="str">
        <f>IFERROR(INDEX('بيانات الحركات'!F:F,MATCH(1290,'بيانات الحركات'!$G:$G,0)),"")</f>
        <v/>
      </c>
    </row>
    <row r="1292" spans="1:6" ht="21.95" customHeight="1">
      <c r="A1292" s="8" t="str">
        <f>IFERROR(INDEX('بيانات الحركات'!A:A,MATCH(1291,'بيانات الحركات'!$G:$G,0)),"")</f>
        <v/>
      </c>
      <c r="B1292" s="5" t="str">
        <f>IFERROR(INDEX('بيانات الحركات'!B:B,MATCH(1291,'بيانات الحركات'!$G:$G,0)),"")</f>
        <v/>
      </c>
      <c r="C1292" s="3" t="str">
        <f>IFERROR(INDEX('بيانات الحركات'!C:C,MATCH(1291,'بيانات الحركات'!$G:$G,0)),"")</f>
        <v/>
      </c>
      <c r="D1292" s="3" t="str">
        <f>IFERROR(INDEX('بيانات الحركات'!D:D,MATCH(1291,'بيانات الحركات'!$G:$G,0)),"")</f>
        <v/>
      </c>
      <c r="E1292" s="21" t="str">
        <f>IF($B1292="إنتاج طبخة","",IFERROR(INDEX('بيانات الحركات'!E:E,MATCH(1291,'بيانات الحركات'!$G:$G,0)),""))</f>
        <v/>
      </c>
      <c r="F1292" s="3" t="str">
        <f>IFERROR(INDEX('بيانات الحركات'!F:F,MATCH(1291,'بيانات الحركات'!$G:$G,0)),"")</f>
        <v/>
      </c>
    </row>
    <row r="1293" spans="1:6" ht="21.95" customHeight="1">
      <c r="A1293" s="8" t="str">
        <f>IFERROR(INDEX('بيانات الحركات'!A:A,MATCH(1292,'بيانات الحركات'!$G:$G,0)),"")</f>
        <v/>
      </c>
      <c r="B1293" s="5" t="str">
        <f>IFERROR(INDEX('بيانات الحركات'!B:B,MATCH(1292,'بيانات الحركات'!$G:$G,0)),"")</f>
        <v/>
      </c>
      <c r="C1293" s="3" t="str">
        <f>IFERROR(INDEX('بيانات الحركات'!C:C,MATCH(1292,'بيانات الحركات'!$G:$G,0)),"")</f>
        <v/>
      </c>
      <c r="D1293" s="3" t="str">
        <f>IFERROR(INDEX('بيانات الحركات'!D:D,MATCH(1292,'بيانات الحركات'!$G:$G,0)),"")</f>
        <v/>
      </c>
      <c r="E1293" s="21" t="str">
        <f>IF($B1293="إنتاج طبخة","",IFERROR(INDEX('بيانات الحركات'!E:E,MATCH(1292,'بيانات الحركات'!$G:$G,0)),""))</f>
        <v/>
      </c>
      <c r="F1293" s="3" t="str">
        <f>IFERROR(INDEX('بيانات الحركات'!F:F,MATCH(1292,'بيانات الحركات'!$G:$G,0)),"")</f>
        <v/>
      </c>
    </row>
    <row r="1294" spans="1:6" ht="21.95" customHeight="1">
      <c r="A1294" s="8" t="str">
        <f>IFERROR(INDEX('بيانات الحركات'!A:A,MATCH(1293,'بيانات الحركات'!$G:$G,0)),"")</f>
        <v/>
      </c>
      <c r="B1294" s="5" t="str">
        <f>IFERROR(INDEX('بيانات الحركات'!B:B,MATCH(1293,'بيانات الحركات'!$G:$G,0)),"")</f>
        <v/>
      </c>
      <c r="C1294" s="3" t="str">
        <f>IFERROR(INDEX('بيانات الحركات'!C:C,MATCH(1293,'بيانات الحركات'!$G:$G,0)),"")</f>
        <v/>
      </c>
      <c r="D1294" s="3" t="str">
        <f>IFERROR(INDEX('بيانات الحركات'!D:D,MATCH(1293,'بيانات الحركات'!$G:$G,0)),"")</f>
        <v/>
      </c>
      <c r="E1294" s="21" t="str">
        <f>IF($B1294="إنتاج طبخة","",IFERROR(INDEX('بيانات الحركات'!E:E,MATCH(1293,'بيانات الحركات'!$G:$G,0)),""))</f>
        <v/>
      </c>
      <c r="F1294" s="3" t="str">
        <f>IFERROR(INDEX('بيانات الحركات'!F:F,MATCH(1293,'بيانات الحركات'!$G:$G,0)),"")</f>
        <v/>
      </c>
    </row>
    <row r="1295" spans="1:6" ht="21.95" customHeight="1">
      <c r="A1295" s="8" t="str">
        <f>IFERROR(INDEX('بيانات الحركات'!A:A,MATCH(1294,'بيانات الحركات'!$G:$G,0)),"")</f>
        <v/>
      </c>
      <c r="B1295" s="5" t="str">
        <f>IFERROR(INDEX('بيانات الحركات'!B:B,MATCH(1294,'بيانات الحركات'!$G:$G,0)),"")</f>
        <v/>
      </c>
      <c r="C1295" s="3" t="str">
        <f>IFERROR(INDEX('بيانات الحركات'!C:C,MATCH(1294,'بيانات الحركات'!$G:$G,0)),"")</f>
        <v/>
      </c>
      <c r="D1295" s="3" t="str">
        <f>IFERROR(INDEX('بيانات الحركات'!D:D,MATCH(1294,'بيانات الحركات'!$G:$G,0)),"")</f>
        <v/>
      </c>
      <c r="E1295" s="21" t="str">
        <f>IF($B1295="إنتاج طبخة","",IFERROR(INDEX('بيانات الحركات'!E:E,MATCH(1294,'بيانات الحركات'!$G:$G,0)),""))</f>
        <v/>
      </c>
      <c r="F1295" s="3" t="str">
        <f>IFERROR(INDEX('بيانات الحركات'!F:F,MATCH(1294,'بيانات الحركات'!$G:$G,0)),"")</f>
        <v/>
      </c>
    </row>
    <row r="1296" spans="1:6" ht="21.95" customHeight="1">
      <c r="A1296" s="8" t="str">
        <f>IFERROR(INDEX('بيانات الحركات'!A:A,MATCH(1295,'بيانات الحركات'!$G:$G,0)),"")</f>
        <v/>
      </c>
      <c r="B1296" s="5" t="str">
        <f>IFERROR(INDEX('بيانات الحركات'!B:B,MATCH(1295,'بيانات الحركات'!$G:$G,0)),"")</f>
        <v/>
      </c>
      <c r="C1296" s="3" t="str">
        <f>IFERROR(INDEX('بيانات الحركات'!C:C,MATCH(1295,'بيانات الحركات'!$G:$G,0)),"")</f>
        <v/>
      </c>
      <c r="D1296" s="3" t="str">
        <f>IFERROR(INDEX('بيانات الحركات'!D:D,MATCH(1295,'بيانات الحركات'!$G:$G,0)),"")</f>
        <v/>
      </c>
      <c r="E1296" s="21" t="str">
        <f>IF($B1296="إنتاج طبخة","",IFERROR(INDEX('بيانات الحركات'!E:E,MATCH(1295,'بيانات الحركات'!$G:$G,0)),""))</f>
        <v/>
      </c>
      <c r="F1296" s="3" t="str">
        <f>IFERROR(INDEX('بيانات الحركات'!F:F,MATCH(1295,'بيانات الحركات'!$G:$G,0)),"")</f>
        <v/>
      </c>
    </row>
    <row r="1297" spans="1:6" ht="21.95" customHeight="1">
      <c r="A1297" s="8" t="str">
        <f>IFERROR(INDEX('بيانات الحركات'!A:A,MATCH(1296,'بيانات الحركات'!$G:$G,0)),"")</f>
        <v/>
      </c>
      <c r="B1297" s="5" t="str">
        <f>IFERROR(INDEX('بيانات الحركات'!B:B,MATCH(1296,'بيانات الحركات'!$G:$G,0)),"")</f>
        <v/>
      </c>
      <c r="C1297" s="3" t="str">
        <f>IFERROR(INDEX('بيانات الحركات'!C:C,MATCH(1296,'بيانات الحركات'!$G:$G,0)),"")</f>
        <v/>
      </c>
      <c r="D1297" s="3" t="str">
        <f>IFERROR(INDEX('بيانات الحركات'!D:D,MATCH(1296,'بيانات الحركات'!$G:$G,0)),"")</f>
        <v/>
      </c>
      <c r="E1297" s="21" t="str">
        <f>IF($B1297="إنتاج طبخة","",IFERROR(INDEX('بيانات الحركات'!E:E,MATCH(1296,'بيانات الحركات'!$G:$G,0)),""))</f>
        <v/>
      </c>
      <c r="F1297" s="3" t="str">
        <f>IFERROR(INDEX('بيانات الحركات'!F:F,MATCH(1296,'بيانات الحركات'!$G:$G,0)),"")</f>
        <v/>
      </c>
    </row>
    <row r="1298" spans="1:6" ht="21.95" customHeight="1">
      <c r="A1298" s="8" t="str">
        <f>IFERROR(INDEX('بيانات الحركات'!A:A,MATCH(1297,'بيانات الحركات'!$G:$G,0)),"")</f>
        <v/>
      </c>
      <c r="B1298" s="5" t="str">
        <f>IFERROR(INDEX('بيانات الحركات'!B:B,MATCH(1297,'بيانات الحركات'!$G:$G,0)),"")</f>
        <v/>
      </c>
      <c r="C1298" s="3" t="str">
        <f>IFERROR(INDEX('بيانات الحركات'!C:C,MATCH(1297,'بيانات الحركات'!$G:$G,0)),"")</f>
        <v/>
      </c>
      <c r="D1298" s="3" t="str">
        <f>IFERROR(INDEX('بيانات الحركات'!D:D,MATCH(1297,'بيانات الحركات'!$G:$G,0)),"")</f>
        <v/>
      </c>
      <c r="E1298" s="21" t="str">
        <f>IF($B1298="إنتاج طبخة","",IFERROR(INDEX('بيانات الحركات'!E:E,MATCH(1297,'بيانات الحركات'!$G:$G,0)),""))</f>
        <v/>
      </c>
      <c r="F1298" s="3" t="str">
        <f>IFERROR(INDEX('بيانات الحركات'!F:F,MATCH(1297,'بيانات الحركات'!$G:$G,0)),"")</f>
        <v/>
      </c>
    </row>
    <row r="1299" spans="1:6" ht="21.95" customHeight="1">
      <c r="A1299" s="8" t="str">
        <f>IFERROR(INDEX('بيانات الحركات'!A:A,MATCH(1298,'بيانات الحركات'!$G:$G,0)),"")</f>
        <v/>
      </c>
      <c r="B1299" s="5" t="str">
        <f>IFERROR(INDEX('بيانات الحركات'!B:B,MATCH(1298,'بيانات الحركات'!$G:$G,0)),"")</f>
        <v/>
      </c>
      <c r="C1299" s="3" t="str">
        <f>IFERROR(INDEX('بيانات الحركات'!C:C,MATCH(1298,'بيانات الحركات'!$G:$G,0)),"")</f>
        <v/>
      </c>
      <c r="D1299" s="3" t="str">
        <f>IFERROR(INDEX('بيانات الحركات'!D:D,MATCH(1298,'بيانات الحركات'!$G:$G,0)),"")</f>
        <v/>
      </c>
      <c r="E1299" s="21" t="str">
        <f>IF($B1299="إنتاج طبخة","",IFERROR(INDEX('بيانات الحركات'!E:E,MATCH(1298,'بيانات الحركات'!$G:$G,0)),""))</f>
        <v/>
      </c>
      <c r="F1299" s="3" t="str">
        <f>IFERROR(INDEX('بيانات الحركات'!F:F,MATCH(1298,'بيانات الحركات'!$G:$G,0)),"")</f>
        <v/>
      </c>
    </row>
    <row r="1300" spans="1:6" ht="21.95" customHeight="1">
      <c r="A1300" s="8" t="str">
        <f>IFERROR(INDEX('بيانات الحركات'!A:A,MATCH(1299,'بيانات الحركات'!$G:$G,0)),"")</f>
        <v/>
      </c>
      <c r="B1300" s="5" t="str">
        <f>IFERROR(INDEX('بيانات الحركات'!B:B,MATCH(1299,'بيانات الحركات'!$G:$G,0)),"")</f>
        <v/>
      </c>
      <c r="C1300" s="3" t="str">
        <f>IFERROR(INDEX('بيانات الحركات'!C:C,MATCH(1299,'بيانات الحركات'!$G:$G,0)),"")</f>
        <v/>
      </c>
      <c r="D1300" s="3" t="str">
        <f>IFERROR(INDEX('بيانات الحركات'!D:D,MATCH(1299,'بيانات الحركات'!$G:$G,0)),"")</f>
        <v/>
      </c>
      <c r="E1300" s="21" t="str">
        <f>IF($B1300="إنتاج طبخة","",IFERROR(INDEX('بيانات الحركات'!E:E,MATCH(1299,'بيانات الحركات'!$G:$G,0)),""))</f>
        <v/>
      </c>
      <c r="F1300" s="3" t="str">
        <f>IFERROR(INDEX('بيانات الحركات'!F:F,MATCH(1299,'بيانات الحركات'!$G:$G,0)),"")</f>
        <v/>
      </c>
    </row>
    <row r="1301" spans="1:6" ht="21.95" customHeight="1">
      <c r="A1301" s="8" t="str">
        <f>IFERROR(INDEX('بيانات الحركات'!A:A,MATCH(1300,'بيانات الحركات'!$G:$G,0)),"")</f>
        <v/>
      </c>
      <c r="B1301" s="5" t="str">
        <f>IFERROR(INDEX('بيانات الحركات'!B:B,MATCH(1300,'بيانات الحركات'!$G:$G,0)),"")</f>
        <v/>
      </c>
      <c r="C1301" s="3" t="str">
        <f>IFERROR(INDEX('بيانات الحركات'!C:C,MATCH(1300,'بيانات الحركات'!$G:$G,0)),"")</f>
        <v/>
      </c>
      <c r="D1301" s="3" t="str">
        <f>IFERROR(INDEX('بيانات الحركات'!D:D,MATCH(1300,'بيانات الحركات'!$G:$G,0)),"")</f>
        <v/>
      </c>
      <c r="E1301" s="21" t="str">
        <f>IF($B1301="إنتاج طبخة","",IFERROR(INDEX('بيانات الحركات'!E:E,MATCH(1300,'بيانات الحركات'!$G:$G,0)),""))</f>
        <v/>
      </c>
      <c r="F1301" s="3" t="str">
        <f>IFERROR(INDEX('بيانات الحركات'!F:F,MATCH(1300,'بيانات الحركات'!$G:$G,0)),"")</f>
        <v/>
      </c>
    </row>
    <row r="1302" spans="1:6" ht="21.95" customHeight="1">
      <c r="A1302" s="8" t="str">
        <f>IFERROR(INDEX('بيانات الحركات'!A:A,MATCH(1301,'بيانات الحركات'!$G:$G,0)),"")</f>
        <v/>
      </c>
      <c r="B1302" s="5" t="str">
        <f>IFERROR(INDEX('بيانات الحركات'!B:B,MATCH(1301,'بيانات الحركات'!$G:$G,0)),"")</f>
        <v/>
      </c>
      <c r="C1302" s="3" t="str">
        <f>IFERROR(INDEX('بيانات الحركات'!C:C,MATCH(1301,'بيانات الحركات'!$G:$G,0)),"")</f>
        <v/>
      </c>
      <c r="D1302" s="3" t="str">
        <f>IFERROR(INDEX('بيانات الحركات'!D:D,MATCH(1301,'بيانات الحركات'!$G:$G,0)),"")</f>
        <v/>
      </c>
      <c r="E1302" s="21" t="str">
        <f>IF($B1302="إنتاج طبخة","",IFERROR(INDEX('بيانات الحركات'!E:E,MATCH(1301,'بيانات الحركات'!$G:$G,0)),""))</f>
        <v/>
      </c>
      <c r="F1302" s="3" t="str">
        <f>IFERROR(INDEX('بيانات الحركات'!F:F,MATCH(1301,'بيانات الحركات'!$G:$G,0)),"")</f>
        <v/>
      </c>
    </row>
    <row r="1303" spans="1:6" ht="21.95" customHeight="1">
      <c r="A1303" s="8" t="str">
        <f>IFERROR(INDEX('بيانات الحركات'!A:A,MATCH(1302,'بيانات الحركات'!$G:$G,0)),"")</f>
        <v/>
      </c>
      <c r="B1303" s="5" t="str">
        <f>IFERROR(INDEX('بيانات الحركات'!B:B,MATCH(1302,'بيانات الحركات'!$G:$G,0)),"")</f>
        <v/>
      </c>
      <c r="C1303" s="3" t="str">
        <f>IFERROR(INDEX('بيانات الحركات'!C:C,MATCH(1302,'بيانات الحركات'!$G:$G,0)),"")</f>
        <v/>
      </c>
      <c r="D1303" s="3" t="str">
        <f>IFERROR(INDEX('بيانات الحركات'!D:D,MATCH(1302,'بيانات الحركات'!$G:$G,0)),"")</f>
        <v/>
      </c>
      <c r="E1303" s="21" t="str">
        <f>IF($B1303="إنتاج طبخة","",IFERROR(INDEX('بيانات الحركات'!E:E,MATCH(1302,'بيانات الحركات'!$G:$G,0)),""))</f>
        <v/>
      </c>
      <c r="F1303" s="3" t="str">
        <f>IFERROR(INDEX('بيانات الحركات'!F:F,MATCH(1302,'بيانات الحركات'!$G:$G,0)),"")</f>
        <v/>
      </c>
    </row>
    <row r="1304" spans="1:6" ht="21.95" customHeight="1">
      <c r="A1304" s="8" t="str">
        <f>IFERROR(INDEX('بيانات الحركات'!A:A,MATCH(1303,'بيانات الحركات'!$G:$G,0)),"")</f>
        <v/>
      </c>
      <c r="B1304" s="5" t="str">
        <f>IFERROR(INDEX('بيانات الحركات'!B:B,MATCH(1303,'بيانات الحركات'!$G:$G,0)),"")</f>
        <v/>
      </c>
      <c r="C1304" s="3" t="str">
        <f>IFERROR(INDEX('بيانات الحركات'!C:C,MATCH(1303,'بيانات الحركات'!$G:$G,0)),"")</f>
        <v/>
      </c>
      <c r="D1304" s="3" t="str">
        <f>IFERROR(INDEX('بيانات الحركات'!D:D,MATCH(1303,'بيانات الحركات'!$G:$G,0)),"")</f>
        <v/>
      </c>
      <c r="E1304" s="21" t="str">
        <f>IF($B1304="إنتاج طبخة","",IFERROR(INDEX('بيانات الحركات'!E:E,MATCH(1303,'بيانات الحركات'!$G:$G,0)),""))</f>
        <v/>
      </c>
      <c r="F1304" s="3" t="str">
        <f>IFERROR(INDEX('بيانات الحركات'!F:F,MATCH(1303,'بيانات الحركات'!$G:$G,0)),"")</f>
        <v/>
      </c>
    </row>
    <row r="1305" spans="1:6" ht="21.95" customHeight="1">
      <c r="A1305" s="8" t="str">
        <f>IFERROR(INDEX('بيانات الحركات'!A:A,MATCH(1304,'بيانات الحركات'!$G:$G,0)),"")</f>
        <v/>
      </c>
      <c r="B1305" s="5" t="str">
        <f>IFERROR(INDEX('بيانات الحركات'!B:B,MATCH(1304,'بيانات الحركات'!$G:$G,0)),"")</f>
        <v/>
      </c>
      <c r="C1305" s="3" t="str">
        <f>IFERROR(INDEX('بيانات الحركات'!C:C,MATCH(1304,'بيانات الحركات'!$G:$G,0)),"")</f>
        <v/>
      </c>
      <c r="D1305" s="3" t="str">
        <f>IFERROR(INDEX('بيانات الحركات'!D:D,MATCH(1304,'بيانات الحركات'!$G:$G,0)),"")</f>
        <v/>
      </c>
      <c r="E1305" s="21" t="str">
        <f>IF($B1305="إنتاج طبخة","",IFERROR(INDEX('بيانات الحركات'!E:E,MATCH(1304,'بيانات الحركات'!$G:$G,0)),""))</f>
        <v/>
      </c>
      <c r="F1305" s="3" t="str">
        <f>IFERROR(INDEX('بيانات الحركات'!F:F,MATCH(1304,'بيانات الحركات'!$G:$G,0)),"")</f>
        <v/>
      </c>
    </row>
    <row r="1306" spans="1:6" ht="21.95" customHeight="1">
      <c r="A1306" s="8" t="str">
        <f>IFERROR(INDEX('بيانات الحركات'!A:A,MATCH(1305,'بيانات الحركات'!$G:$G,0)),"")</f>
        <v/>
      </c>
      <c r="B1306" s="5" t="str">
        <f>IFERROR(INDEX('بيانات الحركات'!B:B,MATCH(1305,'بيانات الحركات'!$G:$G,0)),"")</f>
        <v/>
      </c>
      <c r="C1306" s="3" t="str">
        <f>IFERROR(INDEX('بيانات الحركات'!C:C,MATCH(1305,'بيانات الحركات'!$G:$G,0)),"")</f>
        <v/>
      </c>
      <c r="D1306" s="3" t="str">
        <f>IFERROR(INDEX('بيانات الحركات'!D:D,MATCH(1305,'بيانات الحركات'!$G:$G,0)),"")</f>
        <v/>
      </c>
      <c r="E1306" s="21" t="str">
        <f>IF($B1306="إنتاج طبخة","",IFERROR(INDEX('بيانات الحركات'!E:E,MATCH(1305,'بيانات الحركات'!$G:$G,0)),""))</f>
        <v/>
      </c>
      <c r="F1306" s="3" t="str">
        <f>IFERROR(INDEX('بيانات الحركات'!F:F,MATCH(1305,'بيانات الحركات'!$G:$G,0)),"")</f>
        <v/>
      </c>
    </row>
    <row r="1307" spans="1:6" ht="21.95" customHeight="1">
      <c r="A1307" s="8" t="str">
        <f>IFERROR(INDEX('بيانات الحركات'!A:A,MATCH(1306,'بيانات الحركات'!$G:$G,0)),"")</f>
        <v/>
      </c>
      <c r="B1307" s="5" t="str">
        <f>IFERROR(INDEX('بيانات الحركات'!B:B,MATCH(1306,'بيانات الحركات'!$G:$G,0)),"")</f>
        <v/>
      </c>
      <c r="C1307" s="3" t="str">
        <f>IFERROR(INDEX('بيانات الحركات'!C:C,MATCH(1306,'بيانات الحركات'!$G:$G,0)),"")</f>
        <v/>
      </c>
      <c r="D1307" s="3" t="str">
        <f>IFERROR(INDEX('بيانات الحركات'!D:D,MATCH(1306,'بيانات الحركات'!$G:$G,0)),"")</f>
        <v/>
      </c>
      <c r="E1307" s="21" t="str">
        <f>IF($B1307="إنتاج طبخة","",IFERROR(INDEX('بيانات الحركات'!E:E,MATCH(1306,'بيانات الحركات'!$G:$G,0)),""))</f>
        <v/>
      </c>
      <c r="F1307" s="3" t="str">
        <f>IFERROR(INDEX('بيانات الحركات'!F:F,MATCH(1306,'بيانات الحركات'!$G:$G,0)),"")</f>
        <v/>
      </c>
    </row>
    <row r="1308" spans="1:6" ht="21.95" customHeight="1">
      <c r="A1308" s="8" t="str">
        <f>IFERROR(INDEX('بيانات الحركات'!A:A,MATCH(1307,'بيانات الحركات'!$G:$G,0)),"")</f>
        <v/>
      </c>
      <c r="B1308" s="5" t="str">
        <f>IFERROR(INDEX('بيانات الحركات'!B:B,MATCH(1307,'بيانات الحركات'!$G:$G,0)),"")</f>
        <v/>
      </c>
      <c r="C1308" s="3" t="str">
        <f>IFERROR(INDEX('بيانات الحركات'!C:C,MATCH(1307,'بيانات الحركات'!$G:$G,0)),"")</f>
        <v/>
      </c>
      <c r="D1308" s="3" t="str">
        <f>IFERROR(INDEX('بيانات الحركات'!D:D,MATCH(1307,'بيانات الحركات'!$G:$G,0)),"")</f>
        <v/>
      </c>
      <c r="E1308" s="21" t="str">
        <f>IF($B1308="إنتاج طبخة","",IFERROR(INDEX('بيانات الحركات'!E:E,MATCH(1307,'بيانات الحركات'!$G:$G,0)),""))</f>
        <v/>
      </c>
      <c r="F1308" s="3" t="str">
        <f>IFERROR(INDEX('بيانات الحركات'!F:F,MATCH(1307,'بيانات الحركات'!$G:$G,0)),"")</f>
        <v/>
      </c>
    </row>
    <row r="1309" spans="1:6" ht="21.95" customHeight="1">
      <c r="A1309" s="8" t="str">
        <f>IFERROR(INDEX('بيانات الحركات'!A:A,MATCH(1308,'بيانات الحركات'!$G:$G,0)),"")</f>
        <v/>
      </c>
      <c r="B1309" s="5" t="str">
        <f>IFERROR(INDEX('بيانات الحركات'!B:B,MATCH(1308,'بيانات الحركات'!$G:$G,0)),"")</f>
        <v/>
      </c>
      <c r="C1309" s="3" t="str">
        <f>IFERROR(INDEX('بيانات الحركات'!C:C,MATCH(1308,'بيانات الحركات'!$G:$G,0)),"")</f>
        <v/>
      </c>
      <c r="D1309" s="3" t="str">
        <f>IFERROR(INDEX('بيانات الحركات'!D:D,MATCH(1308,'بيانات الحركات'!$G:$G,0)),"")</f>
        <v/>
      </c>
      <c r="E1309" s="21" t="str">
        <f>IF($B1309="إنتاج طبخة","",IFERROR(INDEX('بيانات الحركات'!E:E,MATCH(1308,'بيانات الحركات'!$G:$G,0)),""))</f>
        <v/>
      </c>
      <c r="F1309" s="3" t="str">
        <f>IFERROR(INDEX('بيانات الحركات'!F:F,MATCH(1308,'بيانات الحركات'!$G:$G,0)),"")</f>
        <v/>
      </c>
    </row>
    <row r="1310" spans="1:6" ht="21.95" customHeight="1">
      <c r="A1310" s="8" t="str">
        <f>IFERROR(INDEX('بيانات الحركات'!A:A,MATCH(1309,'بيانات الحركات'!$G:$G,0)),"")</f>
        <v/>
      </c>
      <c r="B1310" s="5" t="str">
        <f>IFERROR(INDEX('بيانات الحركات'!B:B,MATCH(1309,'بيانات الحركات'!$G:$G,0)),"")</f>
        <v/>
      </c>
      <c r="C1310" s="3" t="str">
        <f>IFERROR(INDEX('بيانات الحركات'!C:C,MATCH(1309,'بيانات الحركات'!$G:$G,0)),"")</f>
        <v/>
      </c>
      <c r="D1310" s="3" t="str">
        <f>IFERROR(INDEX('بيانات الحركات'!D:D,MATCH(1309,'بيانات الحركات'!$G:$G,0)),"")</f>
        <v/>
      </c>
      <c r="E1310" s="21" t="str">
        <f>IF($B1310="إنتاج طبخة","",IFERROR(INDEX('بيانات الحركات'!E:E,MATCH(1309,'بيانات الحركات'!$G:$G,0)),""))</f>
        <v/>
      </c>
      <c r="F1310" s="3" t="str">
        <f>IFERROR(INDEX('بيانات الحركات'!F:F,MATCH(1309,'بيانات الحركات'!$G:$G,0)),"")</f>
        <v/>
      </c>
    </row>
    <row r="1311" spans="1:6" ht="21.95" customHeight="1">
      <c r="A1311" s="8" t="str">
        <f>IFERROR(INDEX('بيانات الحركات'!A:A,MATCH(1310,'بيانات الحركات'!$G:$G,0)),"")</f>
        <v/>
      </c>
      <c r="B1311" s="5" t="str">
        <f>IFERROR(INDEX('بيانات الحركات'!B:B,MATCH(1310,'بيانات الحركات'!$G:$G,0)),"")</f>
        <v/>
      </c>
      <c r="C1311" s="3" t="str">
        <f>IFERROR(INDEX('بيانات الحركات'!C:C,MATCH(1310,'بيانات الحركات'!$G:$G,0)),"")</f>
        <v/>
      </c>
      <c r="D1311" s="3" t="str">
        <f>IFERROR(INDEX('بيانات الحركات'!D:D,MATCH(1310,'بيانات الحركات'!$G:$G,0)),"")</f>
        <v/>
      </c>
      <c r="E1311" s="21" t="str">
        <f>IF($B1311="إنتاج طبخة","",IFERROR(INDEX('بيانات الحركات'!E:E,MATCH(1310,'بيانات الحركات'!$G:$G,0)),""))</f>
        <v/>
      </c>
      <c r="F1311" s="3" t="str">
        <f>IFERROR(INDEX('بيانات الحركات'!F:F,MATCH(1310,'بيانات الحركات'!$G:$G,0)),"")</f>
        <v/>
      </c>
    </row>
    <row r="1312" spans="1:6" ht="21.95" customHeight="1">
      <c r="A1312" s="8" t="str">
        <f>IFERROR(INDEX('بيانات الحركات'!A:A,MATCH(1311,'بيانات الحركات'!$G:$G,0)),"")</f>
        <v/>
      </c>
      <c r="B1312" s="5" t="str">
        <f>IFERROR(INDEX('بيانات الحركات'!B:B,MATCH(1311,'بيانات الحركات'!$G:$G,0)),"")</f>
        <v/>
      </c>
      <c r="C1312" s="3" t="str">
        <f>IFERROR(INDEX('بيانات الحركات'!C:C,MATCH(1311,'بيانات الحركات'!$G:$G,0)),"")</f>
        <v/>
      </c>
      <c r="D1312" s="3" t="str">
        <f>IFERROR(INDEX('بيانات الحركات'!D:D,MATCH(1311,'بيانات الحركات'!$G:$G,0)),"")</f>
        <v/>
      </c>
      <c r="E1312" s="21" t="str">
        <f>IF($B1312="إنتاج طبخة","",IFERROR(INDEX('بيانات الحركات'!E:E,MATCH(1311,'بيانات الحركات'!$G:$G,0)),""))</f>
        <v/>
      </c>
      <c r="F1312" s="3" t="str">
        <f>IFERROR(INDEX('بيانات الحركات'!F:F,MATCH(1311,'بيانات الحركات'!$G:$G,0)),"")</f>
        <v/>
      </c>
    </row>
    <row r="1313" spans="1:6" ht="21.95" customHeight="1">
      <c r="A1313" s="8" t="str">
        <f>IFERROR(INDEX('بيانات الحركات'!A:A,MATCH(1312,'بيانات الحركات'!$G:$G,0)),"")</f>
        <v/>
      </c>
      <c r="B1313" s="5" t="str">
        <f>IFERROR(INDEX('بيانات الحركات'!B:B,MATCH(1312,'بيانات الحركات'!$G:$G,0)),"")</f>
        <v/>
      </c>
      <c r="C1313" s="3" t="str">
        <f>IFERROR(INDEX('بيانات الحركات'!C:C,MATCH(1312,'بيانات الحركات'!$G:$G,0)),"")</f>
        <v/>
      </c>
      <c r="D1313" s="3" t="str">
        <f>IFERROR(INDEX('بيانات الحركات'!D:D,MATCH(1312,'بيانات الحركات'!$G:$G,0)),"")</f>
        <v/>
      </c>
      <c r="E1313" s="21" t="str">
        <f>IF($B1313="إنتاج طبخة","",IFERROR(INDEX('بيانات الحركات'!E:E,MATCH(1312,'بيانات الحركات'!$G:$G,0)),""))</f>
        <v/>
      </c>
      <c r="F1313" s="3" t="str">
        <f>IFERROR(INDEX('بيانات الحركات'!F:F,MATCH(1312,'بيانات الحركات'!$G:$G,0)),"")</f>
        <v/>
      </c>
    </row>
    <row r="1314" spans="1:6" ht="21.95" customHeight="1">
      <c r="A1314" s="8" t="str">
        <f>IFERROR(INDEX('بيانات الحركات'!A:A,MATCH(1313,'بيانات الحركات'!$G:$G,0)),"")</f>
        <v/>
      </c>
      <c r="B1314" s="5" t="str">
        <f>IFERROR(INDEX('بيانات الحركات'!B:B,MATCH(1313,'بيانات الحركات'!$G:$G,0)),"")</f>
        <v/>
      </c>
      <c r="C1314" s="3" t="str">
        <f>IFERROR(INDEX('بيانات الحركات'!C:C,MATCH(1313,'بيانات الحركات'!$G:$G,0)),"")</f>
        <v/>
      </c>
      <c r="D1314" s="3" t="str">
        <f>IFERROR(INDEX('بيانات الحركات'!D:D,MATCH(1313,'بيانات الحركات'!$G:$G,0)),"")</f>
        <v/>
      </c>
      <c r="E1314" s="21" t="str">
        <f>IF($B1314="إنتاج طبخة","",IFERROR(INDEX('بيانات الحركات'!E:E,MATCH(1313,'بيانات الحركات'!$G:$G,0)),""))</f>
        <v/>
      </c>
      <c r="F1314" s="3" t="str">
        <f>IFERROR(INDEX('بيانات الحركات'!F:F,MATCH(1313,'بيانات الحركات'!$G:$G,0)),"")</f>
        <v/>
      </c>
    </row>
    <row r="1315" spans="1:6" ht="21.95" customHeight="1">
      <c r="A1315" s="8" t="str">
        <f>IFERROR(INDEX('بيانات الحركات'!A:A,MATCH(1314,'بيانات الحركات'!$G:$G,0)),"")</f>
        <v/>
      </c>
      <c r="B1315" s="5" t="str">
        <f>IFERROR(INDEX('بيانات الحركات'!B:B,MATCH(1314,'بيانات الحركات'!$G:$G,0)),"")</f>
        <v/>
      </c>
      <c r="C1315" s="3" t="str">
        <f>IFERROR(INDEX('بيانات الحركات'!C:C,MATCH(1314,'بيانات الحركات'!$G:$G,0)),"")</f>
        <v/>
      </c>
      <c r="D1315" s="3" t="str">
        <f>IFERROR(INDEX('بيانات الحركات'!D:D,MATCH(1314,'بيانات الحركات'!$G:$G,0)),"")</f>
        <v/>
      </c>
      <c r="E1315" s="21" t="str">
        <f>IF($B1315="إنتاج طبخة","",IFERROR(INDEX('بيانات الحركات'!E:E,MATCH(1314,'بيانات الحركات'!$G:$G,0)),""))</f>
        <v/>
      </c>
      <c r="F1315" s="3" t="str">
        <f>IFERROR(INDEX('بيانات الحركات'!F:F,MATCH(1314,'بيانات الحركات'!$G:$G,0)),"")</f>
        <v/>
      </c>
    </row>
    <row r="1316" spans="1:6" ht="21.95" customHeight="1">
      <c r="A1316" s="8" t="str">
        <f>IFERROR(INDEX('بيانات الحركات'!A:A,MATCH(1315,'بيانات الحركات'!$G:$G,0)),"")</f>
        <v/>
      </c>
      <c r="B1316" s="5" t="str">
        <f>IFERROR(INDEX('بيانات الحركات'!B:B,MATCH(1315,'بيانات الحركات'!$G:$G,0)),"")</f>
        <v/>
      </c>
      <c r="C1316" s="3" t="str">
        <f>IFERROR(INDEX('بيانات الحركات'!C:C,MATCH(1315,'بيانات الحركات'!$G:$G,0)),"")</f>
        <v/>
      </c>
      <c r="D1316" s="3" t="str">
        <f>IFERROR(INDEX('بيانات الحركات'!D:D,MATCH(1315,'بيانات الحركات'!$G:$G,0)),"")</f>
        <v/>
      </c>
      <c r="E1316" s="21" t="str">
        <f>IF($B1316="إنتاج طبخة","",IFERROR(INDEX('بيانات الحركات'!E:E,MATCH(1315,'بيانات الحركات'!$G:$G,0)),""))</f>
        <v/>
      </c>
      <c r="F1316" s="3" t="str">
        <f>IFERROR(INDEX('بيانات الحركات'!F:F,MATCH(1315,'بيانات الحركات'!$G:$G,0)),"")</f>
        <v/>
      </c>
    </row>
    <row r="1317" spans="1:6" ht="21.95" customHeight="1">
      <c r="A1317" s="8" t="str">
        <f>IFERROR(INDEX('بيانات الحركات'!A:A,MATCH(1316,'بيانات الحركات'!$G:$G,0)),"")</f>
        <v/>
      </c>
      <c r="B1317" s="5" t="str">
        <f>IFERROR(INDEX('بيانات الحركات'!B:B,MATCH(1316,'بيانات الحركات'!$G:$G,0)),"")</f>
        <v/>
      </c>
      <c r="C1317" s="3" t="str">
        <f>IFERROR(INDEX('بيانات الحركات'!C:C,MATCH(1316,'بيانات الحركات'!$G:$G,0)),"")</f>
        <v/>
      </c>
      <c r="D1317" s="3" t="str">
        <f>IFERROR(INDEX('بيانات الحركات'!D:D,MATCH(1316,'بيانات الحركات'!$G:$G,0)),"")</f>
        <v/>
      </c>
      <c r="E1317" s="21" t="str">
        <f>IF($B1317="إنتاج طبخة","",IFERROR(INDEX('بيانات الحركات'!E:E,MATCH(1316,'بيانات الحركات'!$G:$G,0)),""))</f>
        <v/>
      </c>
      <c r="F1317" s="3" t="str">
        <f>IFERROR(INDEX('بيانات الحركات'!F:F,MATCH(1316,'بيانات الحركات'!$G:$G,0)),"")</f>
        <v/>
      </c>
    </row>
    <row r="1318" spans="1:6" ht="21.95" customHeight="1">
      <c r="A1318" s="8" t="str">
        <f>IFERROR(INDEX('بيانات الحركات'!A:A,MATCH(1317,'بيانات الحركات'!$G:$G,0)),"")</f>
        <v/>
      </c>
      <c r="B1318" s="5" t="str">
        <f>IFERROR(INDEX('بيانات الحركات'!B:B,MATCH(1317,'بيانات الحركات'!$G:$G,0)),"")</f>
        <v/>
      </c>
      <c r="C1318" s="3" t="str">
        <f>IFERROR(INDEX('بيانات الحركات'!C:C,MATCH(1317,'بيانات الحركات'!$G:$G,0)),"")</f>
        <v/>
      </c>
      <c r="D1318" s="3" t="str">
        <f>IFERROR(INDEX('بيانات الحركات'!D:D,MATCH(1317,'بيانات الحركات'!$G:$G,0)),"")</f>
        <v/>
      </c>
      <c r="E1318" s="21" t="str">
        <f>IF($B1318="إنتاج طبخة","",IFERROR(INDEX('بيانات الحركات'!E:E,MATCH(1317,'بيانات الحركات'!$G:$G,0)),""))</f>
        <v/>
      </c>
      <c r="F1318" s="3" t="str">
        <f>IFERROR(INDEX('بيانات الحركات'!F:F,MATCH(1317,'بيانات الحركات'!$G:$G,0)),"")</f>
        <v/>
      </c>
    </row>
    <row r="1319" spans="1:6" ht="21.95" customHeight="1">
      <c r="A1319" s="8" t="str">
        <f>IFERROR(INDEX('بيانات الحركات'!A:A,MATCH(1318,'بيانات الحركات'!$G:$G,0)),"")</f>
        <v/>
      </c>
      <c r="B1319" s="5" t="str">
        <f>IFERROR(INDEX('بيانات الحركات'!B:B,MATCH(1318,'بيانات الحركات'!$G:$G,0)),"")</f>
        <v/>
      </c>
      <c r="C1319" s="3" t="str">
        <f>IFERROR(INDEX('بيانات الحركات'!C:C,MATCH(1318,'بيانات الحركات'!$G:$G,0)),"")</f>
        <v/>
      </c>
      <c r="D1319" s="3" t="str">
        <f>IFERROR(INDEX('بيانات الحركات'!D:D,MATCH(1318,'بيانات الحركات'!$G:$G,0)),"")</f>
        <v/>
      </c>
      <c r="E1319" s="21" t="str">
        <f>IF($B1319="إنتاج طبخة","",IFERROR(INDEX('بيانات الحركات'!E:E,MATCH(1318,'بيانات الحركات'!$G:$G,0)),""))</f>
        <v/>
      </c>
      <c r="F1319" s="3" t="str">
        <f>IFERROR(INDEX('بيانات الحركات'!F:F,MATCH(1318,'بيانات الحركات'!$G:$G,0)),"")</f>
        <v/>
      </c>
    </row>
    <row r="1320" spans="1:6" ht="21.95" customHeight="1">
      <c r="A1320" s="8" t="str">
        <f>IFERROR(INDEX('بيانات الحركات'!A:A,MATCH(1319,'بيانات الحركات'!$G:$G,0)),"")</f>
        <v/>
      </c>
      <c r="B1320" s="5" t="str">
        <f>IFERROR(INDEX('بيانات الحركات'!B:B,MATCH(1319,'بيانات الحركات'!$G:$G,0)),"")</f>
        <v/>
      </c>
      <c r="C1320" s="3" t="str">
        <f>IFERROR(INDEX('بيانات الحركات'!C:C,MATCH(1319,'بيانات الحركات'!$G:$G,0)),"")</f>
        <v/>
      </c>
      <c r="D1320" s="3" t="str">
        <f>IFERROR(INDEX('بيانات الحركات'!D:D,MATCH(1319,'بيانات الحركات'!$G:$G,0)),"")</f>
        <v/>
      </c>
      <c r="E1320" s="21" t="str">
        <f>IF($B1320="إنتاج طبخة","",IFERROR(INDEX('بيانات الحركات'!E:E,MATCH(1319,'بيانات الحركات'!$G:$G,0)),""))</f>
        <v/>
      </c>
      <c r="F1320" s="3" t="str">
        <f>IFERROR(INDEX('بيانات الحركات'!F:F,MATCH(1319,'بيانات الحركات'!$G:$G,0)),"")</f>
        <v/>
      </c>
    </row>
    <row r="1321" spans="1:6" ht="21.95" customHeight="1">
      <c r="A1321" s="8" t="str">
        <f>IFERROR(INDEX('بيانات الحركات'!A:A,MATCH(1320,'بيانات الحركات'!$G:$G,0)),"")</f>
        <v/>
      </c>
      <c r="B1321" s="5" t="str">
        <f>IFERROR(INDEX('بيانات الحركات'!B:B,MATCH(1320,'بيانات الحركات'!$G:$G,0)),"")</f>
        <v/>
      </c>
      <c r="C1321" s="3" t="str">
        <f>IFERROR(INDEX('بيانات الحركات'!C:C,MATCH(1320,'بيانات الحركات'!$G:$G,0)),"")</f>
        <v/>
      </c>
      <c r="D1321" s="3" t="str">
        <f>IFERROR(INDEX('بيانات الحركات'!D:D,MATCH(1320,'بيانات الحركات'!$G:$G,0)),"")</f>
        <v/>
      </c>
      <c r="E1321" s="21" t="str">
        <f>IF($B1321="إنتاج طبخة","",IFERROR(INDEX('بيانات الحركات'!E:E,MATCH(1320,'بيانات الحركات'!$G:$G,0)),""))</f>
        <v/>
      </c>
      <c r="F1321" s="3" t="str">
        <f>IFERROR(INDEX('بيانات الحركات'!F:F,MATCH(1320,'بيانات الحركات'!$G:$G,0)),"")</f>
        <v/>
      </c>
    </row>
    <row r="1322" spans="1:6" ht="21.95" customHeight="1">
      <c r="A1322" s="8" t="str">
        <f>IFERROR(INDEX('بيانات الحركات'!A:A,MATCH(1321,'بيانات الحركات'!$G:$G,0)),"")</f>
        <v/>
      </c>
      <c r="B1322" s="5" t="str">
        <f>IFERROR(INDEX('بيانات الحركات'!B:B,MATCH(1321,'بيانات الحركات'!$G:$G,0)),"")</f>
        <v/>
      </c>
      <c r="C1322" s="3" t="str">
        <f>IFERROR(INDEX('بيانات الحركات'!C:C,MATCH(1321,'بيانات الحركات'!$G:$G,0)),"")</f>
        <v/>
      </c>
      <c r="D1322" s="3" t="str">
        <f>IFERROR(INDEX('بيانات الحركات'!D:D,MATCH(1321,'بيانات الحركات'!$G:$G,0)),"")</f>
        <v/>
      </c>
      <c r="E1322" s="21" t="str">
        <f>IF($B1322="إنتاج طبخة","",IFERROR(INDEX('بيانات الحركات'!E:E,MATCH(1321,'بيانات الحركات'!$G:$G,0)),""))</f>
        <v/>
      </c>
      <c r="F1322" s="3" t="str">
        <f>IFERROR(INDEX('بيانات الحركات'!F:F,MATCH(1321,'بيانات الحركات'!$G:$G,0)),"")</f>
        <v/>
      </c>
    </row>
    <row r="1323" spans="1:6" ht="21.95" customHeight="1">
      <c r="A1323" s="8" t="str">
        <f>IFERROR(INDEX('بيانات الحركات'!A:A,MATCH(1322,'بيانات الحركات'!$G:$G,0)),"")</f>
        <v/>
      </c>
      <c r="B1323" s="5" t="str">
        <f>IFERROR(INDEX('بيانات الحركات'!B:B,MATCH(1322,'بيانات الحركات'!$G:$G,0)),"")</f>
        <v/>
      </c>
      <c r="C1323" s="3" t="str">
        <f>IFERROR(INDEX('بيانات الحركات'!C:C,MATCH(1322,'بيانات الحركات'!$G:$G,0)),"")</f>
        <v/>
      </c>
      <c r="D1323" s="3" t="str">
        <f>IFERROR(INDEX('بيانات الحركات'!D:D,MATCH(1322,'بيانات الحركات'!$G:$G,0)),"")</f>
        <v/>
      </c>
      <c r="E1323" s="21" t="str">
        <f>IF($B1323="إنتاج طبخة","",IFERROR(INDEX('بيانات الحركات'!E:E,MATCH(1322,'بيانات الحركات'!$G:$G,0)),""))</f>
        <v/>
      </c>
      <c r="F1323" s="3" t="str">
        <f>IFERROR(INDEX('بيانات الحركات'!F:F,MATCH(1322,'بيانات الحركات'!$G:$G,0)),"")</f>
        <v/>
      </c>
    </row>
    <row r="1324" spans="1:6" ht="21.95" customHeight="1">
      <c r="A1324" s="8" t="str">
        <f>IFERROR(INDEX('بيانات الحركات'!A:A,MATCH(1323,'بيانات الحركات'!$G:$G,0)),"")</f>
        <v/>
      </c>
      <c r="B1324" s="5" t="str">
        <f>IFERROR(INDEX('بيانات الحركات'!B:B,MATCH(1323,'بيانات الحركات'!$G:$G,0)),"")</f>
        <v/>
      </c>
      <c r="C1324" s="3" t="str">
        <f>IFERROR(INDEX('بيانات الحركات'!C:C,MATCH(1323,'بيانات الحركات'!$G:$G,0)),"")</f>
        <v/>
      </c>
      <c r="D1324" s="3" t="str">
        <f>IFERROR(INDEX('بيانات الحركات'!D:D,MATCH(1323,'بيانات الحركات'!$G:$G,0)),"")</f>
        <v/>
      </c>
      <c r="E1324" s="21" t="str">
        <f>IF($B1324="إنتاج طبخة","",IFERROR(INDEX('بيانات الحركات'!E:E,MATCH(1323,'بيانات الحركات'!$G:$G,0)),""))</f>
        <v/>
      </c>
      <c r="F1324" s="3" t="str">
        <f>IFERROR(INDEX('بيانات الحركات'!F:F,MATCH(1323,'بيانات الحركات'!$G:$G,0)),"")</f>
        <v/>
      </c>
    </row>
    <row r="1325" spans="1:6" ht="21.95" customHeight="1">
      <c r="A1325" s="8" t="str">
        <f>IFERROR(INDEX('بيانات الحركات'!A:A,MATCH(1324,'بيانات الحركات'!$G:$G,0)),"")</f>
        <v/>
      </c>
      <c r="B1325" s="5" t="str">
        <f>IFERROR(INDEX('بيانات الحركات'!B:B,MATCH(1324,'بيانات الحركات'!$G:$G,0)),"")</f>
        <v/>
      </c>
      <c r="C1325" s="3" t="str">
        <f>IFERROR(INDEX('بيانات الحركات'!C:C,MATCH(1324,'بيانات الحركات'!$G:$G,0)),"")</f>
        <v/>
      </c>
      <c r="D1325" s="3" t="str">
        <f>IFERROR(INDEX('بيانات الحركات'!D:D,MATCH(1324,'بيانات الحركات'!$G:$G,0)),"")</f>
        <v/>
      </c>
      <c r="E1325" s="21" t="str">
        <f>IF($B1325="إنتاج طبخة","",IFERROR(INDEX('بيانات الحركات'!E:E,MATCH(1324,'بيانات الحركات'!$G:$G,0)),""))</f>
        <v/>
      </c>
      <c r="F1325" s="3" t="str">
        <f>IFERROR(INDEX('بيانات الحركات'!F:F,MATCH(1324,'بيانات الحركات'!$G:$G,0)),"")</f>
        <v/>
      </c>
    </row>
    <row r="1326" spans="1:6" ht="21.95" customHeight="1">
      <c r="A1326" s="8" t="str">
        <f>IFERROR(INDEX('بيانات الحركات'!A:A,MATCH(1325,'بيانات الحركات'!$G:$G,0)),"")</f>
        <v/>
      </c>
      <c r="B1326" s="5" t="str">
        <f>IFERROR(INDEX('بيانات الحركات'!B:B,MATCH(1325,'بيانات الحركات'!$G:$G,0)),"")</f>
        <v/>
      </c>
      <c r="C1326" s="3" t="str">
        <f>IFERROR(INDEX('بيانات الحركات'!C:C,MATCH(1325,'بيانات الحركات'!$G:$G,0)),"")</f>
        <v/>
      </c>
      <c r="D1326" s="3" t="str">
        <f>IFERROR(INDEX('بيانات الحركات'!D:D,MATCH(1325,'بيانات الحركات'!$G:$G,0)),"")</f>
        <v/>
      </c>
      <c r="E1326" s="21" t="str">
        <f>IF($B1326="إنتاج طبخة","",IFERROR(INDEX('بيانات الحركات'!E:E,MATCH(1325,'بيانات الحركات'!$G:$G,0)),""))</f>
        <v/>
      </c>
      <c r="F1326" s="3" t="str">
        <f>IFERROR(INDEX('بيانات الحركات'!F:F,MATCH(1325,'بيانات الحركات'!$G:$G,0)),"")</f>
        <v/>
      </c>
    </row>
    <row r="1327" spans="1:6" ht="21.95" customHeight="1">
      <c r="A1327" s="8" t="str">
        <f>IFERROR(INDEX('بيانات الحركات'!A:A,MATCH(1326,'بيانات الحركات'!$G:$G,0)),"")</f>
        <v/>
      </c>
      <c r="B1327" s="5" t="str">
        <f>IFERROR(INDEX('بيانات الحركات'!B:B,MATCH(1326,'بيانات الحركات'!$G:$G,0)),"")</f>
        <v/>
      </c>
      <c r="C1327" s="3" t="str">
        <f>IFERROR(INDEX('بيانات الحركات'!C:C,MATCH(1326,'بيانات الحركات'!$G:$G,0)),"")</f>
        <v/>
      </c>
      <c r="D1327" s="3" t="str">
        <f>IFERROR(INDEX('بيانات الحركات'!D:D,MATCH(1326,'بيانات الحركات'!$G:$G,0)),"")</f>
        <v/>
      </c>
      <c r="E1327" s="21" t="str">
        <f>IF($B1327="إنتاج طبخة","",IFERROR(INDEX('بيانات الحركات'!E:E,MATCH(1326,'بيانات الحركات'!$G:$G,0)),""))</f>
        <v/>
      </c>
      <c r="F1327" s="3" t="str">
        <f>IFERROR(INDEX('بيانات الحركات'!F:F,MATCH(1326,'بيانات الحركات'!$G:$G,0)),"")</f>
        <v/>
      </c>
    </row>
    <row r="1328" spans="1:6" ht="21.95" customHeight="1">
      <c r="A1328" s="8" t="str">
        <f>IFERROR(INDEX('بيانات الحركات'!A:A,MATCH(1327,'بيانات الحركات'!$G:$G,0)),"")</f>
        <v/>
      </c>
      <c r="B1328" s="5" t="str">
        <f>IFERROR(INDEX('بيانات الحركات'!B:B,MATCH(1327,'بيانات الحركات'!$G:$G,0)),"")</f>
        <v/>
      </c>
      <c r="C1328" s="3" t="str">
        <f>IFERROR(INDEX('بيانات الحركات'!C:C,MATCH(1327,'بيانات الحركات'!$G:$G,0)),"")</f>
        <v/>
      </c>
      <c r="D1328" s="3" t="str">
        <f>IFERROR(INDEX('بيانات الحركات'!D:D,MATCH(1327,'بيانات الحركات'!$G:$G,0)),"")</f>
        <v/>
      </c>
      <c r="E1328" s="21" t="str">
        <f>IF($B1328="إنتاج طبخة","",IFERROR(INDEX('بيانات الحركات'!E:E,MATCH(1327,'بيانات الحركات'!$G:$G,0)),""))</f>
        <v/>
      </c>
      <c r="F1328" s="3" t="str">
        <f>IFERROR(INDEX('بيانات الحركات'!F:F,MATCH(1327,'بيانات الحركات'!$G:$G,0)),"")</f>
        <v/>
      </c>
    </row>
    <row r="1329" spans="1:6" ht="21.95" customHeight="1">
      <c r="A1329" s="8" t="str">
        <f>IFERROR(INDEX('بيانات الحركات'!A:A,MATCH(1328,'بيانات الحركات'!$G:$G,0)),"")</f>
        <v/>
      </c>
      <c r="B1329" s="5" t="str">
        <f>IFERROR(INDEX('بيانات الحركات'!B:B,MATCH(1328,'بيانات الحركات'!$G:$G,0)),"")</f>
        <v/>
      </c>
      <c r="C1329" s="3" t="str">
        <f>IFERROR(INDEX('بيانات الحركات'!C:C,MATCH(1328,'بيانات الحركات'!$G:$G,0)),"")</f>
        <v/>
      </c>
      <c r="D1329" s="3" t="str">
        <f>IFERROR(INDEX('بيانات الحركات'!D:D,MATCH(1328,'بيانات الحركات'!$G:$G,0)),"")</f>
        <v/>
      </c>
      <c r="E1329" s="21" t="str">
        <f>IF($B1329="إنتاج طبخة","",IFERROR(INDEX('بيانات الحركات'!E:E,MATCH(1328,'بيانات الحركات'!$G:$G,0)),""))</f>
        <v/>
      </c>
      <c r="F1329" s="3" t="str">
        <f>IFERROR(INDEX('بيانات الحركات'!F:F,MATCH(1328,'بيانات الحركات'!$G:$G,0)),"")</f>
        <v/>
      </c>
    </row>
    <row r="1330" spans="1:6" ht="21.95" customHeight="1">
      <c r="A1330" s="8" t="str">
        <f>IFERROR(INDEX('بيانات الحركات'!A:A,MATCH(1329,'بيانات الحركات'!$G:$G,0)),"")</f>
        <v/>
      </c>
      <c r="B1330" s="5" t="str">
        <f>IFERROR(INDEX('بيانات الحركات'!B:B,MATCH(1329,'بيانات الحركات'!$G:$G,0)),"")</f>
        <v/>
      </c>
      <c r="C1330" s="3" t="str">
        <f>IFERROR(INDEX('بيانات الحركات'!C:C,MATCH(1329,'بيانات الحركات'!$G:$G,0)),"")</f>
        <v/>
      </c>
      <c r="D1330" s="3" t="str">
        <f>IFERROR(INDEX('بيانات الحركات'!D:D,MATCH(1329,'بيانات الحركات'!$G:$G,0)),"")</f>
        <v/>
      </c>
      <c r="E1330" s="21" t="str">
        <f>IF($B1330="إنتاج طبخة","",IFERROR(INDEX('بيانات الحركات'!E:E,MATCH(1329,'بيانات الحركات'!$G:$G,0)),""))</f>
        <v/>
      </c>
      <c r="F1330" s="3" t="str">
        <f>IFERROR(INDEX('بيانات الحركات'!F:F,MATCH(1329,'بيانات الحركات'!$G:$G,0)),"")</f>
        <v/>
      </c>
    </row>
    <row r="1331" spans="1:6" ht="21.95" customHeight="1">
      <c r="A1331" s="8" t="str">
        <f>IFERROR(INDEX('بيانات الحركات'!A:A,MATCH(1330,'بيانات الحركات'!$G:$G,0)),"")</f>
        <v/>
      </c>
      <c r="B1331" s="5" t="str">
        <f>IFERROR(INDEX('بيانات الحركات'!B:B,MATCH(1330,'بيانات الحركات'!$G:$G,0)),"")</f>
        <v/>
      </c>
      <c r="C1331" s="3" t="str">
        <f>IFERROR(INDEX('بيانات الحركات'!C:C,MATCH(1330,'بيانات الحركات'!$G:$G,0)),"")</f>
        <v/>
      </c>
      <c r="D1331" s="3" t="str">
        <f>IFERROR(INDEX('بيانات الحركات'!D:D,MATCH(1330,'بيانات الحركات'!$G:$G,0)),"")</f>
        <v/>
      </c>
      <c r="E1331" s="21" t="str">
        <f>IF($B1331="إنتاج طبخة","",IFERROR(INDEX('بيانات الحركات'!E:E,MATCH(1330,'بيانات الحركات'!$G:$G,0)),""))</f>
        <v/>
      </c>
      <c r="F1331" s="3" t="str">
        <f>IFERROR(INDEX('بيانات الحركات'!F:F,MATCH(1330,'بيانات الحركات'!$G:$G,0)),"")</f>
        <v/>
      </c>
    </row>
    <row r="1332" spans="1:6" ht="21.95" customHeight="1">
      <c r="A1332" s="8" t="str">
        <f>IFERROR(INDEX('بيانات الحركات'!A:A,MATCH(1331,'بيانات الحركات'!$G:$G,0)),"")</f>
        <v/>
      </c>
      <c r="B1332" s="5" t="str">
        <f>IFERROR(INDEX('بيانات الحركات'!B:B,MATCH(1331,'بيانات الحركات'!$G:$G,0)),"")</f>
        <v/>
      </c>
      <c r="C1332" s="3" t="str">
        <f>IFERROR(INDEX('بيانات الحركات'!C:C,MATCH(1331,'بيانات الحركات'!$G:$G,0)),"")</f>
        <v/>
      </c>
      <c r="D1332" s="3" t="str">
        <f>IFERROR(INDEX('بيانات الحركات'!D:D,MATCH(1331,'بيانات الحركات'!$G:$G,0)),"")</f>
        <v/>
      </c>
      <c r="E1332" s="21" t="str">
        <f>IF($B1332="إنتاج طبخة","",IFERROR(INDEX('بيانات الحركات'!E:E,MATCH(1331,'بيانات الحركات'!$G:$G,0)),""))</f>
        <v/>
      </c>
      <c r="F1332" s="3" t="str">
        <f>IFERROR(INDEX('بيانات الحركات'!F:F,MATCH(1331,'بيانات الحركات'!$G:$G,0)),"")</f>
        <v/>
      </c>
    </row>
    <row r="1333" spans="1:6" ht="21.95" customHeight="1">
      <c r="A1333" s="8" t="str">
        <f>IFERROR(INDEX('بيانات الحركات'!A:A,MATCH(1332,'بيانات الحركات'!$G:$G,0)),"")</f>
        <v/>
      </c>
      <c r="B1333" s="5" t="str">
        <f>IFERROR(INDEX('بيانات الحركات'!B:B,MATCH(1332,'بيانات الحركات'!$G:$G,0)),"")</f>
        <v/>
      </c>
      <c r="C1333" s="3" t="str">
        <f>IFERROR(INDEX('بيانات الحركات'!C:C,MATCH(1332,'بيانات الحركات'!$G:$G,0)),"")</f>
        <v/>
      </c>
      <c r="D1333" s="3" t="str">
        <f>IFERROR(INDEX('بيانات الحركات'!D:D,MATCH(1332,'بيانات الحركات'!$G:$G,0)),"")</f>
        <v/>
      </c>
      <c r="E1333" s="21" t="str">
        <f>IF($B1333="إنتاج طبخة","",IFERROR(INDEX('بيانات الحركات'!E:E,MATCH(1332,'بيانات الحركات'!$G:$G,0)),""))</f>
        <v/>
      </c>
      <c r="F1333" s="3" t="str">
        <f>IFERROR(INDEX('بيانات الحركات'!F:F,MATCH(1332,'بيانات الحركات'!$G:$G,0)),"")</f>
        <v/>
      </c>
    </row>
    <row r="1334" spans="1:6" ht="21.95" customHeight="1">
      <c r="A1334" s="8" t="str">
        <f>IFERROR(INDEX('بيانات الحركات'!A:A,MATCH(1333,'بيانات الحركات'!$G:$G,0)),"")</f>
        <v/>
      </c>
      <c r="B1334" s="5" t="str">
        <f>IFERROR(INDEX('بيانات الحركات'!B:B,MATCH(1333,'بيانات الحركات'!$G:$G,0)),"")</f>
        <v/>
      </c>
      <c r="C1334" s="3" t="str">
        <f>IFERROR(INDEX('بيانات الحركات'!C:C,MATCH(1333,'بيانات الحركات'!$G:$G,0)),"")</f>
        <v/>
      </c>
      <c r="D1334" s="3" t="str">
        <f>IFERROR(INDEX('بيانات الحركات'!D:D,MATCH(1333,'بيانات الحركات'!$G:$G,0)),"")</f>
        <v/>
      </c>
      <c r="E1334" s="21" t="str">
        <f>IF($B1334="إنتاج طبخة","",IFERROR(INDEX('بيانات الحركات'!E:E,MATCH(1333,'بيانات الحركات'!$G:$G,0)),""))</f>
        <v/>
      </c>
      <c r="F1334" s="3" t="str">
        <f>IFERROR(INDEX('بيانات الحركات'!F:F,MATCH(1333,'بيانات الحركات'!$G:$G,0)),"")</f>
        <v/>
      </c>
    </row>
    <row r="1335" spans="1:6" ht="21.95" customHeight="1">
      <c r="A1335" s="8" t="str">
        <f>IFERROR(INDEX('بيانات الحركات'!A:A,MATCH(1334,'بيانات الحركات'!$G:$G,0)),"")</f>
        <v/>
      </c>
      <c r="B1335" s="5" t="str">
        <f>IFERROR(INDEX('بيانات الحركات'!B:B,MATCH(1334,'بيانات الحركات'!$G:$G,0)),"")</f>
        <v/>
      </c>
      <c r="C1335" s="3" t="str">
        <f>IFERROR(INDEX('بيانات الحركات'!C:C,MATCH(1334,'بيانات الحركات'!$G:$G,0)),"")</f>
        <v/>
      </c>
      <c r="D1335" s="3" t="str">
        <f>IFERROR(INDEX('بيانات الحركات'!D:D,MATCH(1334,'بيانات الحركات'!$G:$G,0)),"")</f>
        <v/>
      </c>
      <c r="E1335" s="21" t="str">
        <f>IF($B1335="إنتاج طبخة","",IFERROR(INDEX('بيانات الحركات'!E:E,MATCH(1334,'بيانات الحركات'!$G:$G,0)),""))</f>
        <v/>
      </c>
      <c r="F1335" s="3" t="str">
        <f>IFERROR(INDEX('بيانات الحركات'!F:F,MATCH(1334,'بيانات الحركات'!$G:$G,0)),"")</f>
        <v/>
      </c>
    </row>
    <row r="1336" spans="1:6" ht="21.95" customHeight="1">
      <c r="A1336" s="8" t="str">
        <f>IFERROR(INDEX('بيانات الحركات'!A:A,MATCH(1335,'بيانات الحركات'!$G:$G,0)),"")</f>
        <v/>
      </c>
      <c r="B1336" s="5" t="str">
        <f>IFERROR(INDEX('بيانات الحركات'!B:B,MATCH(1335,'بيانات الحركات'!$G:$G,0)),"")</f>
        <v/>
      </c>
      <c r="C1336" s="3" t="str">
        <f>IFERROR(INDEX('بيانات الحركات'!C:C,MATCH(1335,'بيانات الحركات'!$G:$G,0)),"")</f>
        <v/>
      </c>
      <c r="D1336" s="3" t="str">
        <f>IFERROR(INDEX('بيانات الحركات'!D:D,MATCH(1335,'بيانات الحركات'!$G:$G,0)),"")</f>
        <v/>
      </c>
      <c r="E1336" s="21" t="str">
        <f>IF($B1336="إنتاج طبخة","",IFERROR(INDEX('بيانات الحركات'!E:E,MATCH(1335,'بيانات الحركات'!$G:$G,0)),""))</f>
        <v/>
      </c>
      <c r="F1336" s="3" t="str">
        <f>IFERROR(INDEX('بيانات الحركات'!F:F,MATCH(1335,'بيانات الحركات'!$G:$G,0)),"")</f>
        <v/>
      </c>
    </row>
    <row r="1337" spans="1:6" ht="21.95" customHeight="1">
      <c r="A1337" s="8" t="str">
        <f>IFERROR(INDEX('بيانات الحركات'!A:A,MATCH(1336,'بيانات الحركات'!$G:$G,0)),"")</f>
        <v/>
      </c>
      <c r="B1337" s="5" t="str">
        <f>IFERROR(INDEX('بيانات الحركات'!B:B,MATCH(1336,'بيانات الحركات'!$G:$G,0)),"")</f>
        <v/>
      </c>
      <c r="C1337" s="3" t="str">
        <f>IFERROR(INDEX('بيانات الحركات'!C:C,MATCH(1336,'بيانات الحركات'!$G:$G,0)),"")</f>
        <v/>
      </c>
      <c r="D1337" s="3" t="str">
        <f>IFERROR(INDEX('بيانات الحركات'!D:D,MATCH(1336,'بيانات الحركات'!$G:$G,0)),"")</f>
        <v/>
      </c>
      <c r="E1337" s="21" t="str">
        <f>IF($B1337="إنتاج طبخة","",IFERROR(INDEX('بيانات الحركات'!E:E,MATCH(1336,'بيانات الحركات'!$G:$G,0)),""))</f>
        <v/>
      </c>
      <c r="F1337" s="3" t="str">
        <f>IFERROR(INDEX('بيانات الحركات'!F:F,MATCH(1336,'بيانات الحركات'!$G:$G,0)),"")</f>
        <v/>
      </c>
    </row>
    <row r="1338" spans="1:6" ht="21.95" customHeight="1">
      <c r="A1338" s="8" t="str">
        <f>IFERROR(INDEX('بيانات الحركات'!A:A,MATCH(1337,'بيانات الحركات'!$G:$G,0)),"")</f>
        <v/>
      </c>
      <c r="B1338" s="5" t="str">
        <f>IFERROR(INDEX('بيانات الحركات'!B:B,MATCH(1337,'بيانات الحركات'!$G:$G,0)),"")</f>
        <v/>
      </c>
      <c r="C1338" s="3" t="str">
        <f>IFERROR(INDEX('بيانات الحركات'!C:C,MATCH(1337,'بيانات الحركات'!$G:$G,0)),"")</f>
        <v/>
      </c>
      <c r="D1338" s="3" t="str">
        <f>IFERROR(INDEX('بيانات الحركات'!D:D,MATCH(1337,'بيانات الحركات'!$G:$G,0)),"")</f>
        <v/>
      </c>
      <c r="E1338" s="21" t="str">
        <f>IF($B1338="إنتاج طبخة","",IFERROR(INDEX('بيانات الحركات'!E:E,MATCH(1337,'بيانات الحركات'!$G:$G,0)),""))</f>
        <v/>
      </c>
      <c r="F1338" s="3" t="str">
        <f>IFERROR(INDEX('بيانات الحركات'!F:F,MATCH(1337,'بيانات الحركات'!$G:$G,0)),"")</f>
        <v/>
      </c>
    </row>
    <row r="1339" spans="1:6" ht="21.95" customHeight="1">
      <c r="A1339" s="8" t="str">
        <f>IFERROR(INDEX('بيانات الحركات'!A:A,MATCH(1338,'بيانات الحركات'!$G:$G,0)),"")</f>
        <v/>
      </c>
      <c r="B1339" s="5" t="str">
        <f>IFERROR(INDEX('بيانات الحركات'!B:B,MATCH(1338,'بيانات الحركات'!$G:$G,0)),"")</f>
        <v/>
      </c>
      <c r="C1339" s="3" t="str">
        <f>IFERROR(INDEX('بيانات الحركات'!C:C,MATCH(1338,'بيانات الحركات'!$G:$G,0)),"")</f>
        <v/>
      </c>
      <c r="D1339" s="3" t="str">
        <f>IFERROR(INDEX('بيانات الحركات'!D:D,MATCH(1338,'بيانات الحركات'!$G:$G,0)),"")</f>
        <v/>
      </c>
      <c r="E1339" s="21" t="str">
        <f>IF($B1339="إنتاج طبخة","",IFERROR(INDEX('بيانات الحركات'!E:E,MATCH(1338,'بيانات الحركات'!$G:$G,0)),""))</f>
        <v/>
      </c>
      <c r="F1339" s="3" t="str">
        <f>IFERROR(INDEX('بيانات الحركات'!F:F,MATCH(1338,'بيانات الحركات'!$G:$G,0)),"")</f>
        <v/>
      </c>
    </row>
    <row r="1340" spans="1:6" ht="21.95" customHeight="1">
      <c r="A1340" s="8" t="str">
        <f>IFERROR(INDEX('بيانات الحركات'!A:A,MATCH(1339,'بيانات الحركات'!$G:$G,0)),"")</f>
        <v/>
      </c>
      <c r="B1340" s="5" t="str">
        <f>IFERROR(INDEX('بيانات الحركات'!B:B,MATCH(1339,'بيانات الحركات'!$G:$G,0)),"")</f>
        <v/>
      </c>
      <c r="C1340" s="3" t="str">
        <f>IFERROR(INDEX('بيانات الحركات'!C:C,MATCH(1339,'بيانات الحركات'!$G:$G,0)),"")</f>
        <v/>
      </c>
      <c r="D1340" s="3" t="str">
        <f>IFERROR(INDEX('بيانات الحركات'!D:D,MATCH(1339,'بيانات الحركات'!$G:$G,0)),"")</f>
        <v/>
      </c>
      <c r="E1340" s="21" t="str">
        <f>IF($B1340="إنتاج طبخة","",IFERROR(INDEX('بيانات الحركات'!E:E,MATCH(1339,'بيانات الحركات'!$G:$G,0)),""))</f>
        <v/>
      </c>
      <c r="F1340" s="3" t="str">
        <f>IFERROR(INDEX('بيانات الحركات'!F:F,MATCH(1339,'بيانات الحركات'!$G:$G,0)),"")</f>
        <v/>
      </c>
    </row>
    <row r="1341" spans="1:6" ht="21.95" customHeight="1">
      <c r="A1341" s="8" t="str">
        <f>IFERROR(INDEX('بيانات الحركات'!A:A,MATCH(1340,'بيانات الحركات'!$G:$G,0)),"")</f>
        <v/>
      </c>
      <c r="B1341" s="5" t="str">
        <f>IFERROR(INDEX('بيانات الحركات'!B:B,MATCH(1340,'بيانات الحركات'!$G:$G,0)),"")</f>
        <v/>
      </c>
      <c r="C1341" s="3" t="str">
        <f>IFERROR(INDEX('بيانات الحركات'!C:C,MATCH(1340,'بيانات الحركات'!$G:$G,0)),"")</f>
        <v/>
      </c>
      <c r="D1341" s="3" t="str">
        <f>IFERROR(INDEX('بيانات الحركات'!D:D,MATCH(1340,'بيانات الحركات'!$G:$G,0)),"")</f>
        <v/>
      </c>
      <c r="E1341" s="21" t="str">
        <f>IF($B1341="إنتاج طبخة","",IFERROR(INDEX('بيانات الحركات'!E:E,MATCH(1340,'بيانات الحركات'!$G:$G,0)),""))</f>
        <v/>
      </c>
      <c r="F1341" s="3" t="str">
        <f>IFERROR(INDEX('بيانات الحركات'!F:F,MATCH(1340,'بيانات الحركات'!$G:$G,0)),"")</f>
        <v/>
      </c>
    </row>
    <row r="1342" spans="1:6" ht="21.95" customHeight="1">
      <c r="A1342" s="8" t="str">
        <f>IFERROR(INDEX('بيانات الحركات'!A:A,MATCH(1341,'بيانات الحركات'!$G:$G,0)),"")</f>
        <v/>
      </c>
      <c r="B1342" s="5" t="str">
        <f>IFERROR(INDEX('بيانات الحركات'!B:B,MATCH(1341,'بيانات الحركات'!$G:$G,0)),"")</f>
        <v/>
      </c>
      <c r="C1342" s="3" t="str">
        <f>IFERROR(INDEX('بيانات الحركات'!C:C,MATCH(1341,'بيانات الحركات'!$G:$G,0)),"")</f>
        <v/>
      </c>
      <c r="D1342" s="3" t="str">
        <f>IFERROR(INDEX('بيانات الحركات'!D:D,MATCH(1341,'بيانات الحركات'!$G:$G,0)),"")</f>
        <v/>
      </c>
      <c r="E1342" s="21" t="str">
        <f>IF($B1342="إنتاج طبخة","",IFERROR(INDEX('بيانات الحركات'!E:E,MATCH(1341,'بيانات الحركات'!$G:$G,0)),""))</f>
        <v/>
      </c>
      <c r="F1342" s="3" t="str">
        <f>IFERROR(INDEX('بيانات الحركات'!F:F,MATCH(1341,'بيانات الحركات'!$G:$G,0)),"")</f>
        <v/>
      </c>
    </row>
    <row r="1343" spans="1:6" ht="21.95" customHeight="1">
      <c r="A1343" s="8" t="str">
        <f>IFERROR(INDEX('بيانات الحركات'!A:A,MATCH(1342,'بيانات الحركات'!$G:$G,0)),"")</f>
        <v/>
      </c>
      <c r="B1343" s="5" t="str">
        <f>IFERROR(INDEX('بيانات الحركات'!B:B,MATCH(1342,'بيانات الحركات'!$G:$G,0)),"")</f>
        <v/>
      </c>
      <c r="C1343" s="3" t="str">
        <f>IFERROR(INDEX('بيانات الحركات'!C:C,MATCH(1342,'بيانات الحركات'!$G:$G,0)),"")</f>
        <v/>
      </c>
      <c r="D1343" s="3" t="str">
        <f>IFERROR(INDEX('بيانات الحركات'!D:D,MATCH(1342,'بيانات الحركات'!$G:$G,0)),"")</f>
        <v/>
      </c>
      <c r="E1343" s="21" t="str">
        <f>IF($B1343="إنتاج طبخة","",IFERROR(INDEX('بيانات الحركات'!E:E,MATCH(1342,'بيانات الحركات'!$G:$G,0)),""))</f>
        <v/>
      </c>
      <c r="F1343" s="3" t="str">
        <f>IFERROR(INDEX('بيانات الحركات'!F:F,MATCH(1342,'بيانات الحركات'!$G:$G,0)),"")</f>
        <v/>
      </c>
    </row>
    <row r="1344" spans="1:6" ht="21.95" customHeight="1">
      <c r="A1344" s="8" t="str">
        <f>IFERROR(INDEX('بيانات الحركات'!A:A,MATCH(1343,'بيانات الحركات'!$G:$G,0)),"")</f>
        <v/>
      </c>
      <c r="B1344" s="5" t="str">
        <f>IFERROR(INDEX('بيانات الحركات'!B:B,MATCH(1343,'بيانات الحركات'!$G:$G,0)),"")</f>
        <v/>
      </c>
      <c r="C1344" s="3" t="str">
        <f>IFERROR(INDEX('بيانات الحركات'!C:C,MATCH(1343,'بيانات الحركات'!$G:$G,0)),"")</f>
        <v/>
      </c>
      <c r="D1344" s="3" t="str">
        <f>IFERROR(INDEX('بيانات الحركات'!D:D,MATCH(1343,'بيانات الحركات'!$G:$G,0)),"")</f>
        <v/>
      </c>
      <c r="E1344" s="21" t="str">
        <f>IF($B1344="إنتاج طبخة","",IFERROR(INDEX('بيانات الحركات'!E:E,MATCH(1343,'بيانات الحركات'!$G:$G,0)),""))</f>
        <v/>
      </c>
      <c r="F1344" s="3" t="str">
        <f>IFERROR(INDEX('بيانات الحركات'!F:F,MATCH(1343,'بيانات الحركات'!$G:$G,0)),"")</f>
        <v/>
      </c>
    </row>
    <row r="1345" spans="1:6" ht="21.95" customHeight="1">
      <c r="A1345" s="8" t="str">
        <f>IFERROR(INDEX('بيانات الحركات'!A:A,MATCH(1344,'بيانات الحركات'!$G:$G,0)),"")</f>
        <v/>
      </c>
      <c r="B1345" s="5" t="str">
        <f>IFERROR(INDEX('بيانات الحركات'!B:B,MATCH(1344,'بيانات الحركات'!$G:$G,0)),"")</f>
        <v/>
      </c>
      <c r="C1345" s="3" t="str">
        <f>IFERROR(INDEX('بيانات الحركات'!C:C,MATCH(1344,'بيانات الحركات'!$G:$G,0)),"")</f>
        <v/>
      </c>
      <c r="D1345" s="3" t="str">
        <f>IFERROR(INDEX('بيانات الحركات'!D:D,MATCH(1344,'بيانات الحركات'!$G:$G,0)),"")</f>
        <v/>
      </c>
      <c r="E1345" s="21" t="str">
        <f>IF($B1345="إنتاج طبخة","",IFERROR(INDEX('بيانات الحركات'!E:E,MATCH(1344,'بيانات الحركات'!$G:$G,0)),""))</f>
        <v/>
      </c>
      <c r="F1345" s="3" t="str">
        <f>IFERROR(INDEX('بيانات الحركات'!F:F,MATCH(1344,'بيانات الحركات'!$G:$G,0)),"")</f>
        <v/>
      </c>
    </row>
    <row r="1346" spans="1:6" ht="21.95" customHeight="1">
      <c r="A1346" s="8" t="str">
        <f>IFERROR(INDEX('بيانات الحركات'!A:A,MATCH(1345,'بيانات الحركات'!$G:$G,0)),"")</f>
        <v/>
      </c>
      <c r="B1346" s="5" t="str">
        <f>IFERROR(INDEX('بيانات الحركات'!B:B,MATCH(1345,'بيانات الحركات'!$G:$G,0)),"")</f>
        <v/>
      </c>
      <c r="C1346" s="3" t="str">
        <f>IFERROR(INDEX('بيانات الحركات'!C:C,MATCH(1345,'بيانات الحركات'!$G:$G,0)),"")</f>
        <v/>
      </c>
      <c r="D1346" s="3" t="str">
        <f>IFERROR(INDEX('بيانات الحركات'!D:D,MATCH(1345,'بيانات الحركات'!$G:$G,0)),"")</f>
        <v/>
      </c>
      <c r="E1346" s="21" t="str">
        <f>IF($B1346="إنتاج طبخة","",IFERROR(INDEX('بيانات الحركات'!E:E,MATCH(1345,'بيانات الحركات'!$G:$G,0)),""))</f>
        <v/>
      </c>
      <c r="F1346" s="3" t="str">
        <f>IFERROR(INDEX('بيانات الحركات'!F:F,MATCH(1345,'بيانات الحركات'!$G:$G,0)),"")</f>
        <v/>
      </c>
    </row>
    <row r="1347" spans="1:6" ht="21.95" customHeight="1">
      <c r="A1347" s="8" t="str">
        <f>IFERROR(INDEX('بيانات الحركات'!A:A,MATCH(1346,'بيانات الحركات'!$G:$G,0)),"")</f>
        <v/>
      </c>
      <c r="B1347" s="5" t="str">
        <f>IFERROR(INDEX('بيانات الحركات'!B:B,MATCH(1346,'بيانات الحركات'!$G:$G,0)),"")</f>
        <v/>
      </c>
      <c r="C1347" s="3" t="str">
        <f>IFERROR(INDEX('بيانات الحركات'!C:C,MATCH(1346,'بيانات الحركات'!$G:$G,0)),"")</f>
        <v/>
      </c>
      <c r="D1347" s="3" t="str">
        <f>IFERROR(INDEX('بيانات الحركات'!D:D,MATCH(1346,'بيانات الحركات'!$G:$G,0)),"")</f>
        <v/>
      </c>
      <c r="E1347" s="21" t="str">
        <f>IF($B1347="إنتاج طبخة","",IFERROR(INDEX('بيانات الحركات'!E:E,MATCH(1346,'بيانات الحركات'!$G:$G,0)),""))</f>
        <v/>
      </c>
      <c r="F1347" s="3" t="str">
        <f>IFERROR(INDEX('بيانات الحركات'!F:F,MATCH(1346,'بيانات الحركات'!$G:$G,0)),"")</f>
        <v/>
      </c>
    </row>
    <row r="1348" spans="1:6" ht="21.95" customHeight="1">
      <c r="A1348" s="8" t="str">
        <f>IFERROR(INDEX('بيانات الحركات'!A:A,MATCH(1347,'بيانات الحركات'!$G:$G,0)),"")</f>
        <v/>
      </c>
      <c r="B1348" s="5" t="str">
        <f>IFERROR(INDEX('بيانات الحركات'!B:B,MATCH(1347,'بيانات الحركات'!$G:$G,0)),"")</f>
        <v/>
      </c>
      <c r="C1348" s="3" t="str">
        <f>IFERROR(INDEX('بيانات الحركات'!C:C,MATCH(1347,'بيانات الحركات'!$G:$G,0)),"")</f>
        <v/>
      </c>
      <c r="D1348" s="3" t="str">
        <f>IFERROR(INDEX('بيانات الحركات'!D:D,MATCH(1347,'بيانات الحركات'!$G:$G,0)),"")</f>
        <v/>
      </c>
      <c r="E1348" s="21" t="str">
        <f>IF($B1348="إنتاج طبخة","",IFERROR(INDEX('بيانات الحركات'!E:E,MATCH(1347,'بيانات الحركات'!$G:$G,0)),""))</f>
        <v/>
      </c>
      <c r="F1348" s="3" t="str">
        <f>IFERROR(INDEX('بيانات الحركات'!F:F,MATCH(1347,'بيانات الحركات'!$G:$G,0)),"")</f>
        <v/>
      </c>
    </row>
    <row r="1349" spans="1:6" ht="21.95" customHeight="1">
      <c r="A1349" s="8" t="str">
        <f>IFERROR(INDEX('بيانات الحركات'!A:A,MATCH(1348,'بيانات الحركات'!$G:$G,0)),"")</f>
        <v/>
      </c>
      <c r="B1349" s="5" t="str">
        <f>IFERROR(INDEX('بيانات الحركات'!B:B,MATCH(1348,'بيانات الحركات'!$G:$G,0)),"")</f>
        <v/>
      </c>
      <c r="C1349" s="3" t="str">
        <f>IFERROR(INDEX('بيانات الحركات'!C:C,MATCH(1348,'بيانات الحركات'!$G:$G,0)),"")</f>
        <v/>
      </c>
      <c r="D1349" s="3" t="str">
        <f>IFERROR(INDEX('بيانات الحركات'!D:D,MATCH(1348,'بيانات الحركات'!$G:$G,0)),"")</f>
        <v/>
      </c>
      <c r="E1349" s="21" t="str">
        <f>IF($B1349="إنتاج طبخة","",IFERROR(INDEX('بيانات الحركات'!E:E,MATCH(1348,'بيانات الحركات'!$G:$G,0)),""))</f>
        <v/>
      </c>
      <c r="F1349" s="3" t="str">
        <f>IFERROR(INDEX('بيانات الحركات'!F:F,MATCH(1348,'بيانات الحركات'!$G:$G,0)),"")</f>
        <v/>
      </c>
    </row>
    <row r="1350" spans="1:6" ht="21.95" customHeight="1">
      <c r="A1350" s="8" t="str">
        <f>IFERROR(INDEX('بيانات الحركات'!A:A,MATCH(1349,'بيانات الحركات'!$G:$G,0)),"")</f>
        <v/>
      </c>
      <c r="B1350" s="5" t="str">
        <f>IFERROR(INDEX('بيانات الحركات'!B:B,MATCH(1349,'بيانات الحركات'!$G:$G,0)),"")</f>
        <v/>
      </c>
      <c r="C1350" s="3" t="str">
        <f>IFERROR(INDEX('بيانات الحركات'!C:C,MATCH(1349,'بيانات الحركات'!$G:$G,0)),"")</f>
        <v/>
      </c>
      <c r="D1350" s="3" t="str">
        <f>IFERROR(INDEX('بيانات الحركات'!D:D,MATCH(1349,'بيانات الحركات'!$G:$G,0)),"")</f>
        <v/>
      </c>
      <c r="E1350" s="21" t="str">
        <f>IF($B1350="إنتاج طبخة","",IFERROR(INDEX('بيانات الحركات'!E:E,MATCH(1349,'بيانات الحركات'!$G:$G,0)),""))</f>
        <v/>
      </c>
      <c r="F1350" s="3" t="str">
        <f>IFERROR(INDEX('بيانات الحركات'!F:F,MATCH(1349,'بيانات الحركات'!$G:$G,0)),"")</f>
        <v/>
      </c>
    </row>
    <row r="1351" spans="1:6" ht="21.95" customHeight="1">
      <c r="A1351" s="8" t="str">
        <f>IFERROR(INDEX('بيانات الحركات'!A:A,MATCH(1350,'بيانات الحركات'!$G:$G,0)),"")</f>
        <v/>
      </c>
      <c r="B1351" s="5" t="str">
        <f>IFERROR(INDEX('بيانات الحركات'!B:B,MATCH(1350,'بيانات الحركات'!$G:$G,0)),"")</f>
        <v/>
      </c>
      <c r="C1351" s="3" t="str">
        <f>IFERROR(INDEX('بيانات الحركات'!C:C,MATCH(1350,'بيانات الحركات'!$G:$G,0)),"")</f>
        <v/>
      </c>
      <c r="D1351" s="3" t="str">
        <f>IFERROR(INDEX('بيانات الحركات'!D:D,MATCH(1350,'بيانات الحركات'!$G:$G,0)),"")</f>
        <v/>
      </c>
      <c r="E1351" s="21" t="str">
        <f>IF($B1351="إنتاج طبخة","",IFERROR(INDEX('بيانات الحركات'!E:E,MATCH(1350,'بيانات الحركات'!$G:$G,0)),""))</f>
        <v/>
      </c>
      <c r="F1351" s="3" t="str">
        <f>IFERROR(INDEX('بيانات الحركات'!F:F,MATCH(1350,'بيانات الحركات'!$G:$G,0)),"")</f>
        <v/>
      </c>
    </row>
    <row r="1352" spans="1:6" ht="21.95" customHeight="1">
      <c r="A1352" s="8" t="str">
        <f>IFERROR(INDEX('بيانات الحركات'!A:A,MATCH(1351,'بيانات الحركات'!$G:$G,0)),"")</f>
        <v/>
      </c>
      <c r="B1352" s="5" t="str">
        <f>IFERROR(INDEX('بيانات الحركات'!B:B,MATCH(1351,'بيانات الحركات'!$G:$G,0)),"")</f>
        <v/>
      </c>
      <c r="C1352" s="3" t="str">
        <f>IFERROR(INDEX('بيانات الحركات'!C:C,MATCH(1351,'بيانات الحركات'!$G:$G,0)),"")</f>
        <v/>
      </c>
      <c r="D1352" s="3" t="str">
        <f>IFERROR(INDEX('بيانات الحركات'!D:D,MATCH(1351,'بيانات الحركات'!$G:$G,0)),"")</f>
        <v/>
      </c>
      <c r="E1352" s="21" t="str">
        <f>IF($B1352="إنتاج طبخة","",IFERROR(INDEX('بيانات الحركات'!E:E,MATCH(1351,'بيانات الحركات'!$G:$G,0)),""))</f>
        <v/>
      </c>
      <c r="F1352" s="3" t="str">
        <f>IFERROR(INDEX('بيانات الحركات'!F:F,MATCH(1351,'بيانات الحركات'!$G:$G,0)),"")</f>
        <v/>
      </c>
    </row>
    <row r="1353" spans="1:6" ht="21.95" customHeight="1">
      <c r="A1353" s="8" t="str">
        <f>IFERROR(INDEX('بيانات الحركات'!A:A,MATCH(1352,'بيانات الحركات'!$G:$G,0)),"")</f>
        <v/>
      </c>
      <c r="B1353" s="5" t="str">
        <f>IFERROR(INDEX('بيانات الحركات'!B:B,MATCH(1352,'بيانات الحركات'!$G:$G,0)),"")</f>
        <v/>
      </c>
      <c r="C1353" s="3" t="str">
        <f>IFERROR(INDEX('بيانات الحركات'!C:C,MATCH(1352,'بيانات الحركات'!$G:$G,0)),"")</f>
        <v/>
      </c>
      <c r="D1353" s="3" t="str">
        <f>IFERROR(INDEX('بيانات الحركات'!D:D,MATCH(1352,'بيانات الحركات'!$G:$G,0)),"")</f>
        <v/>
      </c>
      <c r="E1353" s="21" t="str">
        <f>IF($B1353="إنتاج طبخة","",IFERROR(INDEX('بيانات الحركات'!E:E,MATCH(1352,'بيانات الحركات'!$G:$G,0)),""))</f>
        <v/>
      </c>
      <c r="F1353" s="3" t="str">
        <f>IFERROR(INDEX('بيانات الحركات'!F:F,MATCH(1352,'بيانات الحركات'!$G:$G,0)),"")</f>
        <v/>
      </c>
    </row>
    <row r="1354" spans="1:6" ht="21.95" customHeight="1">
      <c r="A1354" s="8" t="str">
        <f>IFERROR(INDEX('بيانات الحركات'!A:A,MATCH(1353,'بيانات الحركات'!$G:$G,0)),"")</f>
        <v/>
      </c>
      <c r="B1354" s="5" t="str">
        <f>IFERROR(INDEX('بيانات الحركات'!B:B,MATCH(1353,'بيانات الحركات'!$G:$G,0)),"")</f>
        <v/>
      </c>
      <c r="C1354" s="3" t="str">
        <f>IFERROR(INDEX('بيانات الحركات'!C:C,MATCH(1353,'بيانات الحركات'!$G:$G,0)),"")</f>
        <v/>
      </c>
      <c r="D1354" s="3" t="str">
        <f>IFERROR(INDEX('بيانات الحركات'!D:D,MATCH(1353,'بيانات الحركات'!$G:$G,0)),"")</f>
        <v/>
      </c>
      <c r="E1354" s="21" t="str">
        <f>IF($B1354="إنتاج طبخة","",IFERROR(INDEX('بيانات الحركات'!E:E,MATCH(1353,'بيانات الحركات'!$G:$G,0)),""))</f>
        <v/>
      </c>
      <c r="F1354" s="3" t="str">
        <f>IFERROR(INDEX('بيانات الحركات'!F:F,MATCH(1353,'بيانات الحركات'!$G:$G,0)),"")</f>
        <v/>
      </c>
    </row>
    <row r="1355" spans="1:6" ht="21.95" customHeight="1">
      <c r="A1355" s="8" t="str">
        <f>IFERROR(INDEX('بيانات الحركات'!A:A,MATCH(1354,'بيانات الحركات'!$G:$G,0)),"")</f>
        <v/>
      </c>
      <c r="B1355" s="5" t="str">
        <f>IFERROR(INDEX('بيانات الحركات'!B:B,MATCH(1354,'بيانات الحركات'!$G:$G,0)),"")</f>
        <v/>
      </c>
      <c r="C1355" s="3" t="str">
        <f>IFERROR(INDEX('بيانات الحركات'!C:C,MATCH(1354,'بيانات الحركات'!$G:$G,0)),"")</f>
        <v/>
      </c>
      <c r="D1355" s="3" t="str">
        <f>IFERROR(INDEX('بيانات الحركات'!D:D,MATCH(1354,'بيانات الحركات'!$G:$G,0)),"")</f>
        <v/>
      </c>
      <c r="E1355" s="21" t="str">
        <f>IF($B1355="إنتاج طبخة","",IFERROR(INDEX('بيانات الحركات'!E:E,MATCH(1354,'بيانات الحركات'!$G:$G,0)),""))</f>
        <v/>
      </c>
      <c r="F1355" s="3" t="str">
        <f>IFERROR(INDEX('بيانات الحركات'!F:F,MATCH(1354,'بيانات الحركات'!$G:$G,0)),"")</f>
        <v/>
      </c>
    </row>
    <row r="1356" spans="1:6" ht="21.95" customHeight="1">
      <c r="A1356" s="8" t="str">
        <f>IFERROR(INDEX('بيانات الحركات'!A:A,MATCH(1355,'بيانات الحركات'!$G:$G,0)),"")</f>
        <v/>
      </c>
      <c r="B1356" s="5" t="str">
        <f>IFERROR(INDEX('بيانات الحركات'!B:B,MATCH(1355,'بيانات الحركات'!$G:$G,0)),"")</f>
        <v/>
      </c>
      <c r="C1356" s="3" t="str">
        <f>IFERROR(INDEX('بيانات الحركات'!C:C,MATCH(1355,'بيانات الحركات'!$G:$G,0)),"")</f>
        <v/>
      </c>
      <c r="D1356" s="3" t="str">
        <f>IFERROR(INDEX('بيانات الحركات'!D:D,MATCH(1355,'بيانات الحركات'!$G:$G,0)),"")</f>
        <v/>
      </c>
      <c r="E1356" s="21" t="str">
        <f>IF($B1356="إنتاج طبخة","",IFERROR(INDEX('بيانات الحركات'!E:E,MATCH(1355,'بيانات الحركات'!$G:$G,0)),""))</f>
        <v/>
      </c>
      <c r="F1356" s="3" t="str">
        <f>IFERROR(INDEX('بيانات الحركات'!F:F,MATCH(1355,'بيانات الحركات'!$G:$G,0)),"")</f>
        <v/>
      </c>
    </row>
    <row r="1357" spans="1:6" ht="21.95" customHeight="1">
      <c r="A1357" s="8" t="str">
        <f>IFERROR(INDEX('بيانات الحركات'!A:A,MATCH(1356,'بيانات الحركات'!$G:$G,0)),"")</f>
        <v/>
      </c>
      <c r="B1357" s="5" t="str">
        <f>IFERROR(INDEX('بيانات الحركات'!B:B,MATCH(1356,'بيانات الحركات'!$G:$G,0)),"")</f>
        <v/>
      </c>
      <c r="C1357" s="3" t="str">
        <f>IFERROR(INDEX('بيانات الحركات'!C:C,MATCH(1356,'بيانات الحركات'!$G:$G,0)),"")</f>
        <v/>
      </c>
      <c r="D1357" s="3" t="str">
        <f>IFERROR(INDEX('بيانات الحركات'!D:D,MATCH(1356,'بيانات الحركات'!$G:$G,0)),"")</f>
        <v/>
      </c>
      <c r="E1357" s="21" t="str">
        <f>IF($B1357="إنتاج طبخة","",IFERROR(INDEX('بيانات الحركات'!E:E,MATCH(1356,'بيانات الحركات'!$G:$G,0)),""))</f>
        <v/>
      </c>
      <c r="F1357" s="3" t="str">
        <f>IFERROR(INDEX('بيانات الحركات'!F:F,MATCH(1356,'بيانات الحركات'!$G:$G,0)),"")</f>
        <v/>
      </c>
    </row>
    <row r="1358" spans="1:6" ht="21.95" customHeight="1">
      <c r="A1358" s="8" t="str">
        <f>IFERROR(INDEX('بيانات الحركات'!A:A,MATCH(1357,'بيانات الحركات'!$G:$G,0)),"")</f>
        <v/>
      </c>
      <c r="B1358" s="5" t="str">
        <f>IFERROR(INDEX('بيانات الحركات'!B:B,MATCH(1357,'بيانات الحركات'!$G:$G,0)),"")</f>
        <v/>
      </c>
      <c r="C1358" s="3" t="str">
        <f>IFERROR(INDEX('بيانات الحركات'!C:C,MATCH(1357,'بيانات الحركات'!$G:$G,0)),"")</f>
        <v/>
      </c>
      <c r="D1358" s="3" t="str">
        <f>IFERROR(INDEX('بيانات الحركات'!D:D,MATCH(1357,'بيانات الحركات'!$G:$G,0)),"")</f>
        <v/>
      </c>
      <c r="E1358" s="21" t="str">
        <f>IF($B1358="إنتاج طبخة","",IFERROR(INDEX('بيانات الحركات'!E:E,MATCH(1357,'بيانات الحركات'!$G:$G,0)),""))</f>
        <v/>
      </c>
      <c r="F1358" s="3" t="str">
        <f>IFERROR(INDEX('بيانات الحركات'!F:F,MATCH(1357,'بيانات الحركات'!$G:$G,0)),"")</f>
        <v/>
      </c>
    </row>
    <row r="1359" spans="1:6" ht="21.95" customHeight="1">
      <c r="A1359" s="8" t="str">
        <f>IFERROR(INDEX('بيانات الحركات'!A:A,MATCH(1358,'بيانات الحركات'!$G:$G,0)),"")</f>
        <v/>
      </c>
      <c r="B1359" s="5" t="str">
        <f>IFERROR(INDEX('بيانات الحركات'!B:B,MATCH(1358,'بيانات الحركات'!$G:$G,0)),"")</f>
        <v/>
      </c>
      <c r="C1359" s="3" t="str">
        <f>IFERROR(INDEX('بيانات الحركات'!C:C,MATCH(1358,'بيانات الحركات'!$G:$G,0)),"")</f>
        <v/>
      </c>
      <c r="D1359" s="3" t="str">
        <f>IFERROR(INDEX('بيانات الحركات'!D:D,MATCH(1358,'بيانات الحركات'!$G:$G,0)),"")</f>
        <v/>
      </c>
      <c r="E1359" s="21" t="str">
        <f>IF($B1359="إنتاج طبخة","",IFERROR(INDEX('بيانات الحركات'!E:E,MATCH(1358,'بيانات الحركات'!$G:$G,0)),""))</f>
        <v/>
      </c>
      <c r="F1359" s="3" t="str">
        <f>IFERROR(INDEX('بيانات الحركات'!F:F,MATCH(1358,'بيانات الحركات'!$G:$G,0)),"")</f>
        <v/>
      </c>
    </row>
    <row r="1360" spans="1:6" ht="21.95" customHeight="1">
      <c r="A1360" s="8" t="str">
        <f>IFERROR(INDEX('بيانات الحركات'!A:A,MATCH(1359,'بيانات الحركات'!$G:$G,0)),"")</f>
        <v/>
      </c>
      <c r="B1360" s="5" t="str">
        <f>IFERROR(INDEX('بيانات الحركات'!B:B,MATCH(1359,'بيانات الحركات'!$G:$G,0)),"")</f>
        <v/>
      </c>
      <c r="C1360" s="3" t="str">
        <f>IFERROR(INDEX('بيانات الحركات'!C:C,MATCH(1359,'بيانات الحركات'!$G:$G,0)),"")</f>
        <v/>
      </c>
      <c r="D1360" s="3" t="str">
        <f>IFERROR(INDEX('بيانات الحركات'!D:D,MATCH(1359,'بيانات الحركات'!$G:$G,0)),"")</f>
        <v/>
      </c>
      <c r="E1360" s="21" t="str">
        <f>IF($B1360="إنتاج طبخة","",IFERROR(INDEX('بيانات الحركات'!E:E,MATCH(1359,'بيانات الحركات'!$G:$G,0)),""))</f>
        <v/>
      </c>
      <c r="F1360" s="3" t="str">
        <f>IFERROR(INDEX('بيانات الحركات'!F:F,MATCH(1359,'بيانات الحركات'!$G:$G,0)),"")</f>
        <v/>
      </c>
    </row>
    <row r="1361" spans="1:6" ht="21.95" customHeight="1">
      <c r="A1361" s="8" t="str">
        <f>IFERROR(INDEX('بيانات الحركات'!A:A,MATCH(1360,'بيانات الحركات'!$G:$G,0)),"")</f>
        <v/>
      </c>
      <c r="B1361" s="5" t="str">
        <f>IFERROR(INDEX('بيانات الحركات'!B:B,MATCH(1360,'بيانات الحركات'!$G:$G,0)),"")</f>
        <v/>
      </c>
      <c r="C1361" s="3" t="str">
        <f>IFERROR(INDEX('بيانات الحركات'!C:C,MATCH(1360,'بيانات الحركات'!$G:$G,0)),"")</f>
        <v/>
      </c>
      <c r="D1361" s="3" t="str">
        <f>IFERROR(INDEX('بيانات الحركات'!D:D,MATCH(1360,'بيانات الحركات'!$G:$G,0)),"")</f>
        <v/>
      </c>
      <c r="E1361" s="21" t="str">
        <f>IF($B1361="إنتاج طبخة","",IFERROR(INDEX('بيانات الحركات'!E:E,MATCH(1360,'بيانات الحركات'!$G:$G,0)),""))</f>
        <v/>
      </c>
      <c r="F1361" s="3" t="str">
        <f>IFERROR(INDEX('بيانات الحركات'!F:F,MATCH(1360,'بيانات الحركات'!$G:$G,0)),"")</f>
        <v/>
      </c>
    </row>
    <row r="1362" spans="1:6" ht="21.95" customHeight="1">
      <c r="A1362" s="8" t="str">
        <f>IFERROR(INDEX('بيانات الحركات'!A:A,MATCH(1361,'بيانات الحركات'!$G:$G,0)),"")</f>
        <v/>
      </c>
      <c r="B1362" s="5" t="str">
        <f>IFERROR(INDEX('بيانات الحركات'!B:B,MATCH(1361,'بيانات الحركات'!$G:$G,0)),"")</f>
        <v/>
      </c>
      <c r="C1362" s="3" t="str">
        <f>IFERROR(INDEX('بيانات الحركات'!C:C,MATCH(1361,'بيانات الحركات'!$G:$G,0)),"")</f>
        <v/>
      </c>
      <c r="D1362" s="3" t="str">
        <f>IFERROR(INDEX('بيانات الحركات'!D:D,MATCH(1361,'بيانات الحركات'!$G:$G,0)),"")</f>
        <v/>
      </c>
      <c r="E1362" s="21" t="str">
        <f>IF($B1362="إنتاج طبخة","",IFERROR(INDEX('بيانات الحركات'!E:E,MATCH(1361,'بيانات الحركات'!$G:$G,0)),""))</f>
        <v/>
      </c>
      <c r="F1362" s="3" t="str">
        <f>IFERROR(INDEX('بيانات الحركات'!F:F,MATCH(1361,'بيانات الحركات'!$G:$G,0)),"")</f>
        <v/>
      </c>
    </row>
    <row r="1363" spans="1:6" ht="21.95" customHeight="1">
      <c r="A1363" s="8" t="str">
        <f>IFERROR(INDEX('بيانات الحركات'!A:A,MATCH(1362,'بيانات الحركات'!$G:$G,0)),"")</f>
        <v/>
      </c>
      <c r="B1363" s="5" t="str">
        <f>IFERROR(INDEX('بيانات الحركات'!B:B,MATCH(1362,'بيانات الحركات'!$G:$G,0)),"")</f>
        <v/>
      </c>
      <c r="C1363" s="3" t="str">
        <f>IFERROR(INDEX('بيانات الحركات'!C:C,MATCH(1362,'بيانات الحركات'!$G:$G,0)),"")</f>
        <v/>
      </c>
      <c r="D1363" s="3" t="str">
        <f>IFERROR(INDEX('بيانات الحركات'!D:D,MATCH(1362,'بيانات الحركات'!$G:$G,0)),"")</f>
        <v/>
      </c>
      <c r="E1363" s="21" t="str">
        <f>IF($B1363="إنتاج طبخة","",IFERROR(INDEX('بيانات الحركات'!E:E,MATCH(1362,'بيانات الحركات'!$G:$G,0)),""))</f>
        <v/>
      </c>
      <c r="F1363" s="3" t="str">
        <f>IFERROR(INDEX('بيانات الحركات'!F:F,MATCH(1362,'بيانات الحركات'!$G:$G,0)),"")</f>
        <v/>
      </c>
    </row>
    <row r="1364" spans="1:6" ht="21.95" customHeight="1">
      <c r="A1364" s="8" t="str">
        <f>IFERROR(INDEX('بيانات الحركات'!A:A,MATCH(1363,'بيانات الحركات'!$G:$G,0)),"")</f>
        <v/>
      </c>
      <c r="B1364" s="5" t="str">
        <f>IFERROR(INDEX('بيانات الحركات'!B:B,MATCH(1363,'بيانات الحركات'!$G:$G,0)),"")</f>
        <v/>
      </c>
      <c r="C1364" s="3" t="str">
        <f>IFERROR(INDEX('بيانات الحركات'!C:C,MATCH(1363,'بيانات الحركات'!$G:$G,0)),"")</f>
        <v/>
      </c>
      <c r="D1364" s="3" t="str">
        <f>IFERROR(INDEX('بيانات الحركات'!D:D,MATCH(1363,'بيانات الحركات'!$G:$G,0)),"")</f>
        <v/>
      </c>
      <c r="E1364" s="21" t="str">
        <f>IF($B1364="إنتاج طبخة","",IFERROR(INDEX('بيانات الحركات'!E:E,MATCH(1363,'بيانات الحركات'!$G:$G,0)),""))</f>
        <v/>
      </c>
      <c r="F1364" s="3" t="str">
        <f>IFERROR(INDEX('بيانات الحركات'!F:F,MATCH(1363,'بيانات الحركات'!$G:$G,0)),"")</f>
        <v/>
      </c>
    </row>
    <row r="1365" spans="1:6" ht="21.95" customHeight="1">
      <c r="A1365" s="8" t="str">
        <f>IFERROR(INDEX('بيانات الحركات'!A:A,MATCH(1364,'بيانات الحركات'!$G:$G,0)),"")</f>
        <v/>
      </c>
      <c r="B1365" s="5" t="str">
        <f>IFERROR(INDEX('بيانات الحركات'!B:B,MATCH(1364,'بيانات الحركات'!$G:$G,0)),"")</f>
        <v/>
      </c>
      <c r="C1365" s="3" t="str">
        <f>IFERROR(INDEX('بيانات الحركات'!C:C,MATCH(1364,'بيانات الحركات'!$G:$G,0)),"")</f>
        <v/>
      </c>
      <c r="D1365" s="3" t="str">
        <f>IFERROR(INDEX('بيانات الحركات'!D:D,MATCH(1364,'بيانات الحركات'!$G:$G,0)),"")</f>
        <v/>
      </c>
      <c r="E1365" s="21" t="str">
        <f>IF($B1365="إنتاج طبخة","",IFERROR(INDEX('بيانات الحركات'!E:E,MATCH(1364,'بيانات الحركات'!$G:$G,0)),""))</f>
        <v/>
      </c>
      <c r="F1365" s="3" t="str">
        <f>IFERROR(INDEX('بيانات الحركات'!F:F,MATCH(1364,'بيانات الحركات'!$G:$G,0)),"")</f>
        <v/>
      </c>
    </row>
    <row r="1366" spans="1:6" ht="21.95" customHeight="1">
      <c r="A1366" s="8" t="str">
        <f>IFERROR(INDEX('بيانات الحركات'!A:A,MATCH(1365,'بيانات الحركات'!$G:$G,0)),"")</f>
        <v/>
      </c>
      <c r="B1366" s="5" t="str">
        <f>IFERROR(INDEX('بيانات الحركات'!B:B,MATCH(1365,'بيانات الحركات'!$G:$G,0)),"")</f>
        <v/>
      </c>
      <c r="C1366" s="3" t="str">
        <f>IFERROR(INDEX('بيانات الحركات'!C:C,MATCH(1365,'بيانات الحركات'!$G:$G,0)),"")</f>
        <v/>
      </c>
      <c r="D1366" s="3" t="str">
        <f>IFERROR(INDEX('بيانات الحركات'!D:D,MATCH(1365,'بيانات الحركات'!$G:$G,0)),"")</f>
        <v/>
      </c>
      <c r="E1366" s="21" t="str">
        <f>IF($B1366="إنتاج طبخة","",IFERROR(INDEX('بيانات الحركات'!E:E,MATCH(1365,'بيانات الحركات'!$G:$G,0)),""))</f>
        <v/>
      </c>
      <c r="F1366" s="3" t="str">
        <f>IFERROR(INDEX('بيانات الحركات'!F:F,MATCH(1365,'بيانات الحركات'!$G:$G,0)),"")</f>
        <v/>
      </c>
    </row>
    <row r="1367" spans="1:6" ht="21.95" customHeight="1">
      <c r="A1367" s="8" t="str">
        <f>IFERROR(INDEX('بيانات الحركات'!A:A,MATCH(1366,'بيانات الحركات'!$G:$G,0)),"")</f>
        <v/>
      </c>
      <c r="B1367" s="5" t="str">
        <f>IFERROR(INDEX('بيانات الحركات'!B:B,MATCH(1366,'بيانات الحركات'!$G:$G,0)),"")</f>
        <v/>
      </c>
      <c r="C1367" s="3" t="str">
        <f>IFERROR(INDEX('بيانات الحركات'!C:C,MATCH(1366,'بيانات الحركات'!$G:$G,0)),"")</f>
        <v/>
      </c>
      <c r="D1367" s="3" t="str">
        <f>IFERROR(INDEX('بيانات الحركات'!D:D,MATCH(1366,'بيانات الحركات'!$G:$G,0)),"")</f>
        <v/>
      </c>
      <c r="E1367" s="21" t="str">
        <f>IF($B1367="إنتاج طبخة","",IFERROR(INDEX('بيانات الحركات'!E:E,MATCH(1366,'بيانات الحركات'!$G:$G,0)),""))</f>
        <v/>
      </c>
      <c r="F1367" s="3" t="str">
        <f>IFERROR(INDEX('بيانات الحركات'!F:F,MATCH(1366,'بيانات الحركات'!$G:$G,0)),"")</f>
        <v/>
      </c>
    </row>
    <row r="1368" spans="1:6" ht="21.95" customHeight="1">
      <c r="A1368" s="8" t="str">
        <f>IFERROR(INDEX('بيانات الحركات'!A:A,MATCH(1367,'بيانات الحركات'!$G:$G,0)),"")</f>
        <v/>
      </c>
      <c r="B1368" s="5" t="str">
        <f>IFERROR(INDEX('بيانات الحركات'!B:B,MATCH(1367,'بيانات الحركات'!$G:$G,0)),"")</f>
        <v/>
      </c>
      <c r="C1368" s="3" t="str">
        <f>IFERROR(INDEX('بيانات الحركات'!C:C,MATCH(1367,'بيانات الحركات'!$G:$G,0)),"")</f>
        <v/>
      </c>
      <c r="D1368" s="3" t="str">
        <f>IFERROR(INDEX('بيانات الحركات'!D:D,MATCH(1367,'بيانات الحركات'!$G:$G,0)),"")</f>
        <v/>
      </c>
      <c r="E1368" s="21" t="str">
        <f>IF($B1368="إنتاج طبخة","",IFERROR(INDEX('بيانات الحركات'!E:E,MATCH(1367,'بيانات الحركات'!$G:$G,0)),""))</f>
        <v/>
      </c>
      <c r="F1368" s="3" t="str">
        <f>IFERROR(INDEX('بيانات الحركات'!F:F,MATCH(1367,'بيانات الحركات'!$G:$G,0)),"")</f>
        <v/>
      </c>
    </row>
    <row r="1369" spans="1:6" ht="21.95" customHeight="1">
      <c r="A1369" s="8" t="str">
        <f>IFERROR(INDEX('بيانات الحركات'!A:A,MATCH(1368,'بيانات الحركات'!$G:$G,0)),"")</f>
        <v/>
      </c>
      <c r="B1369" s="5" t="str">
        <f>IFERROR(INDEX('بيانات الحركات'!B:B,MATCH(1368,'بيانات الحركات'!$G:$G,0)),"")</f>
        <v/>
      </c>
      <c r="C1369" s="3" t="str">
        <f>IFERROR(INDEX('بيانات الحركات'!C:C,MATCH(1368,'بيانات الحركات'!$G:$G,0)),"")</f>
        <v/>
      </c>
      <c r="D1369" s="3" t="str">
        <f>IFERROR(INDEX('بيانات الحركات'!D:D,MATCH(1368,'بيانات الحركات'!$G:$G,0)),"")</f>
        <v/>
      </c>
      <c r="E1369" s="21" t="str">
        <f>IF($B1369="إنتاج طبخة","",IFERROR(INDEX('بيانات الحركات'!E:E,MATCH(1368,'بيانات الحركات'!$G:$G,0)),""))</f>
        <v/>
      </c>
      <c r="F1369" s="3" t="str">
        <f>IFERROR(INDEX('بيانات الحركات'!F:F,MATCH(1368,'بيانات الحركات'!$G:$G,0)),"")</f>
        <v/>
      </c>
    </row>
    <row r="1370" spans="1:6" ht="21.95" customHeight="1">
      <c r="A1370" s="8" t="str">
        <f>IFERROR(INDEX('بيانات الحركات'!A:A,MATCH(1369,'بيانات الحركات'!$G:$G,0)),"")</f>
        <v/>
      </c>
      <c r="B1370" s="5" t="str">
        <f>IFERROR(INDEX('بيانات الحركات'!B:B,MATCH(1369,'بيانات الحركات'!$G:$G,0)),"")</f>
        <v/>
      </c>
      <c r="C1370" s="3" t="str">
        <f>IFERROR(INDEX('بيانات الحركات'!C:C,MATCH(1369,'بيانات الحركات'!$G:$G,0)),"")</f>
        <v/>
      </c>
      <c r="D1370" s="3" t="str">
        <f>IFERROR(INDEX('بيانات الحركات'!D:D,MATCH(1369,'بيانات الحركات'!$G:$G,0)),"")</f>
        <v/>
      </c>
      <c r="E1370" s="21" t="str">
        <f>IF($B1370="إنتاج طبخة","",IFERROR(INDEX('بيانات الحركات'!E:E,MATCH(1369,'بيانات الحركات'!$G:$G,0)),""))</f>
        <v/>
      </c>
      <c r="F1370" s="3" t="str">
        <f>IFERROR(INDEX('بيانات الحركات'!F:F,MATCH(1369,'بيانات الحركات'!$G:$G,0)),"")</f>
        <v/>
      </c>
    </row>
    <row r="1371" spans="1:6" ht="21.95" customHeight="1">
      <c r="A1371" s="8" t="str">
        <f>IFERROR(INDEX('بيانات الحركات'!A:A,MATCH(1370,'بيانات الحركات'!$G:$G,0)),"")</f>
        <v/>
      </c>
      <c r="B1371" s="5" t="str">
        <f>IFERROR(INDEX('بيانات الحركات'!B:B,MATCH(1370,'بيانات الحركات'!$G:$G,0)),"")</f>
        <v/>
      </c>
      <c r="C1371" s="3" t="str">
        <f>IFERROR(INDEX('بيانات الحركات'!C:C,MATCH(1370,'بيانات الحركات'!$G:$G,0)),"")</f>
        <v/>
      </c>
      <c r="D1371" s="3" t="str">
        <f>IFERROR(INDEX('بيانات الحركات'!D:D,MATCH(1370,'بيانات الحركات'!$G:$G,0)),"")</f>
        <v/>
      </c>
      <c r="E1371" s="21" t="str">
        <f>IF($B1371="إنتاج طبخة","",IFERROR(INDEX('بيانات الحركات'!E:E,MATCH(1370,'بيانات الحركات'!$G:$G,0)),""))</f>
        <v/>
      </c>
      <c r="F1371" s="3" t="str">
        <f>IFERROR(INDEX('بيانات الحركات'!F:F,MATCH(1370,'بيانات الحركات'!$G:$G,0)),"")</f>
        <v/>
      </c>
    </row>
    <row r="1372" spans="1:6" ht="21.95" customHeight="1">
      <c r="A1372" s="8" t="str">
        <f>IFERROR(INDEX('بيانات الحركات'!A:A,MATCH(1371,'بيانات الحركات'!$G:$G,0)),"")</f>
        <v/>
      </c>
      <c r="B1372" s="5" t="str">
        <f>IFERROR(INDEX('بيانات الحركات'!B:B,MATCH(1371,'بيانات الحركات'!$G:$G,0)),"")</f>
        <v/>
      </c>
      <c r="C1372" s="3" t="str">
        <f>IFERROR(INDEX('بيانات الحركات'!C:C,MATCH(1371,'بيانات الحركات'!$G:$G,0)),"")</f>
        <v/>
      </c>
      <c r="D1372" s="3" t="str">
        <f>IFERROR(INDEX('بيانات الحركات'!D:D,MATCH(1371,'بيانات الحركات'!$G:$G,0)),"")</f>
        <v/>
      </c>
      <c r="E1372" s="21" t="str">
        <f>IF($B1372="إنتاج طبخة","",IFERROR(INDEX('بيانات الحركات'!E:E,MATCH(1371,'بيانات الحركات'!$G:$G,0)),""))</f>
        <v/>
      </c>
      <c r="F1372" s="3" t="str">
        <f>IFERROR(INDEX('بيانات الحركات'!F:F,MATCH(1371,'بيانات الحركات'!$G:$G,0)),"")</f>
        <v/>
      </c>
    </row>
    <row r="1373" spans="1:6" ht="21.95" customHeight="1">
      <c r="A1373" s="8" t="str">
        <f>IFERROR(INDEX('بيانات الحركات'!A:A,MATCH(1372,'بيانات الحركات'!$G:$G,0)),"")</f>
        <v/>
      </c>
      <c r="B1373" s="5" t="str">
        <f>IFERROR(INDEX('بيانات الحركات'!B:B,MATCH(1372,'بيانات الحركات'!$G:$G,0)),"")</f>
        <v/>
      </c>
      <c r="C1373" s="3" t="str">
        <f>IFERROR(INDEX('بيانات الحركات'!C:C,MATCH(1372,'بيانات الحركات'!$G:$G,0)),"")</f>
        <v/>
      </c>
      <c r="D1373" s="3" t="str">
        <f>IFERROR(INDEX('بيانات الحركات'!D:D,MATCH(1372,'بيانات الحركات'!$G:$G,0)),"")</f>
        <v/>
      </c>
      <c r="E1373" s="21" t="str">
        <f>IF($B1373="إنتاج طبخة","",IFERROR(INDEX('بيانات الحركات'!E:E,MATCH(1372,'بيانات الحركات'!$G:$G,0)),""))</f>
        <v/>
      </c>
      <c r="F1373" s="3" t="str">
        <f>IFERROR(INDEX('بيانات الحركات'!F:F,MATCH(1372,'بيانات الحركات'!$G:$G,0)),"")</f>
        <v/>
      </c>
    </row>
    <row r="1374" spans="1:6" ht="21.95" customHeight="1">
      <c r="A1374" s="8" t="str">
        <f>IFERROR(INDEX('بيانات الحركات'!A:A,MATCH(1373,'بيانات الحركات'!$G:$G,0)),"")</f>
        <v/>
      </c>
      <c r="B1374" s="5" t="str">
        <f>IFERROR(INDEX('بيانات الحركات'!B:B,MATCH(1373,'بيانات الحركات'!$G:$G,0)),"")</f>
        <v/>
      </c>
      <c r="C1374" s="3" t="str">
        <f>IFERROR(INDEX('بيانات الحركات'!C:C,MATCH(1373,'بيانات الحركات'!$G:$G,0)),"")</f>
        <v/>
      </c>
      <c r="D1374" s="3" t="str">
        <f>IFERROR(INDEX('بيانات الحركات'!D:D,MATCH(1373,'بيانات الحركات'!$G:$G,0)),"")</f>
        <v/>
      </c>
      <c r="E1374" s="21" t="str">
        <f>IF($B1374="إنتاج طبخة","",IFERROR(INDEX('بيانات الحركات'!E:E,MATCH(1373,'بيانات الحركات'!$G:$G,0)),""))</f>
        <v/>
      </c>
      <c r="F1374" s="3" t="str">
        <f>IFERROR(INDEX('بيانات الحركات'!F:F,MATCH(1373,'بيانات الحركات'!$G:$G,0)),"")</f>
        <v/>
      </c>
    </row>
    <row r="1375" spans="1:6" ht="21.95" customHeight="1">
      <c r="A1375" s="8" t="str">
        <f>IFERROR(INDEX('بيانات الحركات'!A:A,MATCH(1374,'بيانات الحركات'!$G:$G,0)),"")</f>
        <v/>
      </c>
      <c r="B1375" s="5" t="str">
        <f>IFERROR(INDEX('بيانات الحركات'!B:B,MATCH(1374,'بيانات الحركات'!$G:$G,0)),"")</f>
        <v/>
      </c>
      <c r="C1375" s="3" t="str">
        <f>IFERROR(INDEX('بيانات الحركات'!C:C,MATCH(1374,'بيانات الحركات'!$G:$G,0)),"")</f>
        <v/>
      </c>
      <c r="D1375" s="3" t="str">
        <f>IFERROR(INDEX('بيانات الحركات'!D:D,MATCH(1374,'بيانات الحركات'!$G:$G,0)),"")</f>
        <v/>
      </c>
      <c r="E1375" s="21" t="str">
        <f>IF($B1375="إنتاج طبخة","",IFERROR(INDEX('بيانات الحركات'!E:E,MATCH(1374,'بيانات الحركات'!$G:$G,0)),""))</f>
        <v/>
      </c>
      <c r="F1375" s="3" t="str">
        <f>IFERROR(INDEX('بيانات الحركات'!F:F,MATCH(1374,'بيانات الحركات'!$G:$G,0)),"")</f>
        <v/>
      </c>
    </row>
    <row r="1376" spans="1:6" ht="21.95" customHeight="1">
      <c r="A1376" s="8" t="str">
        <f>IFERROR(INDEX('بيانات الحركات'!A:A,MATCH(1375,'بيانات الحركات'!$G:$G,0)),"")</f>
        <v/>
      </c>
      <c r="B1376" s="5" t="str">
        <f>IFERROR(INDEX('بيانات الحركات'!B:B,MATCH(1375,'بيانات الحركات'!$G:$G,0)),"")</f>
        <v/>
      </c>
      <c r="C1376" s="3" t="str">
        <f>IFERROR(INDEX('بيانات الحركات'!C:C,MATCH(1375,'بيانات الحركات'!$G:$G,0)),"")</f>
        <v/>
      </c>
      <c r="D1376" s="3" t="str">
        <f>IFERROR(INDEX('بيانات الحركات'!D:D,MATCH(1375,'بيانات الحركات'!$G:$G,0)),"")</f>
        <v/>
      </c>
      <c r="E1376" s="21" t="str">
        <f>IF($B1376="إنتاج طبخة","",IFERROR(INDEX('بيانات الحركات'!E:E,MATCH(1375,'بيانات الحركات'!$G:$G,0)),""))</f>
        <v/>
      </c>
      <c r="F1376" s="3" t="str">
        <f>IFERROR(INDEX('بيانات الحركات'!F:F,MATCH(1375,'بيانات الحركات'!$G:$G,0)),"")</f>
        <v/>
      </c>
    </row>
    <row r="1377" spans="1:6" ht="21.95" customHeight="1">
      <c r="A1377" s="8" t="str">
        <f>IFERROR(INDEX('بيانات الحركات'!A:A,MATCH(1376,'بيانات الحركات'!$G:$G,0)),"")</f>
        <v/>
      </c>
      <c r="B1377" s="5" t="str">
        <f>IFERROR(INDEX('بيانات الحركات'!B:B,MATCH(1376,'بيانات الحركات'!$G:$G,0)),"")</f>
        <v/>
      </c>
      <c r="C1377" s="3" t="str">
        <f>IFERROR(INDEX('بيانات الحركات'!C:C,MATCH(1376,'بيانات الحركات'!$G:$G,0)),"")</f>
        <v/>
      </c>
      <c r="D1377" s="3" t="str">
        <f>IFERROR(INDEX('بيانات الحركات'!D:D,MATCH(1376,'بيانات الحركات'!$G:$G,0)),"")</f>
        <v/>
      </c>
      <c r="E1377" s="21" t="str">
        <f>IF($B1377="إنتاج طبخة","",IFERROR(INDEX('بيانات الحركات'!E:E,MATCH(1376,'بيانات الحركات'!$G:$G,0)),""))</f>
        <v/>
      </c>
      <c r="F1377" s="3" t="str">
        <f>IFERROR(INDEX('بيانات الحركات'!F:F,MATCH(1376,'بيانات الحركات'!$G:$G,0)),"")</f>
        <v/>
      </c>
    </row>
    <row r="1378" spans="1:6" ht="21.95" customHeight="1">
      <c r="A1378" s="8" t="str">
        <f>IFERROR(INDEX('بيانات الحركات'!A:A,MATCH(1377,'بيانات الحركات'!$G:$G,0)),"")</f>
        <v/>
      </c>
      <c r="B1378" s="5" t="str">
        <f>IFERROR(INDEX('بيانات الحركات'!B:B,MATCH(1377,'بيانات الحركات'!$G:$G,0)),"")</f>
        <v/>
      </c>
      <c r="C1378" s="3" t="str">
        <f>IFERROR(INDEX('بيانات الحركات'!C:C,MATCH(1377,'بيانات الحركات'!$G:$G,0)),"")</f>
        <v/>
      </c>
      <c r="D1378" s="3" t="str">
        <f>IFERROR(INDEX('بيانات الحركات'!D:D,MATCH(1377,'بيانات الحركات'!$G:$G,0)),"")</f>
        <v/>
      </c>
      <c r="E1378" s="21" t="str">
        <f>IF($B1378="إنتاج طبخة","",IFERROR(INDEX('بيانات الحركات'!E:E,MATCH(1377,'بيانات الحركات'!$G:$G,0)),""))</f>
        <v/>
      </c>
      <c r="F1378" s="3" t="str">
        <f>IFERROR(INDEX('بيانات الحركات'!F:F,MATCH(1377,'بيانات الحركات'!$G:$G,0)),"")</f>
        <v/>
      </c>
    </row>
    <row r="1379" spans="1:6" ht="21.95" customHeight="1">
      <c r="A1379" s="8" t="str">
        <f>IFERROR(INDEX('بيانات الحركات'!A:A,MATCH(1378,'بيانات الحركات'!$G:$G,0)),"")</f>
        <v/>
      </c>
      <c r="B1379" s="5" t="str">
        <f>IFERROR(INDEX('بيانات الحركات'!B:B,MATCH(1378,'بيانات الحركات'!$G:$G,0)),"")</f>
        <v/>
      </c>
      <c r="C1379" s="3" t="str">
        <f>IFERROR(INDEX('بيانات الحركات'!C:C,MATCH(1378,'بيانات الحركات'!$G:$G,0)),"")</f>
        <v/>
      </c>
      <c r="D1379" s="3" t="str">
        <f>IFERROR(INDEX('بيانات الحركات'!D:D,MATCH(1378,'بيانات الحركات'!$G:$G,0)),"")</f>
        <v/>
      </c>
      <c r="E1379" s="21" t="str">
        <f>IF($B1379="إنتاج طبخة","",IFERROR(INDEX('بيانات الحركات'!E:E,MATCH(1378,'بيانات الحركات'!$G:$G,0)),""))</f>
        <v/>
      </c>
      <c r="F1379" s="3" t="str">
        <f>IFERROR(INDEX('بيانات الحركات'!F:F,MATCH(1378,'بيانات الحركات'!$G:$G,0)),"")</f>
        <v/>
      </c>
    </row>
    <row r="1380" spans="1:6" ht="21.95" customHeight="1">
      <c r="A1380" s="8" t="str">
        <f>IFERROR(INDEX('بيانات الحركات'!A:A,MATCH(1379,'بيانات الحركات'!$G:$G,0)),"")</f>
        <v/>
      </c>
      <c r="B1380" s="5" t="str">
        <f>IFERROR(INDEX('بيانات الحركات'!B:B,MATCH(1379,'بيانات الحركات'!$G:$G,0)),"")</f>
        <v/>
      </c>
      <c r="C1380" s="3" t="str">
        <f>IFERROR(INDEX('بيانات الحركات'!C:C,MATCH(1379,'بيانات الحركات'!$G:$G,0)),"")</f>
        <v/>
      </c>
      <c r="D1380" s="3" t="str">
        <f>IFERROR(INDEX('بيانات الحركات'!D:D,MATCH(1379,'بيانات الحركات'!$G:$G,0)),"")</f>
        <v/>
      </c>
      <c r="E1380" s="21" t="str">
        <f>IF($B1380="إنتاج طبخة","",IFERROR(INDEX('بيانات الحركات'!E:E,MATCH(1379,'بيانات الحركات'!$G:$G,0)),""))</f>
        <v/>
      </c>
      <c r="F1380" s="3" t="str">
        <f>IFERROR(INDEX('بيانات الحركات'!F:F,MATCH(1379,'بيانات الحركات'!$G:$G,0)),"")</f>
        <v/>
      </c>
    </row>
    <row r="1381" spans="1:6" ht="21.95" customHeight="1">
      <c r="A1381" s="8" t="str">
        <f>IFERROR(INDEX('بيانات الحركات'!A:A,MATCH(1380,'بيانات الحركات'!$G:$G,0)),"")</f>
        <v/>
      </c>
      <c r="B1381" s="5" t="str">
        <f>IFERROR(INDEX('بيانات الحركات'!B:B,MATCH(1380,'بيانات الحركات'!$G:$G,0)),"")</f>
        <v/>
      </c>
      <c r="C1381" s="3" t="str">
        <f>IFERROR(INDEX('بيانات الحركات'!C:C,MATCH(1380,'بيانات الحركات'!$G:$G,0)),"")</f>
        <v/>
      </c>
      <c r="D1381" s="3" t="str">
        <f>IFERROR(INDEX('بيانات الحركات'!D:D,MATCH(1380,'بيانات الحركات'!$G:$G,0)),"")</f>
        <v/>
      </c>
      <c r="E1381" s="21" t="str">
        <f>IF($B1381="إنتاج طبخة","",IFERROR(INDEX('بيانات الحركات'!E:E,MATCH(1380,'بيانات الحركات'!$G:$G,0)),""))</f>
        <v/>
      </c>
      <c r="F1381" s="3" t="str">
        <f>IFERROR(INDEX('بيانات الحركات'!F:F,MATCH(1380,'بيانات الحركات'!$G:$G,0)),"")</f>
        <v/>
      </c>
    </row>
    <row r="1382" spans="1:6" ht="21.95" customHeight="1">
      <c r="A1382" s="8" t="str">
        <f>IFERROR(INDEX('بيانات الحركات'!A:A,MATCH(1381,'بيانات الحركات'!$G:$G,0)),"")</f>
        <v/>
      </c>
      <c r="B1382" s="5" t="str">
        <f>IFERROR(INDEX('بيانات الحركات'!B:B,MATCH(1381,'بيانات الحركات'!$G:$G,0)),"")</f>
        <v/>
      </c>
      <c r="C1382" s="3" t="str">
        <f>IFERROR(INDEX('بيانات الحركات'!C:C,MATCH(1381,'بيانات الحركات'!$G:$G,0)),"")</f>
        <v/>
      </c>
      <c r="D1382" s="3" t="str">
        <f>IFERROR(INDEX('بيانات الحركات'!D:D,MATCH(1381,'بيانات الحركات'!$G:$G,0)),"")</f>
        <v/>
      </c>
      <c r="E1382" s="21" t="str">
        <f>IF($B1382="إنتاج طبخة","",IFERROR(INDEX('بيانات الحركات'!E:E,MATCH(1381,'بيانات الحركات'!$G:$G,0)),""))</f>
        <v/>
      </c>
      <c r="F1382" s="3" t="str">
        <f>IFERROR(INDEX('بيانات الحركات'!F:F,MATCH(1381,'بيانات الحركات'!$G:$G,0)),"")</f>
        <v/>
      </c>
    </row>
    <row r="1383" spans="1:6" ht="21.95" customHeight="1">
      <c r="A1383" s="8" t="str">
        <f>IFERROR(INDEX('بيانات الحركات'!A:A,MATCH(1382,'بيانات الحركات'!$G:$G,0)),"")</f>
        <v/>
      </c>
      <c r="B1383" s="5" t="str">
        <f>IFERROR(INDEX('بيانات الحركات'!B:B,MATCH(1382,'بيانات الحركات'!$G:$G,0)),"")</f>
        <v/>
      </c>
      <c r="C1383" s="3" t="str">
        <f>IFERROR(INDEX('بيانات الحركات'!C:C,MATCH(1382,'بيانات الحركات'!$G:$G,0)),"")</f>
        <v/>
      </c>
      <c r="D1383" s="3" t="str">
        <f>IFERROR(INDEX('بيانات الحركات'!D:D,MATCH(1382,'بيانات الحركات'!$G:$G,0)),"")</f>
        <v/>
      </c>
      <c r="E1383" s="21" t="str">
        <f>IF($B1383="إنتاج طبخة","",IFERROR(INDEX('بيانات الحركات'!E:E,MATCH(1382,'بيانات الحركات'!$G:$G,0)),""))</f>
        <v/>
      </c>
      <c r="F1383" s="3" t="str">
        <f>IFERROR(INDEX('بيانات الحركات'!F:F,MATCH(1382,'بيانات الحركات'!$G:$G,0)),"")</f>
        <v/>
      </c>
    </row>
    <row r="1384" spans="1:6" ht="21.95" customHeight="1">
      <c r="A1384" s="8" t="str">
        <f>IFERROR(INDEX('بيانات الحركات'!A:A,MATCH(1383,'بيانات الحركات'!$G:$G,0)),"")</f>
        <v/>
      </c>
      <c r="B1384" s="5" t="str">
        <f>IFERROR(INDEX('بيانات الحركات'!B:B,MATCH(1383,'بيانات الحركات'!$G:$G,0)),"")</f>
        <v/>
      </c>
      <c r="C1384" s="3" t="str">
        <f>IFERROR(INDEX('بيانات الحركات'!C:C,MATCH(1383,'بيانات الحركات'!$G:$G,0)),"")</f>
        <v/>
      </c>
      <c r="D1384" s="3" t="str">
        <f>IFERROR(INDEX('بيانات الحركات'!D:D,MATCH(1383,'بيانات الحركات'!$G:$G,0)),"")</f>
        <v/>
      </c>
      <c r="E1384" s="21" t="str">
        <f>IF($B1384="إنتاج طبخة","",IFERROR(INDEX('بيانات الحركات'!E:E,MATCH(1383,'بيانات الحركات'!$G:$G,0)),""))</f>
        <v/>
      </c>
      <c r="F1384" s="3" t="str">
        <f>IFERROR(INDEX('بيانات الحركات'!F:F,MATCH(1383,'بيانات الحركات'!$G:$G,0)),"")</f>
        <v/>
      </c>
    </row>
    <row r="1385" spans="1:6" ht="21.95" customHeight="1">
      <c r="A1385" s="8" t="str">
        <f>IFERROR(INDEX('بيانات الحركات'!A:A,MATCH(1384,'بيانات الحركات'!$G:$G,0)),"")</f>
        <v/>
      </c>
      <c r="B1385" s="5" t="str">
        <f>IFERROR(INDEX('بيانات الحركات'!B:B,MATCH(1384,'بيانات الحركات'!$G:$G,0)),"")</f>
        <v/>
      </c>
      <c r="C1385" s="3" t="str">
        <f>IFERROR(INDEX('بيانات الحركات'!C:C,MATCH(1384,'بيانات الحركات'!$G:$G,0)),"")</f>
        <v/>
      </c>
      <c r="D1385" s="3" t="str">
        <f>IFERROR(INDEX('بيانات الحركات'!D:D,MATCH(1384,'بيانات الحركات'!$G:$G,0)),"")</f>
        <v/>
      </c>
      <c r="E1385" s="21" t="str">
        <f>IF($B1385="إنتاج طبخة","",IFERROR(INDEX('بيانات الحركات'!E:E,MATCH(1384,'بيانات الحركات'!$G:$G,0)),""))</f>
        <v/>
      </c>
      <c r="F1385" s="3" t="str">
        <f>IFERROR(INDEX('بيانات الحركات'!F:F,MATCH(1384,'بيانات الحركات'!$G:$G,0)),"")</f>
        <v/>
      </c>
    </row>
    <row r="1386" spans="1:6" ht="21.95" customHeight="1">
      <c r="A1386" s="8" t="str">
        <f>IFERROR(INDEX('بيانات الحركات'!A:A,MATCH(1385,'بيانات الحركات'!$G:$G,0)),"")</f>
        <v/>
      </c>
      <c r="B1386" s="5" t="str">
        <f>IFERROR(INDEX('بيانات الحركات'!B:B,MATCH(1385,'بيانات الحركات'!$G:$G,0)),"")</f>
        <v/>
      </c>
      <c r="C1386" s="3" t="str">
        <f>IFERROR(INDEX('بيانات الحركات'!C:C,MATCH(1385,'بيانات الحركات'!$G:$G,0)),"")</f>
        <v/>
      </c>
      <c r="D1386" s="3" t="str">
        <f>IFERROR(INDEX('بيانات الحركات'!D:D,MATCH(1385,'بيانات الحركات'!$G:$G,0)),"")</f>
        <v/>
      </c>
      <c r="E1386" s="21" t="str">
        <f>IF($B1386="إنتاج طبخة","",IFERROR(INDEX('بيانات الحركات'!E:E,MATCH(1385,'بيانات الحركات'!$G:$G,0)),""))</f>
        <v/>
      </c>
      <c r="F1386" s="3" t="str">
        <f>IFERROR(INDEX('بيانات الحركات'!F:F,MATCH(1385,'بيانات الحركات'!$G:$G,0)),"")</f>
        <v/>
      </c>
    </row>
    <row r="1387" spans="1:6" ht="21.95" customHeight="1">
      <c r="A1387" s="8" t="str">
        <f>IFERROR(INDEX('بيانات الحركات'!A:A,MATCH(1386,'بيانات الحركات'!$G:$G,0)),"")</f>
        <v/>
      </c>
      <c r="B1387" s="5" t="str">
        <f>IFERROR(INDEX('بيانات الحركات'!B:B,MATCH(1386,'بيانات الحركات'!$G:$G,0)),"")</f>
        <v/>
      </c>
      <c r="C1387" s="3" t="str">
        <f>IFERROR(INDEX('بيانات الحركات'!C:C,MATCH(1386,'بيانات الحركات'!$G:$G,0)),"")</f>
        <v/>
      </c>
      <c r="D1387" s="3" t="str">
        <f>IFERROR(INDEX('بيانات الحركات'!D:D,MATCH(1386,'بيانات الحركات'!$G:$G,0)),"")</f>
        <v/>
      </c>
      <c r="E1387" s="21" t="str">
        <f>IF($B1387="إنتاج طبخة","",IFERROR(INDEX('بيانات الحركات'!E:E,MATCH(1386,'بيانات الحركات'!$G:$G,0)),""))</f>
        <v/>
      </c>
      <c r="F1387" s="3" t="str">
        <f>IFERROR(INDEX('بيانات الحركات'!F:F,MATCH(1386,'بيانات الحركات'!$G:$G,0)),"")</f>
        <v/>
      </c>
    </row>
    <row r="1388" spans="1:6" ht="21.95" customHeight="1">
      <c r="A1388" s="8" t="str">
        <f>IFERROR(INDEX('بيانات الحركات'!A:A,MATCH(1387,'بيانات الحركات'!$G:$G,0)),"")</f>
        <v/>
      </c>
      <c r="B1388" s="5" t="str">
        <f>IFERROR(INDEX('بيانات الحركات'!B:B,MATCH(1387,'بيانات الحركات'!$G:$G,0)),"")</f>
        <v/>
      </c>
      <c r="C1388" s="3" t="str">
        <f>IFERROR(INDEX('بيانات الحركات'!C:C,MATCH(1387,'بيانات الحركات'!$G:$G,0)),"")</f>
        <v/>
      </c>
      <c r="D1388" s="3" t="str">
        <f>IFERROR(INDEX('بيانات الحركات'!D:D,MATCH(1387,'بيانات الحركات'!$G:$G,0)),"")</f>
        <v/>
      </c>
      <c r="E1388" s="21" t="str">
        <f>IF($B1388="إنتاج طبخة","",IFERROR(INDEX('بيانات الحركات'!E:E,MATCH(1387,'بيانات الحركات'!$G:$G,0)),""))</f>
        <v/>
      </c>
      <c r="F1388" s="3" t="str">
        <f>IFERROR(INDEX('بيانات الحركات'!F:F,MATCH(1387,'بيانات الحركات'!$G:$G,0)),"")</f>
        <v/>
      </c>
    </row>
    <row r="1389" spans="1:6" ht="21.95" customHeight="1">
      <c r="A1389" s="8" t="str">
        <f>IFERROR(INDEX('بيانات الحركات'!A:A,MATCH(1388,'بيانات الحركات'!$G:$G,0)),"")</f>
        <v/>
      </c>
      <c r="B1389" s="5" t="str">
        <f>IFERROR(INDEX('بيانات الحركات'!B:B,MATCH(1388,'بيانات الحركات'!$G:$G,0)),"")</f>
        <v/>
      </c>
      <c r="C1389" s="3" t="str">
        <f>IFERROR(INDEX('بيانات الحركات'!C:C,MATCH(1388,'بيانات الحركات'!$G:$G,0)),"")</f>
        <v/>
      </c>
      <c r="D1389" s="3" t="str">
        <f>IFERROR(INDEX('بيانات الحركات'!D:D,MATCH(1388,'بيانات الحركات'!$G:$G,0)),"")</f>
        <v/>
      </c>
      <c r="E1389" s="21" t="str">
        <f>IF($B1389="إنتاج طبخة","",IFERROR(INDEX('بيانات الحركات'!E:E,MATCH(1388,'بيانات الحركات'!$G:$G,0)),""))</f>
        <v/>
      </c>
      <c r="F1389" s="3" t="str">
        <f>IFERROR(INDEX('بيانات الحركات'!F:F,MATCH(1388,'بيانات الحركات'!$G:$G,0)),"")</f>
        <v/>
      </c>
    </row>
    <row r="1390" spans="1:6" ht="21.95" customHeight="1">
      <c r="A1390" s="8" t="str">
        <f>IFERROR(INDEX('بيانات الحركات'!A:A,MATCH(1389,'بيانات الحركات'!$G:$G,0)),"")</f>
        <v/>
      </c>
      <c r="B1390" s="5" t="str">
        <f>IFERROR(INDEX('بيانات الحركات'!B:B,MATCH(1389,'بيانات الحركات'!$G:$G,0)),"")</f>
        <v/>
      </c>
      <c r="C1390" s="3" t="str">
        <f>IFERROR(INDEX('بيانات الحركات'!C:C,MATCH(1389,'بيانات الحركات'!$G:$G,0)),"")</f>
        <v/>
      </c>
      <c r="D1390" s="3" t="str">
        <f>IFERROR(INDEX('بيانات الحركات'!D:D,MATCH(1389,'بيانات الحركات'!$G:$G,0)),"")</f>
        <v/>
      </c>
      <c r="E1390" s="21" t="str">
        <f>IF($B1390="إنتاج طبخة","",IFERROR(INDEX('بيانات الحركات'!E:E,MATCH(1389,'بيانات الحركات'!$G:$G,0)),""))</f>
        <v/>
      </c>
      <c r="F1390" s="3" t="str">
        <f>IFERROR(INDEX('بيانات الحركات'!F:F,MATCH(1389,'بيانات الحركات'!$G:$G,0)),"")</f>
        <v/>
      </c>
    </row>
    <row r="1391" spans="1:6" ht="21.95" customHeight="1">
      <c r="A1391" s="8" t="str">
        <f>IFERROR(INDEX('بيانات الحركات'!A:A,MATCH(1390,'بيانات الحركات'!$G:$G,0)),"")</f>
        <v/>
      </c>
      <c r="B1391" s="5" t="str">
        <f>IFERROR(INDEX('بيانات الحركات'!B:B,MATCH(1390,'بيانات الحركات'!$G:$G,0)),"")</f>
        <v/>
      </c>
      <c r="C1391" s="3" t="str">
        <f>IFERROR(INDEX('بيانات الحركات'!C:C,MATCH(1390,'بيانات الحركات'!$G:$G,0)),"")</f>
        <v/>
      </c>
      <c r="D1391" s="3" t="str">
        <f>IFERROR(INDEX('بيانات الحركات'!D:D,MATCH(1390,'بيانات الحركات'!$G:$G,0)),"")</f>
        <v/>
      </c>
      <c r="E1391" s="21" t="str">
        <f>IF($B1391="إنتاج طبخة","",IFERROR(INDEX('بيانات الحركات'!E:E,MATCH(1390,'بيانات الحركات'!$G:$G,0)),""))</f>
        <v/>
      </c>
      <c r="F1391" s="3" t="str">
        <f>IFERROR(INDEX('بيانات الحركات'!F:F,MATCH(1390,'بيانات الحركات'!$G:$G,0)),"")</f>
        <v/>
      </c>
    </row>
    <row r="1392" spans="1:6" ht="21.95" customHeight="1">
      <c r="A1392" s="8" t="str">
        <f>IFERROR(INDEX('بيانات الحركات'!A:A,MATCH(1391,'بيانات الحركات'!$G:$G,0)),"")</f>
        <v/>
      </c>
      <c r="B1392" s="5" t="str">
        <f>IFERROR(INDEX('بيانات الحركات'!B:B,MATCH(1391,'بيانات الحركات'!$G:$G,0)),"")</f>
        <v/>
      </c>
      <c r="C1392" s="3" t="str">
        <f>IFERROR(INDEX('بيانات الحركات'!C:C,MATCH(1391,'بيانات الحركات'!$G:$G,0)),"")</f>
        <v/>
      </c>
      <c r="D1392" s="3" t="str">
        <f>IFERROR(INDEX('بيانات الحركات'!D:D,MATCH(1391,'بيانات الحركات'!$G:$G,0)),"")</f>
        <v/>
      </c>
      <c r="E1392" s="21" t="str">
        <f>IF($B1392="إنتاج طبخة","",IFERROR(INDEX('بيانات الحركات'!E:E,MATCH(1391,'بيانات الحركات'!$G:$G,0)),""))</f>
        <v/>
      </c>
      <c r="F1392" s="3" t="str">
        <f>IFERROR(INDEX('بيانات الحركات'!F:F,MATCH(1391,'بيانات الحركات'!$G:$G,0)),"")</f>
        <v/>
      </c>
    </row>
    <row r="1393" spans="1:6" ht="21.95" customHeight="1">
      <c r="A1393" s="8" t="str">
        <f>IFERROR(INDEX('بيانات الحركات'!A:A,MATCH(1392,'بيانات الحركات'!$G:$G,0)),"")</f>
        <v/>
      </c>
      <c r="B1393" s="5" t="str">
        <f>IFERROR(INDEX('بيانات الحركات'!B:B,MATCH(1392,'بيانات الحركات'!$G:$G,0)),"")</f>
        <v/>
      </c>
      <c r="C1393" s="3" t="str">
        <f>IFERROR(INDEX('بيانات الحركات'!C:C,MATCH(1392,'بيانات الحركات'!$G:$G,0)),"")</f>
        <v/>
      </c>
      <c r="D1393" s="3" t="str">
        <f>IFERROR(INDEX('بيانات الحركات'!D:D,MATCH(1392,'بيانات الحركات'!$G:$G,0)),"")</f>
        <v/>
      </c>
      <c r="E1393" s="21" t="str">
        <f>IF($B1393="إنتاج طبخة","",IFERROR(INDEX('بيانات الحركات'!E:E,MATCH(1392,'بيانات الحركات'!$G:$G,0)),""))</f>
        <v/>
      </c>
      <c r="F1393" s="3" t="str">
        <f>IFERROR(INDEX('بيانات الحركات'!F:F,MATCH(1392,'بيانات الحركات'!$G:$G,0)),"")</f>
        <v/>
      </c>
    </row>
    <row r="1394" spans="1:6" ht="21.95" customHeight="1">
      <c r="A1394" s="8" t="str">
        <f>IFERROR(INDEX('بيانات الحركات'!A:A,MATCH(1393,'بيانات الحركات'!$G:$G,0)),"")</f>
        <v/>
      </c>
      <c r="B1394" s="5" t="str">
        <f>IFERROR(INDEX('بيانات الحركات'!B:B,MATCH(1393,'بيانات الحركات'!$G:$G,0)),"")</f>
        <v/>
      </c>
      <c r="C1394" s="3" t="str">
        <f>IFERROR(INDEX('بيانات الحركات'!C:C,MATCH(1393,'بيانات الحركات'!$G:$G,0)),"")</f>
        <v/>
      </c>
      <c r="D1394" s="3" t="str">
        <f>IFERROR(INDEX('بيانات الحركات'!D:D,MATCH(1393,'بيانات الحركات'!$G:$G,0)),"")</f>
        <v/>
      </c>
      <c r="E1394" s="21" t="str">
        <f>IF($B1394="إنتاج طبخة","",IFERROR(INDEX('بيانات الحركات'!E:E,MATCH(1393,'بيانات الحركات'!$G:$G,0)),""))</f>
        <v/>
      </c>
      <c r="F1394" s="3" t="str">
        <f>IFERROR(INDEX('بيانات الحركات'!F:F,MATCH(1393,'بيانات الحركات'!$G:$G,0)),"")</f>
        <v/>
      </c>
    </row>
    <row r="1395" spans="1:6" ht="21.95" customHeight="1">
      <c r="A1395" s="8" t="str">
        <f>IFERROR(INDEX('بيانات الحركات'!A:A,MATCH(1394,'بيانات الحركات'!$G:$G,0)),"")</f>
        <v/>
      </c>
      <c r="B1395" s="5" t="str">
        <f>IFERROR(INDEX('بيانات الحركات'!B:B,MATCH(1394,'بيانات الحركات'!$G:$G,0)),"")</f>
        <v/>
      </c>
      <c r="C1395" s="3" t="str">
        <f>IFERROR(INDEX('بيانات الحركات'!C:C,MATCH(1394,'بيانات الحركات'!$G:$G,0)),"")</f>
        <v/>
      </c>
      <c r="D1395" s="3" t="str">
        <f>IFERROR(INDEX('بيانات الحركات'!D:D,MATCH(1394,'بيانات الحركات'!$G:$G,0)),"")</f>
        <v/>
      </c>
      <c r="E1395" s="21" t="str">
        <f>IF($B1395="إنتاج طبخة","",IFERROR(INDEX('بيانات الحركات'!E:E,MATCH(1394,'بيانات الحركات'!$G:$G,0)),""))</f>
        <v/>
      </c>
      <c r="F1395" s="3" t="str">
        <f>IFERROR(INDEX('بيانات الحركات'!F:F,MATCH(1394,'بيانات الحركات'!$G:$G,0)),"")</f>
        <v/>
      </c>
    </row>
    <row r="1396" spans="1:6" ht="21.95" customHeight="1">
      <c r="A1396" s="8" t="str">
        <f>IFERROR(INDEX('بيانات الحركات'!A:A,MATCH(1395,'بيانات الحركات'!$G:$G,0)),"")</f>
        <v/>
      </c>
      <c r="B1396" s="5" t="str">
        <f>IFERROR(INDEX('بيانات الحركات'!B:B,MATCH(1395,'بيانات الحركات'!$G:$G,0)),"")</f>
        <v/>
      </c>
      <c r="C1396" s="3" t="str">
        <f>IFERROR(INDEX('بيانات الحركات'!C:C,MATCH(1395,'بيانات الحركات'!$G:$G,0)),"")</f>
        <v/>
      </c>
      <c r="D1396" s="3" t="str">
        <f>IFERROR(INDEX('بيانات الحركات'!D:D,MATCH(1395,'بيانات الحركات'!$G:$G,0)),"")</f>
        <v/>
      </c>
      <c r="E1396" s="21" t="str">
        <f>IF($B1396="إنتاج طبخة","",IFERROR(INDEX('بيانات الحركات'!E:E,MATCH(1395,'بيانات الحركات'!$G:$G,0)),""))</f>
        <v/>
      </c>
      <c r="F1396" s="3" t="str">
        <f>IFERROR(INDEX('بيانات الحركات'!F:F,MATCH(1395,'بيانات الحركات'!$G:$G,0)),"")</f>
        <v/>
      </c>
    </row>
    <row r="1397" spans="1:6" ht="21.95" customHeight="1">
      <c r="A1397" s="8" t="str">
        <f>IFERROR(INDEX('بيانات الحركات'!A:A,MATCH(1396,'بيانات الحركات'!$G:$G,0)),"")</f>
        <v/>
      </c>
      <c r="B1397" s="5" t="str">
        <f>IFERROR(INDEX('بيانات الحركات'!B:B,MATCH(1396,'بيانات الحركات'!$G:$G,0)),"")</f>
        <v/>
      </c>
      <c r="C1397" s="3" t="str">
        <f>IFERROR(INDEX('بيانات الحركات'!C:C,MATCH(1396,'بيانات الحركات'!$G:$G,0)),"")</f>
        <v/>
      </c>
      <c r="D1397" s="3" t="str">
        <f>IFERROR(INDEX('بيانات الحركات'!D:D,MATCH(1396,'بيانات الحركات'!$G:$G,0)),"")</f>
        <v/>
      </c>
      <c r="E1397" s="21" t="str">
        <f>IF($B1397="إنتاج طبخة","",IFERROR(INDEX('بيانات الحركات'!E:E,MATCH(1396,'بيانات الحركات'!$G:$G,0)),""))</f>
        <v/>
      </c>
      <c r="F1397" s="3" t="str">
        <f>IFERROR(INDEX('بيانات الحركات'!F:F,MATCH(1396,'بيانات الحركات'!$G:$G,0)),"")</f>
        <v/>
      </c>
    </row>
    <row r="1398" spans="1:6" ht="21.95" customHeight="1">
      <c r="A1398" s="8" t="str">
        <f>IFERROR(INDEX('بيانات الحركات'!A:A,MATCH(1397,'بيانات الحركات'!$G:$G,0)),"")</f>
        <v/>
      </c>
      <c r="B1398" s="5" t="str">
        <f>IFERROR(INDEX('بيانات الحركات'!B:B,MATCH(1397,'بيانات الحركات'!$G:$G,0)),"")</f>
        <v/>
      </c>
      <c r="C1398" s="3" t="str">
        <f>IFERROR(INDEX('بيانات الحركات'!C:C,MATCH(1397,'بيانات الحركات'!$G:$G,0)),"")</f>
        <v/>
      </c>
      <c r="D1398" s="3" t="str">
        <f>IFERROR(INDEX('بيانات الحركات'!D:D,MATCH(1397,'بيانات الحركات'!$G:$G,0)),"")</f>
        <v/>
      </c>
      <c r="E1398" s="21" t="str">
        <f>IF($B1398="إنتاج طبخة","",IFERROR(INDEX('بيانات الحركات'!E:E,MATCH(1397,'بيانات الحركات'!$G:$G,0)),""))</f>
        <v/>
      </c>
      <c r="F1398" s="3" t="str">
        <f>IFERROR(INDEX('بيانات الحركات'!F:F,MATCH(1397,'بيانات الحركات'!$G:$G,0)),"")</f>
        <v/>
      </c>
    </row>
    <row r="1399" spans="1:6" ht="21.95" customHeight="1">
      <c r="A1399" s="8" t="str">
        <f>IFERROR(INDEX('بيانات الحركات'!A:A,MATCH(1398,'بيانات الحركات'!$G:$G,0)),"")</f>
        <v/>
      </c>
      <c r="B1399" s="5" t="str">
        <f>IFERROR(INDEX('بيانات الحركات'!B:B,MATCH(1398,'بيانات الحركات'!$G:$G,0)),"")</f>
        <v/>
      </c>
      <c r="C1399" s="3" t="str">
        <f>IFERROR(INDEX('بيانات الحركات'!C:C,MATCH(1398,'بيانات الحركات'!$G:$G,0)),"")</f>
        <v/>
      </c>
      <c r="D1399" s="3" t="str">
        <f>IFERROR(INDEX('بيانات الحركات'!D:D,MATCH(1398,'بيانات الحركات'!$G:$G,0)),"")</f>
        <v/>
      </c>
      <c r="E1399" s="21" t="str">
        <f>IF($B1399="إنتاج طبخة","",IFERROR(INDEX('بيانات الحركات'!E:E,MATCH(1398,'بيانات الحركات'!$G:$G,0)),""))</f>
        <v/>
      </c>
      <c r="F1399" s="3" t="str">
        <f>IFERROR(INDEX('بيانات الحركات'!F:F,MATCH(1398,'بيانات الحركات'!$G:$G,0)),"")</f>
        <v/>
      </c>
    </row>
    <row r="1400" spans="1:6" ht="21.95" customHeight="1">
      <c r="A1400" s="8" t="str">
        <f>IFERROR(INDEX('بيانات الحركات'!A:A,MATCH(1399,'بيانات الحركات'!$G:$G,0)),"")</f>
        <v/>
      </c>
      <c r="B1400" s="5" t="str">
        <f>IFERROR(INDEX('بيانات الحركات'!B:B,MATCH(1399,'بيانات الحركات'!$G:$G,0)),"")</f>
        <v/>
      </c>
      <c r="C1400" s="3" t="str">
        <f>IFERROR(INDEX('بيانات الحركات'!C:C,MATCH(1399,'بيانات الحركات'!$G:$G,0)),"")</f>
        <v/>
      </c>
      <c r="D1400" s="3" t="str">
        <f>IFERROR(INDEX('بيانات الحركات'!D:D,MATCH(1399,'بيانات الحركات'!$G:$G,0)),"")</f>
        <v/>
      </c>
      <c r="E1400" s="21" t="str">
        <f>IF($B1400="إنتاج طبخة","",IFERROR(INDEX('بيانات الحركات'!E:E,MATCH(1399,'بيانات الحركات'!$G:$G,0)),""))</f>
        <v/>
      </c>
      <c r="F1400" s="3" t="str">
        <f>IFERROR(INDEX('بيانات الحركات'!F:F,MATCH(1399,'بيانات الحركات'!$G:$G,0)),"")</f>
        <v/>
      </c>
    </row>
    <row r="1401" spans="1:6" ht="21.95" customHeight="1">
      <c r="A1401" s="8" t="str">
        <f>IFERROR(INDEX('بيانات الحركات'!A:A,MATCH(1400,'بيانات الحركات'!$G:$G,0)),"")</f>
        <v/>
      </c>
      <c r="B1401" s="5" t="str">
        <f>IFERROR(INDEX('بيانات الحركات'!B:B,MATCH(1400,'بيانات الحركات'!$G:$G,0)),"")</f>
        <v/>
      </c>
      <c r="C1401" s="3" t="str">
        <f>IFERROR(INDEX('بيانات الحركات'!C:C,MATCH(1400,'بيانات الحركات'!$G:$G,0)),"")</f>
        <v/>
      </c>
      <c r="D1401" s="3" t="str">
        <f>IFERROR(INDEX('بيانات الحركات'!D:D,MATCH(1400,'بيانات الحركات'!$G:$G,0)),"")</f>
        <v/>
      </c>
      <c r="E1401" s="21" t="str">
        <f>IF($B1401="إنتاج طبخة","",IFERROR(INDEX('بيانات الحركات'!E:E,MATCH(1400,'بيانات الحركات'!$G:$G,0)),""))</f>
        <v/>
      </c>
      <c r="F1401" s="3" t="str">
        <f>IFERROR(INDEX('بيانات الحركات'!F:F,MATCH(1400,'بيانات الحركات'!$G:$G,0)),"")</f>
        <v/>
      </c>
    </row>
    <row r="1402" spans="1:6" ht="21.95" customHeight="1">
      <c r="A1402" s="8" t="str">
        <f>IFERROR(INDEX('بيانات الحركات'!A:A,MATCH(1401,'بيانات الحركات'!$G:$G,0)),"")</f>
        <v/>
      </c>
      <c r="B1402" s="5" t="str">
        <f>IFERROR(INDEX('بيانات الحركات'!B:B,MATCH(1401,'بيانات الحركات'!$G:$G,0)),"")</f>
        <v/>
      </c>
      <c r="C1402" s="3" t="str">
        <f>IFERROR(INDEX('بيانات الحركات'!C:C,MATCH(1401,'بيانات الحركات'!$G:$G,0)),"")</f>
        <v/>
      </c>
      <c r="D1402" s="3" t="str">
        <f>IFERROR(INDEX('بيانات الحركات'!D:D,MATCH(1401,'بيانات الحركات'!$G:$G,0)),"")</f>
        <v/>
      </c>
      <c r="E1402" s="21" t="str">
        <f>IF($B1402="إنتاج طبخة","",IFERROR(INDEX('بيانات الحركات'!E:E,MATCH(1401,'بيانات الحركات'!$G:$G,0)),""))</f>
        <v/>
      </c>
      <c r="F1402" s="3" t="str">
        <f>IFERROR(INDEX('بيانات الحركات'!F:F,MATCH(1401,'بيانات الحركات'!$G:$G,0)),"")</f>
        <v/>
      </c>
    </row>
    <row r="1403" spans="1:6" ht="21.95" customHeight="1">
      <c r="A1403" s="8" t="str">
        <f>IFERROR(INDEX('بيانات الحركات'!A:A,MATCH(1402,'بيانات الحركات'!$G:$G,0)),"")</f>
        <v/>
      </c>
      <c r="B1403" s="5" t="str">
        <f>IFERROR(INDEX('بيانات الحركات'!B:B,MATCH(1402,'بيانات الحركات'!$G:$G,0)),"")</f>
        <v/>
      </c>
      <c r="C1403" s="3" t="str">
        <f>IFERROR(INDEX('بيانات الحركات'!C:C,MATCH(1402,'بيانات الحركات'!$G:$G,0)),"")</f>
        <v/>
      </c>
      <c r="D1403" s="3" t="str">
        <f>IFERROR(INDEX('بيانات الحركات'!D:D,MATCH(1402,'بيانات الحركات'!$G:$G,0)),"")</f>
        <v/>
      </c>
      <c r="E1403" s="21" t="str">
        <f>IF($B1403="إنتاج طبخة","",IFERROR(INDEX('بيانات الحركات'!E:E,MATCH(1402,'بيانات الحركات'!$G:$G,0)),""))</f>
        <v/>
      </c>
      <c r="F1403" s="3" t="str">
        <f>IFERROR(INDEX('بيانات الحركات'!F:F,MATCH(1402,'بيانات الحركات'!$G:$G,0)),"")</f>
        <v/>
      </c>
    </row>
    <row r="1404" spans="1:6" ht="21.95" customHeight="1">
      <c r="A1404" s="8" t="str">
        <f>IFERROR(INDEX('بيانات الحركات'!A:A,MATCH(1403,'بيانات الحركات'!$G:$G,0)),"")</f>
        <v/>
      </c>
      <c r="B1404" s="5" t="str">
        <f>IFERROR(INDEX('بيانات الحركات'!B:B,MATCH(1403,'بيانات الحركات'!$G:$G,0)),"")</f>
        <v/>
      </c>
      <c r="C1404" s="3" t="str">
        <f>IFERROR(INDEX('بيانات الحركات'!C:C,MATCH(1403,'بيانات الحركات'!$G:$G,0)),"")</f>
        <v/>
      </c>
      <c r="D1404" s="3" t="str">
        <f>IFERROR(INDEX('بيانات الحركات'!D:D,MATCH(1403,'بيانات الحركات'!$G:$G,0)),"")</f>
        <v/>
      </c>
      <c r="E1404" s="21" t="str">
        <f>IF($B1404="إنتاج طبخة","",IFERROR(INDEX('بيانات الحركات'!E:E,MATCH(1403,'بيانات الحركات'!$G:$G,0)),""))</f>
        <v/>
      </c>
      <c r="F1404" s="3" t="str">
        <f>IFERROR(INDEX('بيانات الحركات'!F:F,MATCH(1403,'بيانات الحركات'!$G:$G,0)),"")</f>
        <v/>
      </c>
    </row>
    <row r="1405" spans="1:6" ht="21.95" customHeight="1">
      <c r="A1405" s="8" t="str">
        <f>IFERROR(INDEX('بيانات الحركات'!A:A,MATCH(1404,'بيانات الحركات'!$G:$G,0)),"")</f>
        <v/>
      </c>
      <c r="B1405" s="5" t="str">
        <f>IFERROR(INDEX('بيانات الحركات'!B:B,MATCH(1404,'بيانات الحركات'!$G:$G,0)),"")</f>
        <v/>
      </c>
      <c r="C1405" s="3" t="str">
        <f>IFERROR(INDEX('بيانات الحركات'!C:C,MATCH(1404,'بيانات الحركات'!$G:$G,0)),"")</f>
        <v/>
      </c>
      <c r="D1405" s="3" t="str">
        <f>IFERROR(INDEX('بيانات الحركات'!D:D,MATCH(1404,'بيانات الحركات'!$G:$G,0)),"")</f>
        <v/>
      </c>
      <c r="E1405" s="21" t="str">
        <f>IF($B1405="إنتاج طبخة","",IFERROR(INDEX('بيانات الحركات'!E:E,MATCH(1404,'بيانات الحركات'!$G:$G,0)),""))</f>
        <v/>
      </c>
      <c r="F1405" s="3" t="str">
        <f>IFERROR(INDEX('بيانات الحركات'!F:F,MATCH(1404,'بيانات الحركات'!$G:$G,0)),"")</f>
        <v/>
      </c>
    </row>
    <row r="1406" spans="1:6" ht="21.95" customHeight="1">
      <c r="A1406" s="8" t="str">
        <f>IFERROR(INDEX('بيانات الحركات'!A:A,MATCH(1405,'بيانات الحركات'!$G:$G,0)),"")</f>
        <v/>
      </c>
      <c r="B1406" s="5" t="str">
        <f>IFERROR(INDEX('بيانات الحركات'!B:B,MATCH(1405,'بيانات الحركات'!$G:$G,0)),"")</f>
        <v/>
      </c>
      <c r="C1406" s="3" t="str">
        <f>IFERROR(INDEX('بيانات الحركات'!C:C,MATCH(1405,'بيانات الحركات'!$G:$G,0)),"")</f>
        <v/>
      </c>
      <c r="D1406" s="3" t="str">
        <f>IFERROR(INDEX('بيانات الحركات'!D:D,MATCH(1405,'بيانات الحركات'!$G:$G,0)),"")</f>
        <v/>
      </c>
      <c r="E1406" s="21" t="str">
        <f>IF($B1406="إنتاج طبخة","",IFERROR(INDEX('بيانات الحركات'!E:E,MATCH(1405,'بيانات الحركات'!$G:$G,0)),""))</f>
        <v/>
      </c>
      <c r="F1406" s="3" t="str">
        <f>IFERROR(INDEX('بيانات الحركات'!F:F,MATCH(1405,'بيانات الحركات'!$G:$G,0)),"")</f>
        <v/>
      </c>
    </row>
    <row r="1407" spans="1:6" ht="21.95" customHeight="1">
      <c r="A1407" s="8" t="str">
        <f>IFERROR(INDEX('بيانات الحركات'!A:A,MATCH(1406,'بيانات الحركات'!$G:$G,0)),"")</f>
        <v/>
      </c>
      <c r="B1407" s="5" t="str">
        <f>IFERROR(INDEX('بيانات الحركات'!B:B,MATCH(1406,'بيانات الحركات'!$G:$G,0)),"")</f>
        <v/>
      </c>
      <c r="C1407" s="3" t="str">
        <f>IFERROR(INDEX('بيانات الحركات'!C:C,MATCH(1406,'بيانات الحركات'!$G:$G,0)),"")</f>
        <v/>
      </c>
      <c r="D1407" s="3" t="str">
        <f>IFERROR(INDEX('بيانات الحركات'!D:D,MATCH(1406,'بيانات الحركات'!$G:$G,0)),"")</f>
        <v/>
      </c>
      <c r="E1407" s="21" t="str">
        <f>IF($B1407="إنتاج طبخة","",IFERROR(INDEX('بيانات الحركات'!E:E,MATCH(1406,'بيانات الحركات'!$G:$G,0)),""))</f>
        <v/>
      </c>
      <c r="F1407" s="3" t="str">
        <f>IFERROR(INDEX('بيانات الحركات'!F:F,MATCH(1406,'بيانات الحركات'!$G:$G,0)),"")</f>
        <v/>
      </c>
    </row>
    <row r="1408" spans="1:6" ht="21.95" customHeight="1">
      <c r="A1408" s="8" t="str">
        <f>IFERROR(INDEX('بيانات الحركات'!A:A,MATCH(1407,'بيانات الحركات'!$G:$G,0)),"")</f>
        <v/>
      </c>
      <c r="B1408" s="5" t="str">
        <f>IFERROR(INDEX('بيانات الحركات'!B:B,MATCH(1407,'بيانات الحركات'!$G:$G,0)),"")</f>
        <v/>
      </c>
      <c r="C1408" s="3" t="str">
        <f>IFERROR(INDEX('بيانات الحركات'!C:C,MATCH(1407,'بيانات الحركات'!$G:$G,0)),"")</f>
        <v/>
      </c>
      <c r="D1408" s="3" t="str">
        <f>IFERROR(INDEX('بيانات الحركات'!D:D,MATCH(1407,'بيانات الحركات'!$G:$G,0)),"")</f>
        <v/>
      </c>
      <c r="E1408" s="21" t="str">
        <f>IF($B1408="إنتاج طبخة","",IFERROR(INDEX('بيانات الحركات'!E:E,MATCH(1407,'بيانات الحركات'!$G:$G,0)),""))</f>
        <v/>
      </c>
      <c r="F1408" s="3" t="str">
        <f>IFERROR(INDEX('بيانات الحركات'!F:F,MATCH(1407,'بيانات الحركات'!$G:$G,0)),"")</f>
        <v/>
      </c>
    </row>
    <row r="1409" spans="1:6" ht="21.95" customHeight="1">
      <c r="A1409" s="8" t="str">
        <f>IFERROR(INDEX('بيانات الحركات'!A:A,MATCH(1408,'بيانات الحركات'!$G:$G,0)),"")</f>
        <v/>
      </c>
      <c r="B1409" s="5" t="str">
        <f>IFERROR(INDEX('بيانات الحركات'!B:B,MATCH(1408,'بيانات الحركات'!$G:$G,0)),"")</f>
        <v/>
      </c>
      <c r="C1409" s="3" t="str">
        <f>IFERROR(INDEX('بيانات الحركات'!C:C,MATCH(1408,'بيانات الحركات'!$G:$G,0)),"")</f>
        <v/>
      </c>
      <c r="D1409" s="3" t="str">
        <f>IFERROR(INDEX('بيانات الحركات'!D:D,MATCH(1408,'بيانات الحركات'!$G:$G,0)),"")</f>
        <v/>
      </c>
      <c r="E1409" s="21" t="str">
        <f>IF($B1409="إنتاج طبخة","",IFERROR(INDEX('بيانات الحركات'!E:E,MATCH(1408,'بيانات الحركات'!$G:$G,0)),""))</f>
        <v/>
      </c>
      <c r="F1409" s="3" t="str">
        <f>IFERROR(INDEX('بيانات الحركات'!F:F,MATCH(1408,'بيانات الحركات'!$G:$G,0)),"")</f>
        <v/>
      </c>
    </row>
    <row r="1410" spans="1:6" ht="21.95" customHeight="1">
      <c r="A1410" s="8" t="str">
        <f>IFERROR(INDEX('بيانات الحركات'!A:A,MATCH(1409,'بيانات الحركات'!$G:$G,0)),"")</f>
        <v/>
      </c>
      <c r="B1410" s="5" t="str">
        <f>IFERROR(INDEX('بيانات الحركات'!B:B,MATCH(1409,'بيانات الحركات'!$G:$G,0)),"")</f>
        <v/>
      </c>
      <c r="C1410" s="3" t="str">
        <f>IFERROR(INDEX('بيانات الحركات'!C:C,MATCH(1409,'بيانات الحركات'!$G:$G,0)),"")</f>
        <v/>
      </c>
      <c r="D1410" s="3" t="str">
        <f>IFERROR(INDEX('بيانات الحركات'!D:D,MATCH(1409,'بيانات الحركات'!$G:$G,0)),"")</f>
        <v/>
      </c>
      <c r="E1410" s="21" t="str">
        <f>IF($B1410="إنتاج طبخة","",IFERROR(INDEX('بيانات الحركات'!E:E,MATCH(1409,'بيانات الحركات'!$G:$G,0)),""))</f>
        <v/>
      </c>
      <c r="F1410" s="3" t="str">
        <f>IFERROR(INDEX('بيانات الحركات'!F:F,MATCH(1409,'بيانات الحركات'!$G:$G,0)),"")</f>
        <v/>
      </c>
    </row>
    <row r="1411" spans="1:6" ht="21.95" customHeight="1">
      <c r="A1411" s="8" t="str">
        <f>IFERROR(INDEX('بيانات الحركات'!A:A,MATCH(1410,'بيانات الحركات'!$G:$G,0)),"")</f>
        <v/>
      </c>
      <c r="B1411" s="5" t="str">
        <f>IFERROR(INDEX('بيانات الحركات'!B:B,MATCH(1410,'بيانات الحركات'!$G:$G,0)),"")</f>
        <v/>
      </c>
      <c r="C1411" s="3" t="str">
        <f>IFERROR(INDEX('بيانات الحركات'!C:C,MATCH(1410,'بيانات الحركات'!$G:$G,0)),"")</f>
        <v/>
      </c>
      <c r="D1411" s="3" t="str">
        <f>IFERROR(INDEX('بيانات الحركات'!D:D,MATCH(1410,'بيانات الحركات'!$G:$G,0)),"")</f>
        <v/>
      </c>
      <c r="E1411" s="21" t="str">
        <f>IF($B1411="إنتاج طبخة","",IFERROR(INDEX('بيانات الحركات'!E:E,MATCH(1410,'بيانات الحركات'!$G:$G,0)),""))</f>
        <v/>
      </c>
      <c r="F1411" s="3" t="str">
        <f>IFERROR(INDEX('بيانات الحركات'!F:F,MATCH(1410,'بيانات الحركات'!$G:$G,0)),"")</f>
        <v/>
      </c>
    </row>
    <row r="1412" spans="1:6" ht="21.95" customHeight="1">
      <c r="A1412" s="8" t="str">
        <f>IFERROR(INDEX('بيانات الحركات'!A:A,MATCH(1411,'بيانات الحركات'!$G:$G,0)),"")</f>
        <v/>
      </c>
      <c r="B1412" s="5" t="str">
        <f>IFERROR(INDEX('بيانات الحركات'!B:B,MATCH(1411,'بيانات الحركات'!$G:$G,0)),"")</f>
        <v/>
      </c>
      <c r="C1412" s="3" t="str">
        <f>IFERROR(INDEX('بيانات الحركات'!C:C,MATCH(1411,'بيانات الحركات'!$G:$G,0)),"")</f>
        <v/>
      </c>
      <c r="D1412" s="3" t="str">
        <f>IFERROR(INDEX('بيانات الحركات'!D:D,MATCH(1411,'بيانات الحركات'!$G:$G,0)),"")</f>
        <v/>
      </c>
      <c r="E1412" s="21" t="str">
        <f>IF($B1412="إنتاج طبخة","",IFERROR(INDEX('بيانات الحركات'!E:E,MATCH(1411,'بيانات الحركات'!$G:$G,0)),""))</f>
        <v/>
      </c>
      <c r="F1412" s="3" t="str">
        <f>IFERROR(INDEX('بيانات الحركات'!F:F,MATCH(1411,'بيانات الحركات'!$G:$G,0)),"")</f>
        <v/>
      </c>
    </row>
    <row r="1413" spans="1:6" ht="21.95" customHeight="1">
      <c r="A1413" s="8" t="str">
        <f>IFERROR(INDEX('بيانات الحركات'!A:A,MATCH(1412,'بيانات الحركات'!$G:$G,0)),"")</f>
        <v/>
      </c>
      <c r="B1413" s="5" t="str">
        <f>IFERROR(INDEX('بيانات الحركات'!B:B,MATCH(1412,'بيانات الحركات'!$G:$G,0)),"")</f>
        <v/>
      </c>
      <c r="C1413" s="3" t="str">
        <f>IFERROR(INDEX('بيانات الحركات'!C:C,MATCH(1412,'بيانات الحركات'!$G:$G,0)),"")</f>
        <v/>
      </c>
      <c r="D1413" s="3" t="str">
        <f>IFERROR(INDEX('بيانات الحركات'!D:D,MATCH(1412,'بيانات الحركات'!$G:$G,0)),"")</f>
        <v/>
      </c>
      <c r="E1413" s="21" t="str">
        <f>IF($B1413="إنتاج طبخة","",IFERROR(INDEX('بيانات الحركات'!E:E,MATCH(1412,'بيانات الحركات'!$G:$G,0)),""))</f>
        <v/>
      </c>
      <c r="F1413" s="3" t="str">
        <f>IFERROR(INDEX('بيانات الحركات'!F:F,MATCH(1412,'بيانات الحركات'!$G:$G,0)),"")</f>
        <v/>
      </c>
    </row>
    <row r="1414" spans="1:6" ht="21.95" customHeight="1">
      <c r="A1414" s="8" t="str">
        <f>IFERROR(INDEX('بيانات الحركات'!A:A,MATCH(1413,'بيانات الحركات'!$G:$G,0)),"")</f>
        <v/>
      </c>
      <c r="B1414" s="5" t="str">
        <f>IFERROR(INDEX('بيانات الحركات'!B:B,MATCH(1413,'بيانات الحركات'!$G:$G,0)),"")</f>
        <v/>
      </c>
      <c r="C1414" s="3" t="str">
        <f>IFERROR(INDEX('بيانات الحركات'!C:C,MATCH(1413,'بيانات الحركات'!$G:$G,0)),"")</f>
        <v/>
      </c>
      <c r="D1414" s="3" t="str">
        <f>IFERROR(INDEX('بيانات الحركات'!D:D,MATCH(1413,'بيانات الحركات'!$G:$G,0)),"")</f>
        <v/>
      </c>
      <c r="E1414" s="21" t="str">
        <f>IF($B1414="إنتاج طبخة","",IFERROR(INDEX('بيانات الحركات'!E:E,MATCH(1413,'بيانات الحركات'!$G:$G,0)),""))</f>
        <v/>
      </c>
      <c r="F1414" s="3" t="str">
        <f>IFERROR(INDEX('بيانات الحركات'!F:F,MATCH(1413,'بيانات الحركات'!$G:$G,0)),"")</f>
        <v/>
      </c>
    </row>
    <row r="1415" spans="1:6" ht="21.95" customHeight="1">
      <c r="A1415" s="8" t="str">
        <f>IFERROR(INDEX('بيانات الحركات'!A:A,MATCH(1414,'بيانات الحركات'!$G:$G,0)),"")</f>
        <v/>
      </c>
      <c r="B1415" s="5" t="str">
        <f>IFERROR(INDEX('بيانات الحركات'!B:B,MATCH(1414,'بيانات الحركات'!$G:$G,0)),"")</f>
        <v/>
      </c>
      <c r="C1415" s="3" t="str">
        <f>IFERROR(INDEX('بيانات الحركات'!C:C,MATCH(1414,'بيانات الحركات'!$G:$G,0)),"")</f>
        <v/>
      </c>
      <c r="D1415" s="3" t="str">
        <f>IFERROR(INDEX('بيانات الحركات'!D:D,MATCH(1414,'بيانات الحركات'!$G:$G,0)),"")</f>
        <v/>
      </c>
      <c r="E1415" s="21" t="str">
        <f>IF($B1415="إنتاج طبخة","",IFERROR(INDEX('بيانات الحركات'!E:E,MATCH(1414,'بيانات الحركات'!$G:$G,0)),""))</f>
        <v/>
      </c>
      <c r="F1415" s="3" t="str">
        <f>IFERROR(INDEX('بيانات الحركات'!F:F,MATCH(1414,'بيانات الحركات'!$G:$G,0)),"")</f>
        <v/>
      </c>
    </row>
    <row r="1416" spans="1:6" ht="21.95" customHeight="1">
      <c r="A1416" s="8" t="str">
        <f>IFERROR(INDEX('بيانات الحركات'!A:A,MATCH(1415,'بيانات الحركات'!$G:$G,0)),"")</f>
        <v/>
      </c>
      <c r="B1416" s="5" t="str">
        <f>IFERROR(INDEX('بيانات الحركات'!B:B,MATCH(1415,'بيانات الحركات'!$G:$G,0)),"")</f>
        <v/>
      </c>
      <c r="C1416" s="3" t="str">
        <f>IFERROR(INDEX('بيانات الحركات'!C:C,MATCH(1415,'بيانات الحركات'!$G:$G,0)),"")</f>
        <v/>
      </c>
      <c r="D1416" s="3" t="str">
        <f>IFERROR(INDEX('بيانات الحركات'!D:D,MATCH(1415,'بيانات الحركات'!$G:$G,0)),"")</f>
        <v/>
      </c>
      <c r="E1416" s="21" t="str">
        <f>IF($B1416="إنتاج طبخة","",IFERROR(INDEX('بيانات الحركات'!E:E,MATCH(1415,'بيانات الحركات'!$G:$G,0)),""))</f>
        <v/>
      </c>
      <c r="F1416" s="3" t="str">
        <f>IFERROR(INDEX('بيانات الحركات'!F:F,MATCH(1415,'بيانات الحركات'!$G:$G,0)),"")</f>
        <v/>
      </c>
    </row>
    <row r="1417" spans="1:6" ht="21.95" customHeight="1">
      <c r="A1417" s="8" t="str">
        <f>IFERROR(INDEX('بيانات الحركات'!A:A,MATCH(1416,'بيانات الحركات'!$G:$G,0)),"")</f>
        <v/>
      </c>
      <c r="B1417" s="5" t="str">
        <f>IFERROR(INDEX('بيانات الحركات'!B:B,MATCH(1416,'بيانات الحركات'!$G:$G,0)),"")</f>
        <v/>
      </c>
      <c r="C1417" s="3" t="str">
        <f>IFERROR(INDEX('بيانات الحركات'!C:C,MATCH(1416,'بيانات الحركات'!$G:$G,0)),"")</f>
        <v/>
      </c>
      <c r="D1417" s="3" t="str">
        <f>IFERROR(INDEX('بيانات الحركات'!D:D,MATCH(1416,'بيانات الحركات'!$G:$G,0)),"")</f>
        <v/>
      </c>
      <c r="E1417" s="21" t="str">
        <f>IF($B1417="إنتاج طبخة","",IFERROR(INDEX('بيانات الحركات'!E:E,MATCH(1416,'بيانات الحركات'!$G:$G,0)),""))</f>
        <v/>
      </c>
      <c r="F1417" s="3" t="str">
        <f>IFERROR(INDEX('بيانات الحركات'!F:F,MATCH(1416,'بيانات الحركات'!$G:$G,0)),"")</f>
        <v/>
      </c>
    </row>
    <row r="1418" spans="1:6" ht="21.95" customHeight="1">
      <c r="A1418" s="8" t="str">
        <f>IFERROR(INDEX('بيانات الحركات'!A:A,MATCH(1417,'بيانات الحركات'!$G:$G,0)),"")</f>
        <v/>
      </c>
      <c r="B1418" s="5" t="str">
        <f>IFERROR(INDEX('بيانات الحركات'!B:B,MATCH(1417,'بيانات الحركات'!$G:$G,0)),"")</f>
        <v/>
      </c>
      <c r="C1418" s="3" t="str">
        <f>IFERROR(INDEX('بيانات الحركات'!C:C,MATCH(1417,'بيانات الحركات'!$G:$G,0)),"")</f>
        <v/>
      </c>
      <c r="D1418" s="3" t="str">
        <f>IFERROR(INDEX('بيانات الحركات'!D:D,MATCH(1417,'بيانات الحركات'!$G:$G,0)),"")</f>
        <v/>
      </c>
      <c r="E1418" s="21" t="str">
        <f>IF($B1418="إنتاج طبخة","",IFERROR(INDEX('بيانات الحركات'!E:E,MATCH(1417,'بيانات الحركات'!$G:$G,0)),""))</f>
        <v/>
      </c>
      <c r="F1418" s="3" t="str">
        <f>IFERROR(INDEX('بيانات الحركات'!F:F,MATCH(1417,'بيانات الحركات'!$G:$G,0)),"")</f>
        <v/>
      </c>
    </row>
    <row r="1419" spans="1:6" ht="21.95" customHeight="1">
      <c r="A1419" s="8" t="str">
        <f>IFERROR(INDEX('بيانات الحركات'!A:A,MATCH(1418,'بيانات الحركات'!$G:$G,0)),"")</f>
        <v/>
      </c>
      <c r="B1419" s="5" t="str">
        <f>IFERROR(INDEX('بيانات الحركات'!B:B,MATCH(1418,'بيانات الحركات'!$G:$G,0)),"")</f>
        <v/>
      </c>
      <c r="C1419" s="3" t="str">
        <f>IFERROR(INDEX('بيانات الحركات'!C:C,MATCH(1418,'بيانات الحركات'!$G:$G,0)),"")</f>
        <v/>
      </c>
      <c r="D1419" s="3" t="str">
        <f>IFERROR(INDEX('بيانات الحركات'!D:D,MATCH(1418,'بيانات الحركات'!$G:$G,0)),"")</f>
        <v/>
      </c>
      <c r="E1419" s="21" t="str">
        <f>IF($B1419="إنتاج طبخة","",IFERROR(INDEX('بيانات الحركات'!E:E,MATCH(1418,'بيانات الحركات'!$G:$G,0)),""))</f>
        <v/>
      </c>
      <c r="F1419" s="3" t="str">
        <f>IFERROR(INDEX('بيانات الحركات'!F:F,MATCH(1418,'بيانات الحركات'!$G:$G,0)),"")</f>
        <v/>
      </c>
    </row>
    <row r="1420" spans="1:6" ht="21.95" customHeight="1">
      <c r="A1420" s="8" t="str">
        <f>IFERROR(INDEX('بيانات الحركات'!A:A,MATCH(1419,'بيانات الحركات'!$G:$G,0)),"")</f>
        <v/>
      </c>
      <c r="B1420" s="5" t="str">
        <f>IFERROR(INDEX('بيانات الحركات'!B:B,MATCH(1419,'بيانات الحركات'!$G:$G,0)),"")</f>
        <v/>
      </c>
      <c r="C1420" s="3" t="str">
        <f>IFERROR(INDEX('بيانات الحركات'!C:C,MATCH(1419,'بيانات الحركات'!$G:$G,0)),"")</f>
        <v/>
      </c>
      <c r="D1420" s="3" t="str">
        <f>IFERROR(INDEX('بيانات الحركات'!D:D,MATCH(1419,'بيانات الحركات'!$G:$G,0)),"")</f>
        <v/>
      </c>
      <c r="E1420" s="21" t="str">
        <f>IF($B1420="إنتاج طبخة","",IFERROR(INDEX('بيانات الحركات'!E:E,MATCH(1419,'بيانات الحركات'!$G:$G,0)),""))</f>
        <v/>
      </c>
      <c r="F1420" s="3" t="str">
        <f>IFERROR(INDEX('بيانات الحركات'!F:F,MATCH(1419,'بيانات الحركات'!$G:$G,0)),"")</f>
        <v/>
      </c>
    </row>
    <row r="1421" spans="1:6" ht="21.95" customHeight="1">
      <c r="A1421" s="8" t="str">
        <f>IFERROR(INDEX('بيانات الحركات'!A:A,MATCH(1420,'بيانات الحركات'!$G:$G,0)),"")</f>
        <v/>
      </c>
      <c r="B1421" s="5" t="str">
        <f>IFERROR(INDEX('بيانات الحركات'!B:B,MATCH(1420,'بيانات الحركات'!$G:$G,0)),"")</f>
        <v/>
      </c>
      <c r="C1421" s="3" t="str">
        <f>IFERROR(INDEX('بيانات الحركات'!C:C,MATCH(1420,'بيانات الحركات'!$G:$G,0)),"")</f>
        <v/>
      </c>
      <c r="D1421" s="3" t="str">
        <f>IFERROR(INDEX('بيانات الحركات'!D:D,MATCH(1420,'بيانات الحركات'!$G:$G,0)),"")</f>
        <v/>
      </c>
      <c r="E1421" s="21" t="str">
        <f>IF($B1421="إنتاج طبخة","",IFERROR(INDEX('بيانات الحركات'!E:E,MATCH(1420,'بيانات الحركات'!$G:$G,0)),""))</f>
        <v/>
      </c>
      <c r="F1421" s="3" t="str">
        <f>IFERROR(INDEX('بيانات الحركات'!F:F,MATCH(1420,'بيانات الحركات'!$G:$G,0)),"")</f>
        <v/>
      </c>
    </row>
    <row r="1422" spans="1:6" ht="21.95" customHeight="1">
      <c r="A1422" s="8" t="str">
        <f>IFERROR(INDEX('بيانات الحركات'!A:A,MATCH(1421,'بيانات الحركات'!$G:$G,0)),"")</f>
        <v/>
      </c>
      <c r="B1422" s="5" t="str">
        <f>IFERROR(INDEX('بيانات الحركات'!B:B,MATCH(1421,'بيانات الحركات'!$G:$G,0)),"")</f>
        <v/>
      </c>
      <c r="C1422" s="3" t="str">
        <f>IFERROR(INDEX('بيانات الحركات'!C:C,MATCH(1421,'بيانات الحركات'!$G:$G,0)),"")</f>
        <v/>
      </c>
      <c r="D1422" s="3" t="str">
        <f>IFERROR(INDEX('بيانات الحركات'!D:D,MATCH(1421,'بيانات الحركات'!$G:$G,0)),"")</f>
        <v/>
      </c>
      <c r="E1422" s="21" t="str">
        <f>IF($B1422="إنتاج طبخة","",IFERROR(INDEX('بيانات الحركات'!E:E,MATCH(1421,'بيانات الحركات'!$G:$G,0)),""))</f>
        <v/>
      </c>
      <c r="F1422" s="3" t="str">
        <f>IFERROR(INDEX('بيانات الحركات'!F:F,MATCH(1421,'بيانات الحركات'!$G:$G,0)),"")</f>
        <v/>
      </c>
    </row>
    <row r="1423" spans="1:6" ht="21.95" customHeight="1">
      <c r="A1423" s="8" t="str">
        <f>IFERROR(INDEX('بيانات الحركات'!A:A,MATCH(1422,'بيانات الحركات'!$G:$G,0)),"")</f>
        <v/>
      </c>
      <c r="B1423" s="5" t="str">
        <f>IFERROR(INDEX('بيانات الحركات'!B:B,MATCH(1422,'بيانات الحركات'!$G:$G,0)),"")</f>
        <v/>
      </c>
      <c r="C1423" s="3" t="str">
        <f>IFERROR(INDEX('بيانات الحركات'!C:C,MATCH(1422,'بيانات الحركات'!$G:$G,0)),"")</f>
        <v/>
      </c>
      <c r="D1423" s="3" t="str">
        <f>IFERROR(INDEX('بيانات الحركات'!D:D,MATCH(1422,'بيانات الحركات'!$G:$G,0)),"")</f>
        <v/>
      </c>
      <c r="E1423" s="21" t="str">
        <f>IF($B1423="إنتاج طبخة","",IFERROR(INDEX('بيانات الحركات'!E:E,MATCH(1422,'بيانات الحركات'!$G:$G,0)),""))</f>
        <v/>
      </c>
      <c r="F1423" s="3" t="str">
        <f>IFERROR(INDEX('بيانات الحركات'!F:F,MATCH(1422,'بيانات الحركات'!$G:$G,0)),"")</f>
        <v/>
      </c>
    </row>
    <row r="1424" spans="1:6" ht="21.95" customHeight="1">
      <c r="A1424" s="8" t="str">
        <f>IFERROR(INDEX('بيانات الحركات'!A:A,MATCH(1423,'بيانات الحركات'!$G:$G,0)),"")</f>
        <v/>
      </c>
      <c r="B1424" s="5" t="str">
        <f>IFERROR(INDEX('بيانات الحركات'!B:B,MATCH(1423,'بيانات الحركات'!$G:$G,0)),"")</f>
        <v/>
      </c>
      <c r="C1424" s="3" t="str">
        <f>IFERROR(INDEX('بيانات الحركات'!C:C,MATCH(1423,'بيانات الحركات'!$G:$G,0)),"")</f>
        <v/>
      </c>
      <c r="D1424" s="3" t="str">
        <f>IFERROR(INDEX('بيانات الحركات'!D:D,MATCH(1423,'بيانات الحركات'!$G:$G,0)),"")</f>
        <v/>
      </c>
      <c r="E1424" s="21" t="str">
        <f>IF($B1424="إنتاج طبخة","",IFERROR(INDEX('بيانات الحركات'!E:E,MATCH(1423,'بيانات الحركات'!$G:$G,0)),""))</f>
        <v/>
      </c>
      <c r="F1424" s="3" t="str">
        <f>IFERROR(INDEX('بيانات الحركات'!F:F,MATCH(1423,'بيانات الحركات'!$G:$G,0)),"")</f>
        <v/>
      </c>
    </row>
    <row r="1425" spans="1:6" ht="21.95" customHeight="1">
      <c r="A1425" s="8" t="str">
        <f>IFERROR(INDEX('بيانات الحركات'!A:A,MATCH(1424,'بيانات الحركات'!$G:$G,0)),"")</f>
        <v/>
      </c>
      <c r="B1425" s="5" t="str">
        <f>IFERROR(INDEX('بيانات الحركات'!B:B,MATCH(1424,'بيانات الحركات'!$G:$G,0)),"")</f>
        <v/>
      </c>
      <c r="C1425" s="3" t="str">
        <f>IFERROR(INDEX('بيانات الحركات'!C:C,MATCH(1424,'بيانات الحركات'!$G:$G,0)),"")</f>
        <v/>
      </c>
      <c r="D1425" s="3" t="str">
        <f>IFERROR(INDEX('بيانات الحركات'!D:D,MATCH(1424,'بيانات الحركات'!$G:$G,0)),"")</f>
        <v/>
      </c>
      <c r="E1425" s="21" t="str">
        <f>IF($B1425="إنتاج طبخة","",IFERROR(INDEX('بيانات الحركات'!E:E,MATCH(1424,'بيانات الحركات'!$G:$G,0)),""))</f>
        <v/>
      </c>
      <c r="F1425" s="3" t="str">
        <f>IFERROR(INDEX('بيانات الحركات'!F:F,MATCH(1424,'بيانات الحركات'!$G:$G,0)),"")</f>
        <v/>
      </c>
    </row>
    <row r="1426" spans="1:6" ht="21.95" customHeight="1">
      <c r="A1426" s="8" t="str">
        <f>IFERROR(INDEX('بيانات الحركات'!A:A,MATCH(1425,'بيانات الحركات'!$G:$G,0)),"")</f>
        <v/>
      </c>
      <c r="B1426" s="5" t="str">
        <f>IFERROR(INDEX('بيانات الحركات'!B:B,MATCH(1425,'بيانات الحركات'!$G:$G,0)),"")</f>
        <v/>
      </c>
      <c r="C1426" s="3" t="str">
        <f>IFERROR(INDEX('بيانات الحركات'!C:C,MATCH(1425,'بيانات الحركات'!$G:$G,0)),"")</f>
        <v/>
      </c>
      <c r="D1426" s="3" t="str">
        <f>IFERROR(INDEX('بيانات الحركات'!D:D,MATCH(1425,'بيانات الحركات'!$G:$G,0)),"")</f>
        <v/>
      </c>
      <c r="E1426" s="21" t="str">
        <f>IF($B1426="إنتاج طبخة","",IFERROR(INDEX('بيانات الحركات'!E:E,MATCH(1425,'بيانات الحركات'!$G:$G,0)),""))</f>
        <v/>
      </c>
      <c r="F1426" s="3" t="str">
        <f>IFERROR(INDEX('بيانات الحركات'!F:F,MATCH(1425,'بيانات الحركات'!$G:$G,0)),"")</f>
        <v/>
      </c>
    </row>
    <row r="1427" spans="1:6" ht="21.95" customHeight="1">
      <c r="A1427" s="8" t="str">
        <f>IFERROR(INDEX('بيانات الحركات'!A:A,MATCH(1426,'بيانات الحركات'!$G:$G,0)),"")</f>
        <v/>
      </c>
      <c r="B1427" s="5" t="str">
        <f>IFERROR(INDEX('بيانات الحركات'!B:B,MATCH(1426,'بيانات الحركات'!$G:$G,0)),"")</f>
        <v/>
      </c>
      <c r="C1427" s="3" t="str">
        <f>IFERROR(INDEX('بيانات الحركات'!C:C,MATCH(1426,'بيانات الحركات'!$G:$G,0)),"")</f>
        <v/>
      </c>
      <c r="D1427" s="3" t="str">
        <f>IFERROR(INDEX('بيانات الحركات'!D:D,MATCH(1426,'بيانات الحركات'!$G:$G,0)),"")</f>
        <v/>
      </c>
      <c r="E1427" s="21" t="str">
        <f>IF($B1427="إنتاج طبخة","",IFERROR(INDEX('بيانات الحركات'!E:E,MATCH(1426,'بيانات الحركات'!$G:$G,0)),""))</f>
        <v/>
      </c>
      <c r="F1427" s="3" t="str">
        <f>IFERROR(INDEX('بيانات الحركات'!F:F,MATCH(1426,'بيانات الحركات'!$G:$G,0)),"")</f>
        <v/>
      </c>
    </row>
    <row r="1428" spans="1:6" ht="21.95" customHeight="1">
      <c r="A1428" s="8" t="str">
        <f>IFERROR(INDEX('بيانات الحركات'!A:A,MATCH(1427,'بيانات الحركات'!$G:$G,0)),"")</f>
        <v/>
      </c>
      <c r="B1428" s="5" t="str">
        <f>IFERROR(INDEX('بيانات الحركات'!B:B,MATCH(1427,'بيانات الحركات'!$G:$G,0)),"")</f>
        <v/>
      </c>
      <c r="C1428" s="3" t="str">
        <f>IFERROR(INDEX('بيانات الحركات'!C:C,MATCH(1427,'بيانات الحركات'!$G:$G,0)),"")</f>
        <v/>
      </c>
      <c r="D1428" s="3" t="str">
        <f>IFERROR(INDEX('بيانات الحركات'!D:D,MATCH(1427,'بيانات الحركات'!$G:$G,0)),"")</f>
        <v/>
      </c>
      <c r="E1428" s="21" t="str">
        <f>IF($B1428="إنتاج طبخة","",IFERROR(INDEX('بيانات الحركات'!E:E,MATCH(1427,'بيانات الحركات'!$G:$G,0)),""))</f>
        <v/>
      </c>
      <c r="F1428" s="3" t="str">
        <f>IFERROR(INDEX('بيانات الحركات'!F:F,MATCH(1427,'بيانات الحركات'!$G:$G,0)),"")</f>
        <v/>
      </c>
    </row>
    <row r="1429" spans="1:6" ht="21.95" customHeight="1">
      <c r="A1429" s="8" t="str">
        <f>IFERROR(INDEX('بيانات الحركات'!A:A,MATCH(1428,'بيانات الحركات'!$G:$G,0)),"")</f>
        <v/>
      </c>
      <c r="B1429" s="5" t="str">
        <f>IFERROR(INDEX('بيانات الحركات'!B:B,MATCH(1428,'بيانات الحركات'!$G:$G,0)),"")</f>
        <v/>
      </c>
      <c r="C1429" s="3" t="str">
        <f>IFERROR(INDEX('بيانات الحركات'!C:C,MATCH(1428,'بيانات الحركات'!$G:$G,0)),"")</f>
        <v/>
      </c>
      <c r="D1429" s="3" t="str">
        <f>IFERROR(INDEX('بيانات الحركات'!D:D,MATCH(1428,'بيانات الحركات'!$G:$G,0)),"")</f>
        <v/>
      </c>
      <c r="E1429" s="21" t="str">
        <f>IF($B1429="إنتاج طبخة","",IFERROR(INDEX('بيانات الحركات'!E:E,MATCH(1428,'بيانات الحركات'!$G:$G,0)),""))</f>
        <v/>
      </c>
      <c r="F1429" s="3" t="str">
        <f>IFERROR(INDEX('بيانات الحركات'!F:F,MATCH(1428,'بيانات الحركات'!$G:$G,0)),"")</f>
        <v/>
      </c>
    </row>
    <row r="1430" spans="1:6" ht="21.95" customHeight="1">
      <c r="A1430" s="8" t="str">
        <f>IFERROR(INDEX('بيانات الحركات'!A:A,MATCH(1429,'بيانات الحركات'!$G:$G,0)),"")</f>
        <v/>
      </c>
      <c r="B1430" s="5" t="str">
        <f>IFERROR(INDEX('بيانات الحركات'!B:B,MATCH(1429,'بيانات الحركات'!$G:$G,0)),"")</f>
        <v/>
      </c>
      <c r="C1430" s="3" t="str">
        <f>IFERROR(INDEX('بيانات الحركات'!C:C,MATCH(1429,'بيانات الحركات'!$G:$G,0)),"")</f>
        <v/>
      </c>
      <c r="D1430" s="3" t="str">
        <f>IFERROR(INDEX('بيانات الحركات'!D:D,MATCH(1429,'بيانات الحركات'!$G:$G,0)),"")</f>
        <v/>
      </c>
      <c r="E1430" s="21" t="str">
        <f>IF($B1430="إنتاج طبخة","",IFERROR(INDEX('بيانات الحركات'!E:E,MATCH(1429,'بيانات الحركات'!$G:$G,0)),""))</f>
        <v/>
      </c>
      <c r="F1430" s="3" t="str">
        <f>IFERROR(INDEX('بيانات الحركات'!F:F,MATCH(1429,'بيانات الحركات'!$G:$G,0)),"")</f>
        <v/>
      </c>
    </row>
    <row r="1431" spans="1:6" ht="21.95" customHeight="1">
      <c r="A1431" s="8" t="str">
        <f>IFERROR(INDEX('بيانات الحركات'!A:A,MATCH(1430,'بيانات الحركات'!$G:$G,0)),"")</f>
        <v/>
      </c>
      <c r="B1431" s="5" t="str">
        <f>IFERROR(INDEX('بيانات الحركات'!B:B,MATCH(1430,'بيانات الحركات'!$G:$G,0)),"")</f>
        <v/>
      </c>
      <c r="C1431" s="3" t="str">
        <f>IFERROR(INDEX('بيانات الحركات'!C:C,MATCH(1430,'بيانات الحركات'!$G:$G,0)),"")</f>
        <v/>
      </c>
      <c r="D1431" s="3" t="str">
        <f>IFERROR(INDEX('بيانات الحركات'!D:D,MATCH(1430,'بيانات الحركات'!$G:$G,0)),"")</f>
        <v/>
      </c>
      <c r="E1431" s="21" t="str">
        <f>IF($B1431="إنتاج طبخة","",IFERROR(INDEX('بيانات الحركات'!E:E,MATCH(1430,'بيانات الحركات'!$G:$G,0)),""))</f>
        <v/>
      </c>
      <c r="F1431" s="3" t="str">
        <f>IFERROR(INDEX('بيانات الحركات'!F:F,MATCH(1430,'بيانات الحركات'!$G:$G,0)),"")</f>
        <v/>
      </c>
    </row>
    <row r="1432" spans="1:6" ht="21.95" customHeight="1">
      <c r="A1432" s="8" t="str">
        <f>IFERROR(INDEX('بيانات الحركات'!A:A,MATCH(1431,'بيانات الحركات'!$G:$G,0)),"")</f>
        <v/>
      </c>
      <c r="B1432" s="5" t="str">
        <f>IFERROR(INDEX('بيانات الحركات'!B:B,MATCH(1431,'بيانات الحركات'!$G:$G,0)),"")</f>
        <v/>
      </c>
      <c r="C1432" s="3" t="str">
        <f>IFERROR(INDEX('بيانات الحركات'!C:C,MATCH(1431,'بيانات الحركات'!$G:$G,0)),"")</f>
        <v/>
      </c>
      <c r="D1432" s="3" t="str">
        <f>IFERROR(INDEX('بيانات الحركات'!D:D,MATCH(1431,'بيانات الحركات'!$G:$G,0)),"")</f>
        <v/>
      </c>
      <c r="E1432" s="21" t="str">
        <f>IF($B1432="إنتاج طبخة","",IFERROR(INDEX('بيانات الحركات'!E:E,MATCH(1431,'بيانات الحركات'!$G:$G,0)),""))</f>
        <v/>
      </c>
      <c r="F1432" s="3" t="str">
        <f>IFERROR(INDEX('بيانات الحركات'!F:F,MATCH(1431,'بيانات الحركات'!$G:$G,0)),"")</f>
        <v/>
      </c>
    </row>
    <row r="1433" spans="1:6" ht="21.95" customHeight="1">
      <c r="A1433" s="8" t="str">
        <f>IFERROR(INDEX('بيانات الحركات'!A:A,MATCH(1432,'بيانات الحركات'!$G:$G,0)),"")</f>
        <v/>
      </c>
      <c r="B1433" s="5" t="str">
        <f>IFERROR(INDEX('بيانات الحركات'!B:B,MATCH(1432,'بيانات الحركات'!$G:$G,0)),"")</f>
        <v/>
      </c>
      <c r="C1433" s="3" t="str">
        <f>IFERROR(INDEX('بيانات الحركات'!C:C,MATCH(1432,'بيانات الحركات'!$G:$G,0)),"")</f>
        <v/>
      </c>
      <c r="D1433" s="3" t="str">
        <f>IFERROR(INDEX('بيانات الحركات'!D:D,MATCH(1432,'بيانات الحركات'!$G:$G,0)),"")</f>
        <v/>
      </c>
      <c r="E1433" s="21" t="str">
        <f>IF($B1433="إنتاج طبخة","",IFERROR(INDEX('بيانات الحركات'!E:E,MATCH(1432,'بيانات الحركات'!$G:$G,0)),""))</f>
        <v/>
      </c>
      <c r="F1433" s="3" t="str">
        <f>IFERROR(INDEX('بيانات الحركات'!F:F,MATCH(1432,'بيانات الحركات'!$G:$G,0)),"")</f>
        <v/>
      </c>
    </row>
    <row r="1434" spans="1:6" ht="21.95" customHeight="1">
      <c r="A1434" s="8" t="str">
        <f>IFERROR(INDEX('بيانات الحركات'!A:A,MATCH(1433,'بيانات الحركات'!$G:$G,0)),"")</f>
        <v/>
      </c>
      <c r="B1434" s="5" t="str">
        <f>IFERROR(INDEX('بيانات الحركات'!B:B,MATCH(1433,'بيانات الحركات'!$G:$G,0)),"")</f>
        <v/>
      </c>
      <c r="C1434" s="3" t="str">
        <f>IFERROR(INDEX('بيانات الحركات'!C:C,MATCH(1433,'بيانات الحركات'!$G:$G,0)),"")</f>
        <v/>
      </c>
      <c r="D1434" s="3" t="str">
        <f>IFERROR(INDEX('بيانات الحركات'!D:D,MATCH(1433,'بيانات الحركات'!$G:$G,0)),"")</f>
        <v/>
      </c>
      <c r="E1434" s="21" t="str">
        <f>IF($B1434="إنتاج طبخة","",IFERROR(INDEX('بيانات الحركات'!E:E,MATCH(1433,'بيانات الحركات'!$G:$G,0)),""))</f>
        <v/>
      </c>
      <c r="F1434" s="3" t="str">
        <f>IFERROR(INDEX('بيانات الحركات'!F:F,MATCH(1433,'بيانات الحركات'!$G:$G,0)),"")</f>
        <v/>
      </c>
    </row>
    <row r="1435" spans="1:6" ht="21.95" customHeight="1">
      <c r="A1435" s="8" t="str">
        <f>IFERROR(INDEX('بيانات الحركات'!A:A,MATCH(1434,'بيانات الحركات'!$G:$G,0)),"")</f>
        <v/>
      </c>
      <c r="B1435" s="5" t="str">
        <f>IFERROR(INDEX('بيانات الحركات'!B:B,MATCH(1434,'بيانات الحركات'!$G:$G,0)),"")</f>
        <v/>
      </c>
      <c r="C1435" s="3" t="str">
        <f>IFERROR(INDEX('بيانات الحركات'!C:C,MATCH(1434,'بيانات الحركات'!$G:$G,0)),"")</f>
        <v/>
      </c>
      <c r="D1435" s="3" t="str">
        <f>IFERROR(INDEX('بيانات الحركات'!D:D,MATCH(1434,'بيانات الحركات'!$G:$G,0)),"")</f>
        <v/>
      </c>
      <c r="E1435" s="21" t="str">
        <f>IF($B1435="إنتاج طبخة","",IFERROR(INDEX('بيانات الحركات'!E:E,MATCH(1434,'بيانات الحركات'!$G:$G,0)),""))</f>
        <v/>
      </c>
      <c r="F1435" s="3" t="str">
        <f>IFERROR(INDEX('بيانات الحركات'!F:F,MATCH(1434,'بيانات الحركات'!$G:$G,0)),"")</f>
        <v/>
      </c>
    </row>
    <row r="1436" spans="1:6" ht="21.95" customHeight="1">
      <c r="A1436" s="8" t="str">
        <f>IFERROR(INDEX('بيانات الحركات'!A:A,MATCH(1435,'بيانات الحركات'!$G:$G,0)),"")</f>
        <v/>
      </c>
      <c r="B1436" s="5" t="str">
        <f>IFERROR(INDEX('بيانات الحركات'!B:B,MATCH(1435,'بيانات الحركات'!$G:$G,0)),"")</f>
        <v/>
      </c>
      <c r="C1436" s="3" t="str">
        <f>IFERROR(INDEX('بيانات الحركات'!C:C,MATCH(1435,'بيانات الحركات'!$G:$G,0)),"")</f>
        <v/>
      </c>
      <c r="D1436" s="3" t="str">
        <f>IFERROR(INDEX('بيانات الحركات'!D:D,MATCH(1435,'بيانات الحركات'!$G:$G,0)),"")</f>
        <v/>
      </c>
      <c r="E1436" s="21" t="str">
        <f>IF($B1436="إنتاج طبخة","",IFERROR(INDEX('بيانات الحركات'!E:E,MATCH(1435,'بيانات الحركات'!$G:$G,0)),""))</f>
        <v/>
      </c>
      <c r="F1436" s="3" t="str">
        <f>IFERROR(INDEX('بيانات الحركات'!F:F,MATCH(1435,'بيانات الحركات'!$G:$G,0)),"")</f>
        <v/>
      </c>
    </row>
    <row r="1437" spans="1:6" ht="21.95" customHeight="1">
      <c r="A1437" s="8" t="str">
        <f>IFERROR(INDEX('بيانات الحركات'!A:A,MATCH(1436,'بيانات الحركات'!$G:$G,0)),"")</f>
        <v/>
      </c>
      <c r="B1437" s="5" t="str">
        <f>IFERROR(INDEX('بيانات الحركات'!B:B,MATCH(1436,'بيانات الحركات'!$G:$G,0)),"")</f>
        <v/>
      </c>
      <c r="C1437" s="3" t="str">
        <f>IFERROR(INDEX('بيانات الحركات'!C:C,MATCH(1436,'بيانات الحركات'!$G:$G,0)),"")</f>
        <v/>
      </c>
      <c r="D1437" s="3" t="str">
        <f>IFERROR(INDEX('بيانات الحركات'!D:D,MATCH(1436,'بيانات الحركات'!$G:$G,0)),"")</f>
        <v/>
      </c>
      <c r="E1437" s="21" t="str">
        <f>IF($B1437="إنتاج طبخة","",IFERROR(INDEX('بيانات الحركات'!E:E,MATCH(1436,'بيانات الحركات'!$G:$G,0)),""))</f>
        <v/>
      </c>
      <c r="F1437" s="3" t="str">
        <f>IFERROR(INDEX('بيانات الحركات'!F:F,MATCH(1436,'بيانات الحركات'!$G:$G,0)),"")</f>
        <v/>
      </c>
    </row>
    <row r="1438" spans="1:6" ht="21.95" customHeight="1">
      <c r="A1438" s="8" t="str">
        <f>IFERROR(INDEX('بيانات الحركات'!A:A,MATCH(1437,'بيانات الحركات'!$G:$G,0)),"")</f>
        <v/>
      </c>
      <c r="B1438" s="5" t="str">
        <f>IFERROR(INDEX('بيانات الحركات'!B:B,MATCH(1437,'بيانات الحركات'!$G:$G,0)),"")</f>
        <v/>
      </c>
      <c r="C1438" s="3" t="str">
        <f>IFERROR(INDEX('بيانات الحركات'!C:C,MATCH(1437,'بيانات الحركات'!$G:$G,0)),"")</f>
        <v/>
      </c>
      <c r="D1438" s="3" t="str">
        <f>IFERROR(INDEX('بيانات الحركات'!D:D,MATCH(1437,'بيانات الحركات'!$G:$G,0)),"")</f>
        <v/>
      </c>
      <c r="E1438" s="21" t="str">
        <f>IF($B1438="إنتاج طبخة","",IFERROR(INDEX('بيانات الحركات'!E:E,MATCH(1437,'بيانات الحركات'!$G:$G,0)),""))</f>
        <v/>
      </c>
      <c r="F1438" s="3" t="str">
        <f>IFERROR(INDEX('بيانات الحركات'!F:F,MATCH(1437,'بيانات الحركات'!$G:$G,0)),"")</f>
        <v/>
      </c>
    </row>
    <row r="1439" spans="1:6" ht="21.95" customHeight="1">
      <c r="A1439" s="8" t="str">
        <f>IFERROR(INDEX('بيانات الحركات'!A:A,MATCH(1438,'بيانات الحركات'!$G:$G,0)),"")</f>
        <v/>
      </c>
      <c r="B1439" s="5" t="str">
        <f>IFERROR(INDEX('بيانات الحركات'!B:B,MATCH(1438,'بيانات الحركات'!$G:$G,0)),"")</f>
        <v/>
      </c>
      <c r="C1439" s="3" t="str">
        <f>IFERROR(INDEX('بيانات الحركات'!C:C,MATCH(1438,'بيانات الحركات'!$G:$G,0)),"")</f>
        <v/>
      </c>
      <c r="D1439" s="3" t="str">
        <f>IFERROR(INDEX('بيانات الحركات'!D:D,MATCH(1438,'بيانات الحركات'!$G:$G,0)),"")</f>
        <v/>
      </c>
      <c r="E1439" s="21" t="str">
        <f>IF($B1439="إنتاج طبخة","",IFERROR(INDEX('بيانات الحركات'!E:E,MATCH(1438,'بيانات الحركات'!$G:$G,0)),""))</f>
        <v/>
      </c>
      <c r="F1439" s="3" t="str">
        <f>IFERROR(INDEX('بيانات الحركات'!F:F,MATCH(1438,'بيانات الحركات'!$G:$G,0)),"")</f>
        <v/>
      </c>
    </row>
    <row r="1440" spans="1:6" ht="21.95" customHeight="1">
      <c r="A1440" s="8" t="str">
        <f>IFERROR(INDEX('بيانات الحركات'!A:A,MATCH(1439,'بيانات الحركات'!$G:$G,0)),"")</f>
        <v/>
      </c>
      <c r="B1440" s="5" t="str">
        <f>IFERROR(INDEX('بيانات الحركات'!B:B,MATCH(1439,'بيانات الحركات'!$G:$G,0)),"")</f>
        <v/>
      </c>
      <c r="C1440" s="3" t="str">
        <f>IFERROR(INDEX('بيانات الحركات'!C:C,MATCH(1439,'بيانات الحركات'!$G:$G,0)),"")</f>
        <v/>
      </c>
      <c r="D1440" s="3" t="str">
        <f>IFERROR(INDEX('بيانات الحركات'!D:D,MATCH(1439,'بيانات الحركات'!$G:$G,0)),"")</f>
        <v/>
      </c>
      <c r="E1440" s="21" t="str">
        <f>IF($B1440="إنتاج طبخة","",IFERROR(INDEX('بيانات الحركات'!E:E,MATCH(1439,'بيانات الحركات'!$G:$G,0)),""))</f>
        <v/>
      </c>
      <c r="F1440" s="3" t="str">
        <f>IFERROR(INDEX('بيانات الحركات'!F:F,MATCH(1439,'بيانات الحركات'!$G:$G,0)),"")</f>
        <v/>
      </c>
    </row>
    <row r="1441" spans="1:6" ht="21.95" customHeight="1">
      <c r="A1441" s="8" t="str">
        <f>IFERROR(INDEX('بيانات الحركات'!A:A,MATCH(1440,'بيانات الحركات'!$G:$G,0)),"")</f>
        <v/>
      </c>
      <c r="B1441" s="5" t="str">
        <f>IFERROR(INDEX('بيانات الحركات'!B:B,MATCH(1440,'بيانات الحركات'!$G:$G,0)),"")</f>
        <v/>
      </c>
      <c r="C1441" s="3" t="str">
        <f>IFERROR(INDEX('بيانات الحركات'!C:C,MATCH(1440,'بيانات الحركات'!$G:$G,0)),"")</f>
        <v/>
      </c>
      <c r="D1441" s="3" t="str">
        <f>IFERROR(INDEX('بيانات الحركات'!D:D,MATCH(1440,'بيانات الحركات'!$G:$G,0)),"")</f>
        <v/>
      </c>
      <c r="E1441" s="21" t="str">
        <f>IF($B1441="إنتاج طبخة","",IFERROR(INDEX('بيانات الحركات'!E:E,MATCH(1440,'بيانات الحركات'!$G:$G,0)),""))</f>
        <v/>
      </c>
      <c r="F1441" s="3" t="str">
        <f>IFERROR(INDEX('بيانات الحركات'!F:F,MATCH(1440,'بيانات الحركات'!$G:$G,0)),"")</f>
        <v/>
      </c>
    </row>
    <row r="1442" spans="1:6" ht="21.95" customHeight="1">
      <c r="A1442" s="8" t="str">
        <f>IFERROR(INDEX('بيانات الحركات'!A:A,MATCH(1441,'بيانات الحركات'!$G:$G,0)),"")</f>
        <v/>
      </c>
      <c r="B1442" s="5" t="str">
        <f>IFERROR(INDEX('بيانات الحركات'!B:B,MATCH(1441,'بيانات الحركات'!$G:$G,0)),"")</f>
        <v/>
      </c>
      <c r="C1442" s="3" t="str">
        <f>IFERROR(INDEX('بيانات الحركات'!C:C,MATCH(1441,'بيانات الحركات'!$G:$G,0)),"")</f>
        <v/>
      </c>
      <c r="D1442" s="3" t="str">
        <f>IFERROR(INDEX('بيانات الحركات'!D:D,MATCH(1441,'بيانات الحركات'!$G:$G,0)),"")</f>
        <v/>
      </c>
      <c r="E1442" s="21" t="str">
        <f>IF($B1442="إنتاج طبخة","",IFERROR(INDEX('بيانات الحركات'!E:E,MATCH(1441,'بيانات الحركات'!$G:$G,0)),""))</f>
        <v/>
      </c>
      <c r="F1442" s="3" t="str">
        <f>IFERROR(INDEX('بيانات الحركات'!F:F,MATCH(1441,'بيانات الحركات'!$G:$G,0)),"")</f>
        <v/>
      </c>
    </row>
    <row r="1443" spans="1:6" ht="21.95" customHeight="1">
      <c r="A1443" s="8" t="str">
        <f>IFERROR(INDEX('بيانات الحركات'!A:A,MATCH(1442,'بيانات الحركات'!$G:$G,0)),"")</f>
        <v/>
      </c>
      <c r="B1443" s="5" t="str">
        <f>IFERROR(INDEX('بيانات الحركات'!B:B,MATCH(1442,'بيانات الحركات'!$G:$G,0)),"")</f>
        <v/>
      </c>
      <c r="C1443" s="3" t="str">
        <f>IFERROR(INDEX('بيانات الحركات'!C:C,MATCH(1442,'بيانات الحركات'!$G:$G,0)),"")</f>
        <v/>
      </c>
      <c r="D1443" s="3" t="str">
        <f>IFERROR(INDEX('بيانات الحركات'!D:D,MATCH(1442,'بيانات الحركات'!$G:$G,0)),"")</f>
        <v/>
      </c>
      <c r="E1443" s="21" t="str">
        <f>IF($B1443="إنتاج طبخة","",IFERROR(INDEX('بيانات الحركات'!E:E,MATCH(1442,'بيانات الحركات'!$G:$G,0)),""))</f>
        <v/>
      </c>
      <c r="F1443" s="3" t="str">
        <f>IFERROR(INDEX('بيانات الحركات'!F:F,MATCH(1442,'بيانات الحركات'!$G:$G,0)),"")</f>
        <v/>
      </c>
    </row>
    <row r="1444" spans="1:6" ht="21.95" customHeight="1">
      <c r="A1444" s="8" t="str">
        <f>IFERROR(INDEX('بيانات الحركات'!A:A,MATCH(1443,'بيانات الحركات'!$G:$G,0)),"")</f>
        <v/>
      </c>
      <c r="B1444" s="5" t="str">
        <f>IFERROR(INDEX('بيانات الحركات'!B:B,MATCH(1443,'بيانات الحركات'!$G:$G,0)),"")</f>
        <v/>
      </c>
      <c r="C1444" s="3" t="str">
        <f>IFERROR(INDEX('بيانات الحركات'!C:C,MATCH(1443,'بيانات الحركات'!$G:$G,0)),"")</f>
        <v/>
      </c>
      <c r="D1444" s="3" t="str">
        <f>IFERROR(INDEX('بيانات الحركات'!D:D,MATCH(1443,'بيانات الحركات'!$G:$G,0)),"")</f>
        <v/>
      </c>
      <c r="E1444" s="21" t="str">
        <f>IF($B1444="إنتاج طبخة","",IFERROR(INDEX('بيانات الحركات'!E:E,MATCH(1443,'بيانات الحركات'!$G:$G,0)),""))</f>
        <v/>
      </c>
      <c r="F1444" s="3" t="str">
        <f>IFERROR(INDEX('بيانات الحركات'!F:F,MATCH(1443,'بيانات الحركات'!$G:$G,0)),"")</f>
        <v/>
      </c>
    </row>
    <row r="1445" spans="1:6" ht="21.95" customHeight="1">
      <c r="A1445" s="8" t="str">
        <f>IFERROR(INDEX('بيانات الحركات'!A:A,MATCH(1444,'بيانات الحركات'!$G:$G,0)),"")</f>
        <v/>
      </c>
      <c r="B1445" s="5" t="str">
        <f>IFERROR(INDEX('بيانات الحركات'!B:B,MATCH(1444,'بيانات الحركات'!$G:$G,0)),"")</f>
        <v/>
      </c>
      <c r="C1445" s="3" t="str">
        <f>IFERROR(INDEX('بيانات الحركات'!C:C,MATCH(1444,'بيانات الحركات'!$G:$G,0)),"")</f>
        <v/>
      </c>
      <c r="D1445" s="3" t="str">
        <f>IFERROR(INDEX('بيانات الحركات'!D:D,MATCH(1444,'بيانات الحركات'!$G:$G,0)),"")</f>
        <v/>
      </c>
      <c r="E1445" s="21" t="str">
        <f>IF($B1445="إنتاج طبخة","",IFERROR(INDEX('بيانات الحركات'!E:E,MATCH(1444,'بيانات الحركات'!$G:$G,0)),""))</f>
        <v/>
      </c>
      <c r="F1445" s="3" t="str">
        <f>IFERROR(INDEX('بيانات الحركات'!F:F,MATCH(1444,'بيانات الحركات'!$G:$G,0)),"")</f>
        <v/>
      </c>
    </row>
    <row r="1446" spans="1:6" ht="21.95" customHeight="1">
      <c r="A1446" s="8" t="str">
        <f>IFERROR(INDEX('بيانات الحركات'!A:A,MATCH(1445,'بيانات الحركات'!$G:$G,0)),"")</f>
        <v/>
      </c>
      <c r="B1446" s="5" t="str">
        <f>IFERROR(INDEX('بيانات الحركات'!B:B,MATCH(1445,'بيانات الحركات'!$G:$G,0)),"")</f>
        <v/>
      </c>
      <c r="C1446" s="3" t="str">
        <f>IFERROR(INDEX('بيانات الحركات'!C:C,MATCH(1445,'بيانات الحركات'!$G:$G,0)),"")</f>
        <v/>
      </c>
      <c r="D1446" s="3" t="str">
        <f>IFERROR(INDEX('بيانات الحركات'!D:D,MATCH(1445,'بيانات الحركات'!$G:$G,0)),"")</f>
        <v/>
      </c>
      <c r="E1446" s="21" t="str">
        <f>IF($B1446="إنتاج طبخة","",IFERROR(INDEX('بيانات الحركات'!E:E,MATCH(1445,'بيانات الحركات'!$G:$G,0)),""))</f>
        <v/>
      </c>
      <c r="F1446" s="3" t="str">
        <f>IFERROR(INDEX('بيانات الحركات'!F:F,MATCH(1445,'بيانات الحركات'!$G:$G,0)),"")</f>
        <v/>
      </c>
    </row>
    <row r="1447" spans="1:6" ht="21.95" customHeight="1">
      <c r="A1447" s="8" t="str">
        <f>IFERROR(INDEX('بيانات الحركات'!A:A,MATCH(1446,'بيانات الحركات'!$G:$G,0)),"")</f>
        <v/>
      </c>
      <c r="B1447" s="5" t="str">
        <f>IFERROR(INDEX('بيانات الحركات'!B:B,MATCH(1446,'بيانات الحركات'!$G:$G,0)),"")</f>
        <v/>
      </c>
      <c r="C1447" s="3" t="str">
        <f>IFERROR(INDEX('بيانات الحركات'!C:C,MATCH(1446,'بيانات الحركات'!$G:$G,0)),"")</f>
        <v/>
      </c>
      <c r="D1447" s="3" t="str">
        <f>IFERROR(INDEX('بيانات الحركات'!D:D,MATCH(1446,'بيانات الحركات'!$G:$G,0)),"")</f>
        <v/>
      </c>
      <c r="E1447" s="21" t="str">
        <f>IF($B1447="إنتاج طبخة","",IFERROR(INDEX('بيانات الحركات'!E:E,MATCH(1446,'بيانات الحركات'!$G:$G,0)),""))</f>
        <v/>
      </c>
      <c r="F1447" s="3" t="str">
        <f>IFERROR(INDEX('بيانات الحركات'!F:F,MATCH(1446,'بيانات الحركات'!$G:$G,0)),"")</f>
        <v/>
      </c>
    </row>
    <row r="1448" spans="1:6" ht="21.95" customHeight="1">
      <c r="A1448" s="8" t="str">
        <f>IFERROR(INDEX('بيانات الحركات'!A:A,MATCH(1447,'بيانات الحركات'!$G:$G,0)),"")</f>
        <v/>
      </c>
      <c r="B1448" s="5" t="str">
        <f>IFERROR(INDEX('بيانات الحركات'!B:B,MATCH(1447,'بيانات الحركات'!$G:$G,0)),"")</f>
        <v/>
      </c>
      <c r="C1448" s="3" t="str">
        <f>IFERROR(INDEX('بيانات الحركات'!C:C,MATCH(1447,'بيانات الحركات'!$G:$G,0)),"")</f>
        <v/>
      </c>
      <c r="D1448" s="3" t="str">
        <f>IFERROR(INDEX('بيانات الحركات'!D:D,MATCH(1447,'بيانات الحركات'!$G:$G,0)),"")</f>
        <v/>
      </c>
      <c r="E1448" s="21" t="str">
        <f>IF($B1448="إنتاج طبخة","",IFERROR(INDEX('بيانات الحركات'!E:E,MATCH(1447,'بيانات الحركات'!$G:$G,0)),""))</f>
        <v/>
      </c>
      <c r="F1448" s="3" t="str">
        <f>IFERROR(INDEX('بيانات الحركات'!F:F,MATCH(1447,'بيانات الحركات'!$G:$G,0)),"")</f>
        <v/>
      </c>
    </row>
    <row r="1449" spans="1:6" ht="21.95" customHeight="1">
      <c r="A1449" s="8" t="str">
        <f>IFERROR(INDEX('بيانات الحركات'!A:A,MATCH(1448,'بيانات الحركات'!$G:$G,0)),"")</f>
        <v/>
      </c>
      <c r="B1449" s="5" t="str">
        <f>IFERROR(INDEX('بيانات الحركات'!B:B,MATCH(1448,'بيانات الحركات'!$G:$G,0)),"")</f>
        <v/>
      </c>
      <c r="C1449" s="3" t="str">
        <f>IFERROR(INDEX('بيانات الحركات'!C:C,MATCH(1448,'بيانات الحركات'!$G:$G,0)),"")</f>
        <v/>
      </c>
      <c r="D1449" s="3" t="str">
        <f>IFERROR(INDEX('بيانات الحركات'!D:D,MATCH(1448,'بيانات الحركات'!$G:$G,0)),"")</f>
        <v/>
      </c>
      <c r="E1449" s="21" t="str">
        <f>IF($B1449="إنتاج طبخة","",IFERROR(INDEX('بيانات الحركات'!E:E,MATCH(1448,'بيانات الحركات'!$G:$G,0)),""))</f>
        <v/>
      </c>
      <c r="F1449" s="3" t="str">
        <f>IFERROR(INDEX('بيانات الحركات'!F:F,MATCH(1448,'بيانات الحركات'!$G:$G,0)),"")</f>
        <v/>
      </c>
    </row>
    <row r="1450" spans="1:6" ht="21.95" customHeight="1">
      <c r="A1450" s="8" t="str">
        <f>IFERROR(INDEX('بيانات الحركات'!A:A,MATCH(1449,'بيانات الحركات'!$G:$G,0)),"")</f>
        <v/>
      </c>
      <c r="B1450" s="5" t="str">
        <f>IFERROR(INDEX('بيانات الحركات'!B:B,MATCH(1449,'بيانات الحركات'!$G:$G,0)),"")</f>
        <v/>
      </c>
      <c r="C1450" s="3" t="str">
        <f>IFERROR(INDEX('بيانات الحركات'!C:C,MATCH(1449,'بيانات الحركات'!$G:$G,0)),"")</f>
        <v/>
      </c>
      <c r="D1450" s="3" t="str">
        <f>IFERROR(INDEX('بيانات الحركات'!D:D,MATCH(1449,'بيانات الحركات'!$G:$G,0)),"")</f>
        <v/>
      </c>
      <c r="E1450" s="21" t="str">
        <f>IF($B1450="إنتاج طبخة","",IFERROR(INDEX('بيانات الحركات'!E:E,MATCH(1449,'بيانات الحركات'!$G:$G,0)),""))</f>
        <v/>
      </c>
      <c r="F1450" s="3" t="str">
        <f>IFERROR(INDEX('بيانات الحركات'!F:F,MATCH(1449,'بيانات الحركات'!$G:$G,0)),"")</f>
        <v/>
      </c>
    </row>
    <row r="1451" spans="1:6" ht="21.95" customHeight="1">
      <c r="A1451" s="8" t="str">
        <f>IFERROR(INDEX('بيانات الحركات'!A:A,MATCH(1450,'بيانات الحركات'!$G:$G,0)),"")</f>
        <v/>
      </c>
      <c r="B1451" s="5" t="str">
        <f>IFERROR(INDEX('بيانات الحركات'!B:B,MATCH(1450,'بيانات الحركات'!$G:$G,0)),"")</f>
        <v/>
      </c>
      <c r="C1451" s="3" t="str">
        <f>IFERROR(INDEX('بيانات الحركات'!C:C,MATCH(1450,'بيانات الحركات'!$G:$G,0)),"")</f>
        <v/>
      </c>
      <c r="D1451" s="3" t="str">
        <f>IFERROR(INDEX('بيانات الحركات'!D:D,MATCH(1450,'بيانات الحركات'!$G:$G,0)),"")</f>
        <v/>
      </c>
      <c r="E1451" s="21" t="str">
        <f>IF($B1451="إنتاج طبخة","",IFERROR(INDEX('بيانات الحركات'!E:E,MATCH(1450,'بيانات الحركات'!$G:$G,0)),""))</f>
        <v/>
      </c>
      <c r="F1451" s="3" t="str">
        <f>IFERROR(INDEX('بيانات الحركات'!F:F,MATCH(1450,'بيانات الحركات'!$G:$G,0)),"")</f>
        <v/>
      </c>
    </row>
    <row r="1452" spans="1:6" ht="21.95" customHeight="1">
      <c r="A1452" s="8" t="str">
        <f>IFERROR(INDEX('بيانات الحركات'!A:A,MATCH(1451,'بيانات الحركات'!$G:$G,0)),"")</f>
        <v/>
      </c>
      <c r="B1452" s="5" t="str">
        <f>IFERROR(INDEX('بيانات الحركات'!B:B,MATCH(1451,'بيانات الحركات'!$G:$G,0)),"")</f>
        <v/>
      </c>
      <c r="C1452" s="3" t="str">
        <f>IFERROR(INDEX('بيانات الحركات'!C:C,MATCH(1451,'بيانات الحركات'!$G:$G,0)),"")</f>
        <v/>
      </c>
      <c r="D1452" s="3" t="str">
        <f>IFERROR(INDEX('بيانات الحركات'!D:D,MATCH(1451,'بيانات الحركات'!$G:$G,0)),"")</f>
        <v/>
      </c>
      <c r="E1452" s="21" t="str">
        <f>IF($B1452="إنتاج طبخة","",IFERROR(INDEX('بيانات الحركات'!E:E,MATCH(1451,'بيانات الحركات'!$G:$G,0)),""))</f>
        <v/>
      </c>
      <c r="F1452" s="3" t="str">
        <f>IFERROR(INDEX('بيانات الحركات'!F:F,MATCH(1451,'بيانات الحركات'!$G:$G,0)),"")</f>
        <v/>
      </c>
    </row>
    <row r="1453" spans="1:6" ht="21.95" customHeight="1">
      <c r="A1453" s="8" t="str">
        <f>IFERROR(INDEX('بيانات الحركات'!A:A,MATCH(1452,'بيانات الحركات'!$G:$G,0)),"")</f>
        <v/>
      </c>
      <c r="B1453" s="5" t="str">
        <f>IFERROR(INDEX('بيانات الحركات'!B:B,MATCH(1452,'بيانات الحركات'!$G:$G,0)),"")</f>
        <v/>
      </c>
      <c r="C1453" s="3" t="str">
        <f>IFERROR(INDEX('بيانات الحركات'!C:C,MATCH(1452,'بيانات الحركات'!$G:$G,0)),"")</f>
        <v/>
      </c>
      <c r="D1453" s="3" t="str">
        <f>IFERROR(INDEX('بيانات الحركات'!D:D,MATCH(1452,'بيانات الحركات'!$G:$G,0)),"")</f>
        <v/>
      </c>
      <c r="E1453" s="21" t="str">
        <f>IF($B1453="إنتاج طبخة","",IFERROR(INDEX('بيانات الحركات'!E:E,MATCH(1452,'بيانات الحركات'!$G:$G,0)),""))</f>
        <v/>
      </c>
      <c r="F1453" s="3" t="str">
        <f>IFERROR(INDEX('بيانات الحركات'!F:F,MATCH(1452,'بيانات الحركات'!$G:$G,0)),"")</f>
        <v/>
      </c>
    </row>
    <row r="1454" spans="1:6" ht="21.95" customHeight="1">
      <c r="A1454" s="8" t="str">
        <f>IFERROR(INDEX('بيانات الحركات'!A:A,MATCH(1453,'بيانات الحركات'!$G:$G,0)),"")</f>
        <v/>
      </c>
      <c r="B1454" s="5" t="str">
        <f>IFERROR(INDEX('بيانات الحركات'!B:B,MATCH(1453,'بيانات الحركات'!$G:$G,0)),"")</f>
        <v/>
      </c>
      <c r="C1454" s="3" t="str">
        <f>IFERROR(INDEX('بيانات الحركات'!C:C,MATCH(1453,'بيانات الحركات'!$G:$G,0)),"")</f>
        <v/>
      </c>
      <c r="D1454" s="3" t="str">
        <f>IFERROR(INDEX('بيانات الحركات'!D:D,MATCH(1453,'بيانات الحركات'!$G:$G,0)),"")</f>
        <v/>
      </c>
      <c r="E1454" s="21" t="str">
        <f>IF($B1454="إنتاج طبخة","",IFERROR(INDEX('بيانات الحركات'!E:E,MATCH(1453,'بيانات الحركات'!$G:$G,0)),""))</f>
        <v/>
      </c>
      <c r="F1454" s="3" t="str">
        <f>IFERROR(INDEX('بيانات الحركات'!F:F,MATCH(1453,'بيانات الحركات'!$G:$G,0)),"")</f>
        <v/>
      </c>
    </row>
    <row r="1455" spans="1:6" ht="21.95" customHeight="1">
      <c r="A1455" s="8" t="str">
        <f>IFERROR(INDEX('بيانات الحركات'!A:A,MATCH(1454,'بيانات الحركات'!$G:$G,0)),"")</f>
        <v/>
      </c>
      <c r="B1455" s="5" t="str">
        <f>IFERROR(INDEX('بيانات الحركات'!B:B,MATCH(1454,'بيانات الحركات'!$G:$G,0)),"")</f>
        <v/>
      </c>
      <c r="C1455" s="3" t="str">
        <f>IFERROR(INDEX('بيانات الحركات'!C:C,MATCH(1454,'بيانات الحركات'!$G:$G,0)),"")</f>
        <v/>
      </c>
      <c r="D1455" s="3" t="str">
        <f>IFERROR(INDEX('بيانات الحركات'!D:D,MATCH(1454,'بيانات الحركات'!$G:$G,0)),"")</f>
        <v/>
      </c>
      <c r="E1455" s="21" t="str">
        <f>IF($B1455="إنتاج طبخة","",IFERROR(INDEX('بيانات الحركات'!E:E,MATCH(1454,'بيانات الحركات'!$G:$G,0)),""))</f>
        <v/>
      </c>
      <c r="F1455" s="3" t="str">
        <f>IFERROR(INDEX('بيانات الحركات'!F:F,MATCH(1454,'بيانات الحركات'!$G:$G,0)),"")</f>
        <v/>
      </c>
    </row>
    <row r="1456" spans="1:6" ht="21.95" customHeight="1">
      <c r="A1456" s="8" t="str">
        <f>IFERROR(INDEX('بيانات الحركات'!A:A,MATCH(1455,'بيانات الحركات'!$G:$G,0)),"")</f>
        <v/>
      </c>
      <c r="B1456" s="5" t="str">
        <f>IFERROR(INDEX('بيانات الحركات'!B:B,MATCH(1455,'بيانات الحركات'!$G:$G,0)),"")</f>
        <v/>
      </c>
      <c r="C1456" s="3" t="str">
        <f>IFERROR(INDEX('بيانات الحركات'!C:C,MATCH(1455,'بيانات الحركات'!$G:$G,0)),"")</f>
        <v/>
      </c>
      <c r="D1456" s="3" t="str">
        <f>IFERROR(INDEX('بيانات الحركات'!D:D,MATCH(1455,'بيانات الحركات'!$G:$G,0)),"")</f>
        <v/>
      </c>
      <c r="E1456" s="21" t="str">
        <f>IF($B1456="إنتاج طبخة","",IFERROR(INDEX('بيانات الحركات'!E:E,MATCH(1455,'بيانات الحركات'!$G:$G,0)),""))</f>
        <v/>
      </c>
      <c r="F1456" s="3" t="str">
        <f>IFERROR(INDEX('بيانات الحركات'!F:F,MATCH(1455,'بيانات الحركات'!$G:$G,0)),"")</f>
        <v/>
      </c>
    </row>
    <row r="1457" spans="1:6" ht="21.95" customHeight="1">
      <c r="A1457" s="8" t="str">
        <f>IFERROR(INDEX('بيانات الحركات'!A:A,MATCH(1456,'بيانات الحركات'!$G:$G,0)),"")</f>
        <v/>
      </c>
      <c r="B1457" s="5" t="str">
        <f>IFERROR(INDEX('بيانات الحركات'!B:B,MATCH(1456,'بيانات الحركات'!$G:$G,0)),"")</f>
        <v/>
      </c>
      <c r="C1457" s="3" t="str">
        <f>IFERROR(INDEX('بيانات الحركات'!C:C,MATCH(1456,'بيانات الحركات'!$G:$G,0)),"")</f>
        <v/>
      </c>
      <c r="D1457" s="3" t="str">
        <f>IFERROR(INDEX('بيانات الحركات'!D:D,MATCH(1456,'بيانات الحركات'!$G:$G,0)),"")</f>
        <v/>
      </c>
      <c r="E1457" s="21" t="str">
        <f>IF($B1457="إنتاج طبخة","",IFERROR(INDEX('بيانات الحركات'!E:E,MATCH(1456,'بيانات الحركات'!$G:$G,0)),""))</f>
        <v/>
      </c>
      <c r="F1457" s="3" t="str">
        <f>IFERROR(INDEX('بيانات الحركات'!F:F,MATCH(1456,'بيانات الحركات'!$G:$G,0)),"")</f>
        <v/>
      </c>
    </row>
    <row r="1458" spans="1:6" ht="21.95" customHeight="1">
      <c r="A1458" s="8" t="str">
        <f>IFERROR(INDEX('بيانات الحركات'!A:A,MATCH(1457,'بيانات الحركات'!$G:$G,0)),"")</f>
        <v/>
      </c>
      <c r="B1458" s="5" t="str">
        <f>IFERROR(INDEX('بيانات الحركات'!B:B,MATCH(1457,'بيانات الحركات'!$G:$G,0)),"")</f>
        <v/>
      </c>
      <c r="C1458" s="3" t="str">
        <f>IFERROR(INDEX('بيانات الحركات'!C:C,MATCH(1457,'بيانات الحركات'!$G:$G,0)),"")</f>
        <v/>
      </c>
      <c r="D1458" s="3" t="str">
        <f>IFERROR(INDEX('بيانات الحركات'!D:D,MATCH(1457,'بيانات الحركات'!$G:$G,0)),"")</f>
        <v/>
      </c>
      <c r="E1458" s="21" t="str">
        <f>IF($B1458="إنتاج طبخة","",IFERROR(INDEX('بيانات الحركات'!E:E,MATCH(1457,'بيانات الحركات'!$G:$G,0)),""))</f>
        <v/>
      </c>
      <c r="F1458" s="3" t="str">
        <f>IFERROR(INDEX('بيانات الحركات'!F:F,MATCH(1457,'بيانات الحركات'!$G:$G,0)),"")</f>
        <v/>
      </c>
    </row>
    <row r="1459" spans="1:6" ht="21.95" customHeight="1">
      <c r="A1459" s="8" t="str">
        <f>IFERROR(INDEX('بيانات الحركات'!A:A,MATCH(1458,'بيانات الحركات'!$G:$G,0)),"")</f>
        <v/>
      </c>
      <c r="B1459" s="5" t="str">
        <f>IFERROR(INDEX('بيانات الحركات'!B:B,MATCH(1458,'بيانات الحركات'!$G:$G,0)),"")</f>
        <v/>
      </c>
      <c r="C1459" s="3" t="str">
        <f>IFERROR(INDEX('بيانات الحركات'!C:C,MATCH(1458,'بيانات الحركات'!$G:$G,0)),"")</f>
        <v/>
      </c>
      <c r="D1459" s="3" t="str">
        <f>IFERROR(INDEX('بيانات الحركات'!D:D,MATCH(1458,'بيانات الحركات'!$G:$G,0)),"")</f>
        <v/>
      </c>
      <c r="E1459" s="21" t="str">
        <f>IF($B1459="إنتاج طبخة","",IFERROR(INDEX('بيانات الحركات'!E:E,MATCH(1458,'بيانات الحركات'!$G:$G,0)),""))</f>
        <v/>
      </c>
      <c r="F1459" s="3" t="str">
        <f>IFERROR(INDEX('بيانات الحركات'!F:F,MATCH(1458,'بيانات الحركات'!$G:$G,0)),"")</f>
        <v/>
      </c>
    </row>
    <row r="1460" spans="1:6" ht="21.95" customHeight="1">
      <c r="A1460" s="8" t="str">
        <f>IFERROR(INDEX('بيانات الحركات'!A:A,MATCH(1459,'بيانات الحركات'!$G:$G,0)),"")</f>
        <v/>
      </c>
      <c r="B1460" s="5" t="str">
        <f>IFERROR(INDEX('بيانات الحركات'!B:B,MATCH(1459,'بيانات الحركات'!$G:$G,0)),"")</f>
        <v/>
      </c>
      <c r="C1460" s="3" t="str">
        <f>IFERROR(INDEX('بيانات الحركات'!C:C,MATCH(1459,'بيانات الحركات'!$G:$G,0)),"")</f>
        <v/>
      </c>
      <c r="D1460" s="3" t="str">
        <f>IFERROR(INDEX('بيانات الحركات'!D:D,MATCH(1459,'بيانات الحركات'!$G:$G,0)),"")</f>
        <v/>
      </c>
      <c r="E1460" s="21" t="str">
        <f>IF($B1460="إنتاج طبخة","",IFERROR(INDEX('بيانات الحركات'!E:E,MATCH(1459,'بيانات الحركات'!$G:$G,0)),""))</f>
        <v/>
      </c>
      <c r="F1460" s="3" t="str">
        <f>IFERROR(INDEX('بيانات الحركات'!F:F,MATCH(1459,'بيانات الحركات'!$G:$G,0)),"")</f>
        <v/>
      </c>
    </row>
    <row r="1461" spans="1:6" ht="21.95" customHeight="1">
      <c r="A1461" s="8" t="str">
        <f>IFERROR(INDEX('بيانات الحركات'!A:A,MATCH(1460,'بيانات الحركات'!$G:$G,0)),"")</f>
        <v/>
      </c>
      <c r="B1461" s="5" t="str">
        <f>IFERROR(INDEX('بيانات الحركات'!B:B,MATCH(1460,'بيانات الحركات'!$G:$G,0)),"")</f>
        <v/>
      </c>
      <c r="C1461" s="3" t="str">
        <f>IFERROR(INDEX('بيانات الحركات'!C:C,MATCH(1460,'بيانات الحركات'!$G:$G,0)),"")</f>
        <v/>
      </c>
      <c r="D1461" s="3" t="str">
        <f>IFERROR(INDEX('بيانات الحركات'!D:D,MATCH(1460,'بيانات الحركات'!$G:$G,0)),"")</f>
        <v/>
      </c>
      <c r="E1461" s="21" t="str">
        <f>IF($B1461="إنتاج طبخة","",IFERROR(INDEX('بيانات الحركات'!E:E,MATCH(1460,'بيانات الحركات'!$G:$G,0)),""))</f>
        <v/>
      </c>
      <c r="F1461" s="3" t="str">
        <f>IFERROR(INDEX('بيانات الحركات'!F:F,MATCH(1460,'بيانات الحركات'!$G:$G,0)),"")</f>
        <v/>
      </c>
    </row>
    <row r="1462" spans="1:6" ht="21.95" customHeight="1">
      <c r="A1462" s="8" t="str">
        <f>IFERROR(INDEX('بيانات الحركات'!A:A,MATCH(1461,'بيانات الحركات'!$G:$G,0)),"")</f>
        <v/>
      </c>
      <c r="B1462" s="5" t="str">
        <f>IFERROR(INDEX('بيانات الحركات'!B:B,MATCH(1461,'بيانات الحركات'!$G:$G,0)),"")</f>
        <v/>
      </c>
      <c r="C1462" s="3" t="str">
        <f>IFERROR(INDEX('بيانات الحركات'!C:C,MATCH(1461,'بيانات الحركات'!$G:$G,0)),"")</f>
        <v/>
      </c>
      <c r="D1462" s="3" t="str">
        <f>IFERROR(INDEX('بيانات الحركات'!D:D,MATCH(1461,'بيانات الحركات'!$G:$G,0)),"")</f>
        <v/>
      </c>
      <c r="E1462" s="21" t="str">
        <f>IF($B1462="إنتاج طبخة","",IFERROR(INDEX('بيانات الحركات'!E:E,MATCH(1461,'بيانات الحركات'!$G:$G,0)),""))</f>
        <v/>
      </c>
      <c r="F1462" s="3" t="str">
        <f>IFERROR(INDEX('بيانات الحركات'!F:F,MATCH(1461,'بيانات الحركات'!$G:$G,0)),"")</f>
        <v/>
      </c>
    </row>
    <row r="1463" spans="1:6" ht="21.95" customHeight="1">
      <c r="A1463" s="8" t="str">
        <f>IFERROR(INDEX('بيانات الحركات'!A:A,MATCH(1462,'بيانات الحركات'!$G:$G,0)),"")</f>
        <v/>
      </c>
      <c r="B1463" s="5" t="str">
        <f>IFERROR(INDEX('بيانات الحركات'!B:B,MATCH(1462,'بيانات الحركات'!$G:$G,0)),"")</f>
        <v/>
      </c>
      <c r="C1463" s="3" t="str">
        <f>IFERROR(INDEX('بيانات الحركات'!C:C,MATCH(1462,'بيانات الحركات'!$G:$G,0)),"")</f>
        <v/>
      </c>
      <c r="D1463" s="3" t="str">
        <f>IFERROR(INDEX('بيانات الحركات'!D:D,MATCH(1462,'بيانات الحركات'!$G:$G,0)),"")</f>
        <v/>
      </c>
      <c r="E1463" s="21" t="str">
        <f>IF($B1463="إنتاج طبخة","",IFERROR(INDEX('بيانات الحركات'!E:E,MATCH(1462,'بيانات الحركات'!$G:$G,0)),""))</f>
        <v/>
      </c>
      <c r="F1463" s="3" t="str">
        <f>IFERROR(INDEX('بيانات الحركات'!F:F,MATCH(1462,'بيانات الحركات'!$G:$G,0)),"")</f>
        <v/>
      </c>
    </row>
    <row r="1464" spans="1:6" ht="21.95" customHeight="1">
      <c r="A1464" s="8" t="str">
        <f>IFERROR(INDEX('بيانات الحركات'!A:A,MATCH(1463,'بيانات الحركات'!$G:$G,0)),"")</f>
        <v/>
      </c>
      <c r="B1464" s="5" t="str">
        <f>IFERROR(INDEX('بيانات الحركات'!B:B,MATCH(1463,'بيانات الحركات'!$G:$G,0)),"")</f>
        <v/>
      </c>
      <c r="C1464" s="3" t="str">
        <f>IFERROR(INDEX('بيانات الحركات'!C:C,MATCH(1463,'بيانات الحركات'!$G:$G,0)),"")</f>
        <v/>
      </c>
      <c r="D1464" s="3" t="str">
        <f>IFERROR(INDEX('بيانات الحركات'!D:D,MATCH(1463,'بيانات الحركات'!$G:$G,0)),"")</f>
        <v/>
      </c>
      <c r="E1464" s="21" t="str">
        <f>IF($B1464="إنتاج طبخة","",IFERROR(INDEX('بيانات الحركات'!E:E,MATCH(1463,'بيانات الحركات'!$G:$G,0)),""))</f>
        <v/>
      </c>
      <c r="F1464" s="3" t="str">
        <f>IFERROR(INDEX('بيانات الحركات'!F:F,MATCH(1463,'بيانات الحركات'!$G:$G,0)),"")</f>
        <v/>
      </c>
    </row>
    <row r="1465" spans="1:6" ht="21.95" customHeight="1">
      <c r="A1465" s="8" t="str">
        <f>IFERROR(INDEX('بيانات الحركات'!A:A,MATCH(1464,'بيانات الحركات'!$G:$G,0)),"")</f>
        <v/>
      </c>
      <c r="B1465" s="5" t="str">
        <f>IFERROR(INDEX('بيانات الحركات'!B:B,MATCH(1464,'بيانات الحركات'!$G:$G,0)),"")</f>
        <v/>
      </c>
      <c r="C1465" s="3" t="str">
        <f>IFERROR(INDEX('بيانات الحركات'!C:C,MATCH(1464,'بيانات الحركات'!$G:$G,0)),"")</f>
        <v/>
      </c>
      <c r="D1465" s="3" t="str">
        <f>IFERROR(INDEX('بيانات الحركات'!D:D,MATCH(1464,'بيانات الحركات'!$G:$G,0)),"")</f>
        <v/>
      </c>
      <c r="E1465" s="21" t="str">
        <f>IF($B1465="إنتاج طبخة","",IFERROR(INDEX('بيانات الحركات'!E:E,MATCH(1464,'بيانات الحركات'!$G:$G,0)),""))</f>
        <v/>
      </c>
      <c r="F1465" s="3" t="str">
        <f>IFERROR(INDEX('بيانات الحركات'!F:F,MATCH(1464,'بيانات الحركات'!$G:$G,0)),"")</f>
        <v/>
      </c>
    </row>
    <row r="1466" spans="1:6" ht="21.95" customHeight="1">
      <c r="A1466" s="8" t="str">
        <f>IFERROR(INDEX('بيانات الحركات'!A:A,MATCH(1465,'بيانات الحركات'!$G:$G,0)),"")</f>
        <v/>
      </c>
      <c r="B1466" s="5" t="str">
        <f>IFERROR(INDEX('بيانات الحركات'!B:B,MATCH(1465,'بيانات الحركات'!$G:$G,0)),"")</f>
        <v/>
      </c>
      <c r="C1466" s="3" t="str">
        <f>IFERROR(INDEX('بيانات الحركات'!C:C,MATCH(1465,'بيانات الحركات'!$G:$G,0)),"")</f>
        <v/>
      </c>
      <c r="D1466" s="3" t="str">
        <f>IFERROR(INDEX('بيانات الحركات'!D:D,MATCH(1465,'بيانات الحركات'!$G:$G,0)),"")</f>
        <v/>
      </c>
      <c r="E1466" s="21" t="str">
        <f>IF($B1466="إنتاج طبخة","",IFERROR(INDEX('بيانات الحركات'!E:E,MATCH(1465,'بيانات الحركات'!$G:$G,0)),""))</f>
        <v/>
      </c>
      <c r="F1466" s="3" t="str">
        <f>IFERROR(INDEX('بيانات الحركات'!F:F,MATCH(1465,'بيانات الحركات'!$G:$G,0)),"")</f>
        <v/>
      </c>
    </row>
    <row r="1467" spans="1:6" ht="21.95" customHeight="1">
      <c r="A1467" s="8" t="str">
        <f>IFERROR(INDEX('بيانات الحركات'!A:A,MATCH(1466,'بيانات الحركات'!$G:$G,0)),"")</f>
        <v/>
      </c>
      <c r="B1467" s="5" t="str">
        <f>IFERROR(INDEX('بيانات الحركات'!B:B,MATCH(1466,'بيانات الحركات'!$G:$G,0)),"")</f>
        <v/>
      </c>
      <c r="C1467" s="3" t="str">
        <f>IFERROR(INDEX('بيانات الحركات'!C:C,MATCH(1466,'بيانات الحركات'!$G:$G,0)),"")</f>
        <v/>
      </c>
      <c r="D1467" s="3" t="str">
        <f>IFERROR(INDEX('بيانات الحركات'!D:D,MATCH(1466,'بيانات الحركات'!$G:$G,0)),"")</f>
        <v/>
      </c>
      <c r="E1467" s="21" t="str">
        <f>IF($B1467="إنتاج طبخة","",IFERROR(INDEX('بيانات الحركات'!E:E,MATCH(1466,'بيانات الحركات'!$G:$G,0)),""))</f>
        <v/>
      </c>
      <c r="F1467" s="3" t="str">
        <f>IFERROR(INDEX('بيانات الحركات'!F:F,MATCH(1466,'بيانات الحركات'!$G:$G,0)),"")</f>
        <v/>
      </c>
    </row>
    <row r="1468" spans="1:6" ht="21.95" customHeight="1">
      <c r="A1468" s="8" t="str">
        <f>IFERROR(INDEX('بيانات الحركات'!A:A,MATCH(1467,'بيانات الحركات'!$G:$G,0)),"")</f>
        <v/>
      </c>
      <c r="B1468" s="5" t="str">
        <f>IFERROR(INDEX('بيانات الحركات'!B:B,MATCH(1467,'بيانات الحركات'!$G:$G,0)),"")</f>
        <v/>
      </c>
      <c r="C1468" s="3" t="str">
        <f>IFERROR(INDEX('بيانات الحركات'!C:C,MATCH(1467,'بيانات الحركات'!$G:$G,0)),"")</f>
        <v/>
      </c>
      <c r="D1468" s="3" t="str">
        <f>IFERROR(INDEX('بيانات الحركات'!D:D,MATCH(1467,'بيانات الحركات'!$G:$G,0)),"")</f>
        <v/>
      </c>
      <c r="E1468" s="21" t="str">
        <f>IF($B1468="إنتاج طبخة","",IFERROR(INDEX('بيانات الحركات'!E:E,MATCH(1467,'بيانات الحركات'!$G:$G,0)),""))</f>
        <v/>
      </c>
      <c r="F1468" s="3" t="str">
        <f>IFERROR(INDEX('بيانات الحركات'!F:F,MATCH(1467,'بيانات الحركات'!$G:$G,0)),"")</f>
        <v/>
      </c>
    </row>
    <row r="1469" spans="1:6" ht="21.95" customHeight="1">
      <c r="A1469" s="8" t="str">
        <f>IFERROR(INDEX('بيانات الحركات'!A:A,MATCH(1468,'بيانات الحركات'!$G:$G,0)),"")</f>
        <v/>
      </c>
      <c r="B1469" s="5" t="str">
        <f>IFERROR(INDEX('بيانات الحركات'!B:B,MATCH(1468,'بيانات الحركات'!$G:$G,0)),"")</f>
        <v/>
      </c>
      <c r="C1469" s="3" t="str">
        <f>IFERROR(INDEX('بيانات الحركات'!C:C,MATCH(1468,'بيانات الحركات'!$G:$G,0)),"")</f>
        <v/>
      </c>
      <c r="D1469" s="3" t="str">
        <f>IFERROR(INDEX('بيانات الحركات'!D:D,MATCH(1468,'بيانات الحركات'!$G:$G,0)),"")</f>
        <v/>
      </c>
      <c r="E1469" s="21" t="str">
        <f>IF($B1469="إنتاج طبخة","",IFERROR(INDEX('بيانات الحركات'!E:E,MATCH(1468,'بيانات الحركات'!$G:$G,0)),""))</f>
        <v/>
      </c>
      <c r="F1469" s="3" t="str">
        <f>IFERROR(INDEX('بيانات الحركات'!F:F,MATCH(1468,'بيانات الحركات'!$G:$G,0)),"")</f>
        <v/>
      </c>
    </row>
    <row r="1470" spans="1:6" ht="21.95" customHeight="1">
      <c r="A1470" s="8" t="str">
        <f>IFERROR(INDEX('بيانات الحركات'!A:A,MATCH(1469,'بيانات الحركات'!$G:$G,0)),"")</f>
        <v/>
      </c>
      <c r="B1470" s="5" t="str">
        <f>IFERROR(INDEX('بيانات الحركات'!B:B,MATCH(1469,'بيانات الحركات'!$G:$G,0)),"")</f>
        <v/>
      </c>
      <c r="C1470" s="3" t="str">
        <f>IFERROR(INDEX('بيانات الحركات'!C:C,MATCH(1469,'بيانات الحركات'!$G:$G,0)),"")</f>
        <v/>
      </c>
      <c r="D1470" s="3" t="str">
        <f>IFERROR(INDEX('بيانات الحركات'!D:D,MATCH(1469,'بيانات الحركات'!$G:$G,0)),"")</f>
        <v/>
      </c>
      <c r="E1470" s="21" t="str">
        <f>IF($B1470="إنتاج طبخة","",IFERROR(INDEX('بيانات الحركات'!E:E,MATCH(1469,'بيانات الحركات'!$G:$G,0)),""))</f>
        <v/>
      </c>
      <c r="F1470" s="3" t="str">
        <f>IFERROR(INDEX('بيانات الحركات'!F:F,MATCH(1469,'بيانات الحركات'!$G:$G,0)),"")</f>
        <v/>
      </c>
    </row>
    <row r="1471" spans="1:6" ht="21.95" customHeight="1">
      <c r="A1471" s="8" t="str">
        <f>IFERROR(INDEX('بيانات الحركات'!A:A,MATCH(1470,'بيانات الحركات'!$G:$G,0)),"")</f>
        <v/>
      </c>
      <c r="B1471" s="5" t="str">
        <f>IFERROR(INDEX('بيانات الحركات'!B:B,MATCH(1470,'بيانات الحركات'!$G:$G,0)),"")</f>
        <v/>
      </c>
      <c r="C1471" s="3" t="str">
        <f>IFERROR(INDEX('بيانات الحركات'!C:C,MATCH(1470,'بيانات الحركات'!$G:$G,0)),"")</f>
        <v/>
      </c>
      <c r="D1471" s="3" t="str">
        <f>IFERROR(INDEX('بيانات الحركات'!D:D,MATCH(1470,'بيانات الحركات'!$G:$G,0)),"")</f>
        <v/>
      </c>
      <c r="E1471" s="21" t="str">
        <f>IF($B1471="إنتاج طبخة","",IFERROR(INDEX('بيانات الحركات'!E:E,MATCH(1470,'بيانات الحركات'!$G:$G,0)),""))</f>
        <v/>
      </c>
      <c r="F1471" s="3" t="str">
        <f>IFERROR(INDEX('بيانات الحركات'!F:F,MATCH(1470,'بيانات الحركات'!$G:$G,0)),"")</f>
        <v/>
      </c>
    </row>
    <row r="1472" spans="1:6" ht="21.95" customHeight="1">
      <c r="A1472" s="8" t="str">
        <f>IFERROR(INDEX('بيانات الحركات'!A:A,MATCH(1471,'بيانات الحركات'!$G:$G,0)),"")</f>
        <v/>
      </c>
      <c r="B1472" s="5" t="str">
        <f>IFERROR(INDEX('بيانات الحركات'!B:B,MATCH(1471,'بيانات الحركات'!$G:$G,0)),"")</f>
        <v/>
      </c>
      <c r="C1472" s="3" t="str">
        <f>IFERROR(INDEX('بيانات الحركات'!C:C,MATCH(1471,'بيانات الحركات'!$G:$G,0)),"")</f>
        <v/>
      </c>
      <c r="D1472" s="3" t="str">
        <f>IFERROR(INDEX('بيانات الحركات'!D:D,MATCH(1471,'بيانات الحركات'!$G:$G,0)),"")</f>
        <v/>
      </c>
      <c r="E1472" s="21" t="str">
        <f>IF($B1472="إنتاج طبخة","",IFERROR(INDEX('بيانات الحركات'!E:E,MATCH(1471,'بيانات الحركات'!$G:$G,0)),""))</f>
        <v/>
      </c>
      <c r="F1472" s="3" t="str">
        <f>IFERROR(INDEX('بيانات الحركات'!F:F,MATCH(1471,'بيانات الحركات'!$G:$G,0)),"")</f>
        <v/>
      </c>
    </row>
    <row r="1473" spans="1:6" ht="21.95" customHeight="1">
      <c r="A1473" s="8" t="str">
        <f>IFERROR(INDEX('بيانات الحركات'!A:A,MATCH(1472,'بيانات الحركات'!$G:$G,0)),"")</f>
        <v/>
      </c>
      <c r="B1473" s="5" t="str">
        <f>IFERROR(INDEX('بيانات الحركات'!B:B,MATCH(1472,'بيانات الحركات'!$G:$G,0)),"")</f>
        <v/>
      </c>
      <c r="C1473" s="3" t="str">
        <f>IFERROR(INDEX('بيانات الحركات'!C:C,MATCH(1472,'بيانات الحركات'!$G:$G,0)),"")</f>
        <v/>
      </c>
      <c r="D1473" s="3" t="str">
        <f>IFERROR(INDEX('بيانات الحركات'!D:D,MATCH(1472,'بيانات الحركات'!$G:$G,0)),"")</f>
        <v/>
      </c>
      <c r="E1473" s="21" t="str">
        <f>IF($B1473="إنتاج طبخة","",IFERROR(INDEX('بيانات الحركات'!E:E,MATCH(1472,'بيانات الحركات'!$G:$G,0)),""))</f>
        <v/>
      </c>
      <c r="F1473" s="3" t="str">
        <f>IFERROR(INDEX('بيانات الحركات'!F:F,MATCH(1472,'بيانات الحركات'!$G:$G,0)),"")</f>
        <v/>
      </c>
    </row>
    <row r="1474" spans="1:6" ht="21.95" customHeight="1">
      <c r="A1474" s="8" t="str">
        <f>IFERROR(INDEX('بيانات الحركات'!A:A,MATCH(1473,'بيانات الحركات'!$G:$G,0)),"")</f>
        <v/>
      </c>
      <c r="B1474" s="5" t="str">
        <f>IFERROR(INDEX('بيانات الحركات'!B:B,MATCH(1473,'بيانات الحركات'!$G:$G,0)),"")</f>
        <v/>
      </c>
      <c r="C1474" s="3" t="str">
        <f>IFERROR(INDEX('بيانات الحركات'!C:C,MATCH(1473,'بيانات الحركات'!$G:$G,0)),"")</f>
        <v/>
      </c>
      <c r="D1474" s="3" t="str">
        <f>IFERROR(INDEX('بيانات الحركات'!D:D,MATCH(1473,'بيانات الحركات'!$G:$G,0)),"")</f>
        <v/>
      </c>
      <c r="E1474" s="21" t="str">
        <f>IF($B1474="إنتاج طبخة","",IFERROR(INDEX('بيانات الحركات'!E:E,MATCH(1473,'بيانات الحركات'!$G:$G,0)),""))</f>
        <v/>
      </c>
      <c r="F1474" s="3" t="str">
        <f>IFERROR(INDEX('بيانات الحركات'!F:F,MATCH(1473,'بيانات الحركات'!$G:$G,0)),"")</f>
        <v/>
      </c>
    </row>
    <row r="1475" spans="1:6" ht="21.95" customHeight="1">
      <c r="A1475" s="8" t="str">
        <f>IFERROR(INDEX('بيانات الحركات'!A:A,MATCH(1474,'بيانات الحركات'!$G:$G,0)),"")</f>
        <v/>
      </c>
      <c r="B1475" s="5" t="str">
        <f>IFERROR(INDEX('بيانات الحركات'!B:B,MATCH(1474,'بيانات الحركات'!$G:$G,0)),"")</f>
        <v/>
      </c>
      <c r="C1475" s="3" t="str">
        <f>IFERROR(INDEX('بيانات الحركات'!C:C,MATCH(1474,'بيانات الحركات'!$G:$G,0)),"")</f>
        <v/>
      </c>
      <c r="D1475" s="3" t="str">
        <f>IFERROR(INDEX('بيانات الحركات'!D:D,MATCH(1474,'بيانات الحركات'!$G:$G,0)),"")</f>
        <v/>
      </c>
      <c r="E1475" s="21" t="str">
        <f>IF($B1475="إنتاج طبخة","",IFERROR(INDEX('بيانات الحركات'!E:E,MATCH(1474,'بيانات الحركات'!$G:$G,0)),""))</f>
        <v/>
      </c>
      <c r="F1475" s="3" t="str">
        <f>IFERROR(INDEX('بيانات الحركات'!F:F,MATCH(1474,'بيانات الحركات'!$G:$G,0)),"")</f>
        <v/>
      </c>
    </row>
    <row r="1476" spans="1:6" ht="21.95" customHeight="1">
      <c r="A1476" s="8" t="str">
        <f>IFERROR(INDEX('بيانات الحركات'!A:A,MATCH(1475,'بيانات الحركات'!$G:$G,0)),"")</f>
        <v/>
      </c>
      <c r="B1476" s="5" t="str">
        <f>IFERROR(INDEX('بيانات الحركات'!B:B,MATCH(1475,'بيانات الحركات'!$G:$G,0)),"")</f>
        <v/>
      </c>
      <c r="C1476" s="3" t="str">
        <f>IFERROR(INDEX('بيانات الحركات'!C:C,MATCH(1475,'بيانات الحركات'!$G:$G,0)),"")</f>
        <v/>
      </c>
      <c r="D1476" s="3" t="str">
        <f>IFERROR(INDEX('بيانات الحركات'!D:D,MATCH(1475,'بيانات الحركات'!$G:$G,0)),"")</f>
        <v/>
      </c>
      <c r="E1476" s="21" t="str">
        <f>IF($B1476="إنتاج طبخة","",IFERROR(INDEX('بيانات الحركات'!E:E,MATCH(1475,'بيانات الحركات'!$G:$G,0)),""))</f>
        <v/>
      </c>
      <c r="F1476" s="3" t="str">
        <f>IFERROR(INDEX('بيانات الحركات'!F:F,MATCH(1475,'بيانات الحركات'!$G:$G,0)),"")</f>
        <v/>
      </c>
    </row>
    <row r="1477" spans="1:6" ht="21.95" customHeight="1">
      <c r="A1477" s="8" t="str">
        <f>IFERROR(INDEX('بيانات الحركات'!A:A,MATCH(1476,'بيانات الحركات'!$G:$G,0)),"")</f>
        <v/>
      </c>
      <c r="B1477" s="5" t="str">
        <f>IFERROR(INDEX('بيانات الحركات'!B:B,MATCH(1476,'بيانات الحركات'!$G:$G,0)),"")</f>
        <v/>
      </c>
      <c r="C1477" s="3" t="str">
        <f>IFERROR(INDEX('بيانات الحركات'!C:C,MATCH(1476,'بيانات الحركات'!$G:$G,0)),"")</f>
        <v/>
      </c>
      <c r="D1477" s="3" t="str">
        <f>IFERROR(INDEX('بيانات الحركات'!D:D,MATCH(1476,'بيانات الحركات'!$G:$G,0)),"")</f>
        <v/>
      </c>
      <c r="E1477" s="21" t="str">
        <f>IF($B1477="إنتاج طبخة","",IFERROR(INDEX('بيانات الحركات'!E:E,MATCH(1476,'بيانات الحركات'!$G:$G,0)),""))</f>
        <v/>
      </c>
      <c r="F1477" s="3" t="str">
        <f>IFERROR(INDEX('بيانات الحركات'!F:F,MATCH(1476,'بيانات الحركات'!$G:$G,0)),"")</f>
        <v/>
      </c>
    </row>
    <row r="1478" spans="1:6" ht="21.95" customHeight="1">
      <c r="A1478" s="8" t="str">
        <f>IFERROR(INDEX('بيانات الحركات'!A:A,MATCH(1477,'بيانات الحركات'!$G:$G,0)),"")</f>
        <v/>
      </c>
      <c r="B1478" s="5" t="str">
        <f>IFERROR(INDEX('بيانات الحركات'!B:B,MATCH(1477,'بيانات الحركات'!$G:$G,0)),"")</f>
        <v/>
      </c>
      <c r="C1478" s="3" t="str">
        <f>IFERROR(INDEX('بيانات الحركات'!C:C,MATCH(1477,'بيانات الحركات'!$G:$G,0)),"")</f>
        <v/>
      </c>
      <c r="D1478" s="3" t="str">
        <f>IFERROR(INDEX('بيانات الحركات'!D:D,MATCH(1477,'بيانات الحركات'!$G:$G,0)),"")</f>
        <v/>
      </c>
      <c r="E1478" s="21" t="str">
        <f>IF($B1478="إنتاج طبخة","",IFERROR(INDEX('بيانات الحركات'!E:E,MATCH(1477,'بيانات الحركات'!$G:$G,0)),""))</f>
        <v/>
      </c>
      <c r="F1478" s="3" t="str">
        <f>IFERROR(INDEX('بيانات الحركات'!F:F,MATCH(1477,'بيانات الحركات'!$G:$G,0)),"")</f>
        <v/>
      </c>
    </row>
    <row r="1479" spans="1:6" ht="21.95" customHeight="1">
      <c r="A1479" s="8" t="str">
        <f>IFERROR(INDEX('بيانات الحركات'!A:A,MATCH(1478,'بيانات الحركات'!$G:$G,0)),"")</f>
        <v/>
      </c>
      <c r="B1479" s="5" t="str">
        <f>IFERROR(INDEX('بيانات الحركات'!B:B,MATCH(1478,'بيانات الحركات'!$G:$G,0)),"")</f>
        <v/>
      </c>
      <c r="C1479" s="3" t="str">
        <f>IFERROR(INDEX('بيانات الحركات'!C:C,MATCH(1478,'بيانات الحركات'!$G:$G,0)),"")</f>
        <v/>
      </c>
      <c r="D1479" s="3" t="str">
        <f>IFERROR(INDEX('بيانات الحركات'!D:D,MATCH(1478,'بيانات الحركات'!$G:$G,0)),"")</f>
        <v/>
      </c>
      <c r="E1479" s="21" t="str">
        <f>IF($B1479="إنتاج طبخة","",IFERROR(INDEX('بيانات الحركات'!E:E,MATCH(1478,'بيانات الحركات'!$G:$G,0)),""))</f>
        <v/>
      </c>
      <c r="F1479" s="3" t="str">
        <f>IFERROR(INDEX('بيانات الحركات'!F:F,MATCH(1478,'بيانات الحركات'!$G:$G,0)),"")</f>
        <v/>
      </c>
    </row>
    <row r="1480" spans="1:6" ht="21.95" customHeight="1">
      <c r="A1480" s="8" t="str">
        <f>IFERROR(INDEX('بيانات الحركات'!A:A,MATCH(1479,'بيانات الحركات'!$G:$G,0)),"")</f>
        <v/>
      </c>
      <c r="B1480" s="5" t="str">
        <f>IFERROR(INDEX('بيانات الحركات'!B:B,MATCH(1479,'بيانات الحركات'!$G:$G,0)),"")</f>
        <v/>
      </c>
      <c r="C1480" s="3" t="str">
        <f>IFERROR(INDEX('بيانات الحركات'!C:C,MATCH(1479,'بيانات الحركات'!$G:$G,0)),"")</f>
        <v/>
      </c>
      <c r="D1480" s="3" t="str">
        <f>IFERROR(INDEX('بيانات الحركات'!D:D,MATCH(1479,'بيانات الحركات'!$G:$G,0)),"")</f>
        <v/>
      </c>
      <c r="E1480" s="21" t="str">
        <f>IF($B1480="إنتاج طبخة","",IFERROR(INDEX('بيانات الحركات'!E:E,MATCH(1479,'بيانات الحركات'!$G:$G,0)),""))</f>
        <v/>
      </c>
      <c r="F1480" s="3" t="str">
        <f>IFERROR(INDEX('بيانات الحركات'!F:F,MATCH(1479,'بيانات الحركات'!$G:$G,0)),"")</f>
        <v/>
      </c>
    </row>
    <row r="1481" spans="1:6" ht="21.95" customHeight="1">
      <c r="A1481" s="8" t="str">
        <f>IFERROR(INDEX('بيانات الحركات'!A:A,MATCH(1480,'بيانات الحركات'!$G:$G,0)),"")</f>
        <v/>
      </c>
      <c r="B1481" s="5" t="str">
        <f>IFERROR(INDEX('بيانات الحركات'!B:B,MATCH(1480,'بيانات الحركات'!$G:$G,0)),"")</f>
        <v/>
      </c>
      <c r="C1481" s="3" t="str">
        <f>IFERROR(INDEX('بيانات الحركات'!C:C,MATCH(1480,'بيانات الحركات'!$G:$G,0)),"")</f>
        <v/>
      </c>
      <c r="D1481" s="3" t="str">
        <f>IFERROR(INDEX('بيانات الحركات'!D:D,MATCH(1480,'بيانات الحركات'!$G:$G,0)),"")</f>
        <v/>
      </c>
      <c r="E1481" s="21" t="str">
        <f>IF($B1481="إنتاج طبخة","",IFERROR(INDEX('بيانات الحركات'!E:E,MATCH(1480,'بيانات الحركات'!$G:$G,0)),""))</f>
        <v/>
      </c>
      <c r="F1481" s="3" t="str">
        <f>IFERROR(INDEX('بيانات الحركات'!F:F,MATCH(1480,'بيانات الحركات'!$G:$G,0)),"")</f>
        <v/>
      </c>
    </row>
    <row r="1482" spans="1:6" ht="21.95" customHeight="1">
      <c r="A1482" s="8" t="str">
        <f>IFERROR(INDEX('بيانات الحركات'!A:A,MATCH(1481,'بيانات الحركات'!$G:$G,0)),"")</f>
        <v/>
      </c>
      <c r="B1482" s="5" t="str">
        <f>IFERROR(INDEX('بيانات الحركات'!B:B,MATCH(1481,'بيانات الحركات'!$G:$G,0)),"")</f>
        <v/>
      </c>
      <c r="C1482" s="3" t="str">
        <f>IFERROR(INDEX('بيانات الحركات'!C:C,MATCH(1481,'بيانات الحركات'!$G:$G,0)),"")</f>
        <v/>
      </c>
      <c r="D1482" s="3" t="str">
        <f>IFERROR(INDEX('بيانات الحركات'!D:D,MATCH(1481,'بيانات الحركات'!$G:$G,0)),"")</f>
        <v/>
      </c>
      <c r="E1482" s="21" t="str">
        <f>IF($B1482="إنتاج طبخة","",IFERROR(INDEX('بيانات الحركات'!E:E,MATCH(1481,'بيانات الحركات'!$G:$G,0)),""))</f>
        <v/>
      </c>
      <c r="F1482" s="3" t="str">
        <f>IFERROR(INDEX('بيانات الحركات'!F:F,MATCH(1481,'بيانات الحركات'!$G:$G,0)),"")</f>
        <v/>
      </c>
    </row>
    <row r="1483" spans="1:6" ht="21.95" customHeight="1">
      <c r="A1483" s="8" t="str">
        <f>IFERROR(INDEX('بيانات الحركات'!A:A,MATCH(1482,'بيانات الحركات'!$G:$G,0)),"")</f>
        <v/>
      </c>
      <c r="B1483" s="5" t="str">
        <f>IFERROR(INDEX('بيانات الحركات'!B:B,MATCH(1482,'بيانات الحركات'!$G:$G,0)),"")</f>
        <v/>
      </c>
      <c r="C1483" s="3" t="str">
        <f>IFERROR(INDEX('بيانات الحركات'!C:C,MATCH(1482,'بيانات الحركات'!$G:$G,0)),"")</f>
        <v/>
      </c>
      <c r="D1483" s="3" t="str">
        <f>IFERROR(INDEX('بيانات الحركات'!D:D,MATCH(1482,'بيانات الحركات'!$G:$G,0)),"")</f>
        <v/>
      </c>
      <c r="E1483" s="21" t="str">
        <f>IF($B1483="إنتاج طبخة","",IFERROR(INDEX('بيانات الحركات'!E:E,MATCH(1482,'بيانات الحركات'!$G:$G,0)),""))</f>
        <v/>
      </c>
      <c r="F1483" s="3" t="str">
        <f>IFERROR(INDEX('بيانات الحركات'!F:F,MATCH(1482,'بيانات الحركات'!$G:$G,0)),"")</f>
        <v/>
      </c>
    </row>
    <row r="1484" spans="1:6" ht="21.95" customHeight="1">
      <c r="A1484" s="8" t="str">
        <f>IFERROR(INDEX('بيانات الحركات'!A:A,MATCH(1483,'بيانات الحركات'!$G:$G,0)),"")</f>
        <v/>
      </c>
      <c r="B1484" s="5" t="str">
        <f>IFERROR(INDEX('بيانات الحركات'!B:B,MATCH(1483,'بيانات الحركات'!$G:$G,0)),"")</f>
        <v/>
      </c>
      <c r="C1484" s="3" t="str">
        <f>IFERROR(INDEX('بيانات الحركات'!C:C,MATCH(1483,'بيانات الحركات'!$G:$G,0)),"")</f>
        <v/>
      </c>
      <c r="D1484" s="3" t="str">
        <f>IFERROR(INDEX('بيانات الحركات'!D:D,MATCH(1483,'بيانات الحركات'!$G:$G,0)),"")</f>
        <v/>
      </c>
      <c r="E1484" s="21" t="str">
        <f>IF($B1484="إنتاج طبخة","",IFERROR(INDEX('بيانات الحركات'!E:E,MATCH(1483,'بيانات الحركات'!$G:$G,0)),""))</f>
        <v/>
      </c>
      <c r="F1484" s="3" t="str">
        <f>IFERROR(INDEX('بيانات الحركات'!F:F,MATCH(1483,'بيانات الحركات'!$G:$G,0)),"")</f>
        <v/>
      </c>
    </row>
    <row r="1485" spans="1:6" ht="21.95" customHeight="1">
      <c r="A1485" s="8" t="str">
        <f>IFERROR(INDEX('بيانات الحركات'!A:A,MATCH(1484,'بيانات الحركات'!$G:$G,0)),"")</f>
        <v/>
      </c>
      <c r="B1485" s="5" t="str">
        <f>IFERROR(INDEX('بيانات الحركات'!B:B,MATCH(1484,'بيانات الحركات'!$G:$G,0)),"")</f>
        <v/>
      </c>
      <c r="C1485" s="3" t="str">
        <f>IFERROR(INDEX('بيانات الحركات'!C:C,MATCH(1484,'بيانات الحركات'!$G:$G,0)),"")</f>
        <v/>
      </c>
      <c r="D1485" s="3" t="str">
        <f>IFERROR(INDEX('بيانات الحركات'!D:D,MATCH(1484,'بيانات الحركات'!$G:$G,0)),"")</f>
        <v/>
      </c>
      <c r="E1485" s="21" t="str">
        <f>IF($B1485="إنتاج طبخة","",IFERROR(INDEX('بيانات الحركات'!E:E,MATCH(1484,'بيانات الحركات'!$G:$G,0)),""))</f>
        <v/>
      </c>
      <c r="F1485" s="3" t="str">
        <f>IFERROR(INDEX('بيانات الحركات'!F:F,MATCH(1484,'بيانات الحركات'!$G:$G,0)),"")</f>
        <v/>
      </c>
    </row>
    <row r="1486" spans="1:6" ht="21.95" customHeight="1">
      <c r="A1486" s="8" t="str">
        <f>IFERROR(INDEX('بيانات الحركات'!A:A,MATCH(1485,'بيانات الحركات'!$G:$G,0)),"")</f>
        <v/>
      </c>
      <c r="B1486" s="5" t="str">
        <f>IFERROR(INDEX('بيانات الحركات'!B:B,MATCH(1485,'بيانات الحركات'!$G:$G,0)),"")</f>
        <v/>
      </c>
      <c r="C1486" s="3" t="str">
        <f>IFERROR(INDEX('بيانات الحركات'!C:C,MATCH(1485,'بيانات الحركات'!$G:$G,0)),"")</f>
        <v/>
      </c>
      <c r="D1486" s="3" t="str">
        <f>IFERROR(INDEX('بيانات الحركات'!D:D,MATCH(1485,'بيانات الحركات'!$G:$G,0)),"")</f>
        <v/>
      </c>
      <c r="E1486" s="21" t="str">
        <f>IF($B1486="إنتاج طبخة","",IFERROR(INDEX('بيانات الحركات'!E:E,MATCH(1485,'بيانات الحركات'!$G:$G,0)),""))</f>
        <v/>
      </c>
      <c r="F1486" s="3" t="str">
        <f>IFERROR(INDEX('بيانات الحركات'!F:F,MATCH(1485,'بيانات الحركات'!$G:$G,0)),"")</f>
        <v/>
      </c>
    </row>
    <row r="1487" spans="1:6" ht="21.95" customHeight="1">
      <c r="A1487" s="8" t="str">
        <f>IFERROR(INDEX('بيانات الحركات'!A:A,MATCH(1486,'بيانات الحركات'!$G:$G,0)),"")</f>
        <v/>
      </c>
      <c r="B1487" s="5" t="str">
        <f>IFERROR(INDEX('بيانات الحركات'!B:B,MATCH(1486,'بيانات الحركات'!$G:$G,0)),"")</f>
        <v/>
      </c>
      <c r="C1487" s="3" t="str">
        <f>IFERROR(INDEX('بيانات الحركات'!C:C,MATCH(1486,'بيانات الحركات'!$G:$G,0)),"")</f>
        <v/>
      </c>
      <c r="D1487" s="3" t="str">
        <f>IFERROR(INDEX('بيانات الحركات'!D:D,MATCH(1486,'بيانات الحركات'!$G:$G,0)),"")</f>
        <v/>
      </c>
      <c r="E1487" s="21" t="str">
        <f>IF($B1487="إنتاج طبخة","",IFERROR(INDEX('بيانات الحركات'!E:E,MATCH(1486,'بيانات الحركات'!$G:$G,0)),""))</f>
        <v/>
      </c>
      <c r="F1487" s="3" t="str">
        <f>IFERROR(INDEX('بيانات الحركات'!F:F,MATCH(1486,'بيانات الحركات'!$G:$G,0)),"")</f>
        <v/>
      </c>
    </row>
    <row r="1488" spans="1:6" ht="21.95" customHeight="1">
      <c r="A1488" s="8" t="str">
        <f>IFERROR(INDEX('بيانات الحركات'!A:A,MATCH(1487,'بيانات الحركات'!$G:$G,0)),"")</f>
        <v/>
      </c>
      <c r="B1488" s="5" t="str">
        <f>IFERROR(INDEX('بيانات الحركات'!B:B,MATCH(1487,'بيانات الحركات'!$G:$G,0)),"")</f>
        <v/>
      </c>
      <c r="C1488" s="3" t="str">
        <f>IFERROR(INDEX('بيانات الحركات'!C:C,MATCH(1487,'بيانات الحركات'!$G:$G,0)),"")</f>
        <v/>
      </c>
      <c r="D1488" s="3" t="str">
        <f>IFERROR(INDEX('بيانات الحركات'!D:D,MATCH(1487,'بيانات الحركات'!$G:$G,0)),"")</f>
        <v/>
      </c>
      <c r="E1488" s="21" t="str">
        <f>IF($B1488="إنتاج طبخة","",IFERROR(INDEX('بيانات الحركات'!E:E,MATCH(1487,'بيانات الحركات'!$G:$G,0)),""))</f>
        <v/>
      </c>
      <c r="F1488" s="3" t="str">
        <f>IFERROR(INDEX('بيانات الحركات'!F:F,MATCH(1487,'بيانات الحركات'!$G:$G,0)),"")</f>
        <v/>
      </c>
    </row>
    <row r="1489" spans="1:6" ht="21.95" customHeight="1">
      <c r="A1489" s="8" t="str">
        <f>IFERROR(INDEX('بيانات الحركات'!A:A,MATCH(1488,'بيانات الحركات'!$G:$G,0)),"")</f>
        <v/>
      </c>
      <c r="B1489" s="5" t="str">
        <f>IFERROR(INDEX('بيانات الحركات'!B:B,MATCH(1488,'بيانات الحركات'!$G:$G,0)),"")</f>
        <v/>
      </c>
      <c r="C1489" s="3" t="str">
        <f>IFERROR(INDEX('بيانات الحركات'!C:C,MATCH(1488,'بيانات الحركات'!$G:$G,0)),"")</f>
        <v/>
      </c>
      <c r="D1489" s="3" t="str">
        <f>IFERROR(INDEX('بيانات الحركات'!D:D,MATCH(1488,'بيانات الحركات'!$G:$G,0)),"")</f>
        <v/>
      </c>
      <c r="E1489" s="21" t="str">
        <f>IF($B1489="إنتاج طبخة","",IFERROR(INDEX('بيانات الحركات'!E:E,MATCH(1488,'بيانات الحركات'!$G:$G,0)),""))</f>
        <v/>
      </c>
      <c r="F1489" s="3" t="str">
        <f>IFERROR(INDEX('بيانات الحركات'!F:F,MATCH(1488,'بيانات الحركات'!$G:$G,0)),"")</f>
        <v/>
      </c>
    </row>
    <row r="1490" spans="1:6" ht="21.95" customHeight="1">
      <c r="A1490" s="8" t="str">
        <f>IFERROR(INDEX('بيانات الحركات'!A:A,MATCH(1489,'بيانات الحركات'!$G:$G,0)),"")</f>
        <v/>
      </c>
      <c r="B1490" s="5" t="str">
        <f>IFERROR(INDEX('بيانات الحركات'!B:B,MATCH(1489,'بيانات الحركات'!$G:$G,0)),"")</f>
        <v/>
      </c>
      <c r="C1490" s="3" t="str">
        <f>IFERROR(INDEX('بيانات الحركات'!C:C,MATCH(1489,'بيانات الحركات'!$G:$G,0)),"")</f>
        <v/>
      </c>
      <c r="D1490" s="3" t="str">
        <f>IFERROR(INDEX('بيانات الحركات'!D:D,MATCH(1489,'بيانات الحركات'!$G:$G,0)),"")</f>
        <v/>
      </c>
      <c r="E1490" s="21" t="str">
        <f>IF($B1490="إنتاج طبخة","",IFERROR(INDEX('بيانات الحركات'!E:E,MATCH(1489,'بيانات الحركات'!$G:$G,0)),""))</f>
        <v/>
      </c>
      <c r="F1490" s="3" t="str">
        <f>IFERROR(INDEX('بيانات الحركات'!F:F,MATCH(1489,'بيانات الحركات'!$G:$G,0)),"")</f>
        <v/>
      </c>
    </row>
    <row r="1491" spans="1:6" ht="21.95" customHeight="1">
      <c r="A1491" s="8" t="str">
        <f>IFERROR(INDEX('بيانات الحركات'!A:A,MATCH(1490,'بيانات الحركات'!$G:$G,0)),"")</f>
        <v/>
      </c>
      <c r="B1491" s="5" t="str">
        <f>IFERROR(INDEX('بيانات الحركات'!B:B,MATCH(1490,'بيانات الحركات'!$G:$G,0)),"")</f>
        <v/>
      </c>
      <c r="C1491" s="3" t="str">
        <f>IFERROR(INDEX('بيانات الحركات'!C:C,MATCH(1490,'بيانات الحركات'!$G:$G,0)),"")</f>
        <v/>
      </c>
      <c r="D1491" s="3" t="str">
        <f>IFERROR(INDEX('بيانات الحركات'!D:D,MATCH(1490,'بيانات الحركات'!$G:$G,0)),"")</f>
        <v/>
      </c>
      <c r="E1491" s="21" t="str">
        <f>IF($B1491="إنتاج طبخة","",IFERROR(INDEX('بيانات الحركات'!E:E,MATCH(1490,'بيانات الحركات'!$G:$G,0)),""))</f>
        <v/>
      </c>
      <c r="F1491" s="3" t="str">
        <f>IFERROR(INDEX('بيانات الحركات'!F:F,MATCH(1490,'بيانات الحركات'!$G:$G,0)),"")</f>
        <v/>
      </c>
    </row>
    <row r="1492" spans="1:6" ht="21.95" customHeight="1">
      <c r="A1492" s="8" t="str">
        <f>IFERROR(INDEX('بيانات الحركات'!A:A,MATCH(1491,'بيانات الحركات'!$G:$G,0)),"")</f>
        <v/>
      </c>
      <c r="B1492" s="5" t="str">
        <f>IFERROR(INDEX('بيانات الحركات'!B:B,MATCH(1491,'بيانات الحركات'!$G:$G,0)),"")</f>
        <v/>
      </c>
      <c r="C1492" s="3" t="str">
        <f>IFERROR(INDEX('بيانات الحركات'!C:C,MATCH(1491,'بيانات الحركات'!$G:$G,0)),"")</f>
        <v/>
      </c>
      <c r="D1492" s="3" t="str">
        <f>IFERROR(INDEX('بيانات الحركات'!D:D,MATCH(1491,'بيانات الحركات'!$G:$G,0)),"")</f>
        <v/>
      </c>
      <c r="E1492" s="21" t="str">
        <f>IF($B1492="إنتاج طبخة","",IFERROR(INDEX('بيانات الحركات'!E:E,MATCH(1491,'بيانات الحركات'!$G:$G,0)),""))</f>
        <v/>
      </c>
      <c r="F1492" s="3" t="str">
        <f>IFERROR(INDEX('بيانات الحركات'!F:F,MATCH(1491,'بيانات الحركات'!$G:$G,0)),"")</f>
        <v/>
      </c>
    </row>
    <row r="1493" spans="1:6" ht="21.95" customHeight="1">
      <c r="A1493" s="8" t="str">
        <f>IFERROR(INDEX('بيانات الحركات'!A:A,MATCH(1492,'بيانات الحركات'!$G:$G,0)),"")</f>
        <v/>
      </c>
      <c r="B1493" s="5" t="str">
        <f>IFERROR(INDEX('بيانات الحركات'!B:B,MATCH(1492,'بيانات الحركات'!$G:$G,0)),"")</f>
        <v/>
      </c>
      <c r="C1493" s="3" t="str">
        <f>IFERROR(INDEX('بيانات الحركات'!C:C,MATCH(1492,'بيانات الحركات'!$G:$G,0)),"")</f>
        <v/>
      </c>
      <c r="D1493" s="3" t="str">
        <f>IFERROR(INDEX('بيانات الحركات'!D:D,MATCH(1492,'بيانات الحركات'!$G:$G,0)),"")</f>
        <v/>
      </c>
      <c r="E1493" s="21" t="str">
        <f>IF($B1493="إنتاج طبخة","",IFERROR(INDEX('بيانات الحركات'!E:E,MATCH(1492,'بيانات الحركات'!$G:$G,0)),""))</f>
        <v/>
      </c>
      <c r="F1493" s="3" t="str">
        <f>IFERROR(INDEX('بيانات الحركات'!F:F,MATCH(1492,'بيانات الحركات'!$G:$G,0)),"")</f>
        <v/>
      </c>
    </row>
    <row r="1494" spans="1:6" ht="21.95" customHeight="1">
      <c r="A1494" s="8" t="str">
        <f>IFERROR(INDEX('بيانات الحركات'!A:A,MATCH(1493,'بيانات الحركات'!$G:$G,0)),"")</f>
        <v/>
      </c>
      <c r="B1494" s="5" t="str">
        <f>IFERROR(INDEX('بيانات الحركات'!B:B,MATCH(1493,'بيانات الحركات'!$G:$G,0)),"")</f>
        <v/>
      </c>
      <c r="C1494" s="3" t="str">
        <f>IFERROR(INDEX('بيانات الحركات'!C:C,MATCH(1493,'بيانات الحركات'!$G:$G,0)),"")</f>
        <v/>
      </c>
      <c r="D1494" s="3" t="str">
        <f>IFERROR(INDEX('بيانات الحركات'!D:D,MATCH(1493,'بيانات الحركات'!$G:$G,0)),"")</f>
        <v/>
      </c>
      <c r="E1494" s="21" t="str">
        <f>IF($B1494="إنتاج طبخة","",IFERROR(INDEX('بيانات الحركات'!E:E,MATCH(1493,'بيانات الحركات'!$G:$G,0)),""))</f>
        <v/>
      </c>
      <c r="F1494" s="3" t="str">
        <f>IFERROR(INDEX('بيانات الحركات'!F:F,MATCH(1493,'بيانات الحركات'!$G:$G,0)),"")</f>
        <v/>
      </c>
    </row>
    <row r="1495" spans="1:6" ht="21.95" customHeight="1">
      <c r="A1495" s="8" t="str">
        <f>IFERROR(INDEX('بيانات الحركات'!A:A,MATCH(1494,'بيانات الحركات'!$G:$G,0)),"")</f>
        <v/>
      </c>
      <c r="B1495" s="5" t="str">
        <f>IFERROR(INDEX('بيانات الحركات'!B:B,MATCH(1494,'بيانات الحركات'!$G:$G,0)),"")</f>
        <v/>
      </c>
      <c r="C1495" s="3" t="str">
        <f>IFERROR(INDEX('بيانات الحركات'!C:C,MATCH(1494,'بيانات الحركات'!$G:$G,0)),"")</f>
        <v/>
      </c>
      <c r="D1495" s="3" t="str">
        <f>IFERROR(INDEX('بيانات الحركات'!D:D,MATCH(1494,'بيانات الحركات'!$G:$G,0)),"")</f>
        <v/>
      </c>
      <c r="E1495" s="21" t="str">
        <f>IF($B1495="إنتاج طبخة","",IFERROR(INDEX('بيانات الحركات'!E:E,MATCH(1494,'بيانات الحركات'!$G:$G,0)),""))</f>
        <v/>
      </c>
      <c r="F1495" s="3" t="str">
        <f>IFERROR(INDEX('بيانات الحركات'!F:F,MATCH(1494,'بيانات الحركات'!$G:$G,0)),"")</f>
        <v/>
      </c>
    </row>
    <row r="1496" spans="1:6" ht="21.95" customHeight="1">
      <c r="A1496" s="8" t="str">
        <f>IFERROR(INDEX('بيانات الحركات'!A:A,MATCH(1495,'بيانات الحركات'!$G:$G,0)),"")</f>
        <v/>
      </c>
      <c r="B1496" s="5" t="str">
        <f>IFERROR(INDEX('بيانات الحركات'!B:B,MATCH(1495,'بيانات الحركات'!$G:$G,0)),"")</f>
        <v/>
      </c>
      <c r="C1496" s="3" t="str">
        <f>IFERROR(INDEX('بيانات الحركات'!C:C,MATCH(1495,'بيانات الحركات'!$G:$G,0)),"")</f>
        <v/>
      </c>
      <c r="D1496" s="3" t="str">
        <f>IFERROR(INDEX('بيانات الحركات'!D:D,MATCH(1495,'بيانات الحركات'!$G:$G,0)),"")</f>
        <v/>
      </c>
      <c r="E1496" s="21" t="str">
        <f>IF($B1496="إنتاج طبخة","",IFERROR(INDEX('بيانات الحركات'!E:E,MATCH(1495,'بيانات الحركات'!$G:$G,0)),""))</f>
        <v/>
      </c>
      <c r="F1496" s="3" t="str">
        <f>IFERROR(INDEX('بيانات الحركات'!F:F,MATCH(1495,'بيانات الحركات'!$G:$G,0)),"")</f>
        <v/>
      </c>
    </row>
    <row r="1497" spans="1:6" ht="21.95" customHeight="1">
      <c r="A1497" s="8" t="str">
        <f>IFERROR(INDEX('بيانات الحركات'!A:A,MATCH(1496,'بيانات الحركات'!$G:$G,0)),"")</f>
        <v/>
      </c>
      <c r="B1497" s="5" t="str">
        <f>IFERROR(INDEX('بيانات الحركات'!B:B,MATCH(1496,'بيانات الحركات'!$G:$G,0)),"")</f>
        <v/>
      </c>
      <c r="C1497" s="3" t="str">
        <f>IFERROR(INDEX('بيانات الحركات'!C:C,MATCH(1496,'بيانات الحركات'!$G:$G,0)),"")</f>
        <v/>
      </c>
      <c r="D1497" s="3" t="str">
        <f>IFERROR(INDEX('بيانات الحركات'!D:D,MATCH(1496,'بيانات الحركات'!$G:$G,0)),"")</f>
        <v/>
      </c>
      <c r="E1497" s="21" t="str">
        <f>IF($B1497="إنتاج طبخة","",IFERROR(INDEX('بيانات الحركات'!E:E,MATCH(1496,'بيانات الحركات'!$G:$G,0)),""))</f>
        <v/>
      </c>
      <c r="F1497" s="3" t="str">
        <f>IFERROR(INDEX('بيانات الحركات'!F:F,MATCH(1496,'بيانات الحركات'!$G:$G,0)),"")</f>
        <v/>
      </c>
    </row>
    <row r="1498" spans="1:6" ht="21.95" customHeight="1">
      <c r="A1498" s="8" t="str">
        <f>IFERROR(INDEX('بيانات الحركات'!A:A,MATCH(1497,'بيانات الحركات'!$G:$G,0)),"")</f>
        <v/>
      </c>
      <c r="B1498" s="5" t="str">
        <f>IFERROR(INDEX('بيانات الحركات'!B:B,MATCH(1497,'بيانات الحركات'!$G:$G,0)),"")</f>
        <v/>
      </c>
      <c r="C1498" s="3" t="str">
        <f>IFERROR(INDEX('بيانات الحركات'!C:C,MATCH(1497,'بيانات الحركات'!$G:$G,0)),"")</f>
        <v/>
      </c>
      <c r="D1498" s="3" t="str">
        <f>IFERROR(INDEX('بيانات الحركات'!D:D,MATCH(1497,'بيانات الحركات'!$G:$G,0)),"")</f>
        <v/>
      </c>
      <c r="E1498" s="21" t="str">
        <f>IF($B1498="إنتاج طبخة","",IFERROR(INDEX('بيانات الحركات'!E:E,MATCH(1497,'بيانات الحركات'!$G:$G,0)),""))</f>
        <v/>
      </c>
      <c r="F1498" s="3" t="str">
        <f>IFERROR(INDEX('بيانات الحركات'!F:F,MATCH(1497,'بيانات الحركات'!$G:$G,0)),"")</f>
        <v/>
      </c>
    </row>
    <row r="1499" spans="1:6" ht="21.95" customHeight="1">
      <c r="A1499" s="8" t="str">
        <f>IFERROR(INDEX('بيانات الحركات'!A:A,MATCH(1498,'بيانات الحركات'!$G:$G,0)),"")</f>
        <v/>
      </c>
      <c r="B1499" s="5" t="str">
        <f>IFERROR(INDEX('بيانات الحركات'!B:B,MATCH(1498,'بيانات الحركات'!$G:$G,0)),"")</f>
        <v/>
      </c>
      <c r="C1499" s="3" t="str">
        <f>IFERROR(INDEX('بيانات الحركات'!C:C,MATCH(1498,'بيانات الحركات'!$G:$G,0)),"")</f>
        <v/>
      </c>
      <c r="D1499" s="3" t="str">
        <f>IFERROR(INDEX('بيانات الحركات'!D:D,MATCH(1498,'بيانات الحركات'!$G:$G,0)),"")</f>
        <v/>
      </c>
      <c r="E1499" s="21" t="str">
        <f>IF($B1499="إنتاج طبخة","",IFERROR(INDEX('بيانات الحركات'!E:E,MATCH(1498,'بيانات الحركات'!$G:$G,0)),""))</f>
        <v/>
      </c>
      <c r="F1499" s="3" t="str">
        <f>IFERROR(INDEX('بيانات الحركات'!F:F,MATCH(1498,'بيانات الحركات'!$G:$G,0)),"")</f>
        <v/>
      </c>
    </row>
    <row r="1500" spans="1:6" ht="21.95" customHeight="1">
      <c r="A1500" s="8" t="str">
        <f>IFERROR(INDEX('بيانات الحركات'!A:A,MATCH(1499,'بيانات الحركات'!$G:$G,0)),"")</f>
        <v/>
      </c>
      <c r="B1500" s="5" t="str">
        <f>IFERROR(INDEX('بيانات الحركات'!B:B,MATCH(1499,'بيانات الحركات'!$G:$G,0)),"")</f>
        <v/>
      </c>
      <c r="C1500" s="3" t="str">
        <f>IFERROR(INDEX('بيانات الحركات'!C:C,MATCH(1499,'بيانات الحركات'!$G:$G,0)),"")</f>
        <v/>
      </c>
      <c r="D1500" s="3" t="str">
        <f>IFERROR(INDEX('بيانات الحركات'!D:D,MATCH(1499,'بيانات الحركات'!$G:$G,0)),"")</f>
        <v/>
      </c>
      <c r="E1500" s="21" t="str">
        <f>IF($B1500="إنتاج طبخة","",IFERROR(INDEX('بيانات الحركات'!E:E,MATCH(1499,'بيانات الحركات'!$G:$G,0)),""))</f>
        <v/>
      </c>
      <c r="F1500" s="3" t="str">
        <f>IFERROR(INDEX('بيانات الحركات'!F:F,MATCH(1499,'بيانات الحركات'!$G:$G,0)),"")</f>
        <v/>
      </c>
    </row>
    <row r="1501" spans="1:6" ht="21.95" customHeight="1">
      <c r="A1501" s="8" t="str">
        <f>IFERROR(INDEX('بيانات الحركات'!A:A,MATCH(1500,'بيانات الحركات'!$G:$G,0)),"")</f>
        <v/>
      </c>
      <c r="B1501" s="5" t="str">
        <f>IFERROR(INDEX('بيانات الحركات'!B:B,MATCH(1500,'بيانات الحركات'!$G:$G,0)),"")</f>
        <v/>
      </c>
      <c r="C1501" s="3" t="str">
        <f>IFERROR(INDEX('بيانات الحركات'!C:C,MATCH(1500,'بيانات الحركات'!$G:$G,0)),"")</f>
        <v/>
      </c>
      <c r="D1501" s="3" t="str">
        <f>IFERROR(INDEX('بيانات الحركات'!D:D,MATCH(1500,'بيانات الحركات'!$G:$G,0)),"")</f>
        <v/>
      </c>
      <c r="E1501" s="21" t="str">
        <f>IF($B1501="إنتاج طبخة","",IFERROR(INDEX('بيانات الحركات'!E:E,MATCH(1500,'بيانات الحركات'!$G:$G,0)),""))</f>
        <v/>
      </c>
      <c r="F1501" s="3" t="str">
        <f>IFERROR(INDEX('بيانات الحركات'!F:F,MATCH(1500,'بيانات الحركات'!$G:$G,0)),"")</f>
        <v/>
      </c>
    </row>
    <row r="1502" spans="1:6" ht="21.95" customHeight="1">
      <c r="A1502" s="8" t="str">
        <f>IFERROR(INDEX('بيانات الحركات'!A:A,MATCH(1501,'بيانات الحركات'!$G:$G,0)),"")</f>
        <v/>
      </c>
      <c r="B1502" s="5" t="str">
        <f>IFERROR(INDEX('بيانات الحركات'!B:B,MATCH(1501,'بيانات الحركات'!$G:$G,0)),"")</f>
        <v/>
      </c>
      <c r="C1502" s="3" t="str">
        <f>IFERROR(INDEX('بيانات الحركات'!C:C,MATCH(1501,'بيانات الحركات'!$G:$G,0)),"")</f>
        <v/>
      </c>
      <c r="D1502" s="3" t="str">
        <f>IFERROR(INDEX('بيانات الحركات'!D:D,MATCH(1501,'بيانات الحركات'!$G:$G,0)),"")</f>
        <v/>
      </c>
      <c r="E1502" s="21" t="str">
        <f>IF($B1502="إنتاج طبخة","",IFERROR(INDEX('بيانات الحركات'!E:E,MATCH(1501,'بيانات الحركات'!$G:$G,0)),""))</f>
        <v/>
      </c>
      <c r="F1502" s="3" t="str">
        <f>IFERROR(INDEX('بيانات الحركات'!F:F,MATCH(1501,'بيانات الحركات'!$G:$G,0)),"")</f>
        <v/>
      </c>
    </row>
    <row r="1503" spans="1:6" ht="21.95" customHeight="1">
      <c r="A1503" s="8" t="str">
        <f>IFERROR(INDEX('بيانات الحركات'!A:A,MATCH(1502,'بيانات الحركات'!$G:$G,0)),"")</f>
        <v/>
      </c>
      <c r="B1503" s="5" t="str">
        <f>IFERROR(INDEX('بيانات الحركات'!B:B,MATCH(1502,'بيانات الحركات'!$G:$G,0)),"")</f>
        <v/>
      </c>
      <c r="C1503" s="3" t="str">
        <f>IFERROR(INDEX('بيانات الحركات'!C:C,MATCH(1502,'بيانات الحركات'!$G:$G,0)),"")</f>
        <v/>
      </c>
      <c r="D1503" s="3" t="str">
        <f>IFERROR(INDEX('بيانات الحركات'!D:D,MATCH(1502,'بيانات الحركات'!$G:$G,0)),"")</f>
        <v/>
      </c>
      <c r="E1503" s="21" t="str">
        <f>IF($B1503="إنتاج طبخة","",IFERROR(INDEX('بيانات الحركات'!E:E,MATCH(1502,'بيانات الحركات'!$G:$G,0)),""))</f>
        <v/>
      </c>
      <c r="F1503" s="3" t="str">
        <f>IFERROR(INDEX('بيانات الحركات'!F:F,MATCH(1502,'بيانات الحركات'!$G:$G,0)),"")</f>
        <v/>
      </c>
    </row>
    <row r="1504" spans="1:6" ht="21.95" customHeight="1">
      <c r="A1504" s="8" t="str">
        <f>IFERROR(INDEX('بيانات الحركات'!A:A,MATCH(1503,'بيانات الحركات'!$G:$G,0)),"")</f>
        <v/>
      </c>
      <c r="B1504" s="5" t="str">
        <f>IFERROR(INDEX('بيانات الحركات'!B:B,MATCH(1503,'بيانات الحركات'!$G:$G,0)),"")</f>
        <v/>
      </c>
      <c r="C1504" s="3" t="str">
        <f>IFERROR(INDEX('بيانات الحركات'!C:C,MATCH(1503,'بيانات الحركات'!$G:$G,0)),"")</f>
        <v/>
      </c>
      <c r="D1504" s="3" t="str">
        <f>IFERROR(INDEX('بيانات الحركات'!D:D,MATCH(1503,'بيانات الحركات'!$G:$G,0)),"")</f>
        <v/>
      </c>
      <c r="E1504" s="21" t="str">
        <f>IF($B1504="إنتاج طبخة","",IFERROR(INDEX('بيانات الحركات'!E:E,MATCH(1503,'بيانات الحركات'!$G:$G,0)),""))</f>
        <v/>
      </c>
      <c r="F1504" s="3" t="str">
        <f>IFERROR(INDEX('بيانات الحركات'!F:F,MATCH(1503,'بيانات الحركات'!$G:$G,0)),"")</f>
        <v/>
      </c>
    </row>
    <row r="1505" spans="1:6" ht="21.95" customHeight="1">
      <c r="A1505" s="8" t="str">
        <f>IFERROR(INDEX('بيانات الحركات'!A:A,MATCH(1504,'بيانات الحركات'!$G:$G,0)),"")</f>
        <v/>
      </c>
      <c r="B1505" s="5" t="str">
        <f>IFERROR(INDEX('بيانات الحركات'!B:B,MATCH(1504,'بيانات الحركات'!$G:$G,0)),"")</f>
        <v/>
      </c>
      <c r="C1505" s="3" t="str">
        <f>IFERROR(INDEX('بيانات الحركات'!C:C,MATCH(1504,'بيانات الحركات'!$G:$G,0)),"")</f>
        <v/>
      </c>
      <c r="D1505" s="3" t="str">
        <f>IFERROR(INDEX('بيانات الحركات'!D:D,MATCH(1504,'بيانات الحركات'!$G:$G,0)),"")</f>
        <v/>
      </c>
      <c r="E1505" s="21" t="str">
        <f>IF($B1505="إنتاج طبخة","",IFERROR(INDEX('بيانات الحركات'!E:E,MATCH(1504,'بيانات الحركات'!$G:$G,0)),""))</f>
        <v/>
      </c>
      <c r="F1505" s="3" t="str">
        <f>IFERROR(INDEX('بيانات الحركات'!F:F,MATCH(1504,'بيانات الحركات'!$G:$G,0)),"")</f>
        <v/>
      </c>
    </row>
    <row r="1506" spans="1:6" ht="21.95" customHeight="1">
      <c r="A1506" s="8" t="str">
        <f>IFERROR(INDEX('بيانات الحركات'!A:A,MATCH(1505,'بيانات الحركات'!$G:$G,0)),"")</f>
        <v/>
      </c>
      <c r="B1506" s="5" t="str">
        <f>IFERROR(INDEX('بيانات الحركات'!B:B,MATCH(1505,'بيانات الحركات'!$G:$G,0)),"")</f>
        <v/>
      </c>
      <c r="C1506" s="3" t="str">
        <f>IFERROR(INDEX('بيانات الحركات'!C:C,MATCH(1505,'بيانات الحركات'!$G:$G,0)),"")</f>
        <v/>
      </c>
      <c r="D1506" s="3" t="str">
        <f>IFERROR(INDEX('بيانات الحركات'!D:D,MATCH(1505,'بيانات الحركات'!$G:$G,0)),"")</f>
        <v/>
      </c>
      <c r="E1506" s="21" t="str">
        <f>IF($B1506="إنتاج طبخة","",IFERROR(INDEX('بيانات الحركات'!E:E,MATCH(1505,'بيانات الحركات'!$G:$G,0)),""))</f>
        <v/>
      </c>
      <c r="F1506" s="3" t="str">
        <f>IFERROR(INDEX('بيانات الحركات'!F:F,MATCH(1505,'بيانات الحركات'!$G:$G,0)),"")</f>
        <v/>
      </c>
    </row>
    <row r="1507" spans="1:6" ht="21.95" customHeight="1">
      <c r="A1507" s="8" t="str">
        <f>IFERROR(INDEX('بيانات الحركات'!A:A,MATCH(1506,'بيانات الحركات'!$G:$G,0)),"")</f>
        <v/>
      </c>
      <c r="B1507" s="5" t="str">
        <f>IFERROR(INDEX('بيانات الحركات'!B:B,MATCH(1506,'بيانات الحركات'!$G:$G,0)),"")</f>
        <v/>
      </c>
      <c r="C1507" s="3" t="str">
        <f>IFERROR(INDEX('بيانات الحركات'!C:C,MATCH(1506,'بيانات الحركات'!$G:$G,0)),"")</f>
        <v/>
      </c>
      <c r="D1507" s="3" t="str">
        <f>IFERROR(INDEX('بيانات الحركات'!D:D,MATCH(1506,'بيانات الحركات'!$G:$G,0)),"")</f>
        <v/>
      </c>
      <c r="E1507" s="21" t="str">
        <f>IF($B1507="إنتاج طبخة","",IFERROR(INDEX('بيانات الحركات'!E:E,MATCH(1506,'بيانات الحركات'!$G:$G,0)),""))</f>
        <v/>
      </c>
      <c r="F1507" s="3" t="str">
        <f>IFERROR(INDEX('بيانات الحركات'!F:F,MATCH(1506,'بيانات الحركات'!$G:$G,0)),"")</f>
        <v/>
      </c>
    </row>
    <row r="1508" spans="1:6" ht="21.95" customHeight="1">
      <c r="A1508" s="8" t="str">
        <f>IFERROR(INDEX('بيانات الحركات'!A:A,MATCH(1507,'بيانات الحركات'!$G:$G,0)),"")</f>
        <v/>
      </c>
      <c r="B1508" s="5" t="str">
        <f>IFERROR(INDEX('بيانات الحركات'!B:B,MATCH(1507,'بيانات الحركات'!$G:$G,0)),"")</f>
        <v/>
      </c>
      <c r="C1508" s="3" t="str">
        <f>IFERROR(INDEX('بيانات الحركات'!C:C,MATCH(1507,'بيانات الحركات'!$G:$G,0)),"")</f>
        <v/>
      </c>
      <c r="D1508" s="3" t="str">
        <f>IFERROR(INDEX('بيانات الحركات'!D:D,MATCH(1507,'بيانات الحركات'!$G:$G,0)),"")</f>
        <v/>
      </c>
      <c r="E1508" s="21" t="str">
        <f>IF($B1508="إنتاج طبخة","",IFERROR(INDEX('بيانات الحركات'!E:E,MATCH(1507,'بيانات الحركات'!$G:$G,0)),""))</f>
        <v/>
      </c>
      <c r="F1508" s="3" t="str">
        <f>IFERROR(INDEX('بيانات الحركات'!F:F,MATCH(1507,'بيانات الحركات'!$G:$G,0)),"")</f>
        <v/>
      </c>
    </row>
    <row r="1509" spans="1:6" ht="21.95" customHeight="1">
      <c r="A1509" s="8" t="str">
        <f>IFERROR(INDEX('بيانات الحركات'!A:A,MATCH(1508,'بيانات الحركات'!$G:$G,0)),"")</f>
        <v/>
      </c>
      <c r="B1509" s="5" t="str">
        <f>IFERROR(INDEX('بيانات الحركات'!B:B,MATCH(1508,'بيانات الحركات'!$G:$G,0)),"")</f>
        <v/>
      </c>
      <c r="C1509" s="3" t="str">
        <f>IFERROR(INDEX('بيانات الحركات'!C:C,MATCH(1508,'بيانات الحركات'!$G:$G,0)),"")</f>
        <v/>
      </c>
      <c r="D1509" s="3" t="str">
        <f>IFERROR(INDEX('بيانات الحركات'!D:D,MATCH(1508,'بيانات الحركات'!$G:$G,0)),"")</f>
        <v/>
      </c>
      <c r="E1509" s="21" t="str">
        <f>IF($B1509="إنتاج طبخة","",IFERROR(INDEX('بيانات الحركات'!E:E,MATCH(1508,'بيانات الحركات'!$G:$G,0)),""))</f>
        <v/>
      </c>
      <c r="F1509" s="3" t="str">
        <f>IFERROR(INDEX('بيانات الحركات'!F:F,MATCH(1508,'بيانات الحركات'!$G:$G,0)),"")</f>
        <v/>
      </c>
    </row>
    <row r="1510" spans="1:6" ht="21.95" customHeight="1">
      <c r="A1510" s="8" t="str">
        <f>IFERROR(INDEX('بيانات الحركات'!A:A,MATCH(1509,'بيانات الحركات'!$G:$G,0)),"")</f>
        <v/>
      </c>
      <c r="B1510" s="5" t="str">
        <f>IFERROR(INDEX('بيانات الحركات'!B:B,MATCH(1509,'بيانات الحركات'!$G:$G,0)),"")</f>
        <v/>
      </c>
      <c r="C1510" s="3" t="str">
        <f>IFERROR(INDEX('بيانات الحركات'!C:C,MATCH(1509,'بيانات الحركات'!$G:$G,0)),"")</f>
        <v/>
      </c>
      <c r="D1510" s="3" t="str">
        <f>IFERROR(INDEX('بيانات الحركات'!D:D,MATCH(1509,'بيانات الحركات'!$G:$G,0)),"")</f>
        <v/>
      </c>
      <c r="E1510" s="21" t="str">
        <f>IF($B1510="إنتاج طبخة","",IFERROR(INDEX('بيانات الحركات'!E:E,MATCH(1509,'بيانات الحركات'!$G:$G,0)),""))</f>
        <v/>
      </c>
      <c r="F1510" s="3" t="str">
        <f>IFERROR(INDEX('بيانات الحركات'!F:F,MATCH(1509,'بيانات الحركات'!$G:$G,0)),"")</f>
        <v/>
      </c>
    </row>
    <row r="1511" spans="1:6" ht="21.95" customHeight="1">
      <c r="A1511" s="8" t="str">
        <f>IFERROR(INDEX('بيانات الحركات'!A:A,MATCH(1510,'بيانات الحركات'!$G:$G,0)),"")</f>
        <v/>
      </c>
      <c r="B1511" s="5" t="str">
        <f>IFERROR(INDEX('بيانات الحركات'!B:B,MATCH(1510,'بيانات الحركات'!$G:$G,0)),"")</f>
        <v/>
      </c>
      <c r="C1511" s="3" t="str">
        <f>IFERROR(INDEX('بيانات الحركات'!C:C,MATCH(1510,'بيانات الحركات'!$G:$G,0)),"")</f>
        <v/>
      </c>
      <c r="D1511" s="3" t="str">
        <f>IFERROR(INDEX('بيانات الحركات'!D:D,MATCH(1510,'بيانات الحركات'!$G:$G,0)),"")</f>
        <v/>
      </c>
      <c r="E1511" s="21" t="str">
        <f>IF($B1511="إنتاج طبخة","",IFERROR(INDEX('بيانات الحركات'!E:E,MATCH(1510,'بيانات الحركات'!$G:$G,0)),""))</f>
        <v/>
      </c>
      <c r="F1511" s="3" t="str">
        <f>IFERROR(INDEX('بيانات الحركات'!F:F,MATCH(1510,'بيانات الحركات'!$G:$G,0)),"")</f>
        <v/>
      </c>
    </row>
    <row r="1512" spans="1:6" ht="21.95" customHeight="1">
      <c r="A1512" s="8" t="str">
        <f>IFERROR(INDEX('بيانات الحركات'!A:A,MATCH(1511,'بيانات الحركات'!$G:$G,0)),"")</f>
        <v/>
      </c>
      <c r="B1512" s="5" t="str">
        <f>IFERROR(INDEX('بيانات الحركات'!B:B,MATCH(1511,'بيانات الحركات'!$G:$G,0)),"")</f>
        <v/>
      </c>
      <c r="C1512" s="3" t="str">
        <f>IFERROR(INDEX('بيانات الحركات'!C:C,MATCH(1511,'بيانات الحركات'!$G:$G,0)),"")</f>
        <v/>
      </c>
      <c r="D1512" s="3" t="str">
        <f>IFERROR(INDEX('بيانات الحركات'!D:D,MATCH(1511,'بيانات الحركات'!$G:$G,0)),"")</f>
        <v/>
      </c>
      <c r="E1512" s="21" t="str">
        <f>IF($B1512="إنتاج طبخة","",IFERROR(INDEX('بيانات الحركات'!E:E,MATCH(1511,'بيانات الحركات'!$G:$G,0)),""))</f>
        <v/>
      </c>
      <c r="F1512" s="3" t="str">
        <f>IFERROR(INDEX('بيانات الحركات'!F:F,MATCH(1511,'بيانات الحركات'!$G:$G,0)),"")</f>
        <v/>
      </c>
    </row>
    <row r="1513" spans="1:6" ht="21.95" customHeight="1">
      <c r="A1513" s="8" t="str">
        <f>IFERROR(INDEX('بيانات الحركات'!A:A,MATCH(1512,'بيانات الحركات'!$G:$G,0)),"")</f>
        <v/>
      </c>
      <c r="B1513" s="5" t="str">
        <f>IFERROR(INDEX('بيانات الحركات'!B:B,MATCH(1512,'بيانات الحركات'!$G:$G,0)),"")</f>
        <v/>
      </c>
      <c r="C1513" s="3" t="str">
        <f>IFERROR(INDEX('بيانات الحركات'!C:C,MATCH(1512,'بيانات الحركات'!$G:$G,0)),"")</f>
        <v/>
      </c>
      <c r="D1513" s="3" t="str">
        <f>IFERROR(INDEX('بيانات الحركات'!D:D,MATCH(1512,'بيانات الحركات'!$G:$G,0)),"")</f>
        <v/>
      </c>
      <c r="E1513" s="21" t="str">
        <f>IF($B1513="إنتاج طبخة","",IFERROR(INDEX('بيانات الحركات'!E:E,MATCH(1512,'بيانات الحركات'!$G:$G,0)),""))</f>
        <v/>
      </c>
      <c r="F1513" s="3" t="str">
        <f>IFERROR(INDEX('بيانات الحركات'!F:F,MATCH(1512,'بيانات الحركات'!$G:$G,0)),"")</f>
        <v/>
      </c>
    </row>
    <row r="1514" spans="1:6" ht="21.95" customHeight="1">
      <c r="A1514" s="8" t="str">
        <f>IFERROR(INDEX('بيانات الحركات'!A:A,MATCH(1513,'بيانات الحركات'!$G:$G,0)),"")</f>
        <v/>
      </c>
      <c r="B1514" s="5" t="str">
        <f>IFERROR(INDEX('بيانات الحركات'!B:B,MATCH(1513,'بيانات الحركات'!$G:$G,0)),"")</f>
        <v/>
      </c>
      <c r="C1514" s="3" t="str">
        <f>IFERROR(INDEX('بيانات الحركات'!C:C,MATCH(1513,'بيانات الحركات'!$G:$G,0)),"")</f>
        <v/>
      </c>
      <c r="D1514" s="3" t="str">
        <f>IFERROR(INDEX('بيانات الحركات'!D:D,MATCH(1513,'بيانات الحركات'!$G:$G,0)),"")</f>
        <v/>
      </c>
      <c r="E1514" s="21" t="str">
        <f>IF($B1514="إنتاج طبخة","",IFERROR(INDEX('بيانات الحركات'!E:E,MATCH(1513,'بيانات الحركات'!$G:$G,0)),""))</f>
        <v/>
      </c>
      <c r="F1514" s="3" t="str">
        <f>IFERROR(INDEX('بيانات الحركات'!F:F,MATCH(1513,'بيانات الحركات'!$G:$G,0)),"")</f>
        <v/>
      </c>
    </row>
    <row r="1515" spans="1:6" ht="21.95" customHeight="1">
      <c r="A1515" s="8" t="str">
        <f>IFERROR(INDEX('بيانات الحركات'!A:A,MATCH(1514,'بيانات الحركات'!$G:$G,0)),"")</f>
        <v/>
      </c>
      <c r="B1515" s="5" t="str">
        <f>IFERROR(INDEX('بيانات الحركات'!B:B,MATCH(1514,'بيانات الحركات'!$G:$G,0)),"")</f>
        <v/>
      </c>
      <c r="C1515" s="3" t="str">
        <f>IFERROR(INDEX('بيانات الحركات'!C:C,MATCH(1514,'بيانات الحركات'!$G:$G,0)),"")</f>
        <v/>
      </c>
      <c r="D1515" s="3" t="str">
        <f>IFERROR(INDEX('بيانات الحركات'!D:D,MATCH(1514,'بيانات الحركات'!$G:$G,0)),"")</f>
        <v/>
      </c>
      <c r="E1515" s="21" t="str">
        <f>IF($B1515="إنتاج طبخة","",IFERROR(INDEX('بيانات الحركات'!E:E,MATCH(1514,'بيانات الحركات'!$G:$G,0)),""))</f>
        <v/>
      </c>
      <c r="F1515" s="3" t="str">
        <f>IFERROR(INDEX('بيانات الحركات'!F:F,MATCH(1514,'بيانات الحركات'!$G:$G,0)),"")</f>
        <v/>
      </c>
    </row>
    <row r="1516" spans="1:6" ht="21.95" customHeight="1">
      <c r="A1516" s="8" t="str">
        <f>IFERROR(INDEX('بيانات الحركات'!A:A,MATCH(1515,'بيانات الحركات'!$G:$G,0)),"")</f>
        <v/>
      </c>
      <c r="B1516" s="5" t="str">
        <f>IFERROR(INDEX('بيانات الحركات'!B:B,MATCH(1515,'بيانات الحركات'!$G:$G,0)),"")</f>
        <v/>
      </c>
      <c r="C1516" s="3" t="str">
        <f>IFERROR(INDEX('بيانات الحركات'!C:C,MATCH(1515,'بيانات الحركات'!$G:$G,0)),"")</f>
        <v/>
      </c>
      <c r="D1516" s="3" t="str">
        <f>IFERROR(INDEX('بيانات الحركات'!D:D,MATCH(1515,'بيانات الحركات'!$G:$G,0)),"")</f>
        <v/>
      </c>
      <c r="E1516" s="21" t="str">
        <f>IF($B1516="إنتاج طبخة","",IFERROR(INDEX('بيانات الحركات'!E:E,MATCH(1515,'بيانات الحركات'!$G:$G,0)),""))</f>
        <v/>
      </c>
      <c r="F1516" s="3" t="str">
        <f>IFERROR(INDEX('بيانات الحركات'!F:F,MATCH(1515,'بيانات الحركات'!$G:$G,0)),"")</f>
        <v/>
      </c>
    </row>
    <row r="1517" spans="1:6" ht="21.95" customHeight="1">
      <c r="A1517" s="8" t="str">
        <f>IFERROR(INDEX('بيانات الحركات'!A:A,MATCH(1516,'بيانات الحركات'!$G:$G,0)),"")</f>
        <v/>
      </c>
      <c r="B1517" s="5" t="str">
        <f>IFERROR(INDEX('بيانات الحركات'!B:B,MATCH(1516,'بيانات الحركات'!$G:$G,0)),"")</f>
        <v/>
      </c>
      <c r="C1517" s="3" t="str">
        <f>IFERROR(INDEX('بيانات الحركات'!C:C,MATCH(1516,'بيانات الحركات'!$G:$G,0)),"")</f>
        <v/>
      </c>
      <c r="D1517" s="3" t="str">
        <f>IFERROR(INDEX('بيانات الحركات'!D:D,MATCH(1516,'بيانات الحركات'!$G:$G,0)),"")</f>
        <v/>
      </c>
      <c r="E1517" s="21" t="str">
        <f>IF($B1517="إنتاج طبخة","",IFERROR(INDEX('بيانات الحركات'!E:E,MATCH(1516,'بيانات الحركات'!$G:$G,0)),""))</f>
        <v/>
      </c>
      <c r="F1517" s="3" t="str">
        <f>IFERROR(INDEX('بيانات الحركات'!F:F,MATCH(1516,'بيانات الحركات'!$G:$G,0)),"")</f>
        <v/>
      </c>
    </row>
    <row r="1518" spans="1:6" ht="21.95" customHeight="1">
      <c r="A1518" s="8" t="str">
        <f>IFERROR(INDEX('بيانات الحركات'!A:A,MATCH(1517,'بيانات الحركات'!$G:$G,0)),"")</f>
        <v/>
      </c>
      <c r="B1518" s="5" t="str">
        <f>IFERROR(INDEX('بيانات الحركات'!B:B,MATCH(1517,'بيانات الحركات'!$G:$G,0)),"")</f>
        <v/>
      </c>
      <c r="C1518" s="3" t="str">
        <f>IFERROR(INDEX('بيانات الحركات'!C:C,MATCH(1517,'بيانات الحركات'!$G:$G,0)),"")</f>
        <v/>
      </c>
      <c r="D1518" s="3" t="str">
        <f>IFERROR(INDEX('بيانات الحركات'!D:D,MATCH(1517,'بيانات الحركات'!$G:$G,0)),"")</f>
        <v/>
      </c>
      <c r="E1518" s="21" t="str">
        <f>IF($B1518="إنتاج طبخة","",IFERROR(INDEX('بيانات الحركات'!E:E,MATCH(1517,'بيانات الحركات'!$G:$G,0)),""))</f>
        <v/>
      </c>
      <c r="F1518" s="3" t="str">
        <f>IFERROR(INDEX('بيانات الحركات'!F:F,MATCH(1517,'بيانات الحركات'!$G:$G,0)),"")</f>
        <v/>
      </c>
    </row>
    <row r="1519" spans="1:6" ht="21.95" customHeight="1">
      <c r="A1519" s="8" t="str">
        <f>IFERROR(INDEX('بيانات الحركات'!A:A,MATCH(1518,'بيانات الحركات'!$G:$G,0)),"")</f>
        <v/>
      </c>
      <c r="B1519" s="5" t="str">
        <f>IFERROR(INDEX('بيانات الحركات'!B:B,MATCH(1518,'بيانات الحركات'!$G:$G,0)),"")</f>
        <v/>
      </c>
      <c r="C1519" s="3" t="str">
        <f>IFERROR(INDEX('بيانات الحركات'!C:C,MATCH(1518,'بيانات الحركات'!$G:$G,0)),"")</f>
        <v/>
      </c>
      <c r="D1519" s="3" t="str">
        <f>IFERROR(INDEX('بيانات الحركات'!D:D,MATCH(1518,'بيانات الحركات'!$G:$G,0)),"")</f>
        <v/>
      </c>
      <c r="E1519" s="21" t="str">
        <f>IF($B1519="إنتاج طبخة","",IFERROR(INDEX('بيانات الحركات'!E:E,MATCH(1518,'بيانات الحركات'!$G:$G,0)),""))</f>
        <v/>
      </c>
      <c r="F1519" s="3" t="str">
        <f>IFERROR(INDEX('بيانات الحركات'!F:F,MATCH(1518,'بيانات الحركات'!$G:$G,0)),"")</f>
        <v/>
      </c>
    </row>
    <row r="1520" spans="1:6" ht="21.95" customHeight="1">
      <c r="A1520" s="8" t="str">
        <f>IFERROR(INDEX('بيانات الحركات'!A:A,MATCH(1519,'بيانات الحركات'!$G:$G,0)),"")</f>
        <v/>
      </c>
      <c r="B1520" s="5" t="str">
        <f>IFERROR(INDEX('بيانات الحركات'!B:B,MATCH(1519,'بيانات الحركات'!$G:$G,0)),"")</f>
        <v/>
      </c>
      <c r="C1520" s="3" t="str">
        <f>IFERROR(INDEX('بيانات الحركات'!C:C,MATCH(1519,'بيانات الحركات'!$G:$G,0)),"")</f>
        <v/>
      </c>
      <c r="D1520" s="3" t="str">
        <f>IFERROR(INDEX('بيانات الحركات'!D:D,MATCH(1519,'بيانات الحركات'!$G:$G,0)),"")</f>
        <v/>
      </c>
      <c r="E1520" s="21" t="str">
        <f>IF($B1520="إنتاج طبخة","",IFERROR(INDEX('بيانات الحركات'!E:E,MATCH(1519,'بيانات الحركات'!$G:$G,0)),""))</f>
        <v/>
      </c>
      <c r="F1520" s="3" t="str">
        <f>IFERROR(INDEX('بيانات الحركات'!F:F,MATCH(1519,'بيانات الحركات'!$G:$G,0)),"")</f>
        <v/>
      </c>
    </row>
    <row r="1521" spans="1:6" ht="21.95" customHeight="1">
      <c r="A1521" s="8" t="str">
        <f>IFERROR(INDEX('بيانات الحركات'!A:A,MATCH(1520,'بيانات الحركات'!$G:$G,0)),"")</f>
        <v/>
      </c>
      <c r="B1521" s="5" t="str">
        <f>IFERROR(INDEX('بيانات الحركات'!B:B,MATCH(1520,'بيانات الحركات'!$G:$G,0)),"")</f>
        <v/>
      </c>
      <c r="C1521" s="3" t="str">
        <f>IFERROR(INDEX('بيانات الحركات'!C:C,MATCH(1520,'بيانات الحركات'!$G:$G,0)),"")</f>
        <v/>
      </c>
      <c r="D1521" s="3" t="str">
        <f>IFERROR(INDEX('بيانات الحركات'!D:D,MATCH(1520,'بيانات الحركات'!$G:$G,0)),"")</f>
        <v/>
      </c>
      <c r="E1521" s="21" t="str">
        <f>IF($B1521="إنتاج طبخة","",IFERROR(INDEX('بيانات الحركات'!E:E,MATCH(1520,'بيانات الحركات'!$G:$G,0)),""))</f>
        <v/>
      </c>
      <c r="F1521" s="3" t="str">
        <f>IFERROR(INDEX('بيانات الحركات'!F:F,MATCH(1520,'بيانات الحركات'!$G:$G,0)),"")</f>
        <v/>
      </c>
    </row>
    <row r="1522" spans="1:6" ht="21.95" customHeight="1">
      <c r="A1522" s="8" t="str">
        <f>IFERROR(INDEX('بيانات الحركات'!A:A,MATCH(1521,'بيانات الحركات'!$G:$G,0)),"")</f>
        <v/>
      </c>
      <c r="B1522" s="5" t="str">
        <f>IFERROR(INDEX('بيانات الحركات'!B:B,MATCH(1521,'بيانات الحركات'!$G:$G,0)),"")</f>
        <v/>
      </c>
      <c r="C1522" s="3" t="str">
        <f>IFERROR(INDEX('بيانات الحركات'!C:C,MATCH(1521,'بيانات الحركات'!$G:$G,0)),"")</f>
        <v/>
      </c>
      <c r="D1522" s="3" t="str">
        <f>IFERROR(INDEX('بيانات الحركات'!D:D,MATCH(1521,'بيانات الحركات'!$G:$G,0)),"")</f>
        <v/>
      </c>
      <c r="E1522" s="21" t="str">
        <f>IF($B1522="إنتاج طبخة","",IFERROR(INDEX('بيانات الحركات'!E:E,MATCH(1521,'بيانات الحركات'!$G:$G,0)),""))</f>
        <v/>
      </c>
      <c r="F1522" s="3" t="str">
        <f>IFERROR(INDEX('بيانات الحركات'!F:F,MATCH(1521,'بيانات الحركات'!$G:$G,0)),"")</f>
        <v/>
      </c>
    </row>
    <row r="1523" spans="1:6" ht="21.95" customHeight="1">
      <c r="A1523" s="8" t="str">
        <f>IFERROR(INDEX('بيانات الحركات'!A:A,MATCH(1522,'بيانات الحركات'!$G:$G,0)),"")</f>
        <v/>
      </c>
      <c r="B1523" s="5" t="str">
        <f>IFERROR(INDEX('بيانات الحركات'!B:B,MATCH(1522,'بيانات الحركات'!$G:$G,0)),"")</f>
        <v/>
      </c>
      <c r="C1523" s="3" t="str">
        <f>IFERROR(INDEX('بيانات الحركات'!C:C,MATCH(1522,'بيانات الحركات'!$G:$G,0)),"")</f>
        <v/>
      </c>
      <c r="D1523" s="3" t="str">
        <f>IFERROR(INDEX('بيانات الحركات'!D:D,MATCH(1522,'بيانات الحركات'!$G:$G,0)),"")</f>
        <v/>
      </c>
      <c r="E1523" s="21" t="str">
        <f>IF($B1523="إنتاج طبخة","",IFERROR(INDEX('بيانات الحركات'!E:E,MATCH(1522,'بيانات الحركات'!$G:$G,0)),""))</f>
        <v/>
      </c>
      <c r="F1523" s="3" t="str">
        <f>IFERROR(INDEX('بيانات الحركات'!F:F,MATCH(1522,'بيانات الحركات'!$G:$G,0)),"")</f>
        <v/>
      </c>
    </row>
    <row r="1524" spans="1:6" ht="21.95" customHeight="1">
      <c r="A1524" s="8" t="str">
        <f>IFERROR(INDEX('بيانات الحركات'!A:A,MATCH(1523,'بيانات الحركات'!$G:$G,0)),"")</f>
        <v/>
      </c>
      <c r="B1524" s="5" t="str">
        <f>IFERROR(INDEX('بيانات الحركات'!B:B,MATCH(1523,'بيانات الحركات'!$G:$G,0)),"")</f>
        <v/>
      </c>
      <c r="C1524" s="3" t="str">
        <f>IFERROR(INDEX('بيانات الحركات'!C:C,MATCH(1523,'بيانات الحركات'!$G:$G,0)),"")</f>
        <v/>
      </c>
      <c r="D1524" s="3" t="str">
        <f>IFERROR(INDEX('بيانات الحركات'!D:D,MATCH(1523,'بيانات الحركات'!$G:$G,0)),"")</f>
        <v/>
      </c>
      <c r="E1524" s="21" t="str">
        <f>IF($B1524="إنتاج طبخة","",IFERROR(INDEX('بيانات الحركات'!E:E,MATCH(1523,'بيانات الحركات'!$G:$G,0)),""))</f>
        <v/>
      </c>
      <c r="F1524" s="3" t="str">
        <f>IFERROR(INDEX('بيانات الحركات'!F:F,MATCH(1523,'بيانات الحركات'!$G:$G,0)),"")</f>
        <v/>
      </c>
    </row>
    <row r="1525" spans="1:6" ht="21.95" customHeight="1">
      <c r="A1525" s="8" t="str">
        <f>IFERROR(INDEX('بيانات الحركات'!A:A,MATCH(1524,'بيانات الحركات'!$G:$G,0)),"")</f>
        <v/>
      </c>
      <c r="B1525" s="5" t="str">
        <f>IFERROR(INDEX('بيانات الحركات'!B:B,MATCH(1524,'بيانات الحركات'!$G:$G,0)),"")</f>
        <v/>
      </c>
      <c r="C1525" s="3" t="str">
        <f>IFERROR(INDEX('بيانات الحركات'!C:C,MATCH(1524,'بيانات الحركات'!$G:$G,0)),"")</f>
        <v/>
      </c>
      <c r="D1525" s="3" t="str">
        <f>IFERROR(INDEX('بيانات الحركات'!D:D,MATCH(1524,'بيانات الحركات'!$G:$G,0)),"")</f>
        <v/>
      </c>
      <c r="E1525" s="21" t="str">
        <f>IF($B1525="إنتاج طبخة","",IFERROR(INDEX('بيانات الحركات'!E:E,MATCH(1524,'بيانات الحركات'!$G:$G,0)),""))</f>
        <v/>
      </c>
      <c r="F1525" s="3" t="str">
        <f>IFERROR(INDEX('بيانات الحركات'!F:F,MATCH(1524,'بيانات الحركات'!$G:$G,0)),"")</f>
        <v/>
      </c>
    </row>
    <row r="1526" spans="1:6" ht="21.95" customHeight="1">
      <c r="A1526" s="8" t="str">
        <f>IFERROR(INDEX('بيانات الحركات'!A:A,MATCH(1525,'بيانات الحركات'!$G:$G,0)),"")</f>
        <v/>
      </c>
      <c r="B1526" s="5" t="str">
        <f>IFERROR(INDEX('بيانات الحركات'!B:B,MATCH(1525,'بيانات الحركات'!$G:$G,0)),"")</f>
        <v/>
      </c>
      <c r="C1526" s="3" t="str">
        <f>IFERROR(INDEX('بيانات الحركات'!C:C,MATCH(1525,'بيانات الحركات'!$G:$G,0)),"")</f>
        <v/>
      </c>
      <c r="D1526" s="3" t="str">
        <f>IFERROR(INDEX('بيانات الحركات'!D:D,MATCH(1525,'بيانات الحركات'!$G:$G,0)),"")</f>
        <v/>
      </c>
      <c r="E1526" s="21" t="str">
        <f>IF($B1526="إنتاج طبخة","",IFERROR(INDEX('بيانات الحركات'!E:E,MATCH(1525,'بيانات الحركات'!$G:$G,0)),""))</f>
        <v/>
      </c>
      <c r="F1526" s="3" t="str">
        <f>IFERROR(INDEX('بيانات الحركات'!F:F,MATCH(1525,'بيانات الحركات'!$G:$G,0)),"")</f>
        <v/>
      </c>
    </row>
    <row r="1527" spans="1:6" ht="21.95" customHeight="1">
      <c r="A1527" s="8" t="str">
        <f>IFERROR(INDEX('بيانات الحركات'!A:A,MATCH(1526,'بيانات الحركات'!$G:$G,0)),"")</f>
        <v/>
      </c>
      <c r="B1527" s="5" t="str">
        <f>IFERROR(INDEX('بيانات الحركات'!B:B,MATCH(1526,'بيانات الحركات'!$G:$G,0)),"")</f>
        <v/>
      </c>
      <c r="C1527" s="3" t="str">
        <f>IFERROR(INDEX('بيانات الحركات'!C:C,MATCH(1526,'بيانات الحركات'!$G:$G,0)),"")</f>
        <v/>
      </c>
      <c r="D1527" s="3" t="str">
        <f>IFERROR(INDEX('بيانات الحركات'!D:D,MATCH(1526,'بيانات الحركات'!$G:$G,0)),"")</f>
        <v/>
      </c>
      <c r="E1527" s="21" t="str">
        <f>IF($B1527="إنتاج طبخة","",IFERROR(INDEX('بيانات الحركات'!E:E,MATCH(1526,'بيانات الحركات'!$G:$G,0)),""))</f>
        <v/>
      </c>
      <c r="F1527" s="3" t="str">
        <f>IFERROR(INDEX('بيانات الحركات'!F:F,MATCH(1526,'بيانات الحركات'!$G:$G,0)),"")</f>
        <v/>
      </c>
    </row>
    <row r="1528" spans="1:6" ht="21.95" customHeight="1">
      <c r="A1528" s="8" t="str">
        <f>IFERROR(INDEX('بيانات الحركات'!A:A,MATCH(1527,'بيانات الحركات'!$G:$G,0)),"")</f>
        <v/>
      </c>
      <c r="B1528" s="5" t="str">
        <f>IFERROR(INDEX('بيانات الحركات'!B:B,MATCH(1527,'بيانات الحركات'!$G:$G,0)),"")</f>
        <v/>
      </c>
      <c r="C1528" s="3" t="str">
        <f>IFERROR(INDEX('بيانات الحركات'!C:C,MATCH(1527,'بيانات الحركات'!$G:$G,0)),"")</f>
        <v/>
      </c>
      <c r="D1528" s="3" t="str">
        <f>IFERROR(INDEX('بيانات الحركات'!D:D,MATCH(1527,'بيانات الحركات'!$G:$G,0)),"")</f>
        <v/>
      </c>
      <c r="E1528" s="21" t="str">
        <f>IF($B1528="إنتاج طبخة","",IFERROR(INDEX('بيانات الحركات'!E:E,MATCH(1527,'بيانات الحركات'!$G:$G,0)),""))</f>
        <v/>
      </c>
      <c r="F1528" s="3" t="str">
        <f>IFERROR(INDEX('بيانات الحركات'!F:F,MATCH(1527,'بيانات الحركات'!$G:$G,0)),"")</f>
        <v/>
      </c>
    </row>
    <row r="1529" spans="1:6" ht="21.95" customHeight="1">
      <c r="A1529" s="8" t="str">
        <f>IFERROR(INDEX('بيانات الحركات'!A:A,MATCH(1528,'بيانات الحركات'!$G:$G,0)),"")</f>
        <v/>
      </c>
      <c r="B1529" s="5" t="str">
        <f>IFERROR(INDEX('بيانات الحركات'!B:B,MATCH(1528,'بيانات الحركات'!$G:$G,0)),"")</f>
        <v/>
      </c>
      <c r="C1529" s="3" t="str">
        <f>IFERROR(INDEX('بيانات الحركات'!C:C,MATCH(1528,'بيانات الحركات'!$G:$G,0)),"")</f>
        <v/>
      </c>
      <c r="D1529" s="3" t="str">
        <f>IFERROR(INDEX('بيانات الحركات'!D:D,MATCH(1528,'بيانات الحركات'!$G:$G,0)),"")</f>
        <v/>
      </c>
      <c r="E1529" s="21" t="str">
        <f>IF($B1529="إنتاج طبخة","",IFERROR(INDEX('بيانات الحركات'!E:E,MATCH(1528,'بيانات الحركات'!$G:$G,0)),""))</f>
        <v/>
      </c>
      <c r="F1529" s="3" t="str">
        <f>IFERROR(INDEX('بيانات الحركات'!F:F,MATCH(1528,'بيانات الحركات'!$G:$G,0)),"")</f>
        <v/>
      </c>
    </row>
    <row r="1530" spans="1:6" ht="21.95" customHeight="1">
      <c r="A1530" s="8" t="str">
        <f>IFERROR(INDEX('بيانات الحركات'!A:A,MATCH(1529,'بيانات الحركات'!$G:$G,0)),"")</f>
        <v/>
      </c>
      <c r="B1530" s="5" t="str">
        <f>IFERROR(INDEX('بيانات الحركات'!B:B,MATCH(1529,'بيانات الحركات'!$G:$G,0)),"")</f>
        <v/>
      </c>
      <c r="C1530" s="3" t="str">
        <f>IFERROR(INDEX('بيانات الحركات'!C:C,MATCH(1529,'بيانات الحركات'!$G:$G,0)),"")</f>
        <v/>
      </c>
      <c r="D1530" s="3" t="str">
        <f>IFERROR(INDEX('بيانات الحركات'!D:D,MATCH(1529,'بيانات الحركات'!$G:$G,0)),"")</f>
        <v/>
      </c>
      <c r="E1530" s="21" t="str">
        <f>IF($B1530="إنتاج طبخة","",IFERROR(INDEX('بيانات الحركات'!E:E,MATCH(1529,'بيانات الحركات'!$G:$G,0)),""))</f>
        <v/>
      </c>
      <c r="F1530" s="3" t="str">
        <f>IFERROR(INDEX('بيانات الحركات'!F:F,MATCH(1529,'بيانات الحركات'!$G:$G,0)),"")</f>
        <v/>
      </c>
    </row>
    <row r="1531" spans="1:6" ht="21.95" customHeight="1">
      <c r="A1531" s="8" t="str">
        <f>IFERROR(INDEX('بيانات الحركات'!A:A,MATCH(1530,'بيانات الحركات'!$G:$G,0)),"")</f>
        <v/>
      </c>
      <c r="B1531" s="5" t="str">
        <f>IFERROR(INDEX('بيانات الحركات'!B:B,MATCH(1530,'بيانات الحركات'!$G:$G,0)),"")</f>
        <v/>
      </c>
      <c r="C1531" s="3" t="str">
        <f>IFERROR(INDEX('بيانات الحركات'!C:C,MATCH(1530,'بيانات الحركات'!$G:$G,0)),"")</f>
        <v/>
      </c>
      <c r="D1531" s="3" t="str">
        <f>IFERROR(INDEX('بيانات الحركات'!D:D,MATCH(1530,'بيانات الحركات'!$G:$G,0)),"")</f>
        <v/>
      </c>
      <c r="E1531" s="21" t="str">
        <f>IF($B1531="إنتاج طبخة","",IFERROR(INDEX('بيانات الحركات'!E:E,MATCH(1530,'بيانات الحركات'!$G:$G,0)),""))</f>
        <v/>
      </c>
      <c r="F1531" s="3" t="str">
        <f>IFERROR(INDEX('بيانات الحركات'!F:F,MATCH(1530,'بيانات الحركات'!$G:$G,0)),"")</f>
        <v/>
      </c>
    </row>
    <row r="1532" spans="1:6" ht="21.95" customHeight="1">
      <c r="A1532" s="8" t="str">
        <f>IFERROR(INDEX('بيانات الحركات'!A:A,MATCH(1531,'بيانات الحركات'!$G:$G,0)),"")</f>
        <v/>
      </c>
      <c r="B1532" s="5" t="str">
        <f>IFERROR(INDEX('بيانات الحركات'!B:B,MATCH(1531,'بيانات الحركات'!$G:$G,0)),"")</f>
        <v/>
      </c>
      <c r="C1532" s="3" t="str">
        <f>IFERROR(INDEX('بيانات الحركات'!C:C,MATCH(1531,'بيانات الحركات'!$G:$G,0)),"")</f>
        <v/>
      </c>
      <c r="D1532" s="3" t="str">
        <f>IFERROR(INDEX('بيانات الحركات'!D:D,MATCH(1531,'بيانات الحركات'!$G:$G,0)),"")</f>
        <v/>
      </c>
      <c r="E1532" s="21" t="str">
        <f>IF($B1532="إنتاج طبخة","",IFERROR(INDEX('بيانات الحركات'!E:E,MATCH(1531,'بيانات الحركات'!$G:$G,0)),""))</f>
        <v/>
      </c>
      <c r="F1532" s="3" t="str">
        <f>IFERROR(INDEX('بيانات الحركات'!F:F,MATCH(1531,'بيانات الحركات'!$G:$G,0)),"")</f>
        <v/>
      </c>
    </row>
    <row r="1533" spans="1:6" ht="21.95" customHeight="1">
      <c r="A1533" s="8" t="str">
        <f>IFERROR(INDEX('بيانات الحركات'!A:A,MATCH(1532,'بيانات الحركات'!$G:$G,0)),"")</f>
        <v/>
      </c>
      <c r="B1533" s="5" t="str">
        <f>IFERROR(INDEX('بيانات الحركات'!B:B,MATCH(1532,'بيانات الحركات'!$G:$G,0)),"")</f>
        <v/>
      </c>
      <c r="C1533" s="3" t="str">
        <f>IFERROR(INDEX('بيانات الحركات'!C:C,MATCH(1532,'بيانات الحركات'!$G:$G,0)),"")</f>
        <v/>
      </c>
      <c r="D1533" s="3" t="str">
        <f>IFERROR(INDEX('بيانات الحركات'!D:D,MATCH(1532,'بيانات الحركات'!$G:$G,0)),"")</f>
        <v/>
      </c>
      <c r="E1533" s="21" t="str">
        <f>IF($B1533="إنتاج طبخة","",IFERROR(INDEX('بيانات الحركات'!E:E,MATCH(1532,'بيانات الحركات'!$G:$G,0)),""))</f>
        <v/>
      </c>
      <c r="F1533" s="3" t="str">
        <f>IFERROR(INDEX('بيانات الحركات'!F:F,MATCH(1532,'بيانات الحركات'!$G:$G,0)),"")</f>
        <v/>
      </c>
    </row>
    <row r="1534" spans="1:6" ht="21.95" customHeight="1">
      <c r="A1534" s="8" t="str">
        <f>IFERROR(INDEX('بيانات الحركات'!A:A,MATCH(1533,'بيانات الحركات'!$G:$G,0)),"")</f>
        <v/>
      </c>
      <c r="B1534" s="5" t="str">
        <f>IFERROR(INDEX('بيانات الحركات'!B:B,MATCH(1533,'بيانات الحركات'!$G:$G,0)),"")</f>
        <v/>
      </c>
      <c r="C1534" s="3" t="str">
        <f>IFERROR(INDEX('بيانات الحركات'!C:C,MATCH(1533,'بيانات الحركات'!$G:$G,0)),"")</f>
        <v/>
      </c>
      <c r="D1534" s="3" t="str">
        <f>IFERROR(INDEX('بيانات الحركات'!D:D,MATCH(1533,'بيانات الحركات'!$G:$G,0)),"")</f>
        <v/>
      </c>
      <c r="E1534" s="21" t="str">
        <f>IF($B1534="إنتاج طبخة","",IFERROR(INDEX('بيانات الحركات'!E:E,MATCH(1533,'بيانات الحركات'!$G:$G,0)),""))</f>
        <v/>
      </c>
      <c r="F1534" s="3" t="str">
        <f>IFERROR(INDEX('بيانات الحركات'!F:F,MATCH(1533,'بيانات الحركات'!$G:$G,0)),"")</f>
        <v/>
      </c>
    </row>
    <row r="1535" spans="1:6" ht="21.95" customHeight="1">
      <c r="A1535" s="8" t="str">
        <f>IFERROR(INDEX('بيانات الحركات'!A:A,MATCH(1534,'بيانات الحركات'!$G:$G,0)),"")</f>
        <v/>
      </c>
      <c r="B1535" s="5" t="str">
        <f>IFERROR(INDEX('بيانات الحركات'!B:B,MATCH(1534,'بيانات الحركات'!$G:$G,0)),"")</f>
        <v/>
      </c>
      <c r="C1535" s="3" t="str">
        <f>IFERROR(INDEX('بيانات الحركات'!C:C,MATCH(1534,'بيانات الحركات'!$G:$G,0)),"")</f>
        <v/>
      </c>
      <c r="D1535" s="3" t="str">
        <f>IFERROR(INDEX('بيانات الحركات'!D:D,MATCH(1534,'بيانات الحركات'!$G:$G,0)),"")</f>
        <v/>
      </c>
      <c r="E1535" s="21" t="str">
        <f>IF($B1535="إنتاج طبخة","",IFERROR(INDEX('بيانات الحركات'!E:E,MATCH(1534,'بيانات الحركات'!$G:$G,0)),""))</f>
        <v/>
      </c>
      <c r="F1535" s="3" t="str">
        <f>IFERROR(INDEX('بيانات الحركات'!F:F,MATCH(1534,'بيانات الحركات'!$G:$G,0)),"")</f>
        <v/>
      </c>
    </row>
    <row r="1536" spans="1:6" ht="21.95" customHeight="1">
      <c r="A1536" s="8" t="str">
        <f>IFERROR(INDEX('بيانات الحركات'!A:A,MATCH(1535,'بيانات الحركات'!$G:$G,0)),"")</f>
        <v/>
      </c>
      <c r="B1536" s="5" t="str">
        <f>IFERROR(INDEX('بيانات الحركات'!B:B,MATCH(1535,'بيانات الحركات'!$G:$G,0)),"")</f>
        <v/>
      </c>
      <c r="C1536" s="3" t="str">
        <f>IFERROR(INDEX('بيانات الحركات'!C:C,MATCH(1535,'بيانات الحركات'!$G:$G,0)),"")</f>
        <v/>
      </c>
      <c r="D1536" s="3" t="str">
        <f>IFERROR(INDEX('بيانات الحركات'!D:D,MATCH(1535,'بيانات الحركات'!$G:$G,0)),"")</f>
        <v/>
      </c>
      <c r="E1536" s="21" t="str">
        <f>IF($B1536="إنتاج طبخة","",IFERROR(INDEX('بيانات الحركات'!E:E,MATCH(1535,'بيانات الحركات'!$G:$G,0)),""))</f>
        <v/>
      </c>
      <c r="F1536" s="3" t="str">
        <f>IFERROR(INDEX('بيانات الحركات'!F:F,MATCH(1535,'بيانات الحركات'!$G:$G,0)),"")</f>
        <v/>
      </c>
    </row>
    <row r="1537" spans="1:6" ht="21.95" customHeight="1">
      <c r="A1537" s="8" t="str">
        <f>IFERROR(INDEX('بيانات الحركات'!A:A,MATCH(1536,'بيانات الحركات'!$G:$G,0)),"")</f>
        <v/>
      </c>
      <c r="B1537" s="5" t="str">
        <f>IFERROR(INDEX('بيانات الحركات'!B:B,MATCH(1536,'بيانات الحركات'!$G:$G,0)),"")</f>
        <v/>
      </c>
      <c r="C1537" s="3" t="str">
        <f>IFERROR(INDEX('بيانات الحركات'!C:C,MATCH(1536,'بيانات الحركات'!$G:$G,0)),"")</f>
        <v/>
      </c>
      <c r="D1537" s="3" t="str">
        <f>IFERROR(INDEX('بيانات الحركات'!D:D,MATCH(1536,'بيانات الحركات'!$G:$G,0)),"")</f>
        <v/>
      </c>
      <c r="E1537" s="21" t="str">
        <f>IF($B1537="إنتاج طبخة","",IFERROR(INDEX('بيانات الحركات'!E:E,MATCH(1536,'بيانات الحركات'!$G:$G,0)),""))</f>
        <v/>
      </c>
      <c r="F1537" s="3" t="str">
        <f>IFERROR(INDEX('بيانات الحركات'!F:F,MATCH(1536,'بيانات الحركات'!$G:$G,0)),"")</f>
        <v/>
      </c>
    </row>
    <row r="1538" spans="1:6" ht="21.95" customHeight="1">
      <c r="A1538" s="8" t="str">
        <f>IFERROR(INDEX('بيانات الحركات'!A:A,MATCH(1537,'بيانات الحركات'!$G:$G,0)),"")</f>
        <v/>
      </c>
      <c r="B1538" s="5" t="str">
        <f>IFERROR(INDEX('بيانات الحركات'!B:B,MATCH(1537,'بيانات الحركات'!$G:$G,0)),"")</f>
        <v/>
      </c>
      <c r="C1538" s="3" t="str">
        <f>IFERROR(INDEX('بيانات الحركات'!C:C,MATCH(1537,'بيانات الحركات'!$G:$G,0)),"")</f>
        <v/>
      </c>
      <c r="D1538" s="3" t="str">
        <f>IFERROR(INDEX('بيانات الحركات'!D:D,MATCH(1537,'بيانات الحركات'!$G:$G,0)),"")</f>
        <v/>
      </c>
      <c r="E1538" s="21" t="str">
        <f>IF($B1538="إنتاج طبخة","",IFERROR(INDEX('بيانات الحركات'!E:E,MATCH(1537,'بيانات الحركات'!$G:$G,0)),""))</f>
        <v/>
      </c>
      <c r="F1538" s="3" t="str">
        <f>IFERROR(INDEX('بيانات الحركات'!F:F,MATCH(1537,'بيانات الحركات'!$G:$G,0)),"")</f>
        <v/>
      </c>
    </row>
    <row r="1539" spans="1:6" ht="21.95" customHeight="1">
      <c r="A1539" s="8" t="str">
        <f>IFERROR(INDEX('بيانات الحركات'!A:A,MATCH(1538,'بيانات الحركات'!$G:$G,0)),"")</f>
        <v/>
      </c>
      <c r="B1539" s="5" t="str">
        <f>IFERROR(INDEX('بيانات الحركات'!B:B,MATCH(1538,'بيانات الحركات'!$G:$G,0)),"")</f>
        <v/>
      </c>
      <c r="C1539" s="3" t="str">
        <f>IFERROR(INDEX('بيانات الحركات'!C:C,MATCH(1538,'بيانات الحركات'!$G:$G,0)),"")</f>
        <v/>
      </c>
      <c r="D1539" s="3" t="str">
        <f>IFERROR(INDEX('بيانات الحركات'!D:D,MATCH(1538,'بيانات الحركات'!$G:$G,0)),"")</f>
        <v/>
      </c>
      <c r="E1539" s="21" t="str">
        <f>IF($B1539="إنتاج طبخة","",IFERROR(INDEX('بيانات الحركات'!E:E,MATCH(1538,'بيانات الحركات'!$G:$G,0)),""))</f>
        <v/>
      </c>
      <c r="F1539" s="3" t="str">
        <f>IFERROR(INDEX('بيانات الحركات'!F:F,MATCH(1538,'بيانات الحركات'!$G:$G,0)),"")</f>
        <v/>
      </c>
    </row>
    <row r="1540" spans="1:6" ht="21.95" customHeight="1">
      <c r="A1540" s="8" t="str">
        <f>IFERROR(INDEX('بيانات الحركات'!A:A,MATCH(1539,'بيانات الحركات'!$G:$G,0)),"")</f>
        <v/>
      </c>
      <c r="B1540" s="5" t="str">
        <f>IFERROR(INDEX('بيانات الحركات'!B:B,MATCH(1539,'بيانات الحركات'!$G:$G,0)),"")</f>
        <v/>
      </c>
      <c r="C1540" s="3" t="str">
        <f>IFERROR(INDEX('بيانات الحركات'!C:C,MATCH(1539,'بيانات الحركات'!$G:$G,0)),"")</f>
        <v/>
      </c>
      <c r="D1540" s="3" t="str">
        <f>IFERROR(INDEX('بيانات الحركات'!D:D,MATCH(1539,'بيانات الحركات'!$G:$G,0)),"")</f>
        <v/>
      </c>
      <c r="E1540" s="21" t="str">
        <f>IF($B1540="إنتاج طبخة","",IFERROR(INDEX('بيانات الحركات'!E:E,MATCH(1539,'بيانات الحركات'!$G:$G,0)),""))</f>
        <v/>
      </c>
      <c r="F1540" s="3" t="str">
        <f>IFERROR(INDEX('بيانات الحركات'!F:F,MATCH(1539,'بيانات الحركات'!$G:$G,0)),"")</f>
        <v/>
      </c>
    </row>
    <row r="1541" spans="1:6" ht="21.95" customHeight="1">
      <c r="A1541" s="8" t="str">
        <f>IFERROR(INDEX('بيانات الحركات'!A:A,MATCH(1540,'بيانات الحركات'!$G:$G,0)),"")</f>
        <v/>
      </c>
      <c r="B1541" s="5" t="str">
        <f>IFERROR(INDEX('بيانات الحركات'!B:B,MATCH(1540,'بيانات الحركات'!$G:$G,0)),"")</f>
        <v/>
      </c>
      <c r="C1541" s="3" t="str">
        <f>IFERROR(INDEX('بيانات الحركات'!C:C,MATCH(1540,'بيانات الحركات'!$G:$G,0)),"")</f>
        <v/>
      </c>
      <c r="D1541" s="3" t="str">
        <f>IFERROR(INDEX('بيانات الحركات'!D:D,MATCH(1540,'بيانات الحركات'!$G:$G,0)),"")</f>
        <v/>
      </c>
      <c r="E1541" s="21" t="str">
        <f>IF($B1541="إنتاج طبخة","",IFERROR(INDEX('بيانات الحركات'!E:E,MATCH(1540,'بيانات الحركات'!$G:$G,0)),""))</f>
        <v/>
      </c>
      <c r="F1541" s="3" t="str">
        <f>IFERROR(INDEX('بيانات الحركات'!F:F,MATCH(1540,'بيانات الحركات'!$G:$G,0)),"")</f>
        <v/>
      </c>
    </row>
    <row r="1542" spans="1:6" ht="21.95" customHeight="1">
      <c r="A1542" s="8" t="str">
        <f>IFERROR(INDEX('بيانات الحركات'!A:A,MATCH(1541,'بيانات الحركات'!$G:$G,0)),"")</f>
        <v/>
      </c>
      <c r="B1542" s="5" t="str">
        <f>IFERROR(INDEX('بيانات الحركات'!B:B,MATCH(1541,'بيانات الحركات'!$G:$G,0)),"")</f>
        <v/>
      </c>
      <c r="C1542" s="3" t="str">
        <f>IFERROR(INDEX('بيانات الحركات'!C:C,MATCH(1541,'بيانات الحركات'!$G:$G,0)),"")</f>
        <v/>
      </c>
      <c r="D1542" s="3" t="str">
        <f>IFERROR(INDEX('بيانات الحركات'!D:D,MATCH(1541,'بيانات الحركات'!$G:$G,0)),"")</f>
        <v/>
      </c>
      <c r="E1542" s="21" t="str">
        <f>IF($B1542="إنتاج طبخة","",IFERROR(INDEX('بيانات الحركات'!E:E,MATCH(1541,'بيانات الحركات'!$G:$G,0)),""))</f>
        <v/>
      </c>
      <c r="F1542" s="3" t="str">
        <f>IFERROR(INDEX('بيانات الحركات'!F:F,MATCH(1541,'بيانات الحركات'!$G:$G,0)),"")</f>
        <v/>
      </c>
    </row>
    <row r="1543" spans="1:6" ht="21.95" customHeight="1">
      <c r="A1543" s="8" t="str">
        <f>IFERROR(INDEX('بيانات الحركات'!A:A,MATCH(1542,'بيانات الحركات'!$G:$G,0)),"")</f>
        <v/>
      </c>
      <c r="B1543" s="5" t="str">
        <f>IFERROR(INDEX('بيانات الحركات'!B:B,MATCH(1542,'بيانات الحركات'!$G:$G,0)),"")</f>
        <v/>
      </c>
      <c r="C1543" s="3" t="str">
        <f>IFERROR(INDEX('بيانات الحركات'!C:C,MATCH(1542,'بيانات الحركات'!$G:$G,0)),"")</f>
        <v/>
      </c>
      <c r="D1543" s="3" t="str">
        <f>IFERROR(INDEX('بيانات الحركات'!D:D,MATCH(1542,'بيانات الحركات'!$G:$G,0)),"")</f>
        <v/>
      </c>
      <c r="E1543" s="21" t="str">
        <f>IF($B1543="إنتاج طبخة","",IFERROR(INDEX('بيانات الحركات'!E:E,MATCH(1542,'بيانات الحركات'!$G:$G,0)),""))</f>
        <v/>
      </c>
      <c r="F1543" s="3" t="str">
        <f>IFERROR(INDEX('بيانات الحركات'!F:F,MATCH(1542,'بيانات الحركات'!$G:$G,0)),"")</f>
        <v/>
      </c>
    </row>
    <row r="1544" spans="1:6" ht="21.95" customHeight="1">
      <c r="A1544" s="8" t="str">
        <f>IFERROR(INDEX('بيانات الحركات'!A:A,MATCH(1543,'بيانات الحركات'!$G:$G,0)),"")</f>
        <v/>
      </c>
      <c r="B1544" s="5" t="str">
        <f>IFERROR(INDEX('بيانات الحركات'!B:B,MATCH(1543,'بيانات الحركات'!$G:$G,0)),"")</f>
        <v/>
      </c>
      <c r="C1544" s="3" t="str">
        <f>IFERROR(INDEX('بيانات الحركات'!C:C,MATCH(1543,'بيانات الحركات'!$G:$G,0)),"")</f>
        <v/>
      </c>
      <c r="D1544" s="3" t="str">
        <f>IFERROR(INDEX('بيانات الحركات'!D:D,MATCH(1543,'بيانات الحركات'!$G:$G,0)),"")</f>
        <v/>
      </c>
      <c r="E1544" s="21" t="str">
        <f>IF($B1544="إنتاج طبخة","",IFERROR(INDEX('بيانات الحركات'!E:E,MATCH(1543,'بيانات الحركات'!$G:$G,0)),""))</f>
        <v/>
      </c>
      <c r="F1544" s="3" t="str">
        <f>IFERROR(INDEX('بيانات الحركات'!F:F,MATCH(1543,'بيانات الحركات'!$G:$G,0)),"")</f>
        <v/>
      </c>
    </row>
    <row r="1545" spans="1:6" ht="21.95" customHeight="1">
      <c r="A1545" s="8" t="str">
        <f>IFERROR(INDEX('بيانات الحركات'!A:A,MATCH(1544,'بيانات الحركات'!$G:$G,0)),"")</f>
        <v/>
      </c>
      <c r="B1545" s="5" t="str">
        <f>IFERROR(INDEX('بيانات الحركات'!B:B,MATCH(1544,'بيانات الحركات'!$G:$G,0)),"")</f>
        <v/>
      </c>
      <c r="C1545" s="3" t="str">
        <f>IFERROR(INDEX('بيانات الحركات'!C:C,MATCH(1544,'بيانات الحركات'!$G:$G,0)),"")</f>
        <v/>
      </c>
      <c r="D1545" s="3" t="str">
        <f>IFERROR(INDEX('بيانات الحركات'!D:D,MATCH(1544,'بيانات الحركات'!$G:$G,0)),"")</f>
        <v/>
      </c>
      <c r="E1545" s="21" t="str">
        <f>IF($B1545="إنتاج طبخة","",IFERROR(INDEX('بيانات الحركات'!E:E,MATCH(1544,'بيانات الحركات'!$G:$G,0)),""))</f>
        <v/>
      </c>
      <c r="F1545" s="3" t="str">
        <f>IFERROR(INDEX('بيانات الحركات'!F:F,MATCH(1544,'بيانات الحركات'!$G:$G,0)),"")</f>
        <v/>
      </c>
    </row>
    <row r="1546" spans="1:6" ht="21.95" customHeight="1">
      <c r="A1546" s="8" t="str">
        <f>IFERROR(INDEX('بيانات الحركات'!A:A,MATCH(1545,'بيانات الحركات'!$G:$G,0)),"")</f>
        <v/>
      </c>
      <c r="B1546" s="5" t="str">
        <f>IFERROR(INDEX('بيانات الحركات'!B:B,MATCH(1545,'بيانات الحركات'!$G:$G,0)),"")</f>
        <v/>
      </c>
      <c r="C1546" s="3" t="str">
        <f>IFERROR(INDEX('بيانات الحركات'!C:C,MATCH(1545,'بيانات الحركات'!$G:$G,0)),"")</f>
        <v/>
      </c>
      <c r="D1546" s="3" t="str">
        <f>IFERROR(INDEX('بيانات الحركات'!D:D,MATCH(1545,'بيانات الحركات'!$G:$G,0)),"")</f>
        <v/>
      </c>
      <c r="E1546" s="21" t="str">
        <f>IF($B1546="إنتاج طبخة","",IFERROR(INDEX('بيانات الحركات'!E:E,MATCH(1545,'بيانات الحركات'!$G:$G,0)),""))</f>
        <v/>
      </c>
      <c r="F1546" s="3" t="str">
        <f>IFERROR(INDEX('بيانات الحركات'!F:F,MATCH(1545,'بيانات الحركات'!$G:$G,0)),"")</f>
        <v/>
      </c>
    </row>
    <row r="1547" spans="1:6" ht="21.95" customHeight="1">
      <c r="A1547" s="8" t="str">
        <f>IFERROR(INDEX('بيانات الحركات'!A:A,MATCH(1546,'بيانات الحركات'!$G:$G,0)),"")</f>
        <v/>
      </c>
      <c r="B1547" s="5" t="str">
        <f>IFERROR(INDEX('بيانات الحركات'!B:B,MATCH(1546,'بيانات الحركات'!$G:$G,0)),"")</f>
        <v/>
      </c>
      <c r="C1547" s="3" t="str">
        <f>IFERROR(INDEX('بيانات الحركات'!C:C,MATCH(1546,'بيانات الحركات'!$G:$G,0)),"")</f>
        <v/>
      </c>
      <c r="D1547" s="3" t="str">
        <f>IFERROR(INDEX('بيانات الحركات'!D:D,MATCH(1546,'بيانات الحركات'!$G:$G,0)),"")</f>
        <v/>
      </c>
      <c r="E1547" s="21" t="str">
        <f>IF($B1547="إنتاج طبخة","",IFERROR(INDEX('بيانات الحركات'!E:E,MATCH(1546,'بيانات الحركات'!$G:$G,0)),""))</f>
        <v/>
      </c>
      <c r="F1547" s="3" t="str">
        <f>IFERROR(INDEX('بيانات الحركات'!F:F,MATCH(1546,'بيانات الحركات'!$G:$G,0)),"")</f>
        <v/>
      </c>
    </row>
    <row r="1548" spans="1:6" ht="21.95" customHeight="1">
      <c r="A1548" s="8" t="str">
        <f>IFERROR(INDEX('بيانات الحركات'!A:A,MATCH(1547,'بيانات الحركات'!$G:$G,0)),"")</f>
        <v/>
      </c>
      <c r="B1548" s="5" t="str">
        <f>IFERROR(INDEX('بيانات الحركات'!B:B,MATCH(1547,'بيانات الحركات'!$G:$G,0)),"")</f>
        <v/>
      </c>
      <c r="C1548" s="3" t="str">
        <f>IFERROR(INDEX('بيانات الحركات'!C:C,MATCH(1547,'بيانات الحركات'!$G:$G,0)),"")</f>
        <v/>
      </c>
      <c r="D1548" s="3" t="str">
        <f>IFERROR(INDEX('بيانات الحركات'!D:D,MATCH(1547,'بيانات الحركات'!$G:$G,0)),"")</f>
        <v/>
      </c>
      <c r="E1548" s="21" t="str">
        <f>IF($B1548="إنتاج طبخة","",IFERROR(INDEX('بيانات الحركات'!E:E,MATCH(1547,'بيانات الحركات'!$G:$G,0)),""))</f>
        <v/>
      </c>
      <c r="F1548" s="3" t="str">
        <f>IFERROR(INDEX('بيانات الحركات'!F:F,MATCH(1547,'بيانات الحركات'!$G:$G,0)),"")</f>
        <v/>
      </c>
    </row>
    <row r="1549" spans="1:6" ht="21.95" customHeight="1">
      <c r="A1549" s="8" t="str">
        <f>IFERROR(INDEX('بيانات الحركات'!A:A,MATCH(1548,'بيانات الحركات'!$G:$G,0)),"")</f>
        <v/>
      </c>
      <c r="B1549" s="5" t="str">
        <f>IFERROR(INDEX('بيانات الحركات'!B:B,MATCH(1548,'بيانات الحركات'!$G:$G,0)),"")</f>
        <v/>
      </c>
      <c r="C1549" s="3" t="str">
        <f>IFERROR(INDEX('بيانات الحركات'!C:C,MATCH(1548,'بيانات الحركات'!$G:$G,0)),"")</f>
        <v/>
      </c>
      <c r="D1549" s="3" t="str">
        <f>IFERROR(INDEX('بيانات الحركات'!D:D,MATCH(1548,'بيانات الحركات'!$G:$G,0)),"")</f>
        <v/>
      </c>
      <c r="E1549" s="21" t="str">
        <f>IF($B1549="إنتاج طبخة","",IFERROR(INDEX('بيانات الحركات'!E:E,MATCH(1548,'بيانات الحركات'!$G:$G,0)),""))</f>
        <v/>
      </c>
      <c r="F1549" s="3" t="str">
        <f>IFERROR(INDEX('بيانات الحركات'!F:F,MATCH(1548,'بيانات الحركات'!$G:$G,0)),"")</f>
        <v/>
      </c>
    </row>
    <row r="1550" spans="1:6" ht="21.95" customHeight="1">
      <c r="A1550" s="8" t="str">
        <f>IFERROR(INDEX('بيانات الحركات'!A:A,MATCH(1549,'بيانات الحركات'!$G:$G,0)),"")</f>
        <v/>
      </c>
      <c r="B1550" s="5" t="str">
        <f>IFERROR(INDEX('بيانات الحركات'!B:B,MATCH(1549,'بيانات الحركات'!$G:$G,0)),"")</f>
        <v/>
      </c>
      <c r="C1550" s="3" t="str">
        <f>IFERROR(INDEX('بيانات الحركات'!C:C,MATCH(1549,'بيانات الحركات'!$G:$G,0)),"")</f>
        <v/>
      </c>
      <c r="D1550" s="3" t="str">
        <f>IFERROR(INDEX('بيانات الحركات'!D:D,MATCH(1549,'بيانات الحركات'!$G:$G,0)),"")</f>
        <v/>
      </c>
      <c r="E1550" s="21" t="str">
        <f>IF($B1550="إنتاج طبخة","",IFERROR(INDEX('بيانات الحركات'!E:E,MATCH(1549,'بيانات الحركات'!$G:$G,0)),""))</f>
        <v/>
      </c>
      <c r="F1550" s="3" t="str">
        <f>IFERROR(INDEX('بيانات الحركات'!F:F,MATCH(1549,'بيانات الحركات'!$G:$G,0)),"")</f>
        <v/>
      </c>
    </row>
    <row r="1551" spans="1:6" ht="21.95" customHeight="1">
      <c r="A1551" s="8" t="str">
        <f>IFERROR(INDEX('بيانات الحركات'!A:A,MATCH(1550,'بيانات الحركات'!$G:$G,0)),"")</f>
        <v/>
      </c>
      <c r="B1551" s="5" t="str">
        <f>IFERROR(INDEX('بيانات الحركات'!B:B,MATCH(1550,'بيانات الحركات'!$G:$G,0)),"")</f>
        <v/>
      </c>
      <c r="C1551" s="3" t="str">
        <f>IFERROR(INDEX('بيانات الحركات'!C:C,MATCH(1550,'بيانات الحركات'!$G:$G,0)),"")</f>
        <v/>
      </c>
      <c r="D1551" s="3" t="str">
        <f>IFERROR(INDEX('بيانات الحركات'!D:D,MATCH(1550,'بيانات الحركات'!$G:$G,0)),"")</f>
        <v/>
      </c>
      <c r="E1551" s="21" t="str">
        <f>IF($B1551="إنتاج طبخة","",IFERROR(INDEX('بيانات الحركات'!E:E,MATCH(1550,'بيانات الحركات'!$G:$G,0)),""))</f>
        <v/>
      </c>
      <c r="F1551" s="3" t="str">
        <f>IFERROR(INDEX('بيانات الحركات'!F:F,MATCH(1550,'بيانات الحركات'!$G:$G,0)),"")</f>
        <v/>
      </c>
    </row>
    <row r="1552" spans="1:6" ht="21.95" customHeight="1">
      <c r="A1552" s="8" t="str">
        <f>IFERROR(INDEX('بيانات الحركات'!A:A,MATCH(1551,'بيانات الحركات'!$G:$G,0)),"")</f>
        <v/>
      </c>
      <c r="B1552" s="5" t="str">
        <f>IFERROR(INDEX('بيانات الحركات'!B:B,MATCH(1551,'بيانات الحركات'!$G:$G,0)),"")</f>
        <v/>
      </c>
      <c r="C1552" s="3" t="str">
        <f>IFERROR(INDEX('بيانات الحركات'!C:C,MATCH(1551,'بيانات الحركات'!$G:$G,0)),"")</f>
        <v/>
      </c>
      <c r="D1552" s="3" t="str">
        <f>IFERROR(INDEX('بيانات الحركات'!D:D,MATCH(1551,'بيانات الحركات'!$G:$G,0)),"")</f>
        <v/>
      </c>
      <c r="E1552" s="21" t="str">
        <f>IF($B1552="إنتاج طبخة","",IFERROR(INDEX('بيانات الحركات'!E:E,MATCH(1551,'بيانات الحركات'!$G:$G,0)),""))</f>
        <v/>
      </c>
      <c r="F1552" s="3" t="str">
        <f>IFERROR(INDEX('بيانات الحركات'!F:F,MATCH(1551,'بيانات الحركات'!$G:$G,0)),"")</f>
        <v/>
      </c>
    </row>
    <row r="1553" spans="1:6" ht="21.95" customHeight="1">
      <c r="A1553" s="8" t="str">
        <f>IFERROR(INDEX('بيانات الحركات'!A:A,MATCH(1552,'بيانات الحركات'!$G:$G,0)),"")</f>
        <v/>
      </c>
      <c r="B1553" s="5" t="str">
        <f>IFERROR(INDEX('بيانات الحركات'!B:B,MATCH(1552,'بيانات الحركات'!$G:$G,0)),"")</f>
        <v/>
      </c>
      <c r="C1553" s="3" t="str">
        <f>IFERROR(INDEX('بيانات الحركات'!C:C,MATCH(1552,'بيانات الحركات'!$G:$G,0)),"")</f>
        <v/>
      </c>
      <c r="D1553" s="3" t="str">
        <f>IFERROR(INDEX('بيانات الحركات'!D:D,MATCH(1552,'بيانات الحركات'!$G:$G,0)),"")</f>
        <v/>
      </c>
      <c r="E1553" s="21" t="str">
        <f>IF($B1553="إنتاج طبخة","",IFERROR(INDEX('بيانات الحركات'!E:E,MATCH(1552,'بيانات الحركات'!$G:$G,0)),""))</f>
        <v/>
      </c>
      <c r="F1553" s="3" t="str">
        <f>IFERROR(INDEX('بيانات الحركات'!F:F,MATCH(1552,'بيانات الحركات'!$G:$G,0)),"")</f>
        <v/>
      </c>
    </row>
    <row r="1554" spans="1:6" ht="21.95" customHeight="1">
      <c r="A1554" s="8" t="str">
        <f>IFERROR(INDEX('بيانات الحركات'!A:A,MATCH(1553,'بيانات الحركات'!$G:$G,0)),"")</f>
        <v/>
      </c>
      <c r="B1554" s="5" t="str">
        <f>IFERROR(INDEX('بيانات الحركات'!B:B,MATCH(1553,'بيانات الحركات'!$G:$G,0)),"")</f>
        <v/>
      </c>
      <c r="C1554" s="3" t="str">
        <f>IFERROR(INDEX('بيانات الحركات'!C:C,MATCH(1553,'بيانات الحركات'!$G:$G,0)),"")</f>
        <v/>
      </c>
      <c r="D1554" s="3" t="str">
        <f>IFERROR(INDEX('بيانات الحركات'!D:D,MATCH(1553,'بيانات الحركات'!$G:$G,0)),"")</f>
        <v/>
      </c>
      <c r="E1554" s="21" t="str">
        <f>IF($B1554="إنتاج طبخة","",IFERROR(INDEX('بيانات الحركات'!E:E,MATCH(1553,'بيانات الحركات'!$G:$G,0)),""))</f>
        <v/>
      </c>
      <c r="F1554" s="3" t="str">
        <f>IFERROR(INDEX('بيانات الحركات'!F:F,MATCH(1553,'بيانات الحركات'!$G:$G,0)),"")</f>
        <v/>
      </c>
    </row>
    <row r="1555" spans="1:6" ht="21.95" customHeight="1">
      <c r="A1555" s="8" t="str">
        <f>IFERROR(INDEX('بيانات الحركات'!A:A,MATCH(1554,'بيانات الحركات'!$G:$G,0)),"")</f>
        <v/>
      </c>
      <c r="B1555" s="5" t="str">
        <f>IFERROR(INDEX('بيانات الحركات'!B:B,MATCH(1554,'بيانات الحركات'!$G:$G,0)),"")</f>
        <v/>
      </c>
      <c r="C1555" s="3" t="str">
        <f>IFERROR(INDEX('بيانات الحركات'!C:C,MATCH(1554,'بيانات الحركات'!$G:$G,0)),"")</f>
        <v/>
      </c>
      <c r="D1555" s="3" t="str">
        <f>IFERROR(INDEX('بيانات الحركات'!D:D,MATCH(1554,'بيانات الحركات'!$G:$G,0)),"")</f>
        <v/>
      </c>
      <c r="E1555" s="21" t="str">
        <f>IF($B1555="إنتاج طبخة","",IFERROR(INDEX('بيانات الحركات'!E:E,MATCH(1554,'بيانات الحركات'!$G:$G,0)),""))</f>
        <v/>
      </c>
      <c r="F1555" s="3" t="str">
        <f>IFERROR(INDEX('بيانات الحركات'!F:F,MATCH(1554,'بيانات الحركات'!$G:$G,0)),"")</f>
        <v/>
      </c>
    </row>
    <row r="1556" spans="1:6" ht="21.95" customHeight="1">
      <c r="A1556" s="8" t="str">
        <f>IFERROR(INDEX('بيانات الحركات'!A:A,MATCH(1555,'بيانات الحركات'!$G:$G,0)),"")</f>
        <v/>
      </c>
      <c r="B1556" s="5" t="str">
        <f>IFERROR(INDEX('بيانات الحركات'!B:B,MATCH(1555,'بيانات الحركات'!$G:$G,0)),"")</f>
        <v/>
      </c>
      <c r="C1556" s="3" t="str">
        <f>IFERROR(INDEX('بيانات الحركات'!C:C,MATCH(1555,'بيانات الحركات'!$G:$G,0)),"")</f>
        <v/>
      </c>
      <c r="D1556" s="3" t="str">
        <f>IFERROR(INDEX('بيانات الحركات'!D:D,MATCH(1555,'بيانات الحركات'!$G:$G,0)),"")</f>
        <v/>
      </c>
      <c r="E1556" s="21" t="str">
        <f>IF($B1556="إنتاج طبخة","",IFERROR(INDEX('بيانات الحركات'!E:E,MATCH(1555,'بيانات الحركات'!$G:$G,0)),""))</f>
        <v/>
      </c>
      <c r="F1556" s="3" t="str">
        <f>IFERROR(INDEX('بيانات الحركات'!F:F,MATCH(1555,'بيانات الحركات'!$G:$G,0)),"")</f>
        <v/>
      </c>
    </row>
    <row r="1557" spans="1:6" ht="21.95" customHeight="1">
      <c r="A1557" s="8" t="str">
        <f>IFERROR(INDEX('بيانات الحركات'!A:A,MATCH(1556,'بيانات الحركات'!$G:$G,0)),"")</f>
        <v/>
      </c>
      <c r="B1557" s="5" t="str">
        <f>IFERROR(INDEX('بيانات الحركات'!B:B,MATCH(1556,'بيانات الحركات'!$G:$G,0)),"")</f>
        <v/>
      </c>
      <c r="C1557" s="3" t="str">
        <f>IFERROR(INDEX('بيانات الحركات'!C:C,MATCH(1556,'بيانات الحركات'!$G:$G,0)),"")</f>
        <v/>
      </c>
      <c r="D1557" s="3" t="str">
        <f>IFERROR(INDEX('بيانات الحركات'!D:D,MATCH(1556,'بيانات الحركات'!$G:$G,0)),"")</f>
        <v/>
      </c>
      <c r="E1557" s="21" t="str">
        <f>IF($B1557="إنتاج طبخة","",IFERROR(INDEX('بيانات الحركات'!E:E,MATCH(1556,'بيانات الحركات'!$G:$G,0)),""))</f>
        <v/>
      </c>
      <c r="F1557" s="3" t="str">
        <f>IFERROR(INDEX('بيانات الحركات'!F:F,MATCH(1556,'بيانات الحركات'!$G:$G,0)),"")</f>
        <v/>
      </c>
    </row>
    <row r="1558" spans="1:6" ht="21.95" customHeight="1">
      <c r="A1558" s="8" t="str">
        <f>IFERROR(INDEX('بيانات الحركات'!A:A,MATCH(1557,'بيانات الحركات'!$G:$G,0)),"")</f>
        <v/>
      </c>
      <c r="B1558" s="5" t="str">
        <f>IFERROR(INDEX('بيانات الحركات'!B:B,MATCH(1557,'بيانات الحركات'!$G:$G,0)),"")</f>
        <v/>
      </c>
      <c r="C1558" s="3" t="str">
        <f>IFERROR(INDEX('بيانات الحركات'!C:C,MATCH(1557,'بيانات الحركات'!$G:$G,0)),"")</f>
        <v/>
      </c>
      <c r="D1558" s="3" t="str">
        <f>IFERROR(INDEX('بيانات الحركات'!D:D,MATCH(1557,'بيانات الحركات'!$G:$G,0)),"")</f>
        <v/>
      </c>
      <c r="E1558" s="21" t="str">
        <f>IF($B1558="إنتاج طبخة","",IFERROR(INDEX('بيانات الحركات'!E:E,MATCH(1557,'بيانات الحركات'!$G:$G,0)),""))</f>
        <v/>
      </c>
      <c r="F1558" s="3" t="str">
        <f>IFERROR(INDEX('بيانات الحركات'!F:F,MATCH(1557,'بيانات الحركات'!$G:$G,0)),"")</f>
        <v/>
      </c>
    </row>
    <row r="1559" spans="1:6" ht="21.95" customHeight="1">
      <c r="A1559" s="8" t="str">
        <f>IFERROR(INDEX('بيانات الحركات'!A:A,MATCH(1558,'بيانات الحركات'!$G:$G,0)),"")</f>
        <v/>
      </c>
      <c r="B1559" s="5" t="str">
        <f>IFERROR(INDEX('بيانات الحركات'!B:B,MATCH(1558,'بيانات الحركات'!$G:$G,0)),"")</f>
        <v/>
      </c>
      <c r="C1559" s="3" t="str">
        <f>IFERROR(INDEX('بيانات الحركات'!C:C,MATCH(1558,'بيانات الحركات'!$G:$G,0)),"")</f>
        <v/>
      </c>
      <c r="D1559" s="3" t="str">
        <f>IFERROR(INDEX('بيانات الحركات'!D:D,MATCH(1558,'بيانات الحركات'!$G:$G,0)),"")</f>
        <v/>
      </c>
      <c r="E1559" s="21" t="str">
        <f>IF($B1559="إنتاج طبخة","",IFERROR(INDEX('بيانات الحركات'!E:E,MATCH(1558,'بيانات الحركات'!$G:$G,0)),""))</f>
        <v/>
      </c>
      <c r="F1559" s="3" t="str">
        <f>IFERROR(INDEX('بيانات الحركات'!F:F,MATCH(1558,'بيانات الحركات'!$G:$G,0)),"")</f>
        <v/>
      </c>
    </row>
    <row r="1560" spans="1:6" ht="21.95" customHeight="1">
      <c r="A1560" s="8" t="str">
        <f>IFERROR(INDEX('بيانات الحركات'!A:A,MATCH(1559,'بيانات الحركات'!$G:$G,0)),"")</f>
        <v/>
      </c>
      <c r="B1560" s="5" t="str">
        <f>IFERROR(INDEX('بيانات الحركات'!B:B,MATCH(1559,'بيانات الحركات'!$G:$G,0)),"")</f>
        <v/>
      </c>
      <c r="C1560" s="3" t="str">
        <f>IFERROR(INDEX('بيانات الحركات'!C:C,MATCH(1559,'بيانات الحركات'!$G:$G,0)),"")</f>
        <v/>
      </c>
      <c r="D1560" s="3" t="str">
        <f>IFERROR(INDEX('بيانات الحركات'!D:D,MATCH(1559,'بيانات الحركات'!$G:$G,0)),"")</f>
        <v/>
      </c>
      <c r="E1560" s="21" t="str">
        <f>IF($B1560="إنتاج طبخة","",IFERROR(INDEX('بيانات الحركات'!E:E,MATCH(1559,'بيانات الحركات'!$G:$G,0)),""))</f>
        <v/>
      </c>
      <c r="F1560" s="3" t="str">
        <f>IFERROR(INDEX('بيانات الحركات'!F:F,MATCH(1559,'بيانات الحركات'!$G:$G,0)),"")</f>
        <v/>
      </c>
    </row>
    <row r="1561" spans="1:6" ht="21.95" customHeight="1">
      <c r="A1561" s="8" t="str">
        <f>IFERROR(INDEX('بيانات الحركات'!A:A,MATCH(1560,'بيانات الحركات'!$G:$G,0)),"")</f>
        <v/>
      </c>
      <c r="B1561" s="5" t="str">
        <f>IFERROR(INDEX('بيانات الحركات'!B:B,MATCH(1560,'بيانات الحركات'!$G:$G,0)),"")</f>
        <v/>
      </c>
      <c r="C1561" s="3" t="str">
        <f>IFERROR(INDEX('بيانات الحركات'!C:C,MATCH(1560,'بيانات الحركات'!$G:$G,0)),"")</f>
        <v/>
      </c>
      <c r="D1561" s="3" t="str">
        <f>IFERROR(INDEX('بيانات الحركات'!D:D,MATCH(1560,'بيانات الحركات'!$G:$G,0)),"")</f>
        <v/>
      </c>
      <c r="E1561" s="21" t="str">
        <f>IF($B1561="إنتاج طبخة","",IFERROR(INDEX('بيانات الحركات'!E:E,MATCH(1560,'بيانات الحركات'!$G:$G,0)),""))</f>
        <v/>
      </c>
      <c r="F1561" s="3" t="str">
        <f>IFERROR(INDEX('بيانات الحركات'!F:F,MATCH(1560,'بيانات الحركات'!$G:$G,0)),"")</f>
        <v/>
      </c>
    </row>
    <row r="1562" spans="1:6" ht="21.95" customHeight="1">
      <c r="A1562" s="8" t="str">
        <f>IFERROR(INDEX('بيانات الحركات'!A:A,MATCH(1561,'بيانات الحركات'!$G:$G,0)),"")</f>
        <v/>
      </c>
      <c r="B1562" s="5" t="str">
        <f>IFERROR(INDEX('بيانات الحركات'!B:B,MATCH(1561,'بيانات الحركات'!$G:$G,0)),"")</f>
        <v/>
      </c>
      <c r="C1562" s="3" t="str">
        <f>IFERROR(INDEX('بيانات الحركات'!C:C,MATCH(1561,'بيانات الحركات'!$G:$G,0)),"")</f>
        <v/>
      </c>
      <c r="D1562" s="3" t="str">
        <f>IFERROR(INDEX('بيانات الحركات'!D:D,MATCH(1561,'بيانات الحركات'!$G:$G,0)),"")</f>
        <v/>
      </c>
      <c r="E1562" s="21" t="str">
        <f>IF($B1562="إنتاج طبخة","",IFERROR(INDEX('بيانات الحركات'!E:E,MATCH(1561,'بيانات الحركات'!$G:$G,0)),""))</f>
        <v/>
      </c>
      <c r="F1562" s="3" t="str">
        <f>IFERROR(INDEX('بيانات الحركات'!F:F,MATCH(1561,'بيانات الحركات'!$G:$G,0)),"")</f>
        <v/>
      </c>
    </row>
    <row r="1563" spans="1:6" ht="21.95" customHeight="1">
      <c r="A1563" s="8" t="str">
        <f>IFERROR(INDEX('بيانات الحركات'!A:A,MATCH(1562,'بيانات الحركات'!$G:$G,0)),"")</f>
        <v/>
      </c>
      <c r="B1563" s="5" t="str">
        <f>IFERROR(INDEX('بيانات الحركات'!B:B,MATCH(1562,'بيانات الحركات'!$G:$G,0)),"")</f>
        <v/>
      </c>
      <c r="C1563" s="3" t="str">
        <f>IFERROR(INDEX('بيانات الحركات'!C:C,MATCH(1562,'بيانات الحركات'!$G:$G,0)),"")</f>
        <v/>
      </c>
      <c r="D1563" s="3" t="str">
        <f>IFERROR(INDEX('بيانات الحركات'!D:D,MATCH(1562,'بيانات الحركات'!$G:$G,0)),"")</f>
        <v/>
      </c>
      <c r="E1563" s="21" t="str">
        <f>IF($B1563="إنتاج طبخة","",IFERROR(INDEX('بيانات الحركات'!E:E,MATCH(1562,'بيانات الحركات'!$G:$G,0)),""))</f>
        <v/>
      </c>
      <c r="F1563" s="3" t="str">
        <f>IFERROR(INDEX('بيانات الحركات'!F:F,MATCH(1562,'بيانات الحركات'!$G:$G,0)),"")</f>
        <v/>
      </c>
    </row>
    <row r="1564" spans="1:6" ht="21.95" customHeight="1">
      <c r="A1564" s="8" t="str">
        <f>IFERROR(INDEX('بيانات الحركات'!A:A,MATCH(1563,'بيانات الحركات'!$G:$G,0)),"")</f>
        <v/>
      </c>
      <c r="B1564" s="5" t="str">
        <f>IFERROR(INDEX('بيانات الحركات'!B:B,MATCH(1563,'بيانات الحركات'!$G:$G,0)),"")</f>
        <v/>
      </c>
      <c r="C1564" s="3" t="str">
        <f>IFERROR(INDEX('بيانات الحركات'!C:C,MATCH(1563,'بيانات الحركات'!$G:$G,0)),"")</f>
        <v/>
      </c>
      <c r="D1564" s="3" t="str">
        <f>IFERROR(INDEX('بيانات الحركات'!D:D,MATCH(1563,'بيانات الحركات'!$G:$G,0)),"")</f>
        <v/>
      </c>
      <c r="E1564" s="21" t="str">
        <f>IF($B1564="إنتاج طبخة","",IFERROR(INDEX('بيانات الحركات'!E:E,MATCH(1563,'بيانات الحركات'!$G:$G,0)),""))</f>
        <v/>
      </c>
      <c r="F1564" s="3" t="str">
        <f>IFERROR(INDEX('بيانات الحركات'!F:F,MATCH(1563,'بيانات الحركات'!$G:$G,0)),"")</f>
        <v/>
      </c>
    </row>
    <row r="1565" spans="1:6" ht="21.95" customHeight="1">
      <c r="A1565" s="8" t="str">
        <f>IFERROR(INDEX('بيانات الحركات'!A:A,MATCH(1564,'بيانات الحركات'!$G:$G,0)),"")</f>
        <v/>
      </c>
      <c r="B1565" s="5" t="str">
        <f>IFERROR(INDEX('بيانات الحركات'!B:B,MATCH(1564,'بيانات الحركات'!$G:$G,0)),"")</f>
        <v/>
      </c>
      <c r="C1565" s="3" t="str">
        <f>IFERROR(INDEX('بيانات الحركات'!C:C,MATCH(1564,'بيانات الحركات'!$G:$G,0)),"")</f>
        <v/>
      </c>
      <c r="D1565" s="3" t="str">
        <f>IFERROR(INDEX('بيانات الحركات'!D:D,MATCH(1564,'بيانات الحركات'!$G:$G,0)),"")</f>
        <v/>
      </c>
      <c r="E1565" s="21" t="str">
        <f>IF($B1565="إنتاج طبخة","",IFERROR(INDEX('بيانات الحركات'!E:E,MATCH(1564,'بيانات الحركات'!$G:$G,0)),""))</f>
        <v/>
      </c>
      <c r="F1565" s="3" t="str">
        <f>IFERROR(INDEX('بيانات الحركات'!F:F,MATCH(1564,'بيانات الحركات'!$G:$G,0)),"")</f>
        <v/>
      </c>
    </row>
    <row r="1566" spans="1:6" ht="21.95" customHeight="1">
      <c r="A1566" s="8" t="str">
        <f>IFERROR(INDEX('بيانات الحركات'!A:A,MATCH(1565,'بيانات الحركات'!$G:$G,0)),"")</f>
        <v/>
      </c>
      <c r="B1566" s="5" t="str">
        <f>IFERROR(INDEX('بيانات الحركات'!B:B,MATCH(1565,'بيانات الحركات'!$G:$G,0)),"")</f>
        <v/>
      </c>
      <c r="C1566" s="3" t="str">
        <f>IFERROR(INDEX('بيانات الحركات'!C:C,MATCH(1565,'بيانات الحركات'!$G:$G,0)),"")</f>
        <v/>
      </c>
      <c r="D1566" s="3" t="str">
        <f>IFERROR(INDEX('بيانات الحركات'!D:D,MATCH(1565,'بيانات الحركات'!$G:$G,0)),"")</f>
        <v/>
      </c>
      <c r="E1566" s="21" t="str">
        <f>IF($B1566="إنتاج طبخة","",IFERROR(INDEX('بيانات الحركات'!E:E,MATCH(1565,'بيانات الحركات'!$G:$G,0)),""))</f>
        <v/>
      </c>
      <c r="F1566" s="3" t="str">
        <f>IFERROR(INDEX('بيانات الحركات'!F:F,MATCH(1565,'بيانات الحركات'!$G:$G,0)),"")</f>
        <v/>
      </c>
    </row>
    <row r="1567" spans="1:6" ht="21.95" customHeight="1">
      <c r="A1567" s="8" t="str">
        <f>IFERROR(INDEX('بيانات الحركات'!A:A,MATCH(1566,'بيانات الحركات'!$G:$G,0)),"")</f>
        <v/>
      </c>
      <c r="B1567" s="5" t="str">
        <f>IFERROR(INDEX('بيانات الحركات'!B:B,MATCH(1566,'بيانات الحركات'!$G:$G,0)),"")</f>
        <v/>
      </c>
      <c r="C1567" s="3" t="str">
        <f>IFERROR(INDEX('بيانات الحركات'!C:C,MATCH(1566,'بيانات الحركات'!$G:$G,0)),"")</f>
        <v/>
      </c>
      <c r="D1567" s="3" t="str">
        <f>IFERROR(INDEX('بيانات الحركات'!D:D,MATCH(1566,'بيانات الحركات'!$G:$G,0)),"")</f>
        <v/>
      </c>
      <c r="E1567" s="21" t="str">
        <f>IF($B1567="إنتاج طبخة","",IFERROR(INDEX('بيانات الحركات'!E:E,MATCH(1566,'بيانات الحركات'!$G:$G,0)),""))</f>
        <v/>
      </c>
      <c r="F1567" s="3" t="str">
        <f>IFERROR(INDEX('بيانات الحركات'!F:F,MATCH(1566,'بيانات الحركات'!$G:$G,0)),"")</f>
        <v/>
      </c>
    </row>
    <row r="1568" spans="1:6" ht="21.95" customHeight="1">
      <c r="A1568" s="8" t="str">
        <f>IFERROR(INDEX('بيانات الحركات'!A:A,MATCH(1567,'بيانات الحركات'!$G:$G,0)),"")</f>
        <v/>
      </c>
      <c r="B1568" s="5" t="str">
        <f>IFERROR(INDEX('بيانات الحركات'!B:B,MATCH(1567,'بيانات الحركات'!$G:$G,0)),"")</f>
        <v/>
      </c>
      <c r="C1568" s="3" t="str">
        <f>IFERROR(INDEX('بيانات الحركات'!C:C,MATCH(1567,'بيانات الحركات'!$G:$G,0)),"")</f>
        <v/>
      </c>
      <c r="D1568" s="3" t="str">
        <f>IFERROR(INDEX('بيانات الحركات'!D:D,MATCH(1567,'بيانات الحركات'!$G:$G,0)),"")</f>
        <v/>
      </c>
      <c r="E1568" s="21" t="str">
        <f>IF($B1568="إنتاج طبخة","",IFERROR(INDEX('بيانات الحركات'!E:E,MATCH(1567,'بيانات الحركات'!$G:$G,0)),""))</f>
        <v/>
      </c>
      <c r="F1568" s="3" t="str">
        <f>IFERROR(INDEX('بيانات الحركات'!F:F,MATCH(1567,'بيانات الحركات'!$G:$G,0)),"")</f>
        <v/>
      </c>
    </row>
    <row r="1569" spans="1:6" ht="21.95" customHeight="1">
      <c r="A1569" s="8" t="str">
        <f>IFERROR(INDEX('بيانات الحركات'!A:A,MATCH(1568,'بيانات الحركات'!$G:$G,0)),"")</f>
        <v/>
      </c>
      <c r="B1569" s="5" t="str">
        <f>IFERROR(INDEX('بيانات الحركات'!B:B,MATCH(1568,'بيانات الحركات'!$G:$G,0)),"")</f>
        <v/>
      </c>
      <c r="C1569" s="3" t="str">
        <f>IFERROR(INDEX('بيانات الحركات'!C:C,MATCH(1568,'بيانات الحركات'!$G:$G,0)),"")</f>
        <v/>
      </c>
      <c r="D1569" s="3" t="str">
        <f>IFERROR(INDEX('بيانات الحركات'!D:D,MATCH(1568,'بيانات الحركات'!$G:$G,0)),"")</f>
        <v/>
      </c>
      <c r="E1569" s="21" t="str">
        <f>IF($B1569="إنتاج طبخة","",IFERROR(INDEX('بيانات الحركات'!E:E,MATCH(1568,'بيانات الحركات'!$G:$G,0)),""))</f>
        <v/>
      </c>
      <c r="F1569" s="3" t="str">
        <f>IFERROR(INDEX('بيانات الحركات'!F:F,MATCH(1568,'بيانات الحركات'!$G:$G,0)),"")</f>
        <v/>
      </c>
    </row>
    <row r="1570" spans="1:6" ht="21.95" customHeight="1">
      <c r="A1570" s="8" t="str">
        <f>IFERROR(INDEX('بيانات الحركات'!A:A,MATCH(1569,'بيانات الحركات'!$G:$G,0)),"")</f>
        <v/>
      </c>
      <c r="B1570" s="5" t="str">
        <f>IFERROR(INDEX('بيانات الحركات'!B:B,MATCH(1569,'بيانات الحركات'!$G:$G,0)),"")</f>
        <v/>
      </c>
      <c r="C1570" s="3" t="str">
        <f>IFERROR(INDEX('بيانات الحركات'!C:C,MATCH(1569,'بيانات الحركات'!$G:$G,0)),"")</f>
        <v/>
      </c>
      <c r="D1570" s="3" t="str">
        <f>IFERROR(INDEX('بيانات الحركات'!D:D,MATCH(1569,'بيانات الحركات'!$G:$G,0)),"")</f>
        <v/>
      </c>
      <c r="E1570" s="21" t="str">
        <f>IF($B1570="إنتاج طبخة","",IFERROR(INDEX('بيانات الحركات'!E:E,MATCH(1569,'بيانات الحركات'!$G:$G,0)),""))</f>
        <v/>
      </c>
      <c r="F1570" s="3" t="str">
        <f>IFERROR(INDEX('بيانات الحركات'!F:F,MATCH(1569,'بيانات الحركات'!$G:$G,0)),"")</f>
        <v/>
      </c>
    </row>
    <row r="1571" spans="1:6" ht="21.95" customHeight="1">
      <c r="A1571" s="8" t="str">
        <f>IFERROR(INDEX('بيانات الحركات'!A:A,MATCH(1570,'بيانات الحركات'!$G:$G,0)),"")</f>
        <v/>
      </c>
      <c r="B1571" s="5" t="str">
        <f>IFERROR(INDEX('بيانات الحركات'!B:B,MATCH(1570,'بيانات الحركات'!$G:$G,0)),"")</f>
        <v/>
      </c>
      <c r="C1571" s="3" t="str">
        <f>IFERROR(INDEX('بيانات الحركات'!C:C,MATCH(1570,'بيانات الحركات'!$G:$G,0)),"")</f>
        <v/>
      </c>
      <c r="D1571" s="3" t="str">
        <f>IFERROR(INDEX('بيانات الحركات'!D:D,MATCH(1570,'بيانات الحركات'!$G:$G,0)),"")</f>
        <v/>
      </c>
      <c r="E1571" s="21" t="str">
        <f>IF($B1571="إنتاج طبخة","",IFERROR(INDEX('بيانات الحركات'!E:E,MATCH(1570,'بيانات الحركات'!$G:$G,0)),""))</f>
        <v/>
      </c>
      <c r="F1571" s="3" t="str">
        <f>IFERROR(INDEX('بيانات الحركات'!F:F,MATCH(1570,'بيانات الحركات'!$G:$G,0)),"")</f>
        <v/>
      </c>
    </row>
    <row r="1572" spans="1:6" ht="21.95" customHeight="1">
      <c r="A1572" s="8" t="str">
        <f>IFERROR(INDEX('بيانات الحركات'!A:A,MATCH(1571,'بيانات الحركات'!$G:$G,0)),"")</f>
        <v/>
      </c>
      <c r="B1572" s="5" t="str">
        <f>IFERROR(INDEX('بيانات الحركات'!B:B,MATCH(1571,'بيانات الحركات'!$G:$G,0)),"")</f>
        <v/>
      </c>
      <c r="C1572" s="3" t="str">
        <f>IFERROR(INDEX('بيانات الحركات'!C:C,MATCH(1571,'بيانات الحركات'!$G:$G,0)),"")</f>
        <v/>
      </c>
      <c r="D1572" s="3" t="str">
        <f>IFERROR(INDEX('بيانات الحركات'!D:D,MATCH(1571,'بيانات الحركات'!$G:$G,0)),"")</f>
        <v/>
      </c>
      <c r="E1572" s="21" t="str">
        <f>IF($B1572="إنتاج طبخة","",IFERROR(INDEX('بيانات الحركات'!E:E,MATCH(1571,'بيانات الحركات'!$G:$G,0)),""))</f>
        <v/>
      </c>
      <c r="F1572" s="3" t="str">
        <f>IFERROR(INDEX('بيانات الحركات'!F:F,MATCH(1571,'بيانات الحركات'!$G:$G,0)),"")</f>
        <v/>
      </c>
    </row>
    <row r="1573" spans="1:6" ht="21.95" customHeight="1">
      <c r="A1573" s="8" t="str">
        <f>IFERROR(INDEX('بيانات الحركات'!A:A,MATCH(1572,'بيانات الحركات'!$G:$G,0)),"")</f>
        <v/>
      </c>
      <c r="B1573" s="5" t="str">
        <f>IFERROR(INDEX('بيانات الحركات'!B:B,MATCH(1572,'بيانات الحركات'!$G:$G,0)),"")</f>
        <v/>
      </c>
      <c r="C1573" s="3" t="str">
        <f>IFERROR(INDEX('بيانات الحركات'!C:C,MATCH(1572,'بيانات الحركات'!$G:$G,0)),"")</f>
        <v/>
      </c>
      <c r="D1573" s="3" t="str">
        <f>IFERROR(INDEX('بيانات الحركات'!D:D,MATCH(1572,'بيانات الحركات'!$G:$G,0)),"")</f>
        <v/>
      </c>
      <c r="E1573" s="21" t="str">
        <f>IF($B1573="إنتاج طبخة","",IFERROR(INDEX('بيانات الحركات'!E:E,MATCH(1572,'بيانات الحركات'!$G:$G,0)),""))</f>
        <v/>
      </c>
      <c r="F1573" s="3" t="str">
        <f>IFERROR(INDEX('بيانات الحركات'!F:F,MATCH(1572,'بيانات الحركات'!$G:$G,0)),"")</f>
        <v/>
      </c>
    </row>
    <row r="1574" spans="1:6" ht="21.95" customHeight="1">
      <c r="A1574" s="8" t="str">
        <f>IFERROR(INDEX('بيانات الحركات'!A:A,MATCH(1573,'بيانات الحركات'!$G:$G,0)),"")</f>
        <v/>
      </c>
      <c r="B1574" s="5" t="str">
        <f>IFERROR(INDEX('بيانات الحركات'!B:B,MATCH(1573,'بيانات الحركات'!$G:$G,0)),"")</f>
        <v/>
      </c>
      <c r="C1574" s="3" t="str">
        <f>IFERROR(INDEX('بيانات الحركات'!C:C,MATCH(1573,'بيانات الحركات'!$G:$G,0)),"")</f>
        <v/>
      </c>
      <c r="D1574" s="3" t="str">
        <f>IFERROR(INDEX('بيانات الحركات'!D:D,MATCH(1573,'بيانات الحركات'!$G:$G,0)),"")</f>
        <v/>
      </c>
      <c r="E1574" s="21" t="str">
        <f>IF($B1574="إنتاج طبخة","",IFERROR(INDEX('بيانات الحركات'!E:E,MATCH(1573,'بيانات الحركات'!$G:$G,0)),""))</f>
        <v/>
      </c>
      <c r="F1574" s="3" t="str">
        <f>IFERROR(INDEX('بيانات الحركات'!F:F,MATCH(1573,'بيانات الحركات'!$G:$G,0)),"")</f>
        <v/>
      </c>
    </row>
    <row r="1575" spans="1:6" ht="21.95" customHeight="1">
      <c r="A1575" s="8" t="str">
        <f>IFERROR(INDEX('بيانات الحركات'!A:A,MATCH(1574,'بيانات الحركات'!$G:$G,0)),"")</f>
        <v/>
      </c>
      <c r="B1575" s="5" t="str">
        <f>IFERROR(INDEX('بيانات الحركات'!B:B,MATCH(1574,'بيانات الحركات'!$G:$G,0)),"")</f>
        <v/>
      </c>
      <c r="C1575" s="3" t="str">
        <f>IFERROR(INDEX('بيانات الحركات'!C:C,MATCH(1574,'بيانات الحركات'!$G:$G,0)),"")</f>
        <v/>
      </c>
      <c r="D1575" s="3" t="str">
        <f>IFERROR(INDEX('بيانات الحركات'!D:D,MATCH(1574,'بيانات الحركات'!$G:$G,0)),"")</f>
        <v/>
      </c>
      <c r="E1575" s="21" t="str">
        <f>IF($B1575="إنتاج طبخة","",IFERROR(INDEX('بيانات الحركات'!E:E,MATCH(1574,'بيانات الحركات'!$G:$G,0)),""))</f>
        <v/>
      </c>
      <c r="F1575" s="3" t="str">
        <f>IFERROR(INDEX('بيانات الحركات'!F:F,MATCH(1574,'بيانات الحركات'!$G:$G,0)),"")</f>
        <v/>
      </c>
    </row>
    <row r="1576" spans="1:6" ht="21.95" customHeight="1">
      <c r="A1576" s="8" t="str">
        <f>IFERROR(INDEX('بيانات الحركات'!A:A,MATCH(1575,'بيانات الحركات'!$G:$G,0)),"")</f>
        <v/>
      </c>
      <c r="B1576" s="5" t="str">
        <f>IFERROR(INDEX('بيانات الحركات'!B:B,MATCH(1575,'بيانات الحركات'!$G:$G,0)),"")</f>
        <v/>
      </c>
      <c r="C1576" s="3" t="str">
        <f>IFERROR(INDEX('بيانات الحركات'!C:C,MATCH(1575,'بيانات الحركات'!$G:$G,0)),"")</f>
        <v/>
      </c>
      <c r="D1576" s="3" t="str">
        <f>IFERROR(INDEX('بيانات الحركات'!D:D,MATCH(1575,'بيانات الحركات'!$G:$G,0)),"")</f>
        <v/>
      </c>
      <c r="E1576" s="21" t="str">
        <f>IF($B1576="إنتاج طبخة","",IFERROR(INDEX('بيانات الحركات'!E:E,MATCH(1575,'بيانات الحركات'!$G:$G,0)),""))</f>
        <v/>
      </c>
      <c r="F1576" s="3" t="str">
        <f>IFERROR(INDEX('بيانات الحركات'!F:F,MATCH(1575,'بيانات الحركات'!$G:$G,0)),"")</f>
        <v/>
      </c>
    </row>
    <row r="1577" spans="1:6" ht="21.95" customHeight="1">
      <c r="A1577" s="8" t="str">
        <f>IFERROR(INDEX('بيانات الحركات'!A:A,MATCH(1576,'بيانات الحركات'!$G:$G,0)),"")</f>
        <v/>
      </c>
      <c r="B1577" s="5" t="str">
        <f>IFERROR(INDEX('بيانات الحركات'!B:B,MATCH(1576,'بيانات الحركات'!$G:$G,0)),"")</f>
        <v/>
      </c>
      <c r="C1577" s="3" t="str">
        <f>IFERROR(INDEX('بيانات الحركات'!C:C,MATCH(1576,'بيانات الحركات'!$G:$G,0)),"")</f>
        <v/>
      </c>
      <c r="D1577" s="3" t="str">
        <f>IFERROR(INDEX('بيانات الحركات'!D:D,MATCH(1576,'بيانات الحركات'!$G:$G,0)),"")</f>
        <v/>
      </c>
      <c r="E1577" s="21" t="str">
        <f>IF($B1577="إنتاج طبخة","",IFERROR(INDEX('بيانات الحركات'!E:E,MATCH(1576,'بيانات الحركات'!$G:$G,0)),""))</f>
        <v/>
      </c>
      <c r="F1577" s="3" t="str">
        <f>IFERROR(INDEX('بيانات الحركات'!F:F,MATCH(1576,'بيانات الحركات'!$G:$G,0)),"")</f>
        <v/>
      </c>
    </row>
    <row r="1578" spans="1:6" ht="21.95" customHeight="1">
      <c r="A1578" s="8" t="str">
        <f>IFERROR(INDEX('بيانات الحركات'!A:A,MATCH(1577,'بيانات الحركات'!$G:$G,0)),"")</f>
        <v/>
      </c>
      <c r="B1578" s="5" t="str">
        <f>IFERROR(INDEX('بيانات الحركات'!B:B,MATCH(1577,'بيانات الحركات'!$G:$G,0)),"")</f>
        <v/>
      </c>
      <c r="C1578" s="3" t="str">
        <f>IFERROR(INDEX('بيانات الحركات'!C:C,MATCH(1577,'بيانات الحركات'!$G:$G,0)),"")</f>
        <v/>
      </c>
      <c r="D1578" s="3" t="str">
        <f>IFERROR(INDEX('بيانات الحركات'!D:D,MATCH(1577,'بيانات الحركات'!$G:$G,0)),"")</f>
        <v/>
      </c>
      <c r="E1578" s="21" t="str">
        <f>IF($B1578="إنتاج طبخة","",IFERROR(INDEX('بيانات الحركات'!E:E,MATCH(1577,'بيانات الحركات'!$G:$G,0)),""))</f>
        <v/>
      </c>
      <c r="F1578" s="3" t="str">
        <f>IFERROR(INDEX('بيانات الحركات'!F:F,MATCH(1577,'بيانات الحركات'!$G:$G,0)),"")</f>
        <v/>
      </c>
    </row>
    <row r="1579" spans="1:6" ht="21.95" customHeight="1">
      <c r="A1579" s="8" t="str">
        <f>IFERROR(INDEX('بيانات الحركات'!A:A,MATCH(1578,'بيانات الحركات'!$G:$G,0)),"")</f>
        <v/>
      </c>
      <c r="B1579" s="5" t="str">
        <f>IFERROR(INDEX('بيانات الحركات'!B:B,MATCH(1578,'بيانات الحركات'!$G:$G,0)),"")</f>
        <v/>
      </c>
      <c r="C1579" s="3" t="str">
        <f>IFERROR(INDEX('بيانات الحركات'!C:C,MATCH(1578,'بيانات الحركات'!$G:$G,0)),"")</f>
        <v/>
      </c>
      <c r="D1579" s="3" t="str">
        <f>IFERROR(INDEX('بيانات الحركات'!D:D,MATCH(1578,'بيانات الحركات'!$G:$G,0)),"")</f>
        <v/>
      </c>
      <c r="E1579" s="21" t="str">
        <f>IF($B1579="إنتاج طبخة","",IFERROR(INDEX('بيانات الحركات'!E:E,MATCH(1578,'بيانات الحركات'!$G:$G,0)),""))</f>
        <v/>
      </c>
      <c r="F1579" s="3" t="str">
        <f>IFERROR(INDEX('بيانات الحركات'!F:F,MATCH(1578,'بيانات الحركات'!$G:$G,0)),"")</f>
        <v/>
      </c>
    </row>
    <row r="1580" spans="1:6" ht="21.95" customHeight="1">
      <c r="A1580" s="8" t="str">
        <f>IFERROR(INDEX('بيانات الحركات'!A:A,MATCH(1579,'بيانات الحركات'!$G:$G,0)),"")</f>
        <v/>
      </c>
      <c r="B1580" s="5" t="str">
        <f>IFERROR(INDEX('بيانات الحركات'!B:B,MATCH(1579,'بيانات الحركات'!$G:$G,0)),"")</f>
        <v/>
      </c>
      <c r="C1580" s="3" t="str">
        <f>IFERROR(INDEX('بيانات الحركات'!C:C,MATCH(1579,'بيانات الحركات'!$G:$G,0)),"")</f>
        <v/>
      </c>
      <c r="D1580" s="3" t="str">
        <f>IFERROR(INDEX('بيانات الحركات'!D:D,MATCH(1579,'بيانات الحركات'!$G:$G,0)),"")</f>
        <v/>
      </c>
      <c r="E1580" s="21" t="str">
        <f>IF($B1580="إنتاج طبخة","",IFERROR(INDEX('بيانات الحركات'!E:E,MATCH(1579,'بيانات الحركات'!$G:$G,0)),""))</f>
        <v/>
      </c>
      <c r="F1580" s="3" t="str">
        <f>IFERROR(INDEX('بيانات الحركات'!F:F,MATCH(1579,'بيانات الحركات'!$G:$G,0)),"")</f>
        <v/>
      </c>
    </row>
    <row r="1581" spans="1:6" ht="21.95" customHeight="1">
      <c r="A1581" s="8" t="str">
        <f>IFERROR(INDEX('بيانات الحركات'!A:A,MATCH(1580,'بيانات الحركات'!$G:$G,0)),"")</f>
        <v/>
      </c>
      <c r="B1581" s="5" t="str">
        <f>IFERROR(INDEX('بيانات الحركات'!B:B,MATCH(1580,'بيانات الحركات'!$G:$G,0)),"")</f>
        <v/>
      </c>
      <c r="C1581" s="3" t="str">
        <f>IFERROR(INDEX('بيانات الحركات'!C:C,MATCH(1580,'بيانات الحركات'!$G:$G,0)),"")</f>
        <v/>
      </c>
      <c r="D1581" s="3" t="str">
        <f>IFERROR(INDEX('بيانات الحركات'!D:D,MATCH(1580,'بيانات الحركات'!$G:$G,0)),"")</f>
        <v/>
      </c>
      <c r="E1581" s="21" t="str">
        <f>IF($B1581="إنتاج طبخة","",IFERROR(INDEX('بيانات الحركات'!E:E,MATCH(1580,'بيانات الحركات'!$G:$G,0)),""))</f>
        <v/>
      </c>
      <c r="F1581" s="3" t="str">
        <f>IFERROR(INDEX('بيانات الحركات'!F:F,MATCH(1580,'بيانات الحركات'!$G:$G,0)),"")</f>
        <v/>
      </c>
    </row>
    <row r="1582" spans="1:6" ht="21.95" customHeight="1">
      <c r="A1582" s="8" t="str">
        <f>IFERROR(INDEX('بيانات الحركات'!A:A,MATCH(1581,'بيانات الحركات'!$G:$G,0)),"")</f>
        <v/>
      </c>
      <c r="B1582" s="5" t="str">
        <f>IFERROR(INDEX('بيانات الحركات'!B:B,MATCH(1581,'بيانات الحركات'!$G:$G,0)),"")</f>
        <v/>
      </c>
      <c r="C1582" s="3" t="str">
        <f>IFERROR(INDEX('بيانات الحركات'!C:C,MATCH(1581,'بيانات الحركات'!$G:$G,0)),"")</f>
        <v/>
      </c>
      <c r="D1582" s="3" t="str">
        <f>IFERROR(INDEX('بيانات الحركات'!D:D,MATCH(1581,'بيانات الحركات'!$G:$G,0)),"")</f>
        <v/>
      </c>
      <c r="E1582" s="21" t="str">
        <f>IF($B1582="إنتاج طبخة","",IFERROR(INDEX('بيانات الحركات'!E:E,MATCH(1581,'بيانات الحركات'!$G:$G,0)),""))</f>
        <v/>
      </c>
      <c r="F1582" s="3" t="str">
        <f>IFERROR(INDEX('بيانات الحركات'!F:F,MATCH(1581,'بيانات الحركات'!$G:$G,0)),"")</f>
        <v/>
      </c>
    </row>
    <row r="1583" spans="1:6" ht="21.95" customHeight="1">
      <c r="A1583" s="8" t="str">
        <f>IFERROR(INDEX('بيانات الحركات'!A:A,MATCH(1582,'بيانات الحركات'!$G:$G,0)),"")</f>
        <v/>
      </c>
      <c r="B1583" s="5" t="str">
        <f>IFERROR(INDEX('بيانات الحركات'!B:B,MATCH(1582,'بيانات الحركات'!$G:$G,0)),"")</f>
        <v/>
      </c>
      <c r="C1583" s="3" t="str">
        <f>IFERROR(INDEX('بيانات الحركات'!C:C,MATCH(1582,'بيانات الحركات'!$G:$G,0)),"")</f>
        <v/>
      </c>
      <c r="D1583" s="3" t="str">
        <f>IFERROR(INDEX('بيانات الحركات'!D:D,MATCH(1582,'بيانات الحركات'!$G:$G,0)),"")</f>
        <v/>
      </c>
      <c r="E1583" s="21" t="str">
        <f>IF($B1583="إنتاج طبخة","",IFERROR(INDEX('بيانات الحركات'!E:E,MATCH(1582,'بيانات الحركات'!$G:$G,0)),""))</f>
        <v/>
      </c>
      <c r="F1583" s="3" t="str">
        <f>IFERROR(INDEX('بيانات الحركات'!F:F,MATCH(1582,'بيانات الحركات'!$G:$G,0)),"")</f>
        <v/>
      </c>
    </row>
    <row r="1584" spans="1:6" ht="21.95" customHeight="1">
      <c r="A1584" s="8" t="str">
        <f>IFERROR(INDEX('بيانات الحركات'!A:A,MATCH(1583,'بيانات الحركات'!$G:$G,0)),"")</f>
        <v/>
      </c>
      <c r="B1584" s="5" t="str">
        <f>IFERROR(INDEX('بيانات الحركات'!B:B,MATCH(1583,'بيانات الحركات'!$G:$G,0)),"")</f>
        <v/>
      </c>
      <c r="C1584" s="3" t="str">
        <f>IFERROR(INDEX('بيانات الحركات'!C:C,MATCH(1583,'بيانات الحركات'!$G:$G,0)),"")</f>
        <v/>
      </c>
      <c r="D1584" s="3" t="str">
        <f>IFERROR(INDEX('بيانات الحركات'!D:D,MATCH(1583,'بيانات الحركات'!$G:$G,0)),"")</f>
        <v/>
      </c>
      <c r="E1584" s="21" t="str">
        <f>IF($B1584="إنتاج طبخة","",IFERROR(INDEX('بيانات الحركات'!E:E,MATCH(1583,'بيانات الحركات'!$G:$G,0)),""))</f>
        <v/>
      </c>
      <c r="F1584" s="3" t="str">
        <f>IFERROR(INDEX('بيانات الحركات'!F:F,MATCH(1583,'بيانات الحركات'!$G:$G,0)),"")</f>
        <v/>
      </c>
    </row>
    <row r="1585" spans="1:6" ht="21.95" customHeight="1">
      <c r="A1585" s="8" t="str">
        <f>IFERROR(INDEX('بيانات الحركات'!A:A,MATCH(1584,'بيانات الحركات'!$G:$G,0)),"")</f>
        <v/>
      </c>
      <c r="B1585" s="5" t="str">
        <f>IFERROR(INDEX('بيانات الحركات'!B:B,MATCH(1584,'بيانات الحركات'!$G:$G,0)),"")</f>
        <v/>
      </c>
      <c r="C1585" s="3" t="str">
        <f>IFERROR(INDEX('بيانات الحركات'!C:C,MATCH(1584,'بيانات الحركات'!$G:$G,0)),"")</f>
        <v/>
      </c>
      <c r="D1585" s="3" t="str">
        <f>IFERROR(INDEX('بيانات الحركات'!D:D,MATCH(1584,'بيانات الحركات'!$G:$G,0)),"")</f>
        <v/>
      </c>
      <c r="E1585" s="21" t="str">
        <f>IF($B1585="إنتاج طبخة","",IFERROR(INDEX('بيانات الحركات'!E:E,MATCH(1584,'بيانات الحركات'!$G:$G,0)),""))</f>
        <v/>
      </c>
      <c r="F1585" s="3" t="str">
        <f>IFERROR(INDEX('بيانات الحركات'!F:F,MATCH(1584,'بيانات الحركات'!$G:$G,0)),"")</f>
        <v/>
      </c>
    </row>
    <row r="1586" spans="1:6" ht="21.95" customHeight="1">
      <c r="A1586" s="8" t="str">
        <f>IFERROR(INDEX('بيانات الحركات'!A:A,MATCH(1585,'بيانات الحركات'!$G:$G,0)),"")</f>
        <v/>
      </c>
      <c r="B1586" s="5" t="str">
        <f>IFERROR(INDEX('بيانات الحركات'!B:B,MATCH(1585,'بيانات الحركات'!$G:$G,0)),"")</f>
        <v/>
      </c>
      <c r="C1586" s="3" t="str">
        <f>IFERROR(INDEX('بيانات الحركات'!C:C,MATCH(1585,'بيانات الحركات'!$G:$G,0)),"")</f>
        <v/>
      </c>
      <c r="D1586" s="3" t="str">
        <f>IFERROR(INDEX('بيانات الحركات'!D:D,MATCH(1585,'بيانات الحركات'!$G:$G,0)),"")</f>
        <v/>
      </c>
      <c r="E1586" s="21" t="str">
        <f>IF($B1586="إنتاج طبخة","",IFERROR(INDEX('بيانات الحركات'!E:E,MATCH(1585,'بيانات الحركات'!$G:$G,0)),""))</f>
        <v/>
      </c>
      <c r="F1586" s="3" t="str">
        <f>IFERROR(INDEX('بيانات الحركات'!F:F,MATCH(1585,'بيانات الحركات'!$G:$G,0)),"")</f>
        <v/>
      </c>
    </row>
    <row r="1587" spans="1:6" ht="21.95" customHeight="1">
      <c r="A1587" s="8" t="str">
        <f>IFERROR(INDEX('بيانات الحركات'!A:A,MATCH(1586,'بيانات الحركات'!$G:$G,0)),"")</f>
        <v/>
      </c>
      <c r="B1587" s="5" t="str">
        <f>IFERROR(INDEX('بيانات الحركات'!B:B,MATCH(1586,'بيانات الحركات'!$G:$G,0)),"")</f>
        <v/>
      </c>
      <c r="C1587" s="3" t="str">
        <f>IFERROR(INDEX('بيانات الحركات'!C:C,MATCH(1586,'بيانات الحركات'!$G:$G,0)),"")</f>
        <v/>
      </c>
      <c r="D1587" s="3" t="str">
        <f>IFERROR(INDEX('بيانات الحركات'!D:D,MATCH(1586,'بيانات الحركات'!$G:$G,0)),"")</f>
        <v/>
      </c>
      <c r="E1587" s="21" t="str">
        <f>IF($B1587="إنتاج طبخة","",IFERROR(INDEX('بيانات الحركات'!E:E,MATCH(1586,'بيانات الحركات'!$G:$G,0)),""))</f>
        <v/>
      </c>
      <c r="F1587" s="3" t="str">
        <f>IFERROR(INDEX('بيانات الحركات'!F:F,MATCH(1586,'بيانات الحركات'!$G:$G,0)),"")</f>
        <v/>
      </c>
    </row>
    <row r="1588" spans="1:6" ht="21.95" customHeight="1">
      <c r="A1588" s="8" t="str">
        <f>IFERROR(INDEX('بيانات الحركات'!A:A,MATCH(1587,'بيانات الحركات'!$G:$G,0)),"")</f>
        <v/>
      </c>
      <c r="B1588" s="5" t="str">
        <f>IFERROR(INDEX('بيانات الحركات'!B:B,MATCH(1587,'بيانات الحركات'!$G:$G,0)),"")</f>
        <v/>
      </c>
      <c r="C1588" s="3" t="str">
        <f>IFERROR(INDEX('بيانات الحركات'!C:C,MATCH(1587,'بيانات الحركات'!$G:$G,0)),"")</f>
        <v/>
      </c>
      <c r="D1588" s="3" t="str">
        <f>IFERROR(INDEX('بيانات الحركات'!D:D,MATCH(1587,'بيانات الحركات'!$G:$G,0)),"")</f>
        <v/>
      </c>
      <c r="E1588" s="21" t="str">
        <f>IF($B1588="إنتاج طبخة","",IFERROR(INDEX('بيانات الحركات'!E:E,MATCH(1587,'بيانات الحركات'!$G:$G,0)),""))</f>
        <v/>
      </c>
      <c r="F1588" s="3" t="str">
        <f>IFERROR(INDEX('بيانات الحركات'!F:F,MATCH(1587,'بيانات الحركات'!$G:$G,0)),"")</f>
        <v/>
      </c>
    </row>
    <row r="1589" spans="1:6" ht="21.95" customHeight="1">
      <c r="A1589" s="8" t="str">
        <f>IFERROR(INDEX('بيانات الحركات'!A:A,MATCH(1588,'بيانات الحركات'!$G:$G,0)),"")</f>
        <v/>
      </c>
      <c r="B1589" s="5" t="str">
        <f>IFERROR(INDEX('بيانات الحركات'!B:B,MATCH(1588,'بيانات الحركات'!$G:$G,0)),"")</f>
        <v/>
      </c>
      <c r="C1589" s="3" t="str">
        <f>IFERROR(INDEX('بيانات الحركات'!C:C,MATCH(1588,'بيانات الحركات'!$G:$G,0)),"")</f>
        <v/>
      </c>
      <c r="D1589" s="3" t="str">
        <f>IFERROR(INDEX('بيانات الحركات'!D:D,MATCH(1588,'بيانات الحركات'!$G:$G,0)),"")</f>
        <v/>
      </c>
      <c r="E1589" s="21" t="str">
        <f>IF($B1589="إنتاج طبخة","",IFERROR(INDEX('بيانات الحركات'!E:E,MATCH(1588,'بيانات الحركات'!$G:$G,0)),""))</f>
        <v/>
      </c>
      <c r="F1589" s="3" t="str">
        <f>IFERROR(INDEX('بيانات الحركات'!F:F,MATCH(1588,'بيانات الحركات'!$G:$G,0)),"")</f>
        <v/>
      </c>
    </row>
    <row r="1590" spans="1:6" ht="21.95" customHeight="1">
      <c r="A1590" s="8" t="str">
        <f>IFERROR(INDEX('بيانات الحركات'!A:A,MATCH(1589,'بيانات الحركات'!$G:$G,0)),"")</f>
        <v/>
      </c>
      <c r="B1590" s="5" t="str">
        <f>IFERROR(INDEX('بيانات الحركات'!B:B,MATCH(1589,'بيانات الحركات'!$G:$G,0)),"")</f>
        <v/>
      </c>
      <c r="C1590" s="3" t="str">
        <f>IFERROR(INDEX('بيانات الحركات'!C:C,MATCH(1589,'بيانات الحركات'!$G:$G,0)),"")</f>
        <v/>
      </c>
      <c r="D1590" s="3" t="str">
        <f>IFERROR(INDEX('بيانات الحركات'!D:D,MATCH(1589,'بيانات الحركات'!$G:$G,0)),"")</f>
        <v/>
      </c>
      <c r="E1590" s="21" t="str">
        <f>IF($B1590="إنتاج طبخة","",IFERROR(INDEX('بيانات الحركات'!E:E,MATCH(1589,'بيانات الحركات'!$G:$G,0)),""))</f>
        <v/>
      </c>
      <c r="F1590" s="3" t="str">
        <f>IFERROR(INDEX('بيانات الحركات'!F:F,MATCH(1589,'بيانات الحركات'!$G:$G,0)),"")</f>
        <v/>
      </c>
    </row>
    <row r="1591" spans="1:6" ht="21.95" customHeight="1">
      <c r="A1591" s="8" t="str">
        <f>IFERROR(INDEX('بيانات الحركات'!A:A,MATCH(1590,'بيانات الحركات'!$G:$G,0)),"")</f>
        <v/>
      </c>
      <c r="B1591" s="5" t="str">
        <f>IFERROR(INDEX('بيانات الحركات'!B:B,MATCH(1590,'بيانات الحركات'!$G:$G,0)),"")</f>
        <v/>
      </c>
      <c r="C1591" s="3" t="str">
        <f>IFERROR(INDEX('بيانات الحركات'!C:C,MATCH(1590,'بيانات الحركات'!$G:$G,0)),"")</f>
        <v/>
      </c>
      <c r="D1591" s="3" t="str">
        <f>IFERROR(INDEX('بيانات الحركات'!D:D,MATCH(1590,'بيانات الحركات'!$G:$G,0)),"")</f>
        <v/>
      </c>
      <c r="E1591" s="21" t="str">
        <f>IF($B1591="إنتاج طبخة","",IFERROR(INDEX('بيانات الحركات'!E:E,MATCH(1590,'بيانات الحركات'!$G:$G,0)),""))</f>
        <v/>
      </c>
      <c r="F1591" s="3" t="str">
        <f>IFERROR(INDEX('بيانات الحركات'!F:F,MATCH(1590,'بيانات الحركات'!$G:$G,0)),"")</f>
        <v/>
      </c>
    </row>
    <row r="1592" spans="1:6" ht="21.95" customHeight="1">
      <c r="A1592" s="8" t="str">
        <f>IFERROR(INDEX('بيانات الحركات'!A:A,MATCH(1591,'بيانات الحركات'!$G:$G,0)),"")</f>
        <v/>
      </c>
      <c r="B1592" s="5" t="str">
        <f>IFERROR(INDEX('بيانات الحركات'!B:B,MATCH(1591,'بيانات الحركات'!$G:$G,0)),"")</f>
        <v/>
      </c>
      <c r="C1592" s="3" t="str">
        <f>IFERROR(INDEX('بيانات الحركات'!C:C,MATCH(1591,'بيانات الحركات'!$G:$G,0)),"")</f>
        <v/>
      </c>
      <c r="D1592" s="3" t="str">
        <f>IFERROR(INDEX('بيانات الحركات'!D:D,MATCH(1591,'بيانات الحركات'!$G:$G,0)),"")</f>
        <v/>
      </c>
      <c r="E1592" s="21" t="str">
        <f>IF($B1592="إنتاج طبخة","",IFERROR(INDEX('بيانات الحركات'!E:E,MATCH(1591,'بيانات الحركات'!$G:$G,0)),""))</f>
        <v/>
      </c>
      <c r="F1592" s="3" t="str">
        <f>IFERROR(INDEX('بيانات الحركات'!F:F,MATCH(1591,'بيانات الحركات'!$G:$G,0)),"")</f>
        <v/>
      </c>
    </row>
    <row r="1593" spans="1:6" ht="21.95" customHeight="1">
      <c r="A1593" s="8" t="str">
        <f>IFERROR(INDEX('بيانات الحركات'!A:A,MATCH(1592,'بيانات الحركات'!$G:$G,0)),"")</f>
        <v/>
      </c>
      <c r="B1593" s="5" t="str">
        <f>IFERROR(INDEX('بيانات الحركات'!B:B,MATCH(1592,'بيانات الحركات'!$G:$G,0)),"")</f>
        <v/>
      </c>
      <c r="C1593" s="3" t="str">
        <f>IFERROR(INDEX('بيانات الحركات'!C:C,MATCH(1592,'بيانات الحركات'!$G:$G,0)),"")</f>
        <v/>
      </c>
      <c r="D1593" s="3" t="str">
        <f>IFERROR(INDEX('بيانات الحركات'!D:D,MATCH(1592,'بيانات الحركات'!$G:$G,0)),"")</f>
        <v/>
      </c>
      <c r="E1593" s="21" t="str">
        <f>IF($B1593="إنتاج طبخة","",IFERROR(INDEX('بيانات الحركات'!E:E,MATCH(1592,'بيانات الحركات'!$G:$G,0)),""))</f>
        <v/>
      </c>
      <c r="F1593" s="3" t="str">
        <f>IFERROR(INDEX('بيانات الحركات'!F:F,MATCH(1592,'بيانات الحركات'!$G:$G,0)),"")</f>
        <v/>
      </c>
    </row>
    <row r="1594" spans="1:6" ht="21.95" customHeight="1">
      <c r="A1594" s="8" t="str">
        <f>IFERROR(INDEX('بيانات الحركات'!A:A,MATCH(1593,'بيانات الحركات'!$G:$G,0)),"")</f>
        <v/>
      </c>
      <c r="B1594" s="5" t="str">
        <f>IFERROR(INDEX('بيانات الحركات'!B:B,MATCH(1593,'بيانات الحركات'!$G:$G,0)),"")</f>
        <v/>
      </c>
      <c r="C1594" s="3" t="str">
        <f>IFERROR(INDEX('بيانات الحركات'!C:C,MATCH(1593,'بيانات الحركات'!$G:$G,0)),"")</f>
        <v/>
      </c>
      <c r="D1594" s="3" t="str">
        <f>IFERROR(INDEX('بيانات الحركات'!D:D,MATCH(1593,'بيانات الحركات'!$G:$G,0)),"")</f>
        <v/>
      </c>
      <c r="E1594" s="21" t="str">
        <f>IF($B1594="إنتاج طبخة","",IFERROR(INDEX('بيانات الحركات'!E:E,MATCH(1593,'بيانات الحركات'!$G:$G,0)),""))</f>
        <v/>
      </c>
      <c r="F1594" s="3" t="str">
        <f>IFERROR(INDEX('بيانات الحركات'!F:F,MATCH(1593,'بيانات الحركات'!$G:$G,0)),"")</f>
        <v/>
      </c>
    </row>
    <row r="1595" spans="1:6" ht="21.95" customHeight="1">
      <c r="A1595" s="8" t="str">
        <f>IFERROR(INDEX('بيانات الحركات'!A:A,MATCH(1594,'بيانات الحركات'!$G:$G,0)),"")</f>
        <v/>
      </c>
      <c r="B1595" s="5" t="str">
        <f>IFERROR(INDEX('بيانات الحركات'!B:B,MATCH(1594,'بيانات الحركات'!$G:$G,0)),"")</f>
        <v/>
      </c>
      <c r="C1595" s="3" t="str">
        <f>IFERROR(INDEX('بيانات الحركات'!C:C,MATCH(1594,'بيانات الحركات'!$G:$G,0)),"")</f>
        <v/>
      </c>
      <c r="D1595" s="3" t="str">
        <f>IFERROR(INDEX('بيانات الحركات'!D:D,MATCH(1594,'بيانات الحركات'!$G:$G,0)),"")</f>
        <v/>
      </c>
      <c r="E1595" s="21" t="str">
        <f>IF($B1595="إنتاج طبخة","",IFERROR(INDEX('بيانات الحركات'!E:E,MATCH(1594,'بيانات الحركات'!$G:$G,0)),""))</f>
        <v/>
      </c>
      <c r="F1595" s="3" t="str">
        <f>IFERROR(INDEX('بيانات الحركات'!F:F,MATCH(1594,'بيانات الحركات'!$G:$G,0)),"")</f>
        <v/>
      </c>
    </row>
    <row r="1596" spans="1:6" ht="21.95" customHeight="1">
      <c r="A1596" s="8" t="str">
        <f>IFERROR(INDEX('بيانات الحركات'!A:A,MATCH(1595,'بيانات الحركات'!$G:$G,0)),"")</f>
        <v/>
      </c>
      <c r="B1596" s="5" t="str">
        <f>IFERROR(INDEX('بيانات الحركات'!B:B,MATCH(1595,'بيانات الحركات'!$G:$G,0)),"")</f>
        <v/>
      </c>
      <c r="C1596" s="3" t="str">
        <f>IFERROR(INDEX('بيانات الحركات'!C:C,MATCH(1595,'بيانات الحركات'!$G:$G,0)),"")</f>
        <v/>
      </c>
      <c r="D1596" s="3" t="str">
        <f>IFERROR(INDEX('بيانات الحركات'!D:D,MATCH(1595,'بيانات الحركات'!$G:$G,0)),"")</f>
        <v/>
      </c>
      <c r="E1596" s="21" t="str">
        <f>IF($B1596="إنتاج طبخة","",IFERROR(INDEX('بيانات الحركات'!E:E,MATCH(1595,'بيانات الحركات'!$G:$G,0)),""))</f>
        <v/>
      </c>
      <c r="F1596" s="3" t="str">
        <f>IFERROR(INDEX('بيانات الحركات'!F:F,MATCH(1595,'بيانات الحركات'!$G:$G,0)),"")</f>
        <v/>
      </c>
    </row>
    <row r="1597" spans="1:6" ht="21.95" customHeight="1">
      <c r="A1597" s="8" t="str">
        <f>IFERROR(INDEX('بيانات الحركات'!A:A,MATCH(1596,'بيانات الحركات'!$G:$G,0)),"")</f>
        <v/>
      </c>
      <c r="B1597" s="5" t="str">
        <f>IFERROR(INDEX('بيانات الحركات'!B:B,MATCH(1596,'بيانات الحركات'!$G:$G,0)),"")</f>
        <v/>
      </c>
      <c r="C1597" s="3" t="str">
        <f>IFERROR(INDEX('بيانات الحركات'!C:C,MATCH(1596,'بيانات الحركات'!$G:$G,0)),"")</f>
        <v/>
      </c>
      <c r="D1597" s="3" t="str">
        <f>IFERROR(INDEX('بيانات الحركات'!D:D,MATCH(1596,'بيانات الحركات'!$G:$G,0)),"")</f>
        <v/>
      </c>
      <c r="E1597" s="21" t="str">
        <f>IF($B1597="إنتاج طبخة","",IFERROR(INDEX('بيانات الحركات'!E:E,MATCH(1596,'بيانات الحركات'!$G:$G,0)),""))</f>
        <v/>
      </c>
      <c r="F1597" s="3" t="str">
        <f>IFERROR(INDEX('بيانات الحركات'!F:F,MATCH(1596,'بيانات الحركات'!$G:$G,0)),"")</f>
        <v/>
      </c>
    </row>
    <row r="1598" spans="1:6" ht="21.95" customHeight="1">
      <c r="A1598" s="8" t="str">
        <f>IFERROR(INDEX('بيانات الحركات'!A:A,MATCH(1597,'بيانات الحركات'!$G:$G,0)),"")</f>
        <v/>
      </c>
      <c r="B1598" s="5" t="str">
        <f>IFERROR(INDEX('بيانات الحركات'!B:B,MATCH(1597,'بيانات الحركات'!$G:$G,0)),"")</f>
        <v/>
      </c>
      <c r="C1598" s="3" t="str">
        <f>IFERROR(INDEX('بيانات الحركات'!C:C,MATCH(1597,'بيانات الحركات'!$G:$G,0)),"")</f>
        <v/>
      </c>
      <c r="D1598" s="3" t="str">
        <f>IFERROR(INDEX('بيانات الحركات'!D:D,MATCH(1597,'بيانات الحركات'!$G:$G,0)),"")</f>
        <v/>
      </c>
      <c r="E1598" s="21" t="str">
        <f>IF($B1598="إنتاج طبخة","",IFERROR(INDEX('بيانات الحركات'!E:E,MATCH(1597,'بيانات الحركات'!$G:$G,0)),""))</f>
        <v/>
      </c>
      <c r="F1598" s="3" t="str">
        <f>IFERROR(INDEX('بيانات الحركات'!F:F,MATCH(1597,'بيانات الحركات'!$G:$G,0)),"")</f>
        <v/>
      </c>
    </row>
    <row r="1599" spans="1:6" ht="21.95" customHeight="1">
      <c r="A1599" s="8" t="str">
        <f>IFERROR(INDEX('بيانات الحركات'!A:A,MATCH(1598,'بيانات الحركات'!$G:$G,0)),"")</f>
        <v/>
      </c>
      <c r="B1599" s="5" t="str">
        <f>IFERROR(INDEX('بيانات الحركات'!B:B,MATCH(1598,'بيانات الحركات'!$G:$G,0)),"")</f>
        <v/>
      </c>
      <c r="C1599" s="3" t="str">
        <f>IFERROR(INDEX('بيانات الحركات'!C:C,MATCH(1598,'بيانات الحركات'!$G:$G,0)),"")</f>
        <v/>
      </c>
      <c r="D1599" s="3" t="str">
        <f>IFERROR(INDEX('بيانات الحركات'!D:D,MATCH(1598,'بيانات الحركات'!$G:$G,0)),"")</f>
        <v/>
      </c>
      <c r="E1599" s="21" t="str">
        <f>IF($B1599="إنتاج طبخة","",IFERROR(INDEX('بيانات الحركات'!E:E,MATCH(1598,'بيانات الحركات'!$G:$G,0)),""))</f>
        <v/>
      </c>
      <c r="F1599" s="3" t="str">
        <f>IFERROR(INDEX('بيانات الحركات'!F:F,MATCH(1598,'بيانات الحركات'!$G:$G,0)),"")</f>
        <v/>
      </c>
    </row>
    <row r="1600" spans="1:6" ht="21.95" customHeight="1">
      <c r="A1600" s="8" t="str">
        <f>IFERROR(INDEX('بيانات الحركات'!A:A,MATCH(1599,'بيانات الحركات'!$G:$G,0)),"")</f>
        <v/>
      </c>
      <c r="B1600" s="5" t="str">
        <f>IFERROR(INDEX('بيانات الحركات'!B:B,MATCH(1599,'بيانات الحركات'!$G:$G,0)),"")</f>
        <v/>
      </c>
      <c r="C1600" s="3" t="str">
        <f>IFERROR(INDEX('بيانات الحركات'!C:C,MATCH(1599,'بيانات الحركات'!$G:$G,0)),"")</f>
        <v/>
      </c>
      <c r="D1600" s="3" t="str">
        <f>IFERROR(INDEX('بيانات الحركات'!D:D,MATCH(1599,'بيانات الحركات'!$G:$G,0)),"")</f>
        <v/>
      </c>
      <c r="E1600" s="21" t="str">
        <f>IF($B1600="إنتاج طبخة","",IFERROR(INDEX('بيانات الحركات'!E:E,MATCH(1599,'بيانات الحركات'!$G:$G,0)),""))</f>
        <v/>
      </c>
      <c r="F1600" s="3" t="str">
        <f>IFERROR(INDEX('بيانات الحركات'!F:F,MATCH(1599,'بيانات الحركات'!$G:$G,0)),"")</f>
        <v/>
      </c>
    </row>
    <row r="1601" spans="1:6" ht="21.95" customHeight="1">
      <c r="A1601" s="8" t="str">
        <f>IFERROR(INDEX('بيانات الحركات'!A:A,MATCH(1600,'بيانات الحركات'!$G:$G,0)),"")</f>
        <v/>
      </c>
      <c r="B1601" s="5" t="str">
        <f>IFERROR(INDEX('بيانات الحركات'!B:B,MATCH(1600,'بيانات الحركات'!$G:$G,0)),"")</f>
        <v/>
      </c>
      <c r="C1601" s="3" t="str">
        <f>IFERROR(INDEX('بيانات الحركات'!C:C,MATCH(1600,'بيانات الحركات'!$G:$G,0)),"")</f>
        <v/>
      </c>
      <c r="D1601" s="3" t="str">
        <f>IFERROR(INDEX('بيانات الحركات'!D:D,MATCH(1600,'بيانات الحركات'!$G:$G,0)),"")</f>
        <v/>
      </c>
      <c r="E1601" s="21" t="str">
        <f>IF($B1601="إنتاج طبخة","",IFERROR(INDEX('بيانات الحركات'!E:E,MATCH(1600,'بيانات الحركات'!$G:$G,0)),""))</f>
        <v/>
      </c>
      <c r="F1601" s="3" t="str">
        <f>IFERROR(INDEX('بيانات الحركات'!F:F,MATCH(1600,'بيانات الحركات'!$G:$G,0)),"")</f>
        <v/>
      </c>
    </row>
    <row r="1602" spans="1:6" ht="21.95" customHeight="1">
      <c r="A1602" s="8" t="str">
        <f>IFERROR(INDEX('بيانات الحركات'!A:A,MATCH(1601,'بيانات الحركات'!$G:$G,0)),"")</f>
        <v/>
      </c>
      <c r="B1602" s="5" t="str">
        <f>IFERROR(INDEX('بيانات الحركات'!B:B,MATCH(1601,'بيانات الحركات'!$G:$G,0)),"")</f>
        <v/>
      </c>
      <c r="C1602" s="3" t="str">
        <f>IFERROR(INDEX('بيانات الحركات'!C:C,MATCH(1601,'بيانات الحركات'!$G:$G,0)),"")</f>
        <v/>
      </c>
      <c r="D1602" s="3" t="str">
        <f>IFERROR(INDEX('بيانات الحركات'!D:D,MATCH(1601,'بيانات الحركات'!$G:$G,0)),"")</f>
        <v/>
      </c>
      <c r="E1602" s="21" t="str">
        <f>IF($B1602="إنتاج طبخة","",IFERROR(INDEX('بيانات الحركات'!E:E,MATCH(1601,'بيانات الحركات'!$G:$G,0)),""))</f>
        <v/>
      </c>
      <c r="F1602" s="3" t="str">
        <f>IFERROR(INDEX('بيانات الحركات'!F:F,MATCH(1601,'بيانات الحركات'!$G:$G,0)),"")</f>
        <v/>
      </c>
    </row>
    <row r="1603" spans="1:6" ht="21.95" customHeight="1">
      <c r="A1603" s="8" t="str">
        <f>IFERROR(INDEX('بيانات الحركات'!A:A,MATCH(1602,'بيانات الحركات'!$G:$G,0)),"")</f>
        <v/>
      </c>
      <c r="B1603" s="5" t="str">
        <f>IFERROR(INDEX('بيانات الحركات'!B:B,MATCH(1602,'بيانات الحركات'!$G:$G,0)),"")</f>
        <v/>
      </c>
      <c r="C1603" s="3" t="str">
        <f>IFERROR(INDEX('بيانات الحركات'!C:C,MATCH(1602,'بيانات الحركات'!$G:$G,0)),"")</f>
        <v/>
      </c>
      <c r="D1603" s="3" t="str">
        <f>IFERROR(INDEX('بيانات الحركات'!D:D,MATCH(1602,'بيانات الحركات'!$G:$G,0)),"")</f>
        <v/>
      </c>
      <c r="E1603" s="21" t="str">
        <f>IF($B1603="إنتاج طبخة","",IFERROR(INDEX('بيانات الحركات'!E:E,MATCH(1602,'بيانات الحركات'!$G:$G,0)),""))</f>
        <v/>
      </c>
      <c r="F1603" s="3" t="str">
        <f>IFERROR(INDEX('بيانات الحركات'!F:F,MATCH(1602,'بيانات الحركات'!$G:$G,0)),"")</f>
        <v/>
      </c>
    </row>
    <row r="1604" spans="1:6" ht="21.95" customHeight="1">
      <c r="A1604" s="8" t="str">
        <f>IFERROR(INDEX('بيانات الحركات'!A:A,MATCH(1603,'بيانات الحركات'!$G:$G,0)),"")</f>
        <v/>
      </c>
      <c r="B1604" s="5" t="str">
        <f>IFERROR(INDEX('بيانات الحركات'!B:B,MATCH(1603,'بيانات الحركات'!$G:$G,0)),"")</f>
        <v/>
      </c>
      <c r="C1604" s="3" t="str">
        <f>IFERROR(INDEX('بيانات الحركات'!C:C,MATCH(1603,'بيانات الحركات'!$G:$G,0)),"")</f>
        <v/>
      </c>
      <c r="D1604" s="3" t="str">
        <f>IFERROR(INDEX('بيانات الحركات'!D:D,MATCH(1603,'بيانات الحركات'!$G:$G,0)),"")</f>
        <v/>
      </c>
      <c r="E1604" s="21" t="str">
        <f>IF($B1604="إنتاج طبخة","",IFERROR(INDEX('بيانات الحركات'!E:E,MATCH(1603,'بيانات الحركات'!$G:$G,0)),""))</f>
        <v/>
      </c>
      <c r="F1604" s="3" t="str">
        <f>IFERROR(INDEX('بيانات الحركات'!F:F,MATCH(1603,'بيانات الحركات'!$G:$G,0)),"")</f>
        <v/>
      </c>
    </row>
    <row r="1605" spans="1:6" ht="21.95" customHeight="1">
      <c r="A1605" s="8" t="str">
        <f>IFERROR(INDEX('بيانات الحركات'!A:A,MATCH(1604,'بيانات الحركات'!$G:$G,0)),"")</f>
        <v/>
      </c>
      <c r="B1605" s="5" t="str">
        <f>IFERROR(INDEX('بيانات الحركات'!B:B,MATCH(1604,'بيانات الحركات'!$G:$G,0)),"")</f>
        <v/>
      </c>
      <c r="C1605" s="3" t="str">
        <f>IFERROR(INDEX('بيانات الحركات'!C:C,MATCH(1604,'بيانات الحركات'!$G:$G,0)),"")</f>
        <v/>
      </c>
      <c r="D1605" s="3" t="str">
        <f>IFERROR(INDEX('بيانات الحركات'!D:D,MATCH(1604,'بيانات الحركات'!$G:$G,0)),"")</f>
        <v/>
      </c>
      <c r="E1605" s="21" t="str">
        <f>IF($B1605="إنتاج طبخة","",IFERROR(INDEX('بيانات الحركات'!E:E,MATCH(1604,'بيانات الحركات'!$G:$G,0)),""))</f>
        <v/>
      </c>
      <c r="F1605" s="3" t="str">
        <f>IFERROR(INDEX('بيانات الحركات'!F:F,MATCH(1604,'بيانات الحركات'!$G:$G,0)),"")</f>
        <v/>
      </c>
    </row>
    <row r="1606" spans="1:6" ht="21.95" customHeight="1">
      <c r="A1606" s="8" t="str">
        <f>IFERROR(INDEX('بيانات الحركات'!A:A,MATCH(1605,'بيانات الحركات'!$G:$G,0)),"")</f>
        <v/>
      </c>
      <c r="B1606" s="5" t="str">
        <f>IFERROR(INDEX('بيانات الحركات'!B:B,MATCH(1605,'بيانات الحركات'!$G:$G,0)),"")</f>
        <v/>
      </c>
      <c r="C1606" s="3" t="str">
        <f>IFERROR(INDEX('بيانات الحركات'!C:C,MATCH(1605,'بيانات الحركات'!$G:$G,0)),"")</f>
        <v/>
      </c>
      <c r="D1606" s="3" t="str">
        <f>IFERROR(INDEX('بيانات الحركات'!D:D,MATCH(1605,'بيانات الحركات'!$G:$G,0)),"")</f>
        <v/>
      </c>
      <c r="E1606" s="21" t="str">
        <f>IF($B1606="إنتاج طبخة","",IFERROR(INDEX('بيانات الحركات'!E:E,MATCH(1605,'بيانات الحركات'!$G:$G,0)),""))</f>
        <v/>
      </c>
      <c r="F1606" s="3" t="str">
        <f>IFERROR(INDEX('بيانات الحركات'!F:F,MATCH(1605,'بيانات الحركات'!$G:$G,0)),"")</f>
        <v/>
      </c>
    </row>
    <row r="1607" spans="1:6" ht="21.95" customHeight="1">
      <c r="A1607" s="8" t="str">
        <f>IFERROR(INDEX('بيانات الحركات'!A:A,MATCH(1606,'بيانات الحركات'!$G:$G,0)),"")</f>
        <v/>
      </c>
      <c r="B1607" s="5" t="str">
        <f>IFERROR(INDEX('بيانات الحركات'!B:B,MATCH(1606,'بيانات الحركات'!$G:$G,0)),"")</f>
        <v/>
      </c>
      <c r="C1607" s="3" t="str">
        <f>IFERROR(INDEX('بيانات الحركات'!C:C,MATCH(1606,'بيانات الحركات'!$G:$G,0)),"")</f>
        <v/>
      </c>
      <c r="D1607" s="3" t="str">
        <f>IFERROR(INDEX('بيانات الحركات'!D:D,MATCH(1606,'بيانات الحركات'!$G:$G,0)),"")</f>
        <v/>
      </c>
      <c r="E1607" s="21" t="str">
        <f>IF($B1607="إنتاج طبخة","",IFERROR(INDEX('بيانات الحركات'!E:E,MATCH(1606,'بيانات الحركات'!$G:$G,0)),""))</f>
        <v/>
      </c>
      <c r="F1607" s="3" t="str">
        <f>IFERROR(INDEX('بيانات الحركات'!F:F,MATCH(1606,'بيانات الحركات'!$G:$G,0)),"")</f>
        <v/>
      </c>
    </row>
    <row r="1608" spans="1:6" ht="21.95" customHeight="1">
      <c r="A1608" s="8" t="str">
        <f>IFERROR(INDEX('بيانات الحركات'!A:A,MATCH(1607,'بيانات الحركات'!$G:$G,0)),"")</f>
        <v/>
      </c>
      <c r="B1608" s="5" t="str">
        <f>IFERROR(INDEX('بيانات الحركات'!B:B,MATCH(1607,'بيانات الحركات'!$G:$G,0)),"")</f>
        <v/>
      </c>
      <c r="C1608" s="3" t="str">
        <f>IFERROR(INDEX('بيانات الحركات'!C:C,MATCH(1607,'بيانات الحركات'!$G:$G,0)),"")</f>
        <v/>
      </c>
      <c r="D1608" s="3" t="str">
        <f>IFERROR(INDEX('بيانات الحركات'!D:D,MATCH(1607,'بيانات الحركات'!$G:$G,0)),"")</f>
        <v/>
      </c>
      <c r="E1608" s="21" t="str">
        <f>IF($B1608="إنتاج طبخة","",IFERROR(INDEX('بيانات الحركات'!E:E,MATCH(1607,'بيانات الحركات'!$G:$G,0)),""))</f>
        <v/>
      </c>
      <c r="F1608" s="3" t="str">
        <f>IFERROR(INDEX('بيانات الحركات'!F:F,MATCH(1607,'بيانات الحركات'!$G:$G,0)),"")</f>
        <v/>
      </c>
    </row>
    <row r="1609" spans="1:6" ht="21.95" customHeight="1">
      <c r="A1609" s="8" t="str">
        <f>IFERROR(INDEX('بيانات الحركات'!A:A,MATCH(1608,'بيانات الحركات'!$G:$G,0)),"")</f>
        <v/>
      </c>
      <c r="B1609" s="5" t="str">
        <f>IFERROR(INDEX('بيانات الحركات'!B:B,MATCH(1608,'بيانات الحركات'!$G:$G,0)),"")</f>
        <v/>
      </c>
      <c r="C1609" s="3" t="str">
        <f>IFERROR(INDEX('بيانات الحركات'!C:C,MATCH(1608,'بيانات الحركات'!$G:$G,0)),"")</f>
        <v/>
      </c>
      <c r="D1609" s="3" t="str">
        <f>IFERROR(INDEX('بيانات الحركات'!D:D,MATCH(1608,'بيانات الحركات'!$G:$G,0)),"")</f>
        <v/>
      </c>
      <c r="E1609" s="21" t="str">
        <f>IF($B1609="إنتاج طبخة","",IFERROR(INDEX('بيانات الحركات'!E:E,MATCH(1608,'بيانات الحركات'!$G:$G,0)),""))</f>
        <v/>
      </c>
      <c r="F1609" s="3" t="str">
        <f>IFERROR(INDEX('بيانات الحركات'!F:F,MATCH(1608,'بيانات الحركات'!$G:$G,0)),"")</f>
        <v/>
      </c>
    </row>
    <row r="1610" spans="1:6" ht="21.95" customHeight="1">
      <c r="A1610" s="8" t="str">
        <f>IFERROR(INDEX('بيانات الحركات'!A:A,MATCH(1609,'بيانات الحركات'!$G:$G,0)),"")</f>
        <v/>
      </c>
      <c r="B1610" s="5" t="str">
        <f>IFERROR(INDEX('بيانات الحركات'!B:B,MATCH(1609,'بيانات الحركات'!$G:$G,0)),"")</f>
        <v/>
      </c>
      <c r="C1610" s="3" t="str">
        <f>IFERROR(INDEX('بيانات الحركات'!C:C,MATCH(1609,'بيانات الحركات'!$G:$G,0)),"")</f>
        <v/>
      </c>
      <c r="D1610" s="3" t="str">
        <f>IFERROR(INDEX('بيانات الحركات'!D:D,MATCH(1609,'بيانات الحركات'!$G:$G,0)),"")</f>
        <v/>
      </c>
      <c r="E1610" s="21" t="str">
        <f>IF($B1610="إنتاج طبخة","",IFERROR(INDEX('بيانات الحركات'!E:E,MATCH(1609,'بيانات الحركات'!$G:$G,0)),""))</f>
        <v/>
      </c>
      <c r="F1610" s="3" t="str">
        <f>IFERROR(INDEX('بيانات الحركات'!F:F,MATCH(1609,'بيانات الحركات'!$G:$G,0)),"")</f>
        <v/>
      </c>
    </row>
    <row r="1611" spans="1:6" ht="21.95" customHeight="1">
      <c r="A1611" s="8" t="str">
        <f>IFERROR(INDEX('بيانات الحركات'!A:A,MATCH(1610,'بيانات الحركات'!$G:$G,0)),"")</f>
        <v/>
      </c>
      <c r="B1611" s="5" t="str">
        <f>IFERROR(INDEX('بيانات الحركات'!B:B,MATCH(1610,'بيانات الحركات'!$G:$G,0)),"")</f>
        <v/>
      </c>
      <c r="C1611" s="3" t="str">
        <f>IFERROR(INDEX('بيانات الحركات'!C:C,MATCH(1610,'بيانات الحركات'!$G:$G,0)),"")</f>
        <v/>
      </c>
      <c r="D1611" s="3" t="str">
        <f>IFERROR(INDEX('بيانات الحركات'!D:D,MATCH(1610,'بيانات الحركات'!$G:$G,0)),"")</f>
        <v/>
      </c>
      <c r="E1611" s="21" t="str">
        <f>IF($B1611="إنتاج طبخة","",IFERROR(INDEX('بيانات الحركات'!E:E,MATCH(1610,'بيانات الحركات'!$G:$G,0)),""))</f>
        <v/>
      </c>
      <c r="F1611" s="3" t="str">
        <f>IFERROR(INDEX('بيانات الحركات'!F:F,MATCH(1610,'بيانات الحركات'!$G:$G,0)),"")</f>
        <v/>
      </c>
    </row>
    <row r="1612" spans="1:6" ht="21.95" customHeight="1">
      <c r="A1612" s="8" t="str">
        <f>IFERROR(INDEX('بيانات الحركات'!A:A,MATCH(1611,'بيانات الحركات'!$G:$G,0)),"")</f>
        <v/>
      </c>
      <c r="B1612" s="5" t="str">
        <f>IFERROR(INDEX('بيانات الحركات'!B:B,MATCH(1611,'بيانات الحركات'!$G:$G,0)),"")</f>
        <v/>
      </c>
      <c r="C1612" s="3" t="str">
        <f>IFERROR(INDEX('بيانات الحركات'!C:C,MATCH(1611,'بيانات الحركات'!$G:$G,0)),"")</f>
        <v/>
      </c>
      <c r="D1612" s="3" t="str">
        <f>IFERROR(INDEX('بيانات الحركات'!D:D,MATCH(1611,'بيانات الحركات'!$G:$G,0)),"")</f>
        <v/>
      </c>
      <c r="E1612" s="21" t="str">
        <f>IF($B1612="إنتاج طبخة","",IFERROR(INDEX('بيانات الحركات'!E:E,MATCH(1611,'بيانات الحركات'!$G:$G,0)),""))</f>
        <v/>
      </c>
      <c r="F1612" s="3" t="str">
        <f>IFERROR(INDEX('بيانات الحركات'!F:F,MATCH(1611,'بيانات الحركات'!$G:$G,0)),"")</f>
        <v/>
      </c>
    </row>
    <row r="1613" spans="1:6" ht="21.95" customHeight="1">
      <c r="A1613" s="8" t="str">
        <f>IFERROR(INDEX('بيانات الحركات'!A:A,MATCH(1612,'بيانات الحركات'!$G:$G,0)),"")</f>
        <v/>
      </c>
      <c r="B1613" s="5" t="str">
        <f>IFERROR(INDEX('بيانات الحركات'!B:B,MATCH(1612,'بيانات الحركات'!$G:$G,0)),"")</f>
        <v/>
      </c>
      <c r="C1613" s="3" t="str">
        <f>IFERROR(INDEX('بيانات الحركات'!C:C,MATCH(1612,'بيانات الحركات'!$G:$G,0)),"")</f>
        <v/>
      </c>
      <c r="D1613" s="3" t="str">
        <f>IFERROR(INDEX('بيانات الحركات'!D:D,MATCH(1612,'بيانات الحركات'!$G:$G,0)),"")</f>
        <v/>
      </c>
      <c r="E1613" s="21" t="str">
        <f>IF($B1613="إنتاج طبخة","",IFERROR(INDEX('بيانات الحركات'!E:E,MATCH(1612,'بيانات الحركات'!$G:$G,0)),""))</f>
        <v/>
      </c>
      <c r="F1613" s="3" t="str">
        <f>IFERROR(INDEX('بيانات الحركات'!F:F,MATCH(1612,'بيانات الحركات'!$G:$G,0)),"")</f>
        <v/>
      </c>
    </row>
    <row r="1614" spans="1:6" ht="21.95" customHeight="1">
      <c r="A1614" s="8" t="str">
        <f>IFERROR(INDEX('بيانات الحركات'!A:A,MATCH(1613,'بيانات الحركات'!$G:$G,0)),"")</f>
        <v/>
      </c>
      <c r="B1614" s="5" t="str">
        <f>IFERROR(INDEX('بيانات الحركات'!B:B,MATCH(1613,'بيانات الحركات'!$G:$G,0)),"")</f>
        <v/>
      </c>
      <c r="C1614" s="3" t="str">
        <f>IFERROR(INDEX('بيانات الحركات'!C:C,MATCH(1613,'بيانات الحركات'!$G:$G,0)),"")</f>
        <v/>
      </c>
      <c r="D1614" s="3" t="str">
        <f>IFERROR(INDEX('بيانات الحركات'!D:D,MATCH(1613,'بيانات الحركات'!$G:$G,0)),"")</f>
        <v/>
      </c>
      <c r="E1614" s="21" t="str">
        <f>IF($B1614="إنتاج طبخة","",IFERROR(INDEX('بيانات الحركات'!E:E,MATCH(1613,'بيانات الحركات'!$G:$G,0)),""))</f>
        <v/>
      </c>
      <c r="F1614" s="3" t="str">
        <f>IFERROR(INDEX('بيانات الحركات'!F:F,MATCH(1613,'بيانات الحركات'!$G:$G,0)),"")</f>
        <v/>
      </c>
    </row>
    <row r="1615" spans="1:6" ht="21.95" customHeight="1">
      <c r="A1615" s="8" t="str">
        <f>IFERROR(INDEX('بيانات الحركات'!A:A,MATCH(1614,'بيانات الحركات'!$G:$G,0)),"")</f>
        <v/>
      </c>
      <c r="B1615" s="5" t="str">
        <f>IFERROR(INDEX('بيانات الحركات'!B:B,MATCH(1614,'بيانات الحركات'!$G:$G,0)),"")</f>
        <v/>
      </c>
      <c r="C1615" s="3" t="str">
        <f>IFERROR(INDEX('بيانات الحركات'!C:C,MATCH(1614,'بيانات الحركات'!$G:$G,0)),"")</f>
        <v/>
      </c>
      <c r="D1615" s="3" t="str">
        <f>IFERROR(INDEX('بيانات الحركات'!D:D,MATCH(1614,'بيانات الحركات'!$G:$G,0)),"")</f>
        <v/>
      </c>
      <c r="E1615" s="21" t="str">
        <f>IF($B1615="إنتاج طبخة","",IFERROR(INDEX('بيانات الحركات'!E:E,MATCH(1614,'بيانات الحركات'!$G:$G,0)),""))</f>
        <v/>
      </c>
      <c r="F1615" s="3" t="str">
        <f>IFERROR(INDEX('بيانات الحركات'!F:F,MATCH(1614,'بيانات الحركات'!$G:$G,0)),"")</f>
        <v/>
      </c>
    </row>
    <row r="1616" spans="1:6" ht="21.95" customHeight="1">
      <c r="A1616" s="8" t="str">
        <f>IFERROR(INDEX('بيانات الحركات'!A:A,MATCH(1615,'بيانات الحركات'!$G:$G,0)),"")</f>
        <v/>
      </c>
      <c r="B1616" s="5" t="str">
        <f>IFERROR(INDEX('بيانات الحركات'!B:B,MATCH(1615,'بيانات الحركات'!$G:$G,0)),"")</f>
        <v/>
      </c>
      <c r="C1616" s="3" t="str">
        <f>IFERROR(INDEX('بيانات الحركات'!C:C,MATCH(1615,'بيانات الحركات'!$G:$G,0)),"")</f>
        <v/>
      </c>
      <c r="D1616" s="3" t="str">
        <f>IFERROR(INDEX('بيانات الحركات'!D:D,MATCH(1615,'بيانات الحركات'!$G:$G,0)),"")</f>
        <v/>
      </c>
      <c r="E1616" s="21" t="str">
        <f>IF($B1616="إنتاج طبخة","",IFERROR(INDEX('بيانات الحركات'!E:E,MATCH(1615,'بيانات الحركات'!$G:$G,0)),""))</f>
        <v/>
      </c>
      <c r="F1616" s="3" t="str">
        <f>IFERROR(INDEX('بيانات الحركات'!F:F,MATCH(1615,'بيانات الحركات'!$G:$G,0)),"")</f>
        <v/>
      </c>
    </row>
    <row r="1617" spans="1:6" ht="21.95" customHeight="1">
      <c r="A1617" s="8" t="str">
        <f>IFERROR(INDEX('بيانات الحركات'!A:A,MATCH(1616,'بيانات الحركات'!$G:$G,0)),"")</f>
        <v/>
      </c>
      <c r="B1617" s="5" t="str">
        <f>IFERROR(INDEX('بيانات الحركات'!B:B,MATCH(1616,'بيانات الحركات'!$G:$G,0)),"")</f>
        <v/>
      </c>
      <c r="C1617" s="3" t="str">
        <f>IFERROR(INDEX('بيانات الحركات'!C:C,MATCH(1616,'بيانات الحركات'!$G:$G,0)),"")</f>
        <v/>
      </c>
      <c r="D1617" s="3" t="str">
        <f>IFERROR(INDEX('بيانات الحركات'!D:D,MATCH(1616,'بيانات الحركات'!$G:$G,0)),"")</f>
        <v/>
      </c>
      <c r="E1617" s="21" t="str">
        <f>IF($B1617="إنتاج طبخة","",IFERROR(INDEX('بيانات الحركات'!E:E,MATCH(1616,'بيانات الحركات'!$G:$G,0)),""))</f>
        <v/>
      </c>
      <c r="F1617" s="3" t="str">
        <f>IFERROR(INDEX('بيانات الحركات'!F:F,MATCH(1616,'بيانات الحركات'!$G:$G,0)),"")</f>
        <v/>
      </c>
    </row>
    <row r="1618" spans="1:6" ht="21.95" customHeight="1">
      <c r="A1618" s="8" t="str">
        <f>IFERROR(INDEX('بيانات الحركات'!A:A,MATCH(1617,'بيانات الحركات'!$G:$G,0)),"")</f>
        <v/>
      </c>
      <c r="B1618" s="5" t="str">
        <f>IFERROR(INDEX('بيانات الحركات'!B:B,MATCH(1617,'بيانات الحركات'!$G:$G,0)),"")</f>
        <v/>
      </c>
      <c r="C1618" s="3" t="str">
        <f>IFERROR(INDEX('بيانات الحركات'!C:C,MATCH(1617,'بيانات الحركات'!$G:$G,0)),"")</f>
        <v/>
      </c>
      <c r="D1618" s="3" t="str">
        <f>IFERROR(INDEX('بيانات الحركات'!D:D,MATCH(1617,'بيانات الحركات'!$G:$G,0)),"")</f>
        <v/>
      </c>
      <c r="E1618" s="21" t="str">
        <f>IF($B1618="إنتاج طبخة","",IFERROR(INDEX('بيانات الحركات'!E:E,MATCH(1617,'بيانات الحركات'!$G:$G,0)),""))</f>
        <v/>
      </c>
      <c r="F1618" s="3" t="str">
        <f>IFERROR(INDEX('بيانات الحركات'!F:F,MATCH(1617,'بيانات الحركات'!$G:$G,0)),"")</f>
        <v/>
      </c>
    </row>
    <row r="1619" spans="1:6" ht="21.95" customHeight="1">
      <c r="A1619" s="8" t="str">
        <f>IFERROR(INDEX('بيانات الحركات'!A:A,MATCH(1618,'بيانات الحركات'!$G:$G,0)),"")</f>
        <v/>
      </c>
      <c r="B1619" s="5" t="str">
        <f>IFERROR(INDEX('بيانات الحركات'!B:B,MATCH(1618,'بيانات الحركات'!$G:$G,0)),"")</f>
        <v/>
      </c>
      <c r="C1619" s="3" t="str">
        <f>IFERROR(INDEX('بيانات الحركات'!C:C,MATCH(1618,'بيانات الحركات'!$G:$G,0)),"")</f>
        <v/>
      </c>
      <c r="D1619" s="3" t="str">
        <f>IFERROR(INDEX('بيانات الحركات'!D:D,MATCH(1618,'بيانات الحركات'!$G:$G,0)),"")</f>
        <v/>
      </c>
      <c r="E1619" s="21" t="str">
        <f>IF($B1619="إنتاج طبخة","",IFERROR(INDEX('بيانات الحركات'!E:E,MATCH(1618,'بيانات الحركات'!$G:$G,0)),""))</f>
        <v/>
      </c>
      <c r="F1619" s="3" t="str">
        <f>IFERROR(INDEX('بيانات الحركات'!F:F,MATCH(1618,'بيانات الحركات'!$G:$G,0)),"")</f>
        <v/>
      </c>
    </row>
    <row r="1620" spans="1:6" ht="21.95" customHeight="1">
      <c r="A1620" s="8" t="str">
        <f>IFERROR(INDEX('بيانات الحركات'!A:A,MATCH(1619,'بيانات الحركات'!$G:$G,0)),"")</f>
        <v/>
      </c>
      <c r="B1620" s="5" t="str">
        <f>IFERROR(INDEX('بيانات الحركات'!B:B,MATCH(1619,'بيانات الحركات'!$G:$G,0)),"")</f>
        <v/>
      </c>
      <c r="C1620" s="3" t="str">
        <f>IFERROR(INDEX('بيانات الحركات'!C:C,MATCH(1619,'بيانات الحركات'!$G:$G,0)),"")</f>
        <v/>
      </c>
      <c r="D1620" s="3" t="str">
        <f>IFERROR(INDEX('بيانات الحركات'!D:D,MATCH(1619,'بيانات الحركات'!$G:$G,0)),"")</f>
        <v/>
      </c>
      <c r="E1620" s="21" t="str">
        <f>IF($B1620="إنتاج طبخة","",IFERROR(INDEX('بيانات الحركات'!E:E,MATCH(1619,'بيانات الحركات'!$G:$G,0)),""))</f>
        <v/>
      </c>
      <c r="F1620" s="3" t="str">
        <f>IFERROR(INDEX('بيانات الحركات'!F:F,MATCH(1619,'بيانات الحركات'!$G:$G,0)),"")</f>
        <v/>
      </c>
    </row>
    <row r="1621" spans="1:6" ht="21.95" customHeight="1">
      <c r="A1621" s="8" t="str">
        <f>IFERROR(INDEX('بيانات الحركات'!A:A,MATCH(1620,'بيانات الحركات'!$G:$G,0)),"")</f>
        <v/>
      </c>
      <c r="B1621" s="5" t="str">
        <f>IFERROR(INDEX('بيانات الحركات'!B:B,MATCH(1620,'بيانات الحركات'!$G:$G,0)),"")</f>
        <v/>
      </c>
      <c r="C1621" s="3" t="str">
        <f>IFERROR(INDEX('بيانات الحركات'!C:C,MATCH(1620,'بيانات الحركات'!$G:$G,0)),"")</f>
        <v/>
      </c>
      <c r="D1621" s="3" t="str">
        <f>IFERROR(INDEX('بيانات الحركات'!D:D,MATCH(1620,'بيانات الحركات'!$G:$G,0)),"")</f>
        <v/>
      </c>
      <c r="E1621" s="21" t="str">
        <f>IF($B1621="إنتاج طبخة","",IFERROR(INDEX('بيانات الحركات'!E:E,MATCH(1620,'بيانات الحركات'!$G:$G,0)),""))</f>
        <v/>
      </c>
      <c r="F1621" s="3" t="str">
        <f>IFERROR(INDEX('بيانات الحركات'!F:F,MATCH(1620,'بيانات الحركات'!$G:$G,0)),"")</f>
        <v/>
      </c>
    </row>
    <row r="1622" spans="1:6" ht="21.95" customHeight="1">
      <c r="A1622" s="8" t="str">
        <f>IFERROR(INDEX('بيانات الحركات'!A:A,MATCH(1621,'بيانات الحركات'!$G:$G,0)),"")</f>
        <v/>
      </c>
      <c r="B1622" s="5" t="str">
        <f>IFERROR(INDEX('بيانات الحركات'!B:B,MATCH(1621,'بيانات الحركات'!$G:$G,0)),"")</f>
        <v/>
      </c>
      <c r="C1622" s="3" t="str">
        <f>IFERROR(INDEX('بيانات الحركات'!C:C,MATCH(1621,'بيانات الحركات'!$G:$G,0)),"")</f>
        <v/>
      </c>
      <c r="D1622" s="3" t="str">
        <f>IFERROR(INDEX('بيانات الحركات'!D:D,MATCH(1621,'بيانات الحركات'!$G:$G,0)),"")</f>
        <v/>
      </c>
      <c r="E1622" s="21" t="str">
        <f>IF($B1622="إنتاج طبخة","",IFERROR(INDEX('بيانات الحركات'!E:E,MATCH(1621,'بيانات الحركات'!$G:$G,0)),""))</f>
        <v/>
      </c>
      <c r="F1622" s="3" t="str">
        <f>IFERROR(INDEX('بيانات الحركات'!F:F,MATCH(1621,'بيانات الحركات'!$G:$G,0)),"")</f>
        <v/>
      </c>
    </row>
    <row r="1623" spans="1:6" ht="21.95" customHeight="1">
      <c r="A1623" s="8" t="str">
        <f>IFERROR(INDEX('بيانات الحركات'!A:A,MATCH(1622,'بيانات الحركات'!$G:$G,0)),"")</f>
        <v/>
      </c>
      <c r="B1623" s="5" t="str">
        <f>IFERROR(INDEX('بيانات الحركات'!B:B,MATCH(1622,'بيانات الحركات'!$G:$G,0)),"")</f>
        <v/>
      </c>
      <c r="C1623" s="3" t="str">
        <f>IFERROR(INDEX('بيانات الحركات'!C:C,MATCH(1622,'بيانات الحركات'!$G:$G,0)),"")</f>
        <v/>
      </c>
      <c r="D1623" s="3" t="str">
        <f>IFERROR(INDEX('بيانات الحركات'!D:D,MATCH(1622,'بيانات الحركات'!$G:$G,0)),"")</f>
        <v/>
      </c>
      <c r="E1623" s="21" t="str">
        <f>IF($B1623="إنتاج طبخة","",IFERROR(INDEX('بيانات الحركات'!E:E,MATCH(1622,'بيانات الحركات'!$G:$G,0)),""))</f>
        <v/>
      </c>
      <c r="F1623" s="3" t="str">
        <f>IFERROR(INDEX('بيانات الحركات'!F:F,MATCH(1622,'بيانات الحركات'!$G:$G,0)),"")</f>
        <v/>
      </c>
    </row>
    <row r="1624" spans="1:6" ht="21.95" customHeight="1">
      <c r="A1624" s="8" t="str">
        <f>IFERROR(INDEX('بيانات الحركات'!A:A,MATCH(1623,'بيانات الحركات'!$G:$G,0)),"")</f>
        <v/>
      </c>
      <c r="B1624" s="5" t="str">
        <f>IFERROR(INDEX('بيانات الحركات'!B:B,MATCH(1623,'بيانات الحركات'!$G:$G,0)),"")</f>
        <v/>
      </c>
      <c r="C1624" s="3" t="str">
        <f>IFERROR(INDEX('بيانات الحركات'!C:C,MATCH(1623,'بيانات الحركات'!$G:$G,0)),"")</f>
        <v/>
      </c>
      <c r="D1624" s="3" t="str">
        <f>IFERROR(INDEX('بيانات الحركات'!D:D,MATCH(1623,'بيانات الحركات'!$G:$G,0)),"")</f>
        <v/>
      </c>
      <c r="E1624" s="21" t="str">
        <f>IF($B1624="إنتاج طبخة","",IFERROR(INDEX('بيانات الحركات'!E:E,MATCH(1623,'بيانات الحركات'!$G:$G,0)),""))</f>
        <v/>
      </c>
      <c r="F1624" s="3" t="str">
        <f>IFERROR(INDEX('بيانات الحركات'!F:F,MATCH(1623,'بيانات الحركات'!$G:$G,0)),"")</f>
        <v/>
      </c>
    </row>
    <row r="1625" spans="1:6" ht="21.95" customHeight="1">
      <c r="A1625" s="8" t="str">
        <f>IFERROR(INDEX('بيانات الحركات'!A:A,MATCH(1624,'بيانات الحركات'!$G:$G,0)),"")</f>
        <v/>
      </c>
      <c r="B1625" s="5" t="str">
        <f>IFERROR(INDEX('بيانات الحركات'!B:B,MATCH(1624,'بيانات الحركات'!$G:$G,0)),"")</f>
        <v/>
      </c>
      <c r="C1625" s="3" t="str">
        <f>IFERROR(INDEX('بيانات الحركات'!C:C,MATCH(1624,'بيانات الحركات'!$G:$G,0)),"")</f>
        <v/>
      </c>
      <c r="D1625" s="3" t="str">
        <f>IFERROR(INDEX('بيانات الحركات'!D:D,MATCH(1624,'بيانات الحركات'!$G:$G,0)),"")</f>
        <v/>
      </c>
      <c r="E1625" s="21" t="str">
        <f>IF($B1625="إنتاج طبخة","",IFERROR(INDEX('بيانات الحركات'!E:E,MATCH(1624,'بيانات الحركات'!$G:$G,0)),""))</f>
        <v/>
      </c>
      <c r="F1625" s="3" t="str">
        <f>IFERROR(INDEX('بيانات الحركات'!F:F,MATCH(1624,'بيانات الحركات'!$G:$G,0)),"")</f>
        <v/>
      </c>
    </row>
    <row r="1626" spans="1:6" ht="21.95" customHeight="1">
      <c r="A1626" s="8" t="str">
        <f>IFERROR(INDEX('بيانات الحركات'!A:A,MATCH(1625,'بيانات الحركات'!$G:$G,0)),"")</f>
        <v/>
      </c>
      <c r="B1626" s="5" t="str">
        <f>IFERROR(INDEX('بيانات الحركات'!B:B,MATCH(1625,'بيانات الحركات'!$G:$G,0)),"")</f>
        <v/>
      </c>
      <c r="C1626" s="3" t="str">
        <f>IFERROR(INDEX('بيانات الحركات'!C:C,MATCH(1625,'بيانات الحركات'!$G:$G,0)),"")</f>
        <v/>
      </c>
      <c r="D1626" s="3" t="str">
        <f>IFERROR(INDEX('بيانات الحركات'!D:D,MATCH(1625,'بيانات الحركات'!$G:$G,0)),"")</f>
        <v/>
      </c>
      <c r="E1626" s="21" t="str">
        <f>IF($B1626="إنتاج طبخة","",IFERROR(INDEX('بيانات الحركات'!E:E,MATCH(1625,'بيانات الحركات'!$G:$G,0)),""))</f>
        <v/>
      </c>
      <c r="F1626" s="3" t="str">
        <f>IFERROR(INDEX('بيانات الحركات'!F:F,MATCH(1625,'بيانات الحركات'!$G:$G,0)),"")</f>
        <v/>
      </c>
    </row>
    <row r="1627" spans="1:6" ht="21.95" customHeight="1">
      <c r="A1627" s="8" t="str">
        <f>IFERROR(INDEX('بيانات الحركات'!A:A,MATCH(1626,'بيانات الحركات'!$G:$G,0)),"")</f>
        <v/>
      </c>
      <c r="B1627" s="5" t="str">
        <f>IFERROR(INDEX('بيانات الحركات'!B:B,MATCH(1626,'بيانات الحركات'!$G:$G,0)),"")</f>
        <v/>
      </c>
      <c r="C1627" s="3" t="str">
        <f>IFERROR(INDEX('بيانات الحركات'!C:C,MATCH(1626,'بيانات الحركات'!$G:$G,0)),"")</f>
        <v/>
      </c>
      <c r="D1627" s="3" t="str">
        <f>IFERROR(INDEX('بيانات الحركات'!D:D,MATCH(1626,'بيانات الحركات'!$G:$G,0)),"")</f>
        <v/>
      </c>
      <c r="E1627" s="21" t="str">
        <f>IF($B1627="إنتاج طبخة","",IFERROR(INDEX('بيانات الحركات'!E:E,MATCH(1626,'بيانات الحركات'!$G:$G,0)),""))</f>
        <v/>
      </c>
      <c r="F1627" s="3" t="str">
        <f>IFERROR(INDEX('بيانات الحركات'!F:F,MATCH(1626,'بيانات الحركات'!$G:$G,0)),"")</f>
        <v/>
      </c>
    </row>
    <row r="1628" spans="1:6" ht="21.95" customHeight="1">
      <c r="A1628" s="8" t="str">
        <f>IFERROR(INDEX('بيانات الحركات'!A:A,MATCH(1627,'بيانات الحركات'!$G:$G,0)),"")</f>
        <v/>
      </c>
      <c r="B1628" s="5" t="str">
        <f>IFERROR(INDEX('بيانات الحركات'!B:B,MATCH(1627,'بيانات الحركات'!$G:$G,0)),"")</f>
        <v/>
      </c>
      <c r="C1628" s="3" t="str">
        <f>IFERROR(INDEX('بيانات الحركات'!C:C,MATCH(1627,'بيانات الحركات'!$G:$G,0)),"")</f>
        <v/>
      </c>
      <c r="D1628" s="3" t="str">
        <f>IFERROR(INDEX('بيانات الحركات'!D:D,MATCH(1627,'بيانات الحركات'!$G:$G,0)),"")</f>
        <v/>
      </c>
      <c r="E1628" s="21" t="str">
        <f>IF($B1628="إنتاج طبخة","",IFERROR(INDEX('بيانات الحركات'!E:E,MATCH(1627,'بيانات الحركات'!$G:$G,0)),""))</f>
        <v/>
      </c>
      <c r="F1628" s="3" t="str">
        <f>IFERROR(INDEX('بيانات الحركات'!F:F,MATCH(1627,'بيانات الحركات'!$G:$G,0)),"")</f>
        <v/>
      </c>
    </row>
    <row r="1629" spans="1:6" ht="21.95" customHeight="1">
      <c r="A1629" s="8" t="str">
        <f>IFERROR(INDEX('بيانات الحركات'!A:A,MATCH(1628,'بيانات الحركات'!$G:$G,0)),"")</f>
        <v/>
      </c>
      <c r="B1629" s="5" t="str">
        <f>IFERROR(INDEX('بيانات الحركات'!B:B,MATCH(1628,'بيانات الحركات'!$G:$G,0)),"")</f>
        <v/>
      </c>
      <c r="C1629" s="3" t="str">
        <f>IFERROR(INDEX('بيانات الحركات'!C:C,MATCH(1628,'بيانات الحركات'!$G:$G,0)),"")</f>
        <v/>
      </c>
      <c r="D1629" s="3" t="str">
        <f>IFERROR(INDEX('بيانات الحركات'!D:D,MATCH(1628,'بيانات الحركات'!$G:$G,0)),"")</f>
        <v/>
      </c>
      <c r="E1629" s="21" t="str">
        <f>IF($B1629="إنتاج طبخة","",IFERROR(INDEX('بيانات الحركات'!E:E,MATCH(1628,'بيانات الحركات'!$G:$G,0)),""))</f>
        <v/>
      </c>
      <c r="F1629" s="3" t="str">
        <f>IFERROR(INDEX('بيانات الحركات'!F:F,MATCH(1628,'بيانات الحركات'!$G:$G,0)),"")</f>
        <v/>
      </c>
    </row>
    <row r="1630" spans="1:6" ht="21.95" customHeight="1">
      <c r="A1630" s="8" t="str">
        <f>IFERROR(INDEX('بيانات الحركات'!A:A,MATCH(1629,'بيانات الحركات'!$G:$G,0)),"")</f>
        <v/>
      </c>
      <c r="B1630" s="5" t="str">
        <f>IFERROR(INDEX('بيانات الحركات'!B:B,MATCH(1629,'بيانات الحركات'!$G:$G,0)),"")</f>
        <v/>
      </c>
      <c r="C1630" s="3" t="str">
        <f>IFERROR(INDEX('بيانات الحركات'!C:C,MATCH(1629,'بيانات الحركات'!$G:$G,0)),"")</f>
        <v/>
      </c>
      <c r="D1630" s="3" t="str">
        <f>IFERROR(INDEX('بيانات الحركات'!D:D,MATCH(1629,'بيانات الحركات'!$G:$G,0)),"")</f>
        <v/>
      </c>
      <c r="E1630" s="21" t="str">
        <f>IF($B1630="إنتاج طبخة","",IFERROR(INDEX('بيانات الحركات'!E:E,MATCH(1629,'بيانات الحركات'!$G:$G,0)),""))</f>
        <v/>
      </c>
      <c r="F1630" s="3" t="str">
        <f>IFERROR(INDEX('بيانات الحركات'!F:F,MATCH(1629,'بيانات الحركات'!$G:$G,0)),"")</f>
        <v/>
      </c>
    </row>
    <row r="1631" spans="1:6" ht="21.95" customHeight="1">
      <c r="A1631" s="8" t="str">
        <f>IFERROR(INDEX('بيانات الحركات'!A:A,MATCH(1630,'بيانات الحركات'!$G:$G,0)),"")</f>
        <v/>
      </c>
      <c r="B1631" s="5" t="str">
        <f>IFERROR(INDEX('بيانات الحركات'!B:B,MATCH(1630,'بيانات الحركات'!$G:$G,0)),"")</f>
        <v/>
      </c>
      <c r="C1631" s="3" t="str">
        <f>IFERROR(INDEX('بيانات الحركات'!C:C,MATCH(1630,'بيانات الحركات'!$G:$G,0)),"")</f>
        <v/>
      </c>
      <c r="D1631" s="3" t="str">
        <f>IFERROR(INDEX('بيانات الحركات'!D:D,MATCH(1630,'بيانات الحركات'!$G:$G,0)),"")</f>
        <v/>
      </c>
      <c r="E1631" s="21" t="str">
        <f>IF($B1631="إنتاج طبخة","",IFERROR(INDEX('بيانات الحركات'!E:E,MATCH(1630,'بيانات الحركات'!$G:$G,0)),""))</f>
        <v/>
      </c>
      <c r="F1631" s="3" t="str">
        <f>IFERROR(INDEX('بيانات الحركات'!F:F,MATCH(1630,'بيانات الحركات'!$G:$G,0)),"")</f>
        <v/>
      </c>
    </row>
    <row r="1632" spans="1:6" ht="21.95" customHeight="1">
      <c r="A1632" s="8" t="str">
        <f>IFERROR(INDEX('بيانات الحركات'!A:A,MATCH(1631,'بيانات الحركات'!$G:$G,0)),"")</f>
        <v/>
      </c>
      <c r="B1632" s="5" t="str">
        <f>IFERROR(INDEX('بيانات الحركات'!B:B,MATCH(1631,'بيانات الحركات'!$G:$G,0)),"")</f>
        <v/>
      </c>
      <c r="C1632" s="3" t="str">
        <f>IFERROR(INDEX('بيانات الحركات'!C:C,MATCH(1631,'بيانات الحركات'!$G:$G,0)),"")</f>
        <v/>
      </c>
      <c r="D1632" s="3" t="str">
        <f>IFERROR(INDEX('بيانات الحركات'!D:D,MATCH(1631,'بيانات الحركات'!$G:$G,0)),"")</f>
        <v/>
      </c>
      <c r="E1632" s="21" t="str">
        <f>IF($B1632="إنتاج طبخة","",IFERROR(INDEX('بيانات الحركات'!E:E,MATCH(1631,'بيانات الحركات'!$G:$G,0)),""))</f>
        <v/>
      </c>
      <c r="F1632" s="3" t="str">
        <f>IFERROR(INDEX('بيانات الحركات'!F:F,MATCH(1631,'بيانات الحركات'!$G:$G,0)),"")</f>
        <v/>
      </c>
    </row>
    <row r="1633" spans="1:6" ht="21.95" customHeight="1">
      <c r="A1633" s="8" t="str">
        <f>IFERROR(INDEX('بيانات الحركات'!A:A,MATCH(1632,'بيانات الحركات'!$G:$G,0)),"")</f>
        <v/>
      </c>
      <c r="B1633" s="5" t="str">
        <f>IFERROR(INDEX('بيانات الحركات'!B:B,MATCH(1632,'بيانات الحركات'!$G:$G,0)),"")</f>
        <v/>
      </c>
      <c r="C1633" s="3" t="str">
        <f>IFERROR(INDEX('بيانات الحركات'!C:C,MATCH(1632,'بيانات الحركات'!$G:$G,0)),"")</f>
        <v/>
      </c>
      <c r="D1633" s="3" t="str">
        <f>IFERROR(INDEX('بيانات الحركات'!D:D,MATCH(1632,'بيانات الحركات'!$G:$G,0)),"")</f>
        <v/>
      </c>
      <c r="E1633" s="21" t="str">
        <f>IF($B1633="إنتاج طبخة","",IFERROR(INDEX('بيانات الحركات'!E:E,MATCH(1632,'بيانات الحركات'!$G:$G,0)),""))</f>
        <v/>
      </c>
      <c r="F1633" s="3" t="str">
        <f>IFERROR(INDEX('بيانات الحركات'!F:F,MATCH(1632,'بيانات الحركات'!$G:$G,0)),"")</f>
        <v/>
      </c>
    </row>
    <row r="1634" spans="1:6" ht="21.95" customHeight="1">
      <c r="A1634" s="8" t="str">
        <f>IFERROR(INDEX('بيانات الحركات'!A:A,MATCH(1633,'بيانات الحركات'!$G:$G,0)),"")</f>
        <v/>
      </c>
      <c r="B1634" s="5" t="str">
        <f>IFERROR(INDEX('بيانات الحركات'!B:B,MATCH(1633,'بيانات الحركات'!$G:$G,0)),"")</f>
        <v/>
      </c>
      <c r="C1634" s="3" t="str">
        <f>IFERROR(INDEX('بيانات الحركات'!C:C,MATCH(1633,'بيانات الحركات'!$G:$G,0)),"")</f>
        <v/>
      </c>
      <c r="D1634" s="3" t="str">
        <f>IFERROR(INDEX('بيانات الحركات'!D:D,MATCH(1633,'بيانات الحركات'!$G:$G,0)),"")</f>
        <v/>
      </c>
      <c r="E1634" s="21" t="str">
        <f>IF($B1634="إنتاج طبخة","",IFERROR(INDEX('بيانات الحركات'!E:E,MATCH(1633,'بيانات الحركات'!$G:$G,0)),""))</f>
        <v/>
      </c>
      <c r="F1634" s="3" t="str">
        <f>IFERROR(INDEX('بيانات الحركات'!F:F,MATCH(1633,'بيانات الحركات'!$G:$G,0)),"")</f>
        <v/>
      </c>
    </row>
    <row r="1635" spans="1:6" ht="21.95" customHeight="1">
      <c r="A1635" s="8" t="str">
        <f>IFERROR(INDEX('بيانات الحركات'!A:A,MATCH(1634,'بيانات الحركات'!$G:$G,0)),"")</f>
        <v/>
      </c>
      <c r="B1635" s="5" t="str">
        <f>IFERROR(INDEX('بيانات الحركات'!B:B,MATCH(1634,'بيانات الحركات'!$G:$G,0)),"")</f>
        <v/>
      </c>
      <c r="C1635" s="3" t="str">
        <f>IFERROR(INDEX('بيانات الحركات'!C:C,MATCH(1634,'بيانات الحركات'!$G:$G,0)),"")</f>
        <v/>
      </c>
      <c r="D1635" s="3" t="str">
        <f>IFERROR(INDEX('بيانات الحركات'!D:D,MATCH(1634,'بيانات الحركات'!$G:$G,0)),"")</f>
        <v/>
      </c>
      <c r="E1635" s="21" t="str">
        <f>IF($B1635="إنتاج طبخة","",IFERROR(INDEX('بيانات الحركات'!E:E,MATCH(1634,'بيانات الحركات'!$G:$G,0)),""))</f>
        <v/>
      </c>
      <c r="F1635" s="3" t="str">
        <f>IFERROR(INDEX('بيانات الحركات'!F:F,MATCH(1634,'بيانات الحركات'!$G:$G,0)),"")</f>
        <v/>
      </c>
    </row>
    <row r="1636" spans="1:6" ht="21.95" customHeight="1">
      <c r="A1636" s="8" t="str">
        <f>IFERROR(INDEX('بيانات الحركات'!A:A,MATCH(1635,'بيانات الحركات'!$G:$G,0)),"")</f>
        <v/>
      </c>
      <c r="B1636" s="5" t="str">
        <f>IFERROR(INDEX('بيانات الحركات'!B:B,MATCH(1635,'بيانات الحركات'!$G:$G,0)),"")</f>
        <v/>
      </c>
      <c r="C1636" s="3" t="str">
        <f>IFERROR(INDEX('بيانات الحركات'!C:C,MATCH(1635,'بيانات الحركات'!$G:$G,0)),"")</f>
        <v/>
      </c>
      <c r="D1636" s="3" t="str">
        <f>IFERROR(INDEX('بيانات الحركات'!D:D,MATCH(1635,'بيانات الحركات'!$G:$G,0)),"")</f>
        <v/>
      </c>
      <c r="E1636" s="21" t="str">
        <f>IF($B1636="إنتاج طبخة","",IFERROR(INDEX('بيانات الحركات'!E:E,MATCH(1635,'بيانات الحركات'!$G:$G,0)),""))</f>
        <v/>
      </c>
      <c r="F1636" s="3" t="str">
        <f>IFERROR(INDEX('بيانات الحركات'!F:F,MATCH(1635,'بيانات الحركات'!$G:$G,0)),"")</f>
        <v/>
      </c>
    </row>
    <row r="1637" spans="1:6" ht="21.95" customHeight="1">
      <c r="A1637" s="8" t="str">
        <f>IFERROR(INDEX('بيانات الحركات'!A:A,MATCH(1636,'بيانات الحركات'!$G:$G,0)),"")</f>
        <v/>
      </c>
      <c r="B1637" s="5" t="str">
        <f>IFERROR(INDEX('بيانات الحركات'!B:B,MATCH(1636,'بيانات الحركات'!$G:$G,0)),"")</f>
        <v/>
      </c>
      <c r="C1637" s="3" t="str">
        <f>IFERROR(INDEX('بيانات الحركات'!C:C,MATCH(1636,'بيانات الحركات'!$G:$G,0)),"")</f>
        <v/>
      </c>
      <c r="D1637" s="3" t="str">
        <f>IFERROR(INDEX('بيانات الحركات'!D:D,MATCH(1636,'بيانات الحركات'!$G:$G,0)),"")</f>
        <v/>
      </c>
      <c r="E1637" s="21" t="str">
        <f>IF($B1637="إنتاج طبخة","",IFERROR(INDEX('بيانات الحركات'!E:E,MATCH(1636,'بيانات الحركات'!$G:$G,0)),""))</f>
        <v/>
      </c>
      <c r="F1637" s="3" t="str">
        <f>IFERROR(INDEX('بيانات الحركات'!F:F,MATCH(1636,'بيانات الحركات'!$G:$G,0)),"")</f>
        <v/>
      </c>
    </row>
    <row r="1638" spans="1:6" ht="21.95" customHeight="1">
      <c r="A1638" s="8" t="str">
        <f>IFERROR(INDEX('بيانات الحركات'!A:A,MATCH(1637,'بيانات الحركات'!$G:$G,0)),"")</f>
        <v/>
      </c>
      <c r="B1638" s="5" t="str">
        <f>IFERROR(INDEX('بيانات الحركات'!B:B,MATCH(1637,'بيانات الحركات'!$G:$G,0)),"")</f>
        <v/>
      </c>
      <c r="C1638" s="3" t="str">
        <f>IFERROR(INDEX('بيانات الحركات'!C:C,MATCH(1637,'بيانات الحركات'!$G:$G,0)),"")</f>
        <v/>
      </c>
      <c r="D1638" s="3" t="str">
        <f>IFERROR(INDEX('بيانات الحركات'!D:D,MATCH(1637,'بيانات الحركات'!$G:$G,0)),"")</f>
        <v/>
      </c>
      <c r="E1638" s="21" t="str">
        <f>IF($B1638="إنتاج طبخة","",IFERROR(INDEX('بيانات الحركات'!E:E,MATCH(1637,'بيانات الحركات'!$G:$G,0)),""))</f>
        <v/>
      </c>
      <c r="F1638" s="3" t="str">
        <f>IFERROR(INDEX('بيانات الحركات'!F:F,MATCH(1637,'بيانات الحركات'!$G:$G,0)),"")</f>
        <v/>
      </c>
    </row>
    <row r="1639" spans="1:6" ht="21.95" customHeight="1">
      <c r="A1639" s="8" t="str">
        <f>IFERROR(INDEX('بيانات الحركات'!A:A,MATCH(1638,'بيانات الحركات'!$G:$G,0)),"")</f>
        <v/>
      </c>
      <c r="B1639" s="5" t="str">
        <f>IFERROR(INDEX('بيانات الحركات'!B:B,MATCH(1638,'بيانات الحركات'!$G:$G,0)),"")</f>
        <v/>
      </c>
      <c r="C1639" s="3" t="str">
        <f>IFERROR(INDEX('بيانات الحركات'!C:C,MATCH(1638,'بيانات الحركات'!$G:$G,0)),"")</f>
        <v/>
      </c>
      <c r="D1639" s="3" t="str">
        <f>IFERROR(INDEX('بيانات الحركات'!D:D,MATCH(1638,'بيانات الحركات'!$G:$G,0)),"")</f>
        <v/>
      </c>
      <c r="E1639" s="21" t="str">
        <f>IF($B1639="إنتاج طبخة","",IFERROR(INDEX('بيانات الحركات'!E:E,MATCH(1638,'بيانات الحركات'!$G:$G,0)),""))</f>
        <v/>
      </c>
      <c r="F1639" s="3" t="str">
        <f>IFERROR(INDEX('بيانات الحركات'!F:F,MATCH(1638,'بيانات الحركات'!$G:$G,0)),"")</f>
        <v/>
      </c>
    </row>
    <row r="1640" spans="1:6" ht="21.95" customHeight="1">
      <c r="A1640" s="8" t="str">
        <f>IFERROR(INDEX('بيانات الحركات'!A:A,MATCH(1639,'بيانات الحركات'!$G:$G,0)),"")</f>
        <v/>
      </c>
      <c r="B1640" s="5" t="str">
        <f>IFERROR(INDEX('بيانات الحركات'!B:B,MATCH(1639,'بيانات الحركات'!$G:$G,0)),"")</f>
        <v/>
      </c>
      <c r="C1640" s="3" t="str">
        <f>IFERROR(INDEX('بيانات الحركات'!C:C,MATCH(1639,'بيانات الحركات'!$G:$G,0)),"")</f>
        <v/>
      </c>
      <c r="D1640" s="3" t="str">
        <f>IFERROR(INDEX('بيانات الحركات'!D:D,MATCH(1639,'بيانات الحركات'!$G:$G,0)),"")</f>
        <v/>
      </c>
      <c r="E1640" s="21" t="str">
        <f>IF($B1640="إنتاج طبخة","",IFERROR(INDEX('بيانات الحركات'!E:E,MATCH(1639,'بيانات الحركات'!$G:$G,0)),""))</f>
        <v/>
      </c>
      <c r="F1640" s="3" t="str">
        <f>IFERROR(INDEX('بيانات الحركات'!F:F,MATCH(1639,'بيانات الحركات'!$G:$G,0)),"")</f>
        <v/>
      </c>
    </row>
    <row r="1641" spans="1:6" ht="21.95" customHeight="1">
      <c r="A1641" s="8" t="str">
        <f>IFERROR(INDEX('بيانات الحركات'!A:A,MATCH(1640,'بيانات الحركات'!$G:$G,0)),"")</f>
        <v/>
      </c>
      <c r="B1641" s="5" t="str">
        <f>IFERROR(INDEX('بيانات الحركات'!B:B,MATCH(1640,'بيانات الحركات'!$G:$G,0)),"")</f>
        <v/>
      </c>
      <c r="C1641" s="3" t="str">
        <f>IFERROR(INDEX('بيانات الحركات'!C:C,MATCH(1640,'بيانات الحركات'!$G:$G,0)),"")</f>
        <v/>
      </c>
      <c r="D1641" s="3" t="str">
        <f>IFERROR(INDEX('بيانات الحركات'!D:D,MATCH(1640,'بيانات الحركات'!$G:$G,0)),"")</f>
        <v/>
      </c>
      <c r="E1641" s="21" t="str">
        <f>IF($B1641="إنتاج طبخة","",IFERROR(INDEX('بيانات الحركات'!E:E,MATCH(1640,'بيانات الحركات'!$G:$G,0)),""))</f>
        <v/>
      </c>
      <c r="F1641" s="3" t="str">
        <f>IFERROR(INDEX('بيانات الحركات'!F:F,MATCH(1640,'بيانات الحركات'!$G:$G,0)),"")</f>
        <v/>
      </c>
    </row>
    <row r="1642" spans="1:6" ht="21.95" customHeight="1">
      <c r="A1642" s="8" t="str">
        <f>IFERROR(INDEX('بيانات الحركات'!A:A,MATCH(1641,'بيانات الحركات'!$G:$G,0)),"")</f>
        <v/>
      </c>
      <c r="B1642" s="5" t="str">
        <f>IFERROR(INDEX('بيانات الحركات'!B:B,MATCH(1641,'بيانات الحركات'!$G:$G,0)),"")</f>
        <v/>
      </c>
      <c r="C1642" s="3" t="str">
        <f>IFERROR(INDEX('بيانات الحركات'!C:C,MATCH(1641,'بيانات الحركات'!$G:$G,0)),"")</f>
        <v/>
      </c>
      <c r="D1642" s="3" t="str">
        <f>IFERROR(INDEX('بيانات الحركات'!D:D,MATCH(1641,'بيانات الحركات'!$G:$G,0)),"")</f>
        <v/>
      </c>
      <c r="E1642" s="21" t="str">
        <f>IF($B1642="إنتاج طبخة","",IFERROR(INDEX('بيانات الحركات'!E:E,MATCH(1641,'بيانات الحركات'!$G:$G,0)),""))</f>
        <v/>
      </c>
      <c r="F1642" s="3" t="str">
        <f>IFERROR(INDEX('بيانات الحركات'!F:F,MATCH(1641,'بيانات الحركات'!$G:$G,0)),"")</f>
        <v/>
      </c>
    </row>
    <row r="1643" spans="1:6" ht="21.95" customHeight="1">
      <c r="A1643" s="8" t="str">
        <f>IFERROR(INDEX('بيانات الحركات'!A:A,MATCH(1642,'بيانات الحركات'!$G:$G,0)),"")</f>
        <v/>
      </c>
      <c r="B1643" s="5" t="str">
        <f>IFERROR(INDEX('بيانات الحركات'!B:B,MATCH(1642,'بيانات الحركات'!$G:$G,0)),"")</f>
        <v/>
      </c>
      <c r="C1643" s="3" t="str">
        <f>IFERROR(INDEX('بيانات الحركات'!C:C,MATCH(1642,'بيانات الحركات'!$G:$G,0)),"")</f>
        <v/>
      </c>
      <c r="D1643" s="3" t="str">
        <f>IFERROR(INDEX('بيانات الحركات'!D:D,MATCH(1642,'بيانات الحركات'!$G:$G,0)),"")</f>
        <v/>
      </c>
      <c r="E1643" s="21" t="str">
        <f>IF($B1643="إنتاج طبخة","",IFERROR(INDEX('بيانات الحركات'!E:E,MATCH(1642,'بيانات الحركات'!$G:$G,0)),""))</f>
        <v/>
      </c>
      <c r="F1643" s="3" t="str">
        <f>IFERROR(INDEX('بيانات الحركات'!F:F,MATCH(1642,'بيانات الحركات'!$G:$G,0)),"")</f>
        <v/>
      </c>
    </row>
    <row r="1644" spans="1:6" ht="21.95" customHeight="1">
      <c r="A1644" s="8" t="str">
        <f>IFERROR(INDEX('بيانات الحركات'!A:A,MATCH(1643,'بيانات الحركات'!$G:$G,0)),"")</f>
        <v/>
      </c>
      <c r="B1644" s="5" t="str">
        <f>IFERROR(INDEX('بيانات الحركات'!B:B,MATCH(1643,'بيانات الحركات'!$G:$G,0)),"")</f>
        <v/>
      </c>
      <c r="C1644" s="3" t="str">
        <f>IFERROR(INDEX('بيانات الحركات'!C:C,MATCH(1643,'بيانات الحركات'!$G:$G,0)),"")</f>
        <v/>
      </c>
      <c r="D1644" s="3" t="str">
        <f>IFERROR(INDEX('بيانات الحركات'!D:D,MATCH(1643,'بيانات الحركات'!$G:$G,0)),"")</f>
        <v/>
      </c>
      <c r="E1644" s="21" t="str">
        <f>IF($B1644="إنتاج طبخة","",IFERROR(INDEX('بيانات الحركات'!E:E,MATCH(1643,'بيانات الحركات'!$G:$G,0)),""))</f>
        <v/>
      </c>
      <c r="F1644" s="3" t="str">
        <f>IFERROR(INDEX('بيانات الحركات'!F:F,MATCH(1643,'بيانات الحركات'!$G:$G,0)),"")</f>
        <v/>
      </c>
    </row>
    <row r="1645" spans="1:6" ht="21.95" customHeight="1">
      <c r="A1645" s="8" t="str">
        <f>IFERROR(INDEX('بيانات الحركات'!A:A,MATCH(1644,'بيانات الحركات'!$G:$G,0)),"")</f>
        <v/>
      </c>
      <c r="B1645" s="5" t="str">
        <f>IFERROR(INDEX('بيانات الحركات'!B:B,MATCH(1644,'بيانات الحركات'!$G:$G,0)),"")</f>
        <v/>
      </c>
      <c r="C1645" s="3" t="str">
        <f>IFERROR(INDEX('بيانات الحركات'!C:C,MATCH(1644,'بيانات الحركات'!$G:$G,0)),"")</f>
        <v/>
      </c>
      <c r="D1645" s="3" t="str">
        <f>IFERROR(INDEX('بيانات الحركات'!D:D,MATCH(1644,'بيانات الحركات'!$G:$G,0)),"")</f>
        <v/>
      </c>
      <c r="E1645" s="21" t="str">
        <f>IF($B1645="إنتاج طبخة","",IFERROR(INDEX('بيانات الحركات'!E:E,MATCH(1644,'بيانات الحركات'!$G:$G,0)),""))</f>
        <v/>
      </c>
      <c r="F1645" s="3" t="str">
        <f>IFERROR(INDEX('بيانات الحركات'!F:F,MATCH(1644,'بيانات الحركات'!$G:$G,0)),"")</f>
        <v/>
      </c>
    </row>
    <row r="1646" spans="1:6" ht="21.95" customHeight="1">
      <c r="A1646" s="8" t="str">
        <f>IFERROR(INDEX('بيانات الحركات'!A:A,MATCH(1645,'بيانات الحركات'!$G:$G,0)),"")</f>
        <v/>
      </c>
      <c r="B1646" s="5" t="str">
        <f>IFERROR(INDEX('بيانات الحركات'!B:B,MATCH(1645,'بيانات الحركات'!$G:$G,0)),"")</f>
        <v/>
      </c>
      <c r="C1646" s="3" t="str">
        <f>IFERROR(INDEX('بيانات الحركات'!C:C,MATCH(1645,'بيانات الحركات'!$G:$G,0)),"")</f>
        <v/>
      </c>
      <c r="D1646" s="3" t="str">
        <f>IFERROR(INDEX('بيانات الحركات'!D:D,MATCH(1645,'بيانات الحركات'!$G:$G,0)),"")</f>
        <v/>
      </c>
      <c r="E1646" s="21" t="str">
        <f>IF($B1646="إنتاج طبخة","",IFERROR(INDEX('بيانات الحركات'!E:E,MATCH(1645,'بيانات الحركات'!$G:$G,0)),""))</f>
        <v/>
      </c>
      <c r="F1646" s="3" t="str">
        <f>IFERROR(INDEX('بيانات الحركات'!F:F,MATCH(1645,'بيانات الحركات'!$G:$G,0)),"")</f>
        <v/>
      </c>
    </row>
    <row r="1647" spans="1:6" ht="21.95" customHeight="1">
      <c r="A1647" s="8" t="str">
        <f>IFERROR(INDEX('بيانات الحركات'!A:A,MATCH(1646,'بيانات الحركات'!$G:$G,0)),"")</f>
        <v/>
      </c>
      <c r="B1647" s="5" t="str">
        <f>IFERROR(INDEX('بيانات الحركات'!B:B,MATCH(1646,'بيانات الحركات'!$G:$G,0)),"")</f>
        <v/>
      </c>
      <c r="C1647" s="3" t="str">
        <f>IFERROR(INDEX('بيانات الحركات'!C:C,MATCH(1646,'بيانات الحركات'!$G:$G,0)),"")</f>
        <v/>
      </c>
      <c r="D1647" s="3" t="str">
        <f>IFERROR(INDEX('بيانات الحركات'!D:D,MATCH(1646,'بيانات الحركات'!$G:$G,0)),"")</f>
        <v/>
      </c>
      <c r="E1647" s="21" t="str">
        <f>IF($B1647="إنتاج طبخة","",IFERROR(INDEX('بيانات الحركات'!E:E,MATCH(1646,'بيانات الحركات'!$G:$G,0)),""))</f>
        <v/>
      </c>
      <c r="F1647" s="3" t="str">
        <f>IFERROR(INDEX('بيانات الحركات'!F:F,MATCH(1646,'بيانات الحركات'!$G:$G,0)),"")</f>
        <v/>
      </c>
    </row>
    <row r="1648" spans="1:6" ht="21.95" customHeight="1">
      <c r="A1648" s="8" t="str">
        <f>IFERROR(INDEX('بيانات الحركات'!A:A,MATCH(1647,'بيانات الحركات'!$G:$G,0)),"")</f>
        <v/>
      </c>
      <c r="B1648" s="5" t="str">
        <f>IFERROR(INDEX('بيانات الحركات'!B:B,MATCH(1647,'بيانات الحركات'!$G:$G,0)),"")</f>
        <v/>
      </c>
      <c r="C1648" s="3" t="str">
        <f>IFERROR(INDEX('بيانات الحركات'!C:C,MATCH(1647,'بيانات الحركات'!$G:$G,0)),"")</f>
        <v/>
      </c>
      <c r="D1648" s="3" t="str">
        <f>IFERROR(INDEX('بيانات الحركات'!D:D,MATCH(1647,'بيانات الحركات'!$G:$G,0)),"")</f>
        <v/>
      </c>
      <c r="E1648" s="21" t="str">
        <f>IF($B1648="إنتاج طبخة","",IFERROR(INDEX('بيانات الحركات'!E:E,MATCH(1647,'بيانات الحركات'!$G:$G,0)),""))</f>
        <v/>
      </c>
      <c r="F1648" s="3" t="str">
        <f>IFERROR(INDEX('بيانات الحركات'!F:F,MATCH(1647,'بيانات الحركات'!$G:$G,0)),"")</f>
        <v/>
      </c>
    </row>
    <row r="1649" spans="1:6" ht="21.95" customHeight="1">
      <c r="A1649" s="8" t="str">
        <f>IFERROR(INDEX('بيانات الحركات'!A:A,MATCH(1648,'بيانات الحركات'!$G:$G,0)),"")</f>
        <v/>
      </c>
      <c r="B1649" s="5" t="str">
        <f>IFERROR(INDEX('بيانات الحركات'!B:B,MATCH(1648,'بيانات الحركات'!$G:$G,0)),"")</f>
        <v/>
      </c>
      <c r="C1649" s="3" t="str">
        <f>IFERROR(INDEX('بيانات الحركات'!C:C,MATCH(1648,'بيانات الحركات'!$G:$G,0)),"")</f>
        <v/>
      </c>
      <c r="D1649" s="3" t="str">
        <f>IFERROR(INDEX('بيانات الحركات'!D:D,MATCH(1648,'بيانات الحركات'!$G:$G,0)),"")</f>
        <v/>
      </c>
      <c r="E1649" s="21" t="str">
        <f>IF($B1649="إنتاج طبخة","",IFERROR(INDEX('بيانات الحركات'!E:E,MATCH(1648,'بيانات الحركات'!$G:$G,0)),""))</f>
        <v/>
      </c>
      <c r="F1649" s="3" t="str">
        <f>IFERROR(INDEX('بيانات الحركات'!F:F,MATCH(1648,'بيانات الحركات'!$G:$G,0)),"")</f>
        <v/>
      </c>
    </row>
    <row r="1650" spans="1:6" ht="21.95" customHeight="1">
      <c r="A1650" s="8" t="str">
        <f>IFERROR(INDEX('بيانات الحركات'!A:A,MATCH(1649,'بيانات الحركات'!$G:$G,0)),"")</f>
        <v/>
      </c>
      <c r="B1650" s="5" t="str">
        <f>IFERROR(INDEX('بيانات الحركات'!B:B,MATCH(1649,'بيانات الحركات'!$G:$G,0)),"")</f>
        <v/>
      </c>
      <c r="C1650" s="3" t="str">
        <f>IFERROR(INDEX('بيانات الحركات'!C:C,MATCH(1649,'بيانات الحركات'!$G:$G,0)),"")</f>
        <v/>
      </c>
      <c r="D1650" s="3" t="str">
        <f>IFERROR(INDEX('بيانات الحركات'!D:D,MATCH(1649,'بيانات الحركات'!$G:$G,0)),"")</f>
        <v/>
      </c>
      <c r="E1650" s="21" t="str">
        <f>IF($B1650="إنتاج طبخة","",IFERROR(INDEX('بيانات الحركات'!E:E,MATCH(1649,'بيانات الحركات'!$G:$G,0)),""))</f>
        <v/>
      </c>
      <c r="F1650" s="3" t="str">
        <f>IFERROR(INDEX('بيانات الحركات'!F:F,MATCH(1649,'بيانات الحركات'!$G:$G,0)),"")</f>
        <v/>
      </c>
    </row>
    <row r="1651" spans="1:6" ht="21.95" customHeight="1">
      <c r="A1651" s="8" t="str">
        <f>IFERROR(INDEX('بيانات الحركات'!A:A,MATCH(1650,'بيانات الحركات'!$G:$G,0)),"")</f>
        <v/>
      </c>
      <c r="B1651" s="5" t="str">
        <f>IFERROR(INDEX('بيانات الحركات'!B:B,MATCH(1650,'بيانات الحركات'!$G:$G,0)),"")</f>
        <v/>
      </c>
      <c r="C1651" s="3" t="str">
        <f>IFERROR(INDEX('بيانات الحركات'!C:C,MATCH(1650,'بيانات الحركات'!$G:$G,0)),"")</f>
        <v/>
      </c>
      <c r="D1651" s="3" t="str">
        <f>IFERROR(INDEX('بيانات الحركات'!D:D,MATCH(1650,'بيانات الحركات'!$G:$G,0)),"")</f>
        <v/>
      </c>
      <c r="E1651" s="21" t="str">
        <f>IF($B1651="إنتاج طبخة","",IFERROR(INDEX('بيانات الحركات'!E:E,MATCH(1650,'بيانات الحركات'!$G:$G,0)),""))</f>
        <v/>
      </c>
      <c r="F1651" s="3" t="str">
        <f>IFERROR(INDEX('بيانات الحركات'!F:F,MATCH(1650,'بيانات الحركات'!$G:$G,0)),"")</f>
        <v/>
      </c>
    </row>
    <row r="1652" spans="1:6" ht="21.95" customHeight="1">
      <c r="A1652" s="8" t="str">
        <f>IFERROR(INDEX('بيانات الحركات'!A:A,MATCH(1651,'بيانات الحركات'!$G:$G,0)),"")</f>
        <v/>
      </c>
      <c r="B1652" s="5" t="str">
        <f>IFERROR(INDEX('بيانات الحركات'!B:B,MATCH(1651,'بيانات الحركات'!$G:$G,0)),"")</f>
        <v/>
      </c>
      <c r="C1652" s="3" t="str">
        <f>IFERROR(INDEX('بيانات الحركات'!C:C,MATCH(1651,'بيانات الحركات'!$G:$G,0)),"")</f>
        <v/>
      </c>
      <c r="D1652" s="3" t="str">
        <f>IFERROR(INDEX('بيانات الحركات'!D:D,MATCH(1651,'بيانات الحركات'!$G:$G,0)),"")</f>
        <v/>
      </c>
      <c r="E1652" s="21" t="str">
        <f>IF($B1652="إنتاج طبخة","",IFERROR(INDEX('بيانات الحركات'!E:E,MATCH(1651,'بيانات الحركات'!$G:$G,0)),""))</f>
        <v/>
      </c>
      <c r="F1652" s="3" t="str">
        <f>IFERROR(INDEX('بيانات الحركات'!F:F,MATCH(1651,'بيانات الحركات'!$G:$G,0)),"")</f>
        <v/>
      </c>
    </row>
    <row r="1653" spans="1:6" ht="21.95" customHeight="1">
      <c r="A1653" s="8" t="str">
        <f>IFERROR(INDEX('بيانات الحركات'!A:A,MATCH(1652,'بيانات الحركات'!$G:$G,0)),"")</f>
        <v/>
      </c>
      <c r="B1653" s="5" t="str">
        <f>IFERROR(INDEX('بيانات الحركات'!B:B,MATCH(1652,'بيانات الحركات'!$G:$G,0)),"")</f>
        <v/>
      </c>
      <c r="C1653" s="3" t="str">
        <f>IFERROR(INDEX('بيانات الحركات'!C:C,MATCH(1652,'بيانات الحركات'!$G:$G,0)),"")</f>
        <v/>
      </c>
      <c r="D1653" s="3" t="str">
        <f>IFERROR(INDEX('بيانات الحركات'!D:D,MATCH(1652,'بيانات الحركات'!$G:$G,0)),"")</f>
        <v/>
      </c>
      <c r="E1653" s="21" t="str">
        <f>IF($B1653="إنتاج طبخة","",IFERROR(INDEX('بيانات الحركات'!E:E,MATCH(1652,'بيانات الحركات'!$G:$G,0)),""))</f>
        <v/>
      </c>
      <c r="F1653" s="3" t="str">
        <f>IFERROR(INDEX('بيانات الحركات'!F:F,MATCH(1652,'بيانات الحركات'!$G:$G,0)),"")</f>
        <v/>
      </c>
    </row>
    <row r="1654" spans="1:6" ht="21.95" customHeight="1">
      <c r="A1654" s="8" t="str">
        <f>IFERROR(INDEX('بيانات الحركات'!A:A,MATCH(1653,'بيانات الحركات'!$G:$G,0)),"")</f>
        <v/>
      </c>
      <c r="B1654" s="5" t="str">
        <f>IFERROR(INDEX('بيانات الحركات'!B:B,MATCH(1653,'بيانات الحركات'!$G:$G,0)),"")</f>
        <v/>
      </c>
      <c r="C1654" s="3" t="str">
        <f>IFERROR(INDEX('بيانات الحركات'!C:C,MATCH(1653,'بيانات الحركات'!$G:$G,0)),"")</f>
        <v/>
      </c>
      <c r="D1654" s="3" t="str">
        <f>IFERROR(INDEX('بيانات الحركات'!D:D,MATCH(1653,'بيانات الحركات'!$G:$G,0)),"")</f>
        <v/>
      </c>
      <c r="E1654" s="21" t="str">
        <f>IF($B1654="إنتاج طبخة","",IFERROR(INDEX('بيانات الحركات'!E:E,MATCH(1653,'بيانات الحركات'!$G:$G,0)),""))</f>
        <v/>
      </c>
      <c r="F1654" s="3" t="str">
        <f>IFERROR(INDEX('بيانات الحركات'!F:F,MATCH(1653,'بيانات الحركات'!$G:$G,0)),"")</f>
        <v/>
      </c>
    </row>
    <row r="1655" spans="1:6" ht="21.95" customHeight="1">
      <c r="A1655" s="8" t="str">
        <f>IFERROR(INDEX('بيانات الحركات'!A:A,MATCH(1654,'بيانات الحركات'!$G:$G,0)),"")</f>
        <v/>
      </c>
      <c r="B1655" s="5" t="str">
        <f>IFERROR(INDEX('بيانات الحركات'!B:B,MATCH(1654,'بيانات الحركات'!$G:$G,0)),"")</f>
        <v/>
      </c>
      <c r="C1655" s="3" t="str">
        <f>IFERROR(INDEX('بيانات الحركات'!C:C,MATCH(1654,'بيانات الحركات'!$G:$G,0)),"")</f>
        <v/>
      </c>
      <c r="D1655" s="3" t="str">
        <f>IFERROR(INDEX('بيانات الحركات'!D:D,MATCH(1654,'بيانات الحركات'!$G:$G,0)),"")</f>
        <v/>
      </c>
      <c r="E1655" s="21" t="str">
        <f>IF($B1655="إنتاج طبخة","",IFERROR(INDEX('بيانات الحركات'!E:E,MATCH(1654,'بيانات الحركات'!$G:$G,0)),""))</f>
        <v/>
      </c>
      <c r="F1655" s="3" t="str">
        <f>IFERROR(INDEX('بيانات الحركات'!F:F,MATCH(1654,'بيانات الحركات'!$G:$G,0)),"")</f>
        <v/>
      </c>
    </row>
    <row r="1656" spans="1:6" ht="21.95" customHeight="1">
      <c r="A1656" s="8" t="str">
        <f>IFERROR(INDEX('بيانات الحركات'!A:A,MATCH(1655,'بيانات الحركات'!$G:$G,0)),"")</f>
        <v/>
      </c>
      <c r="B1656" s="5" t="str">
        <f>IFERROR(INDEX('بيانات الحركات'!B:B,MATCH(1655,'بيانات الحركات'!$G:$G,0)),"")</f>
        <v/>
      </c>
      <c r="C1656" s="3" t="str">
        <f>IFERROR(INDEX('بيانات الحركات'!C:C,MATCH(1655,'بيانات الحركات'!$G:$G,0)),"")</f>
        <v/>
      </c>
      <c r="D1656" s="3" t="str">
        <f>IFERROR(INDEX('بيانات الحركات'!D:D,MATCH(1655,'بيانات الحركات'!$G:$G,0)),"")</f>
        <v/>
      </c>
      <c r="E1656" s="21" t="str">
        <f>IF($B1656="إنتاج طبخة","",IFERROR(INDEX('بيانات الحركات'!E:E,MATCH(1655,'بيانات الحركات'!$G:$G,0)),""))</f>
        <v/>
      </c>
      <c r="F1656" s="3" t="str">
        <f>IFERROR(INDEX('بيانات الحركات'!F:F,MATCH(1655,'بيانات الحركات'!$G:$G,0)),"")</f>
        <v/>
      </c>
    </row>
    <row r="1657" spans="1:6" ht="21.95" customHeight="1">
      <c r="A1657" s="8" t="str">
        <f>IFERROR(INDEX('بيانات الحركات'!A:A,MATCH(1656,'بيانات الحركات'!$G:$G,0)),"")</f>
        <v/>
      </c>
      <c r="B1657" s="5" t="str">
        <f>IFERROR(INDEX('بيانات الحركات'!B:B,MATCH(1656,'بيانات الحركات'!$G:$G,0)),"")</f>
        <v/>
      </c>
      <c r="C1657" s="3" t="str">
        <f>IFERROR(INDEX('بيانات الحركات'!C:C,MATCH(1656,'بيانات الحركات'!$G:$G,0)),"")</f>
        <v/>
      </c>
      <c r="D1657" s="3" t="str">
        <f>IFERROR(INDEX('بيانات الحركات'!D:D,MATCH(1656,'بيانات الحركات'!$G:$G,0)),"")</f>
        <v/>
      </c>
      <c r="E1657" s="21" t="str">
        <f>IF($B1657="إنتاج طبخة","",IFERROR(INDEX('بيانات الحركات'!E:E,MATCH(1656,'بيانات الحركات'!$G:$G,0)),""))</f>
        <v/>
      </c>
      <c r="F1657" s="3" t="str">
        <f>IFERROR(INDEX('بيانات الحركات'!F:F,MATCH(1656,'بيانات الحركات'!$G:$G,0)),"")</f>
        <v/>
      </c>
    </row>
    <row r="1658" spans="1:6" ht="21.95" customHeight="1">
      <c r="A1658" s="8" t="str">
        <f>IFERROR(INDEX('بيانات الحركات'!A:A,MATCH(1657,'بيانات الحركات'!$G:$G,0)),"")</f>
        <v/>
      </c>
      <c r="B1658" s="5" t="str">
        <f>IFERROR(INDEX('بيانات الحركات'!B:B,MATCH(1657,'بيانات الحركات'!$G:$G,0)),"")</f>
        <v/>
      </c>
      <c r="C1658" s="3" t="str">
        <f>IFERROR(INDEX('بيانات الحركات'!C:C,MATCH(1657,'بيانات الحركات'!$G:$G,0)),"")</f>
        <v/>
      </c>
      <c r="D1658" s="3" t="str">
        <f>IFERROR(INDEX('بيانات الحركات'!D:D,MATCH(1657,'بيانات الحركات'!$G:$G,0)),"")</f>
        <v/>
      </c>
      <c r="E1658" s="21" t="str">
        <f>IF($B1658="إنتاج طبخة","",IFERROR(INDEX('بيانات الحركات'!E:E,MATCH(1657,'بيانات الحركات'!$G:$G,0)),""))</f>
        <v/>
      </c>
      <c r="F1658" s="3" t="str">
        <f>IFERROR(INDEX('بيانات الحركات'!F:F,MATCH(1657,'بيانات الحركات'!$G:$G,0)),"")</f>
        <v/>
      </c>
    </row>
    <row r="1659" spans="1:6" ht="21.95" customHeight="1">
      <c r="A1659" s="8" t="str">
        <f>IFERROR(INDEX('بيانات الحركات'!A:A,MATCH(1658,'بيانات الحركات'!$G:$G,0)),"")</f>
        <v/>
      </c>
      <c r="B1659" s="5" t="str">
        <f>IFERROR(INDEX('بيانات الحركات'!B:B,MATCH(1658,'بيانات الحركات'!$G:$G,0)),"")</f>
        <v/>
      </c>
      <c r="C1659" s="3" t="str">
        <f>IFERROR(INDEX('بيانات الحركات'!C:C,MATCH(1658,'بيانات الحركات'!$G:$G,0)),"")</f>
        <v/>
      </c>
      <c r="D1659" s="3" t="str">
        <f>IFERROR(INDEX('بيانات الحركات'!D:D,MATCH(1658,'بيانات الحركات'!$G:$G,0)),"")</f>
        <v/>
      </c>
      <c r="E1659" s="21" t="str">
        <f>IF($B1659="إنتاج طبخة","",IFERROR(INDEX('بيانات الحركات'!E:E,MATCH(1658,'بيانات الحركات'!$G:$G,0)),""))</f>
        <v/>
      </c>
      <c r="F1659" s="3" t="str">
        <f>IFERROR(INDEX('بيانات الحركات'!F:F,MATCH(1658,'بيانات الحركات'!$G:$G,0)),"")</f>
        <v/>
      </c>
    </row>
    <row r="1660" spans="1:6" ht="21.95" customHeight="1">
      <c r="A1660" s="8" t="str">
        <f>IFERROR(INDEX('بيانات الحركات'!A:A,MATCH(1659,'بيانات الحركات'!$G:$G,0)),"")</f>
        <v/>
      </c>
      <c r="B1660" s="5" t="str">
        <f>IFERROR(INDEX('بيانات الحركات'!B:B,MATCH(1659,'بيانات الحركات'!$G:$G,0)),"")</f>
        <v/>
      </c>
      <c r="C1660" s="3" t="str">
        <f>IFERROR(INDEX('بيانات الحركات'!C:C,MATCH(1659,'بيانات الحركات'!$G:$G,0)),"")</f>
        <v/>
      </c>
      <c r="D1660" s="3" t="str">
        <f>IFERROR(INDEX('بيانات الحركات'!D:D,MATCH(1659,'بيانات الحركات'!$G:$G,0)),"")</f>
        <v/>
      </c>
      <c r="E1660" s="21" t="str">
        <f>IF($B1660="إنتاج طبخة","",IFERROR(INDEX('بيانات الحركات'!E:E,MATCH(1659,'بيانات الحركات'!$G:$G,0)),""))</f>
        <v/>
      </c>
      <c r="F1660" s="3" t="str">
        <f>IFERROR(INDEX('بيانات الحركات'!F:F,MATCH(1659,'بيانات الحركات'!$G:$G,0)),"")</f>
        <v/>
      </c>
    </row>
    <row r="1661" spans="1:6" ht="21.95" customHeight="1">
      <c r="A1661" s="8" t="str">
        <f>IFERROR(INDEX('بيانات الحركات'!A:A,MATCH(1660,'بيانات الحركات'!$G:$G,0)),"")</f>
        <v/>
      </c>
      <c r="B1661" s="5" t="str">
        <f>IFERROR(INDEX('بيانات الحركات'!B:B,MATCH(1660,'بيانات الحركات'!$G:$G,0)),"")</f>
        <v/>
      </c>
      <c r="C1661" s="3" t="str">
        <f>IFERROR(INDEX('بيانات الحركات'!C:C,MATCH(1660,'بيانات الحركات'!$G:$G,0)),"")</f>
        <v/>
      </c>
      <c r="D1661" s="3" t="str">
        <f>IFERROR(INDEX('بيانات الحركات'!D:D,MATCH(1660,'بيانات الحركات'!$G:$G,0)),"")</f>
        <v/>
      </c>
      <c r="E1661" s="21" t="str">
        <f>IF($B1661="إنتاج طبخة","",IFERROR(INDEX('بيانات الحركات'!E:E,MATCH(1660,'بيانات الحركات'!$G:$G,0)),""))</f>
        <v/>
      </c>
      <c r="F1661" s="3" t="str">
        <f>IFERROR(INDEX('بيانات الحركات'!F:F,MATCH(1660,'بيانات الحركات'!$G:$G,0)),"")</f>
        <v/>
      </c>
    </row>
    <row r="1662" spans="1:6" ht="21.95" customHeight="1">
      <c r="A1662" s="8" t="str">
        <f>IFERROR(INDEX('بيانات الحركات'!A:A,MATCH(1661,'بيانات الحركات'!$G:$G,0)),"")</f>
        <v/>
      </c>
      <c r="B1662" s="5" t="str">
        <f>IFERROR(INDEX('بيانات الحركات'!B:B,MATCH(1661,'بيانات الحركات'!$G:$G,0)),"")</f>
        <v/>
      </c>
      <c r="C1662" s="3" t="str">
        <f>IFERROR(INDEX('بيانات الحركات'!C:C,MATCH(1661,'بيانات الحركات'!$G:$G,0)),"")</f>
        <v/>
      </c>
      <c r="D1662" s="3" t="str">
        <f>IFERROR(INDEX('بيانات الحركات'!D:D,MATCH(1661,'بيانات الحركات'!$G:$G,0)),"")</f>
        <v/>
      </c>
      <c r="E1662" s="21" t="str">
        <f>IF($B1662="إنتاج طبخة","",IFERROR(INDEX('بيانات الحركات'!E:E,MATCH(1661,'بيانات الحركات'!$G:$G,0)),""))</f>
        <v/>
      </c>
      <c r="F1662" s="3" t="str">
        <f>IFERROR(INDEX('بيانات الحركات'!F:F,MATCH(1661,'بيانات الحركات'!$G:$G,0)),"")</f>
        <v/>
      </c>
    </row>
    <row r="1663" spans="1:6" ht="21.95" customHeight="1">
      <c r="A1663" s="8" t="str">
        <f>IFERROR(INDEX('بيانات الحركات'!A:A,MATCH(1662,'بيانات الحركات'!$G:$G,0)),"")</f>
        <v/>
      </c>
      <c r="B1663" s="5" t="str">
        <f>IFERROR(INDEX('بيانات الحركات'!B:B,MATCH(1662,'بيانات الحركات'!$G:$G,0)),"")</f>
        <v/>
      </c>
      <c r="C1663" s="3" t="str">
        <f>IFERROR(INDEX('بيانات الحركات'!C:C,MATCH(1662,'بيانات الحركات'!$G:$G,0)),"")</f>
        <v/>
      </c>
      <c r="D1663" s="3" t="str">
        <f>IFERROR(INDEX('بيانات الحركات'!D:D,MATCH(1662,'بيانات الحركات'!$G:$G,0)),"")</f>
        <v/>
      </c>
      <c r="E1663" s="21" t="str">
        <f>IF($B1663="إنتاج طبخة","",IFERROR(INDEX('بيانات الحركات'!E:E,MATCH(1662,'بيانات الحركات'!$G:$G,0)),""))</f>
        <v/>
      </c>
      <c r="F1663" s="3" t="str">
        <f>IFERROR(INDEX('بيانات الحركات'!F:F,MATCH(1662,'بيانات الحركات'!$G:$G,0)),"")</f>
        <v/>
      </c>
    </row>
    <row r="1664" spans="1:6" ht="21.95" customHeight="1">
      <c r="A1664" s="8" t="str">
        <f>IFERROR(INDEX('بيانات الحركات'!A:A,MATCH(1663,'بيانات الحركات'!$G:$G,0)),"")</f>
        <v/>
      </c>
      <c r="B1664" s="5" t="str">
        <f>IFERROR(INDEX('بيانات الحركات'!B:B,MATCH(1663,'بيانات الحركات'!$G:$G,0)),"")</f>
        <v/>
      </c>
      <c r="C1664" s="3" t="str">
        <f>IFERROR(INDEX('بيانات الحركات'!C:C,MATCH(1663,'بيانات الحركات'!$G:$G,0)),"")</f>
        <v/>
      </c>
      <c r="D1664" s="3" t="str">
        <f>IFERROR(INDEX('بيانات الحركات'!D:D,MATCH(1663,'بيانات الحركات'!$G:$G,0)),"")</f>
        <v/>
      </c>
      <c r="E1664" s="21" t="str">
        <f>IF($B1664="إنتاج طبخة","",IFERROR(INDEX('بيانات الحركات'!E:E,MATCH(1663,'بيانات الحركات'!$G:$G,0)),""))</f>
        <v/>
      </c>
      <c r="F1664" s="3" t="str">
        <f>IFERROR(INDEX('بيانات الحركات'!F:F,MATCH(1663,'بيانات الحركات'!$G:$G,0)),"")</f>
        <v/>
      </c>
    </row>
    <row r="1665" spans="1:6" ht="21.95" customHeight="1">
      <c r="A1665" s="8" t="str">
        <f>IFERROR(INDEX('بيانات الحركات'!A:A,MATCH(1664,'بيانات الحركات'!$G:$G,0)),"")</f>
        <v/>
      </c>
      <c r="B1665" s="5" t="str">
        <f>IFERROR(INDEX('بيانات الحركات'!B:B,MATCH(1664,'بيانات الحركات'!$G:$G,0)),"")</f>
        <v/>
      </c>
      <c r="C1665" s="3" t="str">
        <f>IFERROR(INDEX('بيانات الحركات'!C:C,MATCH(1664,'بيانات الحركات'!$G:$G,0)),"")</f>
        <v/>
      </c>
      <c r="D1665" s="3" t="str">
        <f>IFERROR(INDEX('بيانات الحركات'!D:D,MATCH(1664,'بيانات الحركات'!$G:$G,0)),"")</f>
        <v/>
      </c>
      <c r="E1665" s="21" t="str">
        <f>IF($B1665="إنتاج طبخة","",IFERROR(INDEX('بيانات الحركات'!E:E,MATCH(1664,'بيانات الحركات'!$G:$G,0)),""))</f>
        <v/>
      </c>
      <c r="F1665" s="3" t="str">
        <f>IFERROR(INDEX('بيانات الحركات'!F:F,MATCH(1664,'بيانات الحركات'!$G:$G,0)),"")</f>
        <v/>
      </c>
    </row>
    <row r="1666" spans="1:6" ht="21.95" customHeight="1">
      <c r="A1666" s="8" t="str">
        <f>IFERROR(INDEX('بيانات الحركات'!A:A,MATCH(1665,'بيانات الحركات'!$G:$G,0)),"")</f>
        <v/>
      </c>
      <c r="B1666" s="5" t="str">
        <f>IFERROR(INDEX('بيانات الحركات'!B:B,MATCH(1665,'بيانات الحركات'!$G:$G,0)),"")</f>
        <v/>
      </c>
      <c r="C1666" s="3" t="str">
        <f>IFERROR(INDEX('بيانات الحركات'!C:C,MATCH(1665,'بيانات الحركات'!$G:$G,0)),"")</f>
        <v/>
      </c>
      <c r="D1666" s="3" t="str">
        <f>IFERROR(INDEX('بيانات الحركات'!D:D,MATCH(1665,'بيانات الحركات'!$G:$G,0)),"")</f>
        <v/>
      </c>
      <c r="E1666" s="21" t="str">
        <f>IF($B1666="إنتاج طبخة","",IFERROR(INDEX('بيانات الحركات'!E:E,MATCH(1665,'بيانات الحركات'!$G:$G,0)),""))</f>
        <v/>
      </c>
      <c r="F1666" s="3" t="str">
        <f>IFERROR(INDEX('بيانات الحركات'!F:F,MATCH(1665,'بيانات الحركات'!$G:$G,0)),"")</f>
        <v/>
      </c>
    </row>
    <row r="1667" spans="1:6" ht="21.95" customHeight="1">
      <c r="A1667" s="8" t="str">
        <f>IFERROR(INDEX('بيانات الحركات'!A:A,MATCH(1666,'بيانات الحركات'!$G:$G,0)),"")</f>
        <v/>
      </c>
      <c r="B1667" s="5" t="str">
        <f>IFERROR(INDEX('بيانات الحركات'!B:B,MATCH(1666,'بيانات الحركات'!$G:$G,0)),"")</f>
        <v/>
      </c>
      <c r="C1667" s="3" t="str">
        <f>IFERROR(INDEX('بيانات الحركات'!C:C,MATCH(1666,'بيانات الحركات'!$G:$G,0)),"")</f>
        <v/>
      </c>
      <c r="D1667" s="3" t="str">
        <f>IFERROR(INDEX('بيانات الحركات'!D:D,MATCH(1666,'بيانات الحركات'!$G:$G,0)),"")</f>
        <v/>
      </c>
      <c r="E1667" s="21" t="str">
        <f>IF($B1667="إنتاج طبخة","",IFERROR(INDEX('بيانات الحركات'!E:E,MATCH(1666,'بيانات الحركات'!$G:$G,0)),""))</f>
        <v/>
      </c>
      <c r="F1667" s="3" t="str">
        <f>IFERROR(INDEX('بيانات الحركات'!F:F,MATCH(1666,'بيانات الحركات'!$G:$G,0)),"")</f>
        <v/>
      </c>
    </row>
    <row r="1668" spans="1:6" ht="21.95" customHeight="1">
      <c r="A1668" s="8" t="str">
        <f>IFERROR(INDEX('بيانات الحركات'!A:A,MATCH(1667,'بيانات الحركات'!$G:$G,0)),"")</f>
        <v/>
      </c>
      <c r="B1668" s="5" t="str">
        <f>IFERROR(INDEX('بيانات الحركات'!B:B,MATCH(1667,'بيانات الحركات'!$G:$G,0)),"")</f>
        <v/>
      </c>
      <c r="C1668" s="3" t="str">
        <f>IFERROR(INDEX('بيانات الحركات'!C:C,MATCH(1667,'بيانات الحركات'!$G:$G,0)),"")</f>
        <v/>
      </c>
      <c r="D1668" s="3" t="str">
        <f>IFERROR(INDEX('بيانات الحركات'!D:D,MATCH(1667,'بيانات الحركات'!$G:$G,0)),"")</f>
        <v/>
      </c>
      <c r="E1668" s="21" t="str">
        <f>IF($B1668="إنتاج طبخة","",IFERROR(INDEX('بيانات الحركات'!E:E,MATCH(1667,'بيانات الحركات'!$G:$G,0)),""))</f>
        <v/>
      </c>
      <c r="F1668" s="3" t="str">
        <f>IFERROR(INDEX('بيانات الحركات'!F:F,MATCH(1667,'بيانات الحركات'!$G:$G,0)),"")</f>
        <v/>
      </c>
    </row>
    <row r="1669" spans="1:6" ht="21.95" customHeight="1">
      <c r="A1669" s="8" t="str">
        <f>IFERROR(INDEX('بيانات الحركات'!A:A,MATCH(1668,'بيانات الحركات'!$G:$G,0)),"")</f>
        <v/>
      </c>
      <c r="B1669" s="5" t="str">
        <f>IFERROR(INDEX('بيانات الحركات'!B:B,MATCH(1668,'بيانات الحركات'!$G:$G,0)),"")</f>
        <v/>
      </c>
      <c r="C1669" s="3" t="str">
        <f>IFERROR(INDEX('بيانات الحركات'!C:C,MATCH(1668,'بيانات الحركات'!$G:$G,0)),"")</f>
        <v/>
      </c>
      <c r="D1669" s="3" t="str">
        <f>IFERROR(INDEX('بيانات الحركات'!D:D,MATCH(1668,'بيانات الحركات'!$G:$G,0)),"")</f>
        <v/>
      </c>
      <c r="E1669" s="21" t="str">
        <f>IF($B1669="إنتاج طبخة","",IFERROR(INDEX('بيانات الحركات'!E:E,MATCH(1668,'بيانات الحركات'!$G:$G,0)),""))</f>
        <v/>
      </c>
      <c r="F1669" s="3" t="str">
        <f>IFERROR(INDEX('بيانات الحركات'!F:F,MATCH(1668,'بيانات الحركات'!$G:$G,0)),"")</f>
        <v/>
      </c>
    </row>
    <row r="1670" spans="1:6" ht="21.95" customHeight="1">
      <c r="A1670" s="8" t="str">
        <f>IFERROR(INDEX('بيانات الحركات'!A:A,MATCH(1669,'بيانات الحركات'!$G:$G,0)),"")</f>
        <v/>
      </c>
      <c r="B1670" s="5" t="str">
        <f>IFERROR(INDEX('بيانات الحركات'!B:B,MATCH(1669,'بيانات الحركات'!$G:$G,0)),"")</f>
        <v/>
      </c>
      <c r="C1670" s="3" t="str">
        <f>IFERROR(INDEX('بيانات الحركات'!C:C,MATCH(1669,'بيانات الحركات'!$G:$G,0)),"")</f>
        <v/>
      </c>
      <c r="D1670" s="3" t="str">
        <f>IFERROR(INDEX('بيانات الحركات'!D:D,MATCH(1669,'بيانات الحركات'!$G:$G,0)),"")</f>
        <v/>
      </c>
      <c r="E1670" s="21" t="str">
        <f>IF($B1670="إنتاج طبخة","",IFERROR(INDEX('بيانات الحركات'!E:E,MATCH(1669,'بيانات الحركات'!$G:$G,0)),""))</f>
        <v/>
      </c>
      <c r="F1670" s="3" t="str">
        <f>IFERROR(INDEX('بيانات الحركات'!F:F,MATCH(1669,'بيانات الحركات'!$G:$G,0)),"")</f>
        <v/>
      </c>
    </row>
    <row r="1671" spans="1:6" ht="21.95" customHeight="1">
      <c r="A1671" s="8" t="str">
        <f>IFERROR(INDEX('بيانات الحركات'!A:A,MATCH(1670,'بيانات الحركات'!$G:$G,0)),"")</f>
        <v/>
      </c>
      <c r="B1671" s="5" t="str">
        <f>IFERROR(INDEX('بيانات الحركات'!B:B,MATCH(1670,'بيانات الحركات'!$G:$G,0)),"")</f>
        <v/>
      </c>
      <c r="C1671" s="3" t="str">
        <f>IFERROR(INDEX('بيانات الحركات'!C:C,MATCH(1670,'بيانات الحركات'!$G:$G,0)),"")</f>
        <v/>
      </c>
      <c r="D1671" s="3" t="str">
        <f>IFERROR(INDEX('بيانات الحركات'!D:D,MATCH(1670,'بيانات الحركات'!$G:$G,0)),"")</f>
        <v/>
      </c>
      <c r="E1671" s="21" t="str">
        <f>IF($B1671="إنتاج طبخة","",IFERROR(INDEX('بيانات الحركات'!E:E,MATCH(1670,'بيانات الحركات'!$G:$G,0)),""))</f>
        <v/>
      </c>
      <c r="F1671" s="3" t="str">
        <f>IFERROR(INDEX('بيانات الحركات'!F:F,MATCH(1670,'بيانات الحركات'!$G:$G,0)),"")</f>
        <v/>
      </c>
    </row>
    <row r="1672" spans="1:6" ht="21.95" customHeight="1">
      <c r="A1672" s="8" t="str">
        <f>IFERROR(INDEX('بيانات الحركات'!A:A,MATCH(1671,'بيانات الحركات'!$G:$G,0)),"")</f>
        <v/>
      </c>
      <c r="B1672" s="5" t="str">
        <f>IFERROR(INDEX('بيانات الحركات'!B:B,MATCH(1671,'بيانات الحركات'!$G:$G,0)),"")</f>
        <v/>
      </c>
      <c r="C1672" s="3" t="str">
        <f>IFERROR(INDEX('بيانات الحركات'!C:C,MATCH(1671,'بيانات الحركات'!$G:$G,0)),"")</f>
        <v/>
      </c>
      <c r="D1672" s="3" t="str">
        <f>IFERROR(INDEX('بيانات الحركات'!D:D,MATCH(1671,'بيانات الحركات'!$G:$G,0)),"")</f>
        <v/>
      </c>
      <c r="E1672" s="21" t="str">
        <f>IF($B1672="إنتاج طبخة","",IFERROR(INDEX('بيانات الحركات'!E:E,MATCH(1671,'بيانات الحركات'!$G:$G,0)),""))</f>
        <v/>
      </c>
      <c r="F1672" s="3" t="str">
        <f>IFERROR(INDEX('بيانات الحركات'!F:F,MATCH(1671,'بيانات الحركات'!$G:$G,0)),"")</f>
        <v/>
      </c>
    </row>
    <row r="1673" spans="1:6" ht="21.95" customHeight="1">
      <c r="A1673" s="8" t="str">
        <f>IFERROR(INDEX('بيانات الحركات'!A:A,MATCH(1672,'بيانات الحركات'!$G:$G,0)),"")</f>
        <v/>
      </c>
      <c r="B1673" s="5" t="str">
        <f>IFERROR(INDEX('بيانات الحركات'!B:B,MATCH(1672,'بيانات الحركات'!$G:$G,0)),"")</f>
        <v/>
      </c>
      <c r="C1673" s="3" t="str">
        <f>IFERROR(INDEX('بيانات الحركات'!C:C,MATCH(1672,'بيانات الحركات'!$G:$G,0)),"")</f>
        <v/>
      </c>
      <c r="D1673" s="3" t="str">
        <f>IFERROR(INDEX('بيانات الحركات'!D:D,MATCH(1672,'بيانات الحركات'!$G:$G,0)),"")</f>
        <v/>
      </c>
      <c r="E1673" s="21" t="str">
        <f>IF($B1673="إنتاج طبخة","",IFERROR(INDEX('بيانات الحركات'!E:E,MATCH(1672,'بيانات الحركات'!$G:$G,0)),""))</f>
        <v/>
      </c>
      <c r="F1673" s="3" t="str">
        <f>IFERROR(INDEX('بيانات الحركات'!F:F,MATCH(1672,'بيانات الحركات'!$G:$G,0)),"")</f>
        <v/>
      </c>
    </row>
    <row r="1674" spans="1:6" ht="21.95" customHeight="1">
      <c r="A1674" s="8" t="str">
        <f>IFERROR(INDEX('بيانات الحركات'!A:A,MATCH(1673,'بيانات الحركات'!$G:$G,0)),"")</f>
        <v/>
      </c>
      <c r="B1674" s="5" t="str">
        <f>IFERROR(INDEX('بيانات الحركات'!B:B,MATCH(1673,'بيانات الحركات'!$G:$G,0)),"")</f>
        <v/>
      </c>
      <c r="C1674" s="3" t="str">
        <f>IFERROR(INDEX('بيانات الحركات'!C:C,MATCH(1673,'بيانات الحركات'!$G:$G,0)),"")</f>
        <v/>
      </c>
      <c r="D1674" s="3" t="str">
        <f>IFERROR(INDEX('بيانات الحركات'!D:D,MATCH(1673,'بيانات الحركات'!$G:$G,0)),"")</f>
        <v/>
      </c>
      <c r="E1674" s="21" t="str">
        <f>IF($B1674="إنتاج طبخة","",IFERROR(INDEX('بيانات الحركات'!E:E,MATCH(1673,'بيانات الحركات'!$G:$G,0)),""))</f>
        <v/>
      </c>
      <c r="F1674" s="3" t="str">
        <f>IFERROR(INDEX('بيانات الحركات'!F:F,MATCH(1673,'بيانات الحركات'!$G:$G,0)),"")</f>
        <v/>
      </c>
    </row>
    <row r="1675" spans="1:6" ht="21.95" customHeight="1">
      <c r="A1675" s="8" t="str">
        <f>IFERROR(INDEX('بيانات الحركات'!A:A,MATCH(1674,'بيانات الحركات'!$G:$G,0)),"")</f>
        <v/>
      </c>
      <c r="B1675" s="5" t="str">
        <f>IFERROR(INDEX('بيانات الحركات'!B:B,MATCH(1674,'بيانات الحركات'!$G:$G,0)),"")</f>
        <v/>
      </c>
      <c r="C1675" s="3" t="str">
        <f>IFERROR(INDEX('بيانات الحركات'!C:C,MATCH(1674,'بيانات الحركات'!$G:$G,0)),"")</f>
        <v/>
      </c>
      <c r="D1675" s="3" t="str">
        <f>IFERROR(INDEX('بيانات الحركات'!D:D,MATCH(1674,'بيانات الحركات'!$G:$G,0)),"")</f>
        <v/>
      </c>
      <c r="E1675" s="21" t="str">
        <f>IF($B1675="إنتاج طبخة","",IFERROR(INDEX('بيانات الحركات'!E:E,MATCH(1674,'بيانات الحركات'!$G:$G,0)),""))</f>
        <v/>
      </c>
      <c r="F1675" s="3" t="str">
        <f>IFERROR(INDEX('بيانات الحركات'!F:F,MATCH(1674,'بيانات الحركات'!$G:$G,0)),"")</f>
        <v/>
      </c>
    </row>
    <row r="1676" spans="1:6" ht="21.95" customHeight="1">
      <c r="A1676" s="8" t="str">
        <f>IFERROR(INDEX('بيانات الحركات'!A:A,MATCH(1675,'بيانات الحركات'!$G:$G,0)),"")</f>
        <v/>
      </c>
      <c r="B1676" s="5" t="str">
        <f>IFERROR(INDEX('بيانات الحركات'!B:B,MATCH(1675,'بيانات الحركات'!$G:$G,0)),"")</f>
        <v/>
      </c>
      <c r="C1676" s="3" t="str">
        <f>IFERROR(INDEX('بيانات الحركات'!C:C,MATCH(1675,'بيانات الحركات'!$G:$G,0)),"")</f>
        <v/>
      </c>
      <c r="D1676" s="3" t="str">
        <f>IFERROR(INDEX('بيانات الحركات'!D:D,MATCH(1675,'بيانات الحركات'!$G:$G,0)),"")</f>
        <v/>
      </c>
      <c r="E1676" s="21" t="str">
        <f>IF($B1676="إنتاج طبخة","",IFERROR(INDEX('بيانات الحركات'!E:E,MATCH(1675,'بيانات الحركات'!$G:$G,0)),""))</f>
        <v/>
      </c>
      <c r="F1676" s="3" t="str">
        <f>IFERROR(INDEX('بيانات الحركات'!F:F,MATCH(1675,'بيانات الحركات'!$G:$G,0)),"")</f>
        <v/>
      </c>
    </row>
    <row r="1677" spans="1:6" ht="21.95" customHeight="1">
      <c r="A1677" s="8" t="str">
        <f>IFERROR(INDEX('بيانات الحركات'!A:A,MATCH(1676,'بيانات الحركات'!$G:$G,0)),"")</f>
        <v/>
      </c>
      <c r="B1677" s="5" t="str">
        <f>IFERROR(INDEX('بيانات الحركات'!B:B,MATCH(1676,'بيانات الحركات'!$G:$G,0)),"")</f>
        <v/>
      </c>
      <c r="C1677" s="3" t="str">
        <f>IFERROR(INDEX('بيانات الحركات'!C:C,MATCH(1676,'بيانات الحركات'!$G:$G,0)),"")</f>
        <v/>
      </c>
      <c r="D1677" s="3" t="str">
        <f>IFERROR(INDEX('بيانات الحركات'!D:D,MATCH(1676,'بيانات الحركات'!$G:$G,0)),"")</f>
        <v/>
      </c>
      <c r="E1677" s="21" t="str">
        <f>IF($B1677="إنتاج طبخة","",IFERROR(INDEX('بيانات الحركات'!E:E,MATCH(1676,'بيانات الحركات'!$G:$G,0)),""))</f>
        <v/>
      </c>
      <c r="F1677" s="3" t="str">
        <f>IFERROR(INDEX('بيانات الحركات'!F:F,MATCH(1676,'بيانات الحركات'!$G:$G,0)),"")</f>
        <v/>
      </c>
    </row>
    <row r="1678" spans="1:6" ht="21.95" customHeight="1">
      <c r="A1678" s="8" t="str">
        <f>IFERROR(INDEX('بيانات الحركات'!A:A,MATCH(1677,'بيانات الحركات'!$G:$G,0)),"")</f>
        <v/>
      </c>
      <c r="B1678" s="5" t="str">
        <f>IFERROR(INDEX('بيانات الحركات'!B:B,MATCH(1677,'بيانات الحركات'!$G:$G,0)),"")</f>
        <v/>
      </c>
      <c r="C1678" s="3" t="str">
        <f>IFERROR(INDEX('بيانات الحركات'!C:C,MATCH(1677,'بيانات الحركات'!$G:$G,0)),"")</f>
        <v/>
      </c>
      <c r="D1678" s="3" t="str">
        <f>IFERROR(INDEX('بيانات الحركات'!D:D,MATCH(1677,'بيانات الحركات'!$G:$G,0)),"")</f>
        <v/>
      </c>
      <c r="E1678" s="21" t="str">
        <f>IF($B1678="إنتاج طبخة","",IFERROR(INDEX('بيانات الحركات'!E:E,MATCH(1677,'بيانات الحركات'!$G:$G,0)),""))</f>
        <v/>
      </c>
      <c r="F1678" s="3" t="str">
        <f>IFERROR(INDEX('بيانات الحركات'!F:F,MATCH(1677,'بيانات الحركات'!$G:$G,0)),"")</f>
        <v/>
      </c>
    </row>
    <row r="1679" spans="1:6" ht="21.95" customHeight="1">
      <c r="A1679" s="8" t="str">
        <f>IFERROR(INDEX('بيانات الحركات'!A:A,MATCH(1678,'بيانات الحركات'!$G:$G,0)),"")</f>
        <v/>
      </c>
      <c r="B1679" s="5" t="str">
        <f>IFERROR(INDEX('بيانات الحركات'!B:B,MATCH(1678,'بيانات الحركات'!$G:$G,0)),"")</f>
        <v/>
      </c>
      <c r="C1679" s="3" t="str">
        <f>IFERROR(INDEX('بيانات الحركات'!C:C,MATCH(1678,'بيانات الحركات'!$G:$G,0)),"")</f>
        <v/>
      </c>
      <c r="D1679" s="3" t="str">
        <f>IFERROR(INDEX('بيانات الحركات'!D:D,MATCH(1678,'بيانات الحركات'!$G:$G,0)),"")</f>
        <v/>
      </c>
      <c r="E1679" s="21" t="str">
        <f>IF($B1679="إنتاج طبخة","",IFERROR(INDEX('بيانات الحركات'!E:E,MATCH(1678,'بيانات الحركات'!$G:$G,0)),""))</f>
        <v/>
      </c>
      <c r="F1679" s="3" t="str">
        <f>IFERROR(INDEX('بيانات الحركات'!F:F,MATCH(1678,'بيانات الحركات'!$G:$G,0)),"")</f>
        <v/>
      </c>
    </row>
    <row r="1680" spans="1:6" ht="21.95" customHeight="1">
      <c r="A1680" s="8" t="str">
        <f>IFERROR(INDEX('بيانات الحركات'!A:A,MATCH(1679,'بيانات الحركات'!$G:$G,0)),"")</f>
        <v/>
      </c>
      <c r="B1680" s="5" t="str">
        <f>IFERROR(INDEX('بيانات الحركات'!B:B,MATCH(1679,'بيانات الحركات'!$G:$G,0)),"")</f>
        <v/>
      </c>
      <c r="C1680" s="3" t="str">
        <f>IFERROR(INDEX('بيانات الحركات'!C:C,MATCH(1679,'بيانات الحركات'!$G:$G,0)),"")</f>
        <v/>
      </c>
      <c r="D1680" s="3" t="str">
        <f>IFERROR(INDEX('بيانات الحركات'!D:D,MATCH(1679,'بيانات الحركات'!$G:$G,0)),"")</f>
        <v/>
      </c>
      <c r="E1680" s="21" t="str">
        <f>IF($B1680="إنتاج طبخة","",IFERROR(INDEX('بيانات الحركات'!E:E,MATCH(1679,'بيانات الحركات'!$G:$G,0)),""))</f>
        <v/>
      </c>
      <c r="F1680" s="3" t="str">
        <f>IFERROR(INDEX('بيانات الحركات'!F:F,MATCH(1679,'بيانات الحركات'!$G:$G,0)),"")</f>
        <v/>
      </c>
    </row>
    <row r="1681" spans="1:6" ht="21.95" customHeight="1">
      <c r="A1681" s="8" t="str">
        <f>IFERROR(INDEX('بيانات الحركات'!A:A,MATCH(1680,'بيانات الحركات'!$G:$G,0)),"")</f>
        <v/>
      </c>
      <c r="B1681" s="5" t="str">
        <f>IFERROR(INDEX('بيانات الحركات'!B:B,MATCH(1680,'بيانات الحركات'!$G:$G,0)),"")</f>
        <v/>
      </c>
      <c r="C1681" s="3" t="str">
        <f>IFERROR(INDEX('بيانات الحركات'!C:C,MATCH(1680,'بيانات الحركات'!$G:$G,0)),"")</f>
        <v/>
      </c>
      <c r="D1681" s="3" t="str">
        <f>IFERROR(INDEX('بيانات الحركات'!D:D,MATCH(1680,'بيانات الحركات'!$G:$G,0)),"")</f>
        <v/>
      </c>
      <c r="E1681" s="21" t="str">
        <f>IF($B1681="إنتاج طبخة","",IFERROR(INDEX('بيانات الحركات'!E:E,MATCH(1680,'بيانات الحركات'!$G:$G,0)),""))</f>
        <v/>
      </c>
      <c r="F1681" s="3" t="str">
        <f>IFERROR(INDEX('بيانات الحركات'!F:F,MATCH(1680,'بيانات الحركات'!$G:$G,0)),"")</f>
        <v/>
      </c>
    </row>
    <row r="1682" spans="1:6" ht="21.95" customHeight="1">
      <c r="A1682" s="8" t="str">
        <f>IFERROR(INDEX('بيانات الحركات'!A:A,MATCH(1681,'بيانات الحركات'!$G:$G,0)),"")</f>
        <v/>
      </c>
      <c r="B1682" s="5" t="str">
        <f>IFERROR(INDEX('بيانات الحركات'!B:B,MATCH(1681,'بيانات الحركات'!$G:$G,0)),"")</f>
        <v/>
      </c>
      <c r="C1682" s="3" t="str">
        <f>IFERROR(INDEX('بيانات الحركات'!C:C,MATCH(1681,'بيانات الحركات'!$G:$G,0)),"")</f>
        <v/>
      </c>
      <c r="D1682" s="3" t="str">
        <f>IFERROR(INDEX('بيانات الحركات'!D:D,MATCH(1681,'بيانات الحركات'!$G:$G,0)),"")</f>
        <v/>
      </c>
      <c r="E1682" s="21" t="str">
        <f>IF($B1682="إنتاج طبخة","",IFERROR(INDEX('بيانات الحركات'!E:E,MATCH(1681,'بيانات الحركات'!$G:$G,0)),""))</f>
        <v/>
      </c>
      <c r="F1682" s="3" t="str">
        <f>IFERROR(INDEX('بيانات الحركات'!F:F,MATCH(1681,'بيانات الحركات'!$G:$G,0)),"")</f>
        <v/>
      </c>
    </row>
    <row r="1683" spans="1:6" ht="21.95" customHeight="1">
      <c r="A1683" s="8" t="str">
        <f>IFERROR(INDEX('بيانات الحركات'!A:A,MATCH(1682,'بيانات الحركات'!$G:$G,0)),"")</f>
        <v/>
      </c>
      <c r="B1683" s="5" t="str">
        <f>IFERROR(INDEX('بيانات الحركات'!B:B,MATCH(1682,'بيانات الحركات'!$G:$G,0)),"")</f>
        <v/>
      </c>
      <c r="C1683" s="3" t="str">
        <f>IFERROR(INDEX('بيانات الحركات'!C:C,MATCH(1682,'بيانات الحركات'!$G:$G,0)),"")</f>
        <v/>
      </c>
      <c r="D1683" s="3" t="str">
        <f>IFERROR(INDEX('بيانات الحركات'!D:D,MATCH(1682,'بيانات الحركات'!$G:$G,0)),"")</f>
        <v/>
      </c>
      <c r="E1683" s="21" t="str">
        <f>IF($B1683="إنتاج طبخة","",IFERROR(INDEX('بيانات الحركات'!E:E,MATCH(1682,'بيانات الحركات'!$G:$G,0)),""))</f>
        <v/>
      </c>
      <c r="F1683" s="3" t="str">
        <f>IFERROR(INDEX('بيانات الحركات'!F:F,MATCH(1682,'بيانات الحركات'!$G:$G,0)),"")</f>
        <v/>
      </c>
    </row>
    <row r="1684" spans="1:6" ht="21.95" customHeight="1">
      <c r="A1684" s="8" t="str">
        <f>IFERROR(INDEX('بيانات الحركات'!A:A,MATCH(1683,'بيانات الحركات'!$G:$G,0)),"")</f>
        <v/>
      </c>
      <c r="B1684" s="5" t="str">
        <f>IFERROR(INDEX('بيانات الحركات'!B:B,MATCH(1683,'بيانات الحركات'!$G:$G,0)),"")</f>
        <v/>
      </c>
      <c r="C1684" s="3" t="str">
        <f>IFERROR(INDEX('بيانات الحركات'!C:C,MATCH(1683,'بيانات الحركات'!$G:$G,0)),"")</f>
        <v/>
      </c>
      <c r="D1684" s="3" t="str">
        <f>IFERROR(INDEX('بيانات الحركات'!D:D,MATCH(1683,'بيانات الحركات'!$G:$G,0)),"")</f>
        <v/>
      </c>
      <c r="E1684" s="21" t="str">
        <f>IF($B1684="إنتاج طبخة","",IFERROR(INDEX('بيانات الحركات'!E:E,MATCH(1683,'بيانات الحركات'!$G:$G,0)),""))</f>
        <v/>
      </c>
      <c r="F1684" s="3" t="str">
        <f>IFERROR(INDEX('بيانات الحركات'!F:F,MATCH(1683,'بيانات الحركات'!$G:$G,0)),"")</f>
        <v/>
      </c>
    </row>
    <row r="1685" spans="1:6" ht="21.95" customHeight="1">
      <c r="A1685" s="8" t="str">
        <f>IFERROR(INDEX('بيانات الحركات'!A:A,MATCH(1684,'بيانات الحركات'!$G:$G,0)),"")</f>
        <v/>
      </c>
      <c r="B1685" s="5" t="str">
        <f>IFERROR(INDEX('بيانات الحركات'!B:B,MATCH(1684,'بيانات الحركات'!$G:$G,0)),"")</f>
        <v/>
      </c>
      <c r="C1685" s="3" t="str">
        <f>IFERROR(INDEX('بيانات الحركات'!C:C,MATCH(1684,'بيانات الحركات'!$G:$G,0)),"")</f>
        <v/>
      </c>
      <c r="D1685" s="3" t="str">
        <f>IFERROR(INDEX('بيانات الحركات'!D:D,MATCH(1684,'بيانات الحركات'!$G:$G,0)),"")</f>
        <v/>
      </c>
      <c r="E1685" s="21" t="str">
        <f>IF($B1685="إنتاج طبخة","",IFERROR(INDEX('بيانات الحركات'!E:E,MATCH(1684,'بيانات الحركات'!$G:$G,0)),""))</f>
        <v/>
      </c>
      <c r="F1685" s="3" t="str">
        <f>IFERROR(INDEX('بيانات الحركات'!F:F,MATCH(1684,'بيانات الحركات'!$G:$G,0)),"")</f>
        <v/>
      </c>
    </row>
    <row r="1686" spans="1:6" ht="21.95" customHeight="1">
      <c r="A1686" s="8" t="str">
        <f>IFERROR(INDEX('بيانات الحركات'!A:A,MATCH(1685,'بيانات الحركات'!$G:$G,0)),"")</f>
        <v/>
      </c>
      <c r="B1686" s="5" t="str">
        <f>IFERROR(INDEX('بيانات الحركات'!B:B,MATCH(1685,'بيانات الحركات'!$G:$G,0)),"")</f>
        <v/>
      </c>
      <c r="C1686" s="3" t="str">
        <f>IFERROR(INDEX('بيانات الحركات'!C:C,MATCH(1685,'بيانات الحركات'!$G:$G,0)),"")</f>
        <v/>
      </c>
      <c r="D1686" s="3" t="str">
        <f>IFERROR(INDEX('بيانات الحركات'!D:D,MATCH(1685,'بيانات الحركات'!$G:$G,0)),"")</f>
        <v/>
      </c>
      <c r="E1686" s="21" t="str">
        <f>IF($B1686="إنتاج طبخة","",IFERROR(INDEX('بيانات الحركات'!E:E,MATCH(1685,'بيانات الحركات'!$G:$G,0)),""))</f>
        <v/>
      </c>
      <c r="F1686" s="3" t="str">
        <f>IFERROR(INDEX('بيانات الحركات'!F:F,MATCH(1685,'بيانات الحركات'!$G:$G,0)),"")</f>
        <v/>
      </c>
    </row>
    <row r="1687" spans="1:6" ht="21.95" customHeight="1">
      <c r="A1687" s="8" t="str">
        <f>IFERROR(INDEX('بيانات الحركات'!A:A,MATCH(1686,'بيانات الحركات'!$G:$G,0)),"")</f>
        <v/>
      </c>
      <c r="B1687" s="5" t="str">
        <f>IFERROR(INDEX('بيانات الحركات'!B:B,MATCH(1686,'بيانات الحركات'!$G:$G,0)),"")</f>
        <v/>
      </c>
      <c r="C1687" s="3" t="str">
        <f>IFERROR(INDEX('بيانات الحركات'!C:C,MATCH(1686,'بيانات الحركات'!$G:$G,0)),"")</f>
        <v/>
      </c>
      <c r="D1687" s="3" t="str">
        <f>IFERROR(INDEX('بيانات الحركات'!D:D,MATCH(1686,'بيانات الحركات'!$G:$G,0)),"")</f>
        <v/>
      </c>
      <c r="E1687" s="21" t="str">
        <f>IF($B1687="إنتاج طبخة","",IFERROR(INDEX('بيانات الحركات'!E:E,MATCH(1686,'بيانات الحركات'!$G:$G,0)),""))</f>
        <v/>
      </c>
      <c r="F1687" s="3" t="str">
        <f>IFERROR(INDEX('بيانات الحركات'!F:F,MATCH(1686,'بيانات الحركات'!$G:$G,0)),"")</f>
        <v/>
      </c>
    </row>
    <row r="1688" spans="1:6" ht="21.95" customHeight="1">
      <c r="A1688" s="8" t="str">
        <f>IFERROR(INDEX('بيانات الحركات'!A:A,MATCH(1687,'بيانات الحركات'!$G:$G,0)),"")</f>
        <v/>
      </c>
      <c r="B1688" s="5" t="str">
        <f>IFERROR(INDEX('بيانات الحركات'!B:B,MATCH(1687,'بيانات الحركات'!$G:$G,0)),"")</f>
        <v/>
      </c>
      <c r="C1688" s="3" t="str">
        <f>IFERROR(INDEX('بيانات الحركات'!C:C,MATCH(1687,'بيانات الحركات'!$G:$G,0)),"")</f>
        <v/>
      </c>
      <c r="D1688" s="3" t="str">
        <f>IFERROR(INDEX('بيانات الحركات'!D:D,MATCH(1687,'بيانات الحركات'!$G:$G,0)),"")</f>
        <v/>
      </c>
      <c r="E1688" s="21" t="str">
        <f>IF($B1688="إنتاج طبخة","",IFERROR(INDEX('بيانات الحركات'!E:E,MATCH(1687,'بيانات الحركات'!$G:$G,0)),""))</f>
        <v/>
      </c>
      <c r="F1688" s="3" t="str">
        <f>IFERROR(INDEX('بيانات الحركات'!F:F,MATCH(1687,'بيانات الحركات'!$G:$G,0)),"")</f>
        <v/>
      </c>
    </row>
    <row r="1689" spans="1:6" ht="21.95" customHeight="1">
      <c r="A1689" s="8" t="str">
        <f>IFERROR(INDEX('بيانات الحركات'!A:A,MATCH(1688,'بيانات الحركات'!$G:$G,0)),"")</f>
        <v/>
      </c>
      <c r="B1689" s="5" t="str">
        <f>IFERROR(INDEX('بيانات الحركات'!B:B,MATCH(1688,'بيانات الحركات'!$G:$G,0)),"")</f>
        <v/>
      </c>
      <c r="C1689" s="3" t="str">
        <f>IFERROR(INDEX('بيانات الحركات'!C:C,MATCH(1688,'بيانات الحركات'!$G:$G,0)),"")</f>
        <v/>
      </c>
      <c r="D1689" s="3" t="str">
        <f>IFERROR(INDEX('بيانات الحركات'!D:D,MATCH(1688,'بيانات الحركات'!$G:$G,0)),"")</f>
        <v/>
      </c>
      <c r="E1689" s="21" t="str">
        <f>IF($B1689="إنتاج طبخة","",IFERROR(INDEX('بيانات الحركات'!E:E,MATCH(1688,'بيانات الحركات'!$G:$G,0)),""))</f>
        <v/>
      </c>
      <c r="F1689" s="3" t="str">
        <f>IFERROR(INDEX('بيانات الحركات'!F:F,MATCH(1688,'بيانات الحركات'!$G:$G,0)),"")</f>
        <v/>
      </c>
    </row>
    <row r="1690" spans="1:6" ht="21.95" customHeight="1">
      <c r="A1690" s="8" t="str">
        <f>IFERROR(INDEX('بيانات الحركات'!A:A,MATCH(1689,'بيانات الحركات'!$G:$G,0)),"")</f>
        <v/>
      </c>
      <c r="B1690" s="5" t="str">
        <f>IFERROR(INDEX('بيانات الحركات'!B:B,MATCH(1689,'بيانات الحركات'!$G:$G,0)),"")</f>
        <v/>
      </c>
      <c r="C1690" s="3" t="str">
        <f>IFERROR(INDEX('بيانات الحركات'!C:C,MATCH(1689,'بيانات الحركات'!$G:$G,0)),"")</f>
        <v/>
      </c>
      <c r="D1690" s="3" t="str">
        <f>IFERROR(INDEX('بيانات الحركات'!D:D,MATCH(1689,'بيانات الحركات'!$G:$G,0)),"")</f>
        <v/>
      </c>
      <c r="E1690" s="21" t="str">
        <f>IF($B1690="إنتاج طبخة","",IFERROR(INDEX('بيانات الحركات'!E:E,MATCH(1689,'بيانات الحركات'!$G:$G,0)),""))</f>
        <v/>
      </c>
      <c r="F1690" s="3" t="str">
        <f>IFERROR(INDEX('بيانات الحركات'!F:F,MATCH(1689,'بيانات الحركات'!$G:$G,0)),"")</f>
        <v/>
      </c>
    </row>
    <row r="1691" spans="1:6" ht="21.95" customHeight="1">
      <c r="A1691" s="8" t="str">
        <f>IFERROR(INDEX('بيانات الحركات'!A:A,MATCH(1690,'بيانات الحركات'!$G:$G,0)),"")</f>
        <v/>
      </c>
      <c r="B1691" s="5" t="str">
        <f>IFERROR(INDEX('بيانات الحركات'!B:B,MATCH(1690,'بيانات الحركات'!$G:$G,0)),"")</f>
        <v/>
      </c>
      <c r="C1691" s="3" t="str">
        <f>IFERROR(INDEX('بيانات الحركات'!C:C,MATCH(1690,'بيانات الحركات'!$G:$G,0)),"")</f>
        <v/>
      </c>
      <c r="D1691" s="3" t="str">
        <f>IFERROR(INDEX('بيانات الحركات'!D:D,MATCH(1690,'بيانات الحركات'!$G:$G,0)),"")</f>
        <v/>
      </c>
      <c r="E1691" s="21" t="str">
        <f>IF($B1691="إنتاج طبخة","",IFERROR(INDEX('بيانات الحركات'!E:E,MATCH(1690,'بيانات الحركات'!$G:$G,0)),""))</f>
        <v/>
      </c>
      <c r="F1691" s="3" t="str">
        <f>IFERROR(INDEX('بيانات الحركات'!F:F,MATCH(1690,'بيانات الحركات'!$G:$G,0)),"")</f>
        <v/>
      </c>
    </row>
    <row r="1692" spans="1:6" ht="21.95" customHeight="1">
      <c r="A1692" s="8" t="str">
        <f>IFERROR(INDEX('بيانات الحركات'!A:A,MATCH(1691,'بيانات الحركات'!$G:$G,0)),"")</f>
        <v/>
      </c>
      <c r="B1692" s="5" t="str">
        <f>IFERROR(INDEX('بيانات الحركات'!B:B,MATCH(1691,'بيانات الحركات'!$G:$G,0)),"")</f>
        <v/>
      </c>
      <c r="C1692" s="3" t="str">
        <f>IFERROR(INDEX('بيانات الحركات'!C:C,MATCH(1691,'بيانات الحركات'!$G:$G,0)),"")</f>
        <v/>
      </c>
      <c r="D1692" s="3" t="str">
        <f>IFERROR(INDEX('بيانات الحركات'!D:D,MATCH(1691,'بيانات الحركات'!$G:$G,0)),"")</f>
        <v/>
      </c>
      <c r="E1692" s="21" t="str">
        <f>IF($B1692="إنتاج طبخة","",IFERROR(INDEX('بيانات الحركات'!E:E,MATCH(1691,'بيانات الحركات'!$G:$G,0)),""))</f>
        <v/>
      </c>
      <c r="F1692" s="3" t="str">
        <f>IFERROR(INDEX('بيانات الحركات'!F:F,MATCH(1691,'بيانات الحركات'!$G:$G,0)),"")</f>
        <v/>
      </c>
    </row>
    <row r="1693" spans="1:6" ht="21.95" customHeight="1">
      <c r="A1693" s="8" t="str">
        <f>IFERROR(INDEX('بيانات الحركات'!A:A,MATCH(1692,'بيانات الحركات'!$G:$G,0)),"")</f>
        <v/>
      </c>
      <c r="B1693" s="5" t="str">
        <f>IFERROR(INDEX('بيانات الحركات'!B:B,MATCH(1692,'بيانات الحركات'!$G:$G,0)),"")</f>
        <v/>
      </c>
      <c r="C1693" s="3" t="str">
        <f>IFERROR(INDEX('بيانات الحركات'!C:C,MATCH(1692,'بيانات الحركات'!$G:$G,0)),"")</f>
        <v/>
      </c>
      <c r="D1693" s="3" t="str">
        <f>IFERROR(INDEX('بيانات الحركات'!D:D,MATCH(1692,'بيانات الحركات'!$G:$G,0)),"")</f>
        <v/>
      </c>
      <c r="E1693" s="21" t="str">
        <f>IF($B1693="إنتاج طبخة","",IFERROR(INDEX('بيانات الحركات'!E:E,MATCH(1692,'بيانات الحركات'!$G:$G,0)),""))</f>
        <v/>
      </c>
      <c r="F1693" s="3" t="str">
        <f>IFERROR(INDEX('بيانات الحركات'!F:F,MATCH(1692,'بيانات الحركات'!$G:$G,0)),"")</f>
        <v/>
      </c>
    </row>
    <row r="1694" spans="1:6" ht="21.95" customHeight="1">
      <c r="A1694" s="8" t="str">
        <f>IFERROR(INDEX('بيانات الحركات'!A:A,MATCH(1693,'بيانات الحركات'!$G:$G,0)),"")</f>
        <v/>
      </c>
      <c r="B1694" s="5" t="str">
        <f>IFERROR(INDEX('بيانات الحركات'!B:B,MATCH(1693,'بيانات الحركات'!$G:$G,0)),"")</f>
        <v/>
      </c>
      <c r="C1694" s="3" t="str">
        <f>IFERROR(INDEX('بيانات الحركات'!C:C,MATCH(1693,'بيانات الحركات'!$G:$G,0)),"")</f>
        <v/>
      </c>
      <c r="D1694" s="3" t="str">
        <f>IFERROR(INDEX('بيانات الحركات'!D:D,MATCH(1693,'بيانات الحركات'!$G:$G,0)),"")</f>
        <v/>
      </c>
      <c r="E1694" s="21" t="str">
        <f>IF($B1694="إنتاج طبخة","",IFERROR(INDEX('بيانات الحركات'!E:E,MATCH(1693,'بيانات الحركات'!$G:$G,0)),""))</f>
        <v/>
      </c>
      <c r="F1694" s="3" t="str">
        <f>IFERROR(INDEX('بيانات الحركات'!F:F,MATCH(1693,'بيانات الحركات'!$G:$G,0)),"")</f>
        <v/>
      </c>
    </row>
    <row r="1695" spans="1:6" ht="21.95" customHeight="1">
      <c r="A1695" s="8" t="str">
        <f>IFERROR(INDEX('بيانات الحركات'!A:A,MATCH(1694,'بيانات الحركات'!$G:$G,0)),"")</f>
        <v/>
      </c>
      <c r="B1695" s="5" t="str">
        <f>IFERROR(INDEX('بيانات الحركات'!B:B,MATCH(1694,'بيانات الحركات'!$G:$G,0)),"")</f>
        <v/>
      </c>
      <c r="C1695" s="3" t="str">
        <f>IFERROR(INDEX('بيانات الحركات'!C:C,MATCH(1694,'بيانات الحركات'!$G:$G,0)),"")</f>
        <v/>
      </c>
      <c r="D1695" s="3" t="str">
        <f>IFERROR(INDEX('بيانات الحركات'!D:D,MATCH(1694,'بيانات الحركات'!$G:$G,0)),"")</f>
        <v/>
      </c>
      <c r="E1695" s="21" t="str">
        <f>IF($B1695="إنتاج طبخة","",IFERROR(INDEX('بيانات الحركات'!E:E,MATCH(1694,'بيانات الحركات'!$G:$G,0)),""))</f>
        <v/>
      </c>
      <c r="F1695" s="3" t="str">
        <f>IFERROR(INDEX('بيانات الحركات'!F:F,MATCH(1694,'بيانات الحركات'!$G:$G,0)),"")</f>
        <v/>
      </c>
    </row>
    <row r="1696" spans="1:6" ht="21.95" customHeight="1">
      <c r="A1696" s="8" t="str">
        <f>IFERROR(INDEX('بيانات الحركات'!A:A,MATCH(1695,'بيانات الحركات'!$G:$G,0)),"")</f>
        <v/>
      </c>
      <c r="B1696" s="5" t="str">
        <f>IFERROR(INDEX('بيانات الحركات'!B:B,MATCH(1695,'بيانات الحركات'!$G:$G,0)),"")</f>
        <v/>
      </c>
      <c r="C1696" s="3" t="str">
        <f>IFERROR(INDEX('بيانات الحركات'!C:C,MATCH(1695,'بيانات الحركات'!$G:$G,0)),"")</f>
        <v/>
      </c>
      <c r="D1696" s="3" t="str">
        <f>IFERROR(INDEX('بيانات الحركات'!D:D,MATCH(1695,'بيانات الحركات'!$G:$G,0)),"")</f>
        <v/>
      </c>
      <c r="E1696" s="21" t="str">
        <f>IF($B1696="إنتاج طبخة","",IFERROR(INDEX('بيانات الحركات'!E:E,MATCH(1695,'بيانات الحركات'!$G:$G,0)),""))</f>
        <v/>
      </c>
      <c r="F1696" s="3" t="str">
        <f>IFERROR(INDEX('بيانات الحركات'!F:F,MATCH(1695,'بيانات الحركات'!$G:$G,0)),"")</f>
        <v/>
      </c>
    </row>
    <row r="1697" spans="1:6" ht="21.95" customHeight="1">
      <c r="A1697" s="8" t="str">
        <f>IFERROR(INDEX('بيانات الحركات'!A:A,MATCH(1696,'بيانات الحركات'!$G:$G,0)),"")</f>
        <v/>
      </c>
      <c r="B1697" s="5" t="str">
        <f>IFERROR(INDEX('بيانات الحركات'!B:B,MATCH(1696,'بيانات الحركات'!$G:$G,0)),"")</f>
        <v/>
      </c>
      <c r="C1697" s="3" t="str">
        <f>IFERROR(INDEX('بيانات الحركات'!C:C,MATCH(1696,'بيانات الحركات'!$G:$G,0)),"")</f>
        <v/>
      </c>
      <c r="D1697" s="3" t="str">
        <f>IFERROR(INDEX('بيانات الحركات'!D:D,MATCH(1696,'بيانات الحركات'!$G:$G,0)),"")</f>
        <v/>
      </c>
      <c r="E1697" s="21" t="str">
        <f>IF($B1697="إنتاج طبخة","",IFERROR(INDEX('بيانات الحركات'!E:E,MATCH(1696,'بيانات الحركات'!$G:$G,0)),""))</f>
        <v/>
      </c>
      <c r="F1697" s="3" t="str">
        <f>IFERROR(INDEX('بيانات الحركات'!F:F,MATCH(1696,'بيانات الحركات'!$G:$G,0)),"")</f>
        <v/>
      </c>
    </row>
    <row r="1698" spans="1:6" ht="21.95" customHeight="1">
      <c r="A1698" s="8" t="str">
        <f>IFERROR(INDEX('بيانات الحركات'!A:A,MATCH(1697,'بيانات الحركات'!$G:$G,0)),"")</f>
        <v/>
      </c>
      <c r="B1698" s="5" t="str">
        <f>IFERROR(INDEX('بيانات الحركات'!B:B,MATCH(1697,'بيانات الحركات'!$G:$G,0)),"")</f>
        <v/>
      </c>
      <c r="C1698" s="3" t="str">
        <f>IFERROR(INDEX('بيانات الحركات'!C:C,MATCH(1697,'بيانات الحركات'!$G:$G,0)),"")</f>
        <v/>
      </c>
      <c r="D1698" s="3" t="str">
        <f>IFERROR(INDEX('بيانات الحركات'!D:D,MATCH(1697,'بيانات الحركات'!$G:$G,0)),"")</f>
        <v/>
      </c>
      <c r="E1698" s="21" t="str">
        <f>IF($B1698="إنتاج طبخة","",IFERROR(INDEX('بيانات الحركات'!E:E,MATCH(1697,'بيانات الحركات'!$G:$G,0)),""))</f>
        <v/>
      </c>
      <c r="F1698" s="3" t="str">
        <f>IFERROR(INDEX('بيانات الحركات'!F:F,MATCH(1697,'بيانات الحركات'!$G:$G,0)),"")</f>
        <v/>
      </c>
    </row>
    <row r="1699" spans="1:6" ht="21.95" customHeight="1">
      <c r="A1699" s="8" t="str">
        <f>IFERROR(INDEX('بيانات الحركات'!A:A,MATCH(1698,'بيانات الحركات'!$G:$G,0)),"")</f>
        <v/>
      </c>
      <c r="B1699" s="5" t="str">
        <f>IFERROR(INDEX('بيانات الحركات'!B:B,MATCH(1698,'بيانات الحركات'!$G:$G,0)),"")</f>
        <v/>
      </c>
      <c r="C1699" s="3" t="str">
        <f>IFERROR(INDEX('بيانات الحركات'!C:C,MATCH(1698,'بيانات الحركات'!$G:$G,0)),"")</f>
        <v/>
      </c>
      <c r="D1699" s="3" t="str">
        <f>IFERROR(INDEX('بيانات الحركات'!D:D,MATCH(1698,'بيانات الحركات'!$G:$G,0)),"")</f>
        <v/>
      </c>
      <c r="E1699" s="21" t="str">
        <f>IF($B1699="إنتاج طبخة","",IFERROR(INDEX('بيانات الحركات'!E:E,MATCH(1698,'بيانات الحركات'!$G:$G,0)),""))</f>
        <v/>
      </c>
      <c r="F1699" s="3" t="str">
        <f>IFERROR(INDEX('بيانات الحركات'!F:F,MATCH(1698,'بيانات الحركات'!$G:$G,0)),"")</f>
        <v/>
      </c>
    </row>
    <row r="1700" spans="1:6" ht="21.95" customHeight="1">
      <c r="A1700" s="8" t="str">
        <f>IFERROR(INDEX('بيانات الحركات'!A:A,MATCH(1699,'بيانات الحركات'!$G:$G,0)),"")</f>
        <v/>
      </c>
      <c r="B1700" s="5" t="str">
        <f>IFERROR(INDEX('بيانات الحركات'!B:B,MATCH(1699,'بيانات الحركات'!$G:$G,0)),"")</f>
        <v/>
      </c>
      <c r="C1700" s="3" t="str">
        <f>IFERROR(INDEX('بيانات الحركات'!C:C,MATCH(1699,'بيانات الحركات'!$G:$G,0)),"")</f>
        <v/>
      </c>
      <c r="D1700" s="3" t="str">
        <f>IFERROR(INDEX('بيانات الحركات'!D:D,MATCH(1699,'بيانات الحركات'!$G:$G,0)),"")</f>
        <v/>
      </c>
      <c r="E1700" s="21" t="str">
        <f>IF($B1700="إنتاج طبخة","",IFERROR(INDEX('بيانات الحركات'!E:E,MATCH(1699,'بيانات الحركات'!$G:$G,0)),""))</f>
        <v/>
      </c>
      <c r="F1700" s="3" t="str">
        <f>IFERROR(INDEX('بيانات الحركات'!F:F,MATCH(1699,'بيانات الحركات'!$G:$G,0)),"")</f>
        <v/>
      </c>
    </row>
    <row r="1701" spans="1:6" ht="21.95" customHeight="1">
      <c r="A1701" s="8" t="str">
        <f>IFERROR(INDEX('بيانات الحركات'!A:A,MATCH(1700,'بيانات الحركات'!$G:$G,0)),"")</f>
        <v/>
      </c>
      <c r="B1701" s="5" t="str">
        <f>IFERROR(INDEX('بيانات الحركات'!B:B,MATCH(1700,'بيانات الحركات'!$G:$G,0)),"")</f>
        <v/>
      </c>
      <c r="C1701" s="3" t="str">
        <f>IFERROR(INDEX('بيانات الحركات'!C:C,MATCH(1700,'بيانات الحركات'!$G:$G,0)),"")</f>
        <v/>
      </c>
      <c r="D1701" s="3" t="str">
        <f>IFERROR(INDEX('بيانات الحركات'!D:D,MATCH(1700,'بيانات الحركات'!$G:$G,0)),"")</f>
        <v/>
      </c>
      <c r="E1701" s="21" t="str">
        <f>IF($B1701="إنتاج طبخة","",IFERROR(INDEX('بيانات الحركات'!E:E,MATCH(1700,'بيانات الحركات'!$G:$G,0)),""))</f>
        <v/>
      </c>
      <c r="F1701" s="3" t="str">
        <f>IFERROR(INDEX('بيانات الحركات'!F:F,MATCH(1700,'بيانات الحركات'!$G:$G,0)),"")</f>
        <v/>
      </c>
    </row>
    <row r="1702" spans="1:6" ht="21.95" customHeight="1">
      <c r="A1702" s="8" t="str">
        <f>IFERROR(INDEX('بيانات الحركات'!A:A,MATCH(1701,'بيانات الحركات'!$G:$G,0)),"")</f>
        <v/>
      </c>
      <c r="B1702" s="5" t="str">
        <f>IFERROR(INDEX('بيانات الحركات'!B:B,MATCH(1701,'بيانات الحركات'!$G:$G,0)),"")</f>
        <v/>
      </c>
      <c r="C1702" s="3" t="str">
        <f>IFERROR(INDEX('بيانات الحركات'!C:C,MATCH(1701,'بيانات الحركات'!$G:$G,0)),"")</f>
        <v/>
      </c>
      <c r="D1702" s="3" t="str">
        <f>IFERROR(INDEX('بيانات الحركات'!D:D,MATCH(1701,'بيانات الحركات'!$G:$G,0)),"")</f>
        <v/>
      </c>
      <c r="E1702" s="21" t="str">
        <f>IF($B1702="إنتاج طبخة","",IFERROR(INDEX('بيانات الحركات'!E:E,MATCH(1701,'بيانات الحركات'!$G:$G,0)),""))</f>
        <v/>
      </c>
      <c r="F1702" s="3" t="str">
        <f>IFERROR(INDEX('بيانات الحركات'!F:F,MATCH(1701,'بيانات الحركات'!$G:$G,0)),"")</f>
        <v/>
      </c>
    </row>
    <row r="1703" spans="1:6" ht="21.95" customHeight="1">
      <c r="A1703" s="8" t="str">
        <f>IFERROR(INDEX('بيانات الحركات'!A:A,MATCH(1702,'بيانات الحركات'!$G:$G,0)),"")</f>
        <v/>
      </c>
      <c r="B1703" s="5" t="str">
        <f>IFERROR(INDEX('بيانات الحركات'!B:B,MATCH(1702,'بيانات الحركات'!$G:$G,0)),"")</f>
        <v/>
      </c>
      <c r="C1703" s="3" t="str">
        <f>IFERROR(INDEX('بيانات الحركات'!C:C,MATCH(1702,'بيانات الحركات'!$G:$G,0)),"")</f>
        <v/>
      </c>
      <c r="D1703" s="3" t="str">
        <f>IFERROR(INDEX('بيانات الحركات'!D:D,MATCH(1702,'بيانات الحركات'!$G:$G,0)),"")</f>
        <v/>
      </c>
      <c r="E1703" s="21" t="str">
        <f>IF($B1703="إنتاج طبخة","",IFERROR(INDEX('بيانات الحركات'!E:E,MATCH(1702,'بيانات الحركات'!$G:$G,0)),""))</f>
        <v/>
      </c>
      <c r="F1703" s="3" t="str">
        <f>IFERROR(INDEX('بيانات الحركات'!F:F,MATCH(1702,'بيانات الحركات'!$G:$G,0)),"")</f>
        <v/>
      </c>
    </row>
    <row r="1704" spans="1:6" ht="21.95" customHeight="1">
      <c r="A1704" s="8" t="str">
        <f>IFERROR(INDEX('بيانات الحركات'!A:A,MATCH(1703,'بيانات الحركات'!$G:$G,0)),"")</f>
        <v/>
      </c>
      <c r="B1704" s="5" t="str">
        <f>IFERROR(INDEX('بيانات الحركات'!B:B,MATCH(1703,'بيانات الحركات'!$G:$G,0)),"")</f>
        <v/>
      </c>
      <c r="C1704" s="3" t="str">
        <f>IFERROR(INDEX('بيانات الحركات'!C:C,MATCH(1703,'بيانات الحركات'!$G:$G,0)),"")</f>
        <v/>
      </c>
      <c r="D1704" s="3" t="str">
        <f>IFERROR(INDEX('بيانات الحركات'!D:D,MATCH(1703,'بيانات الحركات'!$G:$G,0)),"")</f>
        <v/>
      </c>
      <c r="E1704" s="21" t="str">
        <f>IF($B1704="إنتاج طبخة","",IFERROR(INDEX('بيانات الحركات'!E:E,MATCH(1703,'بيانات الحركات'!$G:$G,0)),""))</f>
        <v/>
      </c>
      <c r="F1704" s="3" t="str">
        <f>IFERROR(INDEX('بيانات الحركات'!F:F,MATCH(1703,'بيانات الحركات'!$G:$G,0)),"")</f>
        <v/>
      </c>
    </row>
    <row r="1705" spans="1:6" ht="21.95" customHeight="1">
      <c r="A1705" s="8" t="str">
        <f>IFERROR(INDEX('بيانات الحركات'!A:A,MATCH(1704,'بيانات الحركات'!$G:$G,0)),"")</f>
        <v/>
      </c>
      <c r="B1705" s="5" t="str">
        <f>IFERROR(INDEX('بيانات الحركات'!B:B,MATCH(1704,'بيانات الحركات'!$G:$G,0)),"")</f>
        <v/>
      </c>
      <c r="C1705" s="3" t="str">
        <f>IFERROR(INDEX('بيانات الحركات'!C:C,MATCH(1704,'بيانات الحركات'!$G:$G,0)),"")</f>
        <v/>
      </c>
      <c r="D1705" s="3" t="str">
        <f>IFERROR(INDEX('بيانات الحركات'!D:D,MATCH(1704,'بيانات الحركات'!$G:$G,0)),"")</f>
        <v/>
      </c>
      <c r="E1705" s="21" t="str">
        <f>IF($B1705="إنتاج طبخة","",IFERROR(INDEX('بيانات الحركات'!E:E,MATCH(1704,'بيانات الحركات'!$G:$G,0)),""))</f>
        <v/>
      </c>
      <c r="F1705" s="3" t="str">
        <f>IFERROR(INDEX('بيانات الحركات'!F:F,MATCH(1704,'بيانات الحركات'!$G:$G,0)),"")</f>
        <v/>
      </c>
    </row>
    <row r="1706" spans="1:6" ht="21.95" customHeight="1">
      <c r="A1706" s="8" t="str">
        <f>IFERROR(INDEX('بيانات الحركات'!A:A,MATCH(1705,'بيانات الحركات'!$G:$G,0)),"")</f>
        <v/>
      </c>
      <c r="B1706" s="5" t="str">
        <f>IFERROR(INDEX('بيانات الحركات'!B:B,MATCH(1705,'بيانات الحركات'!$G:$G,0)),"")</f>
        <v/>
      </c>
      <c r="C1706" s="3" t="str">
        <f>IFERROR(INDEX('بيانات الحركات'!C:C,MATCH(1705,'بيانات الحركات'!$G:$G,0)),"")</f>
        <v/>
      </c>
      <c r="D1706" s="3" t="str">
        <f>IFERROR(INDEX('بيانات الحركات'!D:D,MATCH(1705,'بيانات الحركات'!$G:$G,0)),"")</f>
        <v/>
      </c>
      <c r="E1706" s="21" t="str">
        <f>IF($B1706="إنتاج طبخة","",IFERROR(INDEX('بيانات الحركات'!E:E,MATCH(1705,'بيانات الحركات'!$G:$G,0)),""))</f>
        <v/>
      </c>
      <c r="F1706" s="3" t="str">
        <f>IFERROR(INDEX('بيانات الحركات'!F:F,MATCH(1705,'بيانات الحركات'!$G:$G,0)),"")</f>
        <v/>
      </c>
    </row>
    <row r="1707" spans="1:6" ht="21.95" customHeight="1">
      <c r="A1707" s="8" t="str">
        <f>IFERROR(INDEX('بيانات الحركات'!A:A,MATCH(1706,'بيانات الحركات'!$G:$G,0)),"")</f>
        <v/>
      </c>
      <c r="B1707" s="5" t="str">
        <f>IFERROR(INDEX('بيانات الحركات'!B:B,MATCH(1706,'بيانات الحركات'!$G:$G,0)),"")</f>
        <v/>
      </c>
      <c r="C1707" s="3" t="str">
        <f>IFERROR(INDEX('بيانات الحركات'!C:C,MATCH(1706,'بيانات الحركات'!$G:$G,0)),"")</f>
        <v/>
      </c>
      <c r="D1707" s="3" t="str">
        <f>IFERROR(INDEX('بيانات الحركات'!D:D,MATCH(1706,'بيانات الحركات'!$G:$G,0)),"")</f>
        <v/>
      </c>
      <c r="E1707" s="21" t="str">
        <f>IF($B1707="إنتاج طبخة","",IFERROR(INDEX('بيانات الحركات'!E:E,MATCH(1706,'بيانات الحركات'!$G:$G,0)),""))</f>
        <v/>
      </c>
      <c r="F1707" s="3" t="str">
        <f>IFERROR(INDEX('بيانات الحركات'!F:F,MATCH(1706,'بيانات الحركات'!$G:$G,0)),"")</f>
        <v/>
      </c>
    </row>
    <row r="1708" spans="1:6" ht="21.95" customHeight="1">
      <c r="A1708" s="8" t="str">
        <f>IFERROR(INDEX('بيانات الحركات'!A:A,MATCH(1707,'بيانات الحركات'!$G:$G,0)),"")</f>
        <v/>
      </c>
      <c r="B1708" s="5" t="str">
        <f>IFERROR(INDEX('بيانات الحركات'!B:B,MATCH(1707,'بيانات الحركات'!$G:$G,0)),"")</f>
        <v/>
      </c>
      <c r="C1708" s="3" t="str">
        <f>IFERROR(INDEX('بيانات الحركات'!C:C,MATCH(1707,'بيانات الحركات'!$G:$G,0)),"")</f>
        <v/>
      </c>
      <c r="D1708" s="3" t="str">
        <f>IFERROR(INDEX('بيانات الحركات'!D:D,MATCH(1707,'بيانات الحركات'!$G:$G,0)),"")</f>
        <v/>
      </c>
      <c r="E1708" s="21" t="str">
        <f>IF($B1708="إنتاج طبخة","",IFERROR(INDEX('بيانات الحركات'!E:E,MATCH(1707,'بيانات الحركات'!$G:$G,0)),""))</f>
        <v/>
      </c>
      <c r="F1708" s="3" t="str">
        <f>IFERROR(INDEX('بيانات الحركات'!F:F,MATCH(1707,'بيانات الحركات'!$G:$G,0)),"")</f>
        <v/>
      </c>
    </row>
    <row r="1709" spans="1:6" ht="21.95" customHeight="1">
      <c r="A1709" s="8" t="str">
        <f>IFERROR(INDEX('بيانات الحركات'!A:A,MATCH(1708,'بيانات الحركات'!$G:$G,0)),"")</f>
        <v/>
      </c>
      <c r="B1709" s="5" t="str">
        <f>IFERROR(INDEX('بيانات الحركات'!B:B,MATCH(1708,'بيانات الحركات'!$G:$G,0)),"")</f>
        <v/>
      </c>
      <c r="C1709" s="3" t="str">
        <f>IFERROR(INDEX('بيانات الحركات'!C:C,MATCH(1708,'بيانات الحركات'!$G:$G,0)),"")</f>
        <v/>
      </c>
      <c r="D1709" s="3" t="str">
        <f>IFERROR(INDEX('بيانات الحركات'!D:D,MATCH(1708,'بيانات الحركات'!$G:$G,0)),"")</f>
        <v/>
      </c>
      <c r="E1709" s="21" t="str">
        <f>IF($B1709="إنتاج طبخة","",IFERROR(INDEX('بيانات الحركات'!E:E,MATCH(1708,'بيانات الحركات'!$G:$G,0)),""))</f>
        <v/>
      </c>
      <c r="F1709" s="3" t="str">
        <f>IFERROR(INDEX('بيانات الحركات'!F:F,MATCH(1708,'بيانات الحركات'!$G:$G,0)),"")</f>
        <v/>
      </c>
    </row>
    <row r="1710" spans="1:6" ht="21.95" customHeight="1">
      <c r="A1710" s="8" t="str">
        <f>IFERROR(INDEX('بيانات الحركات'!A:A,MATCH(1709,'بيانات الحركات'!$G:$G,0)),"")</f>
        <v/>
      </c>
      <c r="B1710" s="5" t="str">
        <f>IFERROR(INDEX('بيانات الحركات'!B:B,MATCH(1709,'بيانات الحركات'!$G:$G,0)),"")</f>
        <v/>
      </c>
      <c r="C1710" s="3" t="str">
        <f>IFERROR(INDEX('بيانات الحركات'!C:C,MATCH(1709,'بيانات الحركات'!$G:$G,0)),"")</f>
        <v/>
      </c>
      <c r="D1710" s="3" t="str">
        <f>IFERROR(INDEX('بيانات الحركات'!D:D,MATCH(1709,'بيانات الحركات'!$G:$G,0)),"")</f>
        <v/>
      </c>
      <c r="E1710" s="21" t="str">
        <f>IF($B1710="إنتاج طبخة","",IFERROR(INDEX('بيانات الحركات'!E:E,MATCH(1709,'بيانات الحركات'!$G:$G,0)),""))</f>
        <v/>
      </c>
      <c r="F1710" s="3" t="str">
        <f>IFERROR(INDEX('بيانات الحركات'!F:F,MATCH(1709,'بيانات الحركات'!$G:$G,0)),"")</f>
        <v/>
      </c>
    </row>
    <row r="1711" spans="1:6" ht="21.95" customHeight="1">
      <c r="A1711" s="8" t="str">
        <f>IFERROR(INDEX('بيانات الحركات'!A:A,MATCH(1710,'بيانات الحركات'!$G:$G,0)),"")</f>
        <v/>
      </c>
      <c r="B1711" s="5" t="str">
        <f>IFERROR(INDEX('بيانات الحركات'!B:B,MATCH(1710,'بيانات الحركات'!$G:$G,0)),"")</f>
        <v/>
      </c>
      <c r="C1711" s="3" t="str">
        <f>IFERROR(INDEX('بيانات الحركات'!C:C,MATCH(1710,'بيانات الحركات'!$G:$G,0)),"")</f>
        <v/>
      </c>
      <c r="D1711" s="3" t="str">
        <f>IFERROR(INDEX('بيانات الحركات'!D:D,MATCH(1710,'بيانات الحركات'!$G:$G,0)),"")</f>
        <v/>
      </c>
      <c r="E1711" s="21" t="str">
        <f>IF($B1711="إنتاج طبخة","",IFERROR(INDEX('بيانات الحركات'!E:E,MATCH(1710,'بيانات الحركات'!$G:$G,0)),""))</f>
        <v/>
      </c>
      <c r="F1711" s="3" t="str">
        <f>IFERROR(INDEX('بيانات الحركات'!F:F,MATCH(1710,'بيانات الحركات'!$G:$G,0)),"")</f>
        <v/>
      </c>
    </row>
    <row r="1712" spans="1:6" ht="21.95" customHeight="1">
      <c r="A1712" s="8" t="str">
        <f>IFERROR(INDEX('بيانات الحركات'!A:A,MATCH(1711,'بيانات الحركات'!$G:$G,0)),"")</f>
        <v/>
      </c>
      <c r="B1712" s="5" t="str">
        <f>IFERROR(INDEX('بيانات الحركات'!B:B,MATCH(1711,'بيانات الحركات'!$G:$G,0)),"")</f>
        <v/>
      </c>
      <c r="C1712" s="3" t="str">
        <f>IFERROR(INDEX('بيانات الحركات'!C:C,MATCH(1711,'بيانات الحركات'!$G:$G,0)),"")</f>
        <v/>
      </c>
      <c r="D1712" s="3" t="str">
        <f>IFERROR(INDEX('بيانات الحركات'!D:D,MATCH(1711,'بيانات الحركات'!$G:$G,0)),"")</f>
        <v/>
      </c>
      <c r="E1712" s="21" t="str">
        <f>IF($B1712="إنتاج طبخة","",IFERROR(INDEX('بيانات الحركات'!E:E,MATCH(1711,'بيانات الحركات'!$G:$G,0)),""))</f>
        <v/>
      </c>
      <c r="F1712" s="3" t="str">
        <f>IFERROR(INDEX('بيانات الحركات'!F:F,MATCH(1711,'بيانات الحركات'!$G:$G,0)),"")</f>
        <v/>
      </c>
    </row>
    <row r="1713" spans="1:6" ht="21.95" customHeight="1">
      <c r="A1713" s="8" t="str">
        <f>IFERROR(INDEX('بيانات الحركات'!A:A,MATCH(1712,'بيانات الحركات'!$G:$G,0)),"")</f>
        <v/>
      </c>
      <c r="B1713" s="5" t="str">
        <f>IFERROR(INDEX('بيانات الحركات'!B:B,MATCH(1712,'بيانات الحركات'!$G:$G,0)),"")</f>
        <v/>
      </c>
      <c r="C1713" s="3" t="str">
        <f>IFERROR(INDEX('بيانات الحركات'!C:C,MATCH(1712,'بيانات الحركات'!$G:$G,0)),"")</f>
        <v/>
      </c>
      <c r="D1713" s="3" t="str">
        <f>IFERROR(INDEX('بيانات الحركات'!D:D,MATCH(1712,'بيانات الحركات'!$G:$G,0)),"")</f>
        <v/>
      </c>
      <c r="E1713" s="21" t="str">
        <f>IF($B1713="إنتاج طبخة","",IFERROR(INDEX('بيانات الحركات'!E:E,MATCH(1712,'بيانات الحركات'!$G:$G,0)),""))</f>
        <v/>
      </c>
      <c r="F1713" s="3" t="str">
        <f>IFERROR(INDEX('بيانات الحركات'!F:F,MATCH(1712,'بيانات الحركات'!$G:$G,0)),"")</f>
        <v/>
      </c>
    </row>
    <row r="1714" spans="1:6" ht="21.95" customHeight="1">
      <c r="A1714" s="8" t="str">
        <f>IFERROR(INDEX('بيانات الحركات'!A:A,MATCH(1713,'بيانات الحركات'!$G:$G,0)),"")</f>
        <v/>
      </c>
      <c r="B1714" s="5" t="str">
        <f>IFERROR(INDEX('بيانات الحركات'!B:B,MATCH(1713,'بيانات الحركات'!$G:$G,0)),"")</f>
        <v/>
      </c>
      <c r="C1714" s="3" t="str">
        <f>IFERROR(INDEX('بيانات الحركات'!C:C,MATCH(1713,'بيانات الحركات'!$G:$G,0)),"")</f>
        <v/>
      </c>
      <c r="D1714" s="3" t="str">
        <f>IFERROR(INDEX('بيانات الحركات'!D:D,MATCH(1713,'بيانات الحركات'!$G:$G,0)),"")</f>
        <v/>
      </c>
      <c r="E1714" s="21" t="str">
        <f>IF($B1714="إنتاج طبخة","",IFERROR(INDEX('بيانات الحركات'!E:E,MATCH(1713,'بيانات الحركات'!$G:$G,0)),""))</f>
        <v/>
      </c>
      <c r="F1714" s="3" t="str">
        <f>IFERROR(INDEX('بيانات الحركات'!F:F,MATCH(1713,'بيانات الحركات'!$G:$G,0)),"")</f>
        <v/>
      </c>
    </row>
    <row r="1715" spans="1:6" ht="21.95" customHeight="1">
      <c r="A1715" s="8" t="str">
        <f>IFERROR(INDEX('بيانات الحركات'!A:A,MATCH(1714,'بيانات الحركات'!$G:$G,0)),"")</f>
        <v/>
      </c>
      <c r="B1715" s="5" t="str">
        <f>IFERROR(INDEX('بيانات الحركات'!B:B,MATCH(1714,'بيانات الحركات'!$G:$G,0)),"")</f>
        <v/>
      </c>
      <c r="C1715" s="3" t="str">
        <f>IFERROR(INDEX('بيانات الحركات'!C:C,MATCH(1714,'بيانات الحركات'!$G:$G,0)),"")</f>
        <v/>
      </c>
      <c r="D1715" s="3" t="str">
        <f>IFERROR(INDEX('بيانات الحركات'!D:D,MATCH(1714,'بيانات الحركات'!$G:$G,0)),"")</f>
        <v/>
      </c>
      <c r="E1715" s="21" t="str">
        <f>IF($B1715="إنتاج طبخة","",IFERROR(INDEX('بيانات الحركات'!E:E,MATCH(1714,'بيانات الحركات'!$G:$G,0)),""))</f>
        <v/>
      </c>
      <c r="F1715" s="3" t="str">
        <f>IFERROR(INDEX('بيانات الحركات'!F:F,MATCH(1714,'بيانات الحركات'!$G:$G,0)),"")</f>
        <v/>
      </c>
    </row>
    <row r="1716" spans="1:6" ht="21.95" customHeight="1">
      <c r="A1716" s="8" t="str">
        <f>IFERROR(INDEX('بيانات الحركات'!A:A,MATCH(1715,'بيانات الحركات'!$G:$G,0)),"")</f>
        <v/>
      </c>
      <c r="B1716" s="5" t="str">
        <f>IFERROR(INDEX('بيانات الحركات'!B:B,MATCH(1715,'بيانات الحركات'!$G:$G,0)),"")</f>
        <v/>
      </c>
      <c r="C1716" s="3" t="str">
        <f>IFERROR(INDEX('بيانات الحركات'!C:C,MATCH(1715,'بيانات الحركات'!$G:$G,0)),"")</f>
        <v/>
      </c>
      <c r="D1716" s="3" t="str">
        <f>IFERROR(INDEX('بيانات الحركات'!D:D,MATCH(1715,'بيانات الحركات'!$G:$G,0)),"")</f>
        <v/>
      </c>
      <c r="E1716" s="21" t="str">
        <f>IF($B1716="إنتاج طبخة","",IFERROR(INDEX('بيانات الحركات'!E:E,MATCH(1715,'بيانات الحركات'!$G:$G,0)),""))</f>
        <v/>
      </c>
      <c r="F1716" s="3" t="str">
        <f>IFERROR(INDEX('بيانات الحركات'!F:F,MATCH(1715,'بيانات الحركات'!$G:$G,0)),"")</f>
        <v/>
      </c>
    </row>
    <row r="1717" spans="1:6" ht="21.95" customHeight="1">
      <c r="A1717" s="8" t="str">
        <f>IFERROR(INDEX('بيانات الحركات'!A:A,MATCH(1716,'بيانات الحركات'!$G:$G,0)),"")</f>
        <v/>
      </c>
      <c r="B1717" s="5" t="str">
        <f>IFERROR(INDEX('بيانات الحركات'!B:B,MATCH(1716,'بيانات الحركات'!$G:$G,0)),"")</f>
        <v/>
      </c>
      <c r="C1717" s="3" t="str">
        <f>IFERROR(INDEX('بيانات الحركات'!C:C,MATCH(1716,'بيانات الحركات'!$G:$G,0)),"")</f>
        <v/>
      </c>
      <c r="D1717" s="3" t="str">
        <f>IFERROR(INDEX('بيانات الحركات'!D:D,MATCH(1716,'بيانات الحركات'!$G:$G,0)),"")</f>
        <v/>
      </c>
      <c r="E1717" s="21" t="str">
        <f>IF($B1717="إنتاج طبخة","",IFERROR(INDEX('بيانات الحركات'!E:E,MATCH(1716,'بيانات الحركات'!$G:$G,0)),""))</f>
        <v/>
      </c>
      <c r="F1717" s="3" t="str">
        <f>IFERROR(INDEX('بيانات الحركات'!F:F,MATCH(1716,'بيانات الحركات'!$G:$G,0)),"")</f>
        <v/>
      </c>
    </row>
    <row r="1718" spans="1:6" ht="21.95" customHeight="1">
      <c r="A1718" s="8" t="str">
        <f>IFERROR(INDEX('بيانات الحركات'!A:A,MATCH(1717,'بيانات الحركات'!$G:$G,0)),"")</f>
        <v/>
      </c>
      <c r="B1718" s="5" t="str">
        <f>IFERROR(INDEX('بيانات الحركات'!B:B,MATCH(1717,'بيانات الحركات'!$G:$G,0)),"")</f>
        <v/>
      </c>
      <c r="C1718" s="3" t="str">
        <f>IFERROR(INDEX('بيانات الحركات'!C:C,MATCH(1717,'بيانات الحركات'!$G:$G,0)),"")</f>
        <v/>
      </c>
      <c r="D1718" s="3" t="str">
        <f>IFERROR(INDEX('بيانات الحركات'!D:D,MATCH(1717,'بيانات الحركات'!$G:$G,0)),"")</f>
        <v/>
      </c>
      <c r="E1718" s="21" t="str">
        <f>IF($B1718="إنتاج طبخة","",IFERROR(INDEX('بيانات الحركات'!E:E,MATCH(1717,'بيانات الحركات'!$G:$G,0)),""))</f>
        <v/>
      </c>
      <c r="F1718" s="3" t="str">
        <f>IFERROR(INDEX('بيانات الحركات'!F:F,MATCH(1717,'بيانات الحركات'!$G:$G,0)),"")</f>
        <v/>
      </c>
    </row>
    <row r="1719" spans="1:6" ht="21.95" customHeight="1">
      <c r="A1719" s="8" t="str">
        <f>IFERROR(INDEX('بيانات الحركات'!A:A,MATCH(1718,'بيانات الحركات'!$G:$G,0)),"")</f>
        <v/>
      </c>
      <c r="B1719" s="5" t="str">
        <f>IFERROR(INDEX('بيانات الحركات'!B:B,MATCH(1718,'بيانات الحركات'!$G:$G,0)),"")</f>
        <v/>
      </c>
      <c r="C1719" s="3" t="str">
        <f>IFERROR(INDEX('بيانات الحركات'!C:C,MATCH(1718,'بيانات الحركات'!$G:$G,0)),"")</f>
        <v/>
      </c>
      <c r="D1719" s="3" t="str">
        <f>IFERROR(INDEX('بيانات الحركات'!D:D,MATCH(1718,'بيانات الحركات'!$G:$G,0)),"")</f>
        <v/>
      </c>
      <c r="E1719" s="21" t="str">
        <f>IF($B1719="إنتاج طبخة","",IFERROR(INDEX('بيانات الحركات'!E:E,MATCH(1718,'بيانات الحركات'!$G:$G,0)),""))</f>
        <v/>
      </c>
      <c r="F1719" s="3" t="str">
        <f>IFERROR(INDEX('بيانات الحركات'!F:F,MATCH(1718,'بيانات الحركات'!$G:$G,0)),"")</f>
        <v/>
      </c>
    </row>
    <row r="1720" spans="1:6" ht="21.95" customHeight="1">
      <c r="A1720" s="8" t="str">
        <f>IFERROR(INDEX('بيانات الحركات'!A:A,MATCH(1719,'بيانات الحركات'!$G:$G,0)),"")</f>
        <v/>
      </c>
      <c r="B1720" s="5" t="str">
        <f>IFERROR(INDEX('بيانات الحركات'!B:B,MATCH(1719,'بيانات الحركات'!$G:$G,0)),"")</f>
        <v/>
      </c>
      <c r="C1720" s="3" t="str">
        <f>IFERROR(INDEX('بيانات الحركات'!C:C,MATCH(1719,'بيانات الحركات'!$G:$G,0)),"")</f>
        <v/>
      </c>
      <c r="D1720" s="3" t="str">
        <f>IFERROR(INDEX('بيانات الحركات'!D:D,MATCH(1719,'بيانات الحركات'!$G:$G,0)),"")</f>
        <v/>
      </c>
      <c r="E1720" s="21" t="str">
        <f>IF($B1720="إنتاج طبخة","",IFERROR(INDEX('بيانات الحركات'!E:E,MATCH(1719,'بيانات الحركات'!$G:$G,0)),""))</f>
        <v/>
      </c>
      <c r="F1720" s="3" t="str">
        <f>IFERROR(INDEX('بيانات الحركات'!F:F,MATCH(1719,'بيانات الحركات'!$G:$G,0)),"")</f>
        <v/>
      </c>
    </row>
    <row r="1721" spans="1:6" ht="21.95" customHeight="1">
      <c r="A1721" s="8" t="str">
        <f>IFERROR(INDEX('بيانات الحركات'!A:A,MATCH(1720,'بيانات الحركات'!$G:$G,0)),"")</f>
        <v/>
      </c>
      <c r="B1721" s="5" t="str">
        <f>IFERROR(INDEX('بيانات الحركات'!B:B,MATCH(1720,'بيانات الحركات'!$G:$G,0)),"")</f>
        <v/>
      </c>
      <c r="C1721" s="3" t="str">
        <f>IFERROR(INDEX('بيانات الحركات'!C:C,MATCH(1720,'بيانات الحركات'!$G:$G,0)),"")</f>
        <v/>
      </c>
      <c r="D1721" s="3" t="str">
        <f>IFERROR(INDEX('بيانات الحركات'!D:D,MATCH(1720,'بيانات الحركات'!$G:$G,0)),"")</f>
        <v/>
      </c>
      <c r="E1721" s="21" t="str">
        <f>IF($B1721="إنتاج طبخة","",IFERROR(INDEX('بيانات الحركات'!E:E,MATCH(1720,'بيانات الحركات'!$G:$G,0)),""))</f>
        <v/>
      </c>
      <c r="F1721" s="3" t="str">
        <f>IFERROR(INDEX('بيانات الحركات'!F:F,MATCH(1720,'بيانات الحركات'!$G:$G,0)),"")</f>
        <v/>
      </c>
    </row>
    <row r="1722" spans="1:6" ht="21.95" customHeight="1">
      <c r="A1722" s="8" t="str">
        <f>IFERROR(INDEX('بيانات الحركات'!A:A,MATCH(1721,'بيانات الحركات'!$G:$G,0)),"")</f>
        <v/>
      </c>
      <c r="B1722" s="5" t="str">
        <f>IFERROR(INDEX('بيانات الحركات'!B:B,MATCH(1721,'بيانات الحركات'!$G:$G,0)),"")</f>
        <v/>
      </c>
      <c r="C1722" s="3" t="str">
        <f>IFERROR(INDEX('بيانات الحركات'!C:C,MATCH(1721,'بيانات الحركات'!$G:$G,0)),"")</f>
        <v/>
      </c>
      <c r="D1722" s="3" t="str">
        <f>IFERROR(INDEX('بيانات الحركات'!D:D,MATCH(1721,'بيانات الحركات'!$G:$G,0)),"")</f>
        <v/>
      </c>
      <c r="E1722" s="21" t="str">
        <f>IF($B1722="إنتاج طبخة","",IFERROR(INDEX('بيانات الحركات'!E:E,MATCH(1721,'بيانات الحركات'!$G:$G,0)),""))</f>
        <v/>
      </c>
      <c r="F1722" s="3" t="str">
        <f>IFERROR(INDEX('بيانات الحركات'!F:F,MATCH(1721,'بيانات الحركات'!$G:$G,0)),"")</f>
        <v/>
      </c>
    </row>
    <row r="1723" spans="1:6" ht="21.95" customHeight="1">
      <c r="A1723" s="8" t="str">
        <f>IFERROR(INDEX('بيانات الحركات'!A:A,MATCH(1722,'بيانات الحركات'!$G:$G,0)),"")</f>
        <v/>
      </c>
      <c r="B1723" s="5" t="str">
        <f>IFERROR(INDEX('بيانات الحركات'!B:B,MATCH(1722,'بيانات الحركات'!$G:$G,0)),"")</f>
        <v/>
      </c>
      <c r="C1723" s="3" t="str">
        <f>IFERROR(INDEX('بيانات الحركات'!C:C,MATCH(1722,'بيانات الحركات'!$G:$G,0)),"")</f>
        <v/>
      </c>
      <c r="D1723" s="3" t="str">
        <f>IFERROR(INDEX('بيانات الحركات'!D:D,MATCH(1722,'بيانات الحركات'!$G:$G,0)),"")</f>
        <v/>
      </c>
      <c r="E1723" s="21" t="str">
        <f>IF($B1723="إنتاج طبخة","",IFERROR(INDEX('بيانات الحركات'!E:E,MATCH(1722,'بيانات الحركات'!$G:$G,0)),""))</f>
        <v/>
      </c>
      <c r="F1723" s="3" t="str">
        <f>IFERROR(INDEX('بيانات الحركات'!F:F,MATCH(1722,'بيانات الحركات'!$G:$G,0)),"")</f>
        <v/>
      </c>
    </row>
    <row r="1724" spans="1:6" ht="21.95" customHeight="1">
      <c r="A1724" s="8" t="str">
        <f>IFERROR(INDEX('بيانات الحركات'!A:A,MATCH(1723,'بيانات الحركات'!$G:$G,0)),"")</f>
        <v/>
      </c>
      <c r="B1724" s="5" t="str">
        <f>IFERROR(INDEX('بيانات الحركات'!B:B,MATCH(1723,'بيانات الحركات'!$G:$G,0)),"")</f>
        <v/>
      </c>
      <c r="C1724" s="3" t="str">
        <f>IFERROR(INDEX('بيانات الحركات'!C:C,MATCH(1723,'بيانات الحركات'!$G:$G,0)),"")</f>
        <v/>
      </c>
      <c r="D1724" s="3" t="str">
        <f>IFERROR(INDEX('بيانات الحركات'!D:D,MATCH(1723,'بيانات الحركات'!$G:$G,0)),"")</f>
        <v/>
      </c>
      <c r="E1724" s="21" t="str">
        <f>IF($B1724="إنتاج طبخة","",IFERROR(INDEX('بيانات الحركات'!E:E,MATCH(1723,'بيانات الحركات'!$G:$G,0)),""))</f>
        <v/>
      </c>
      <c r="F1724" s="3" t="str">
        <f>IFERROR(INDEX('بيانات الحركات'!F:F,MATCH(1723,'بيانات الحركات'!$G:$G,0)),"")</f>
        <v/>
      </c>
    </row>
    <row r="1725" spans="1:6" ht="21.95" customHeight="1">
      <c r="A1725" s="8" t="str">
        <f>IFERROR(INDEX('بيانات الحركات'!A:A,MATCH(1724,'بيانات الحركات'!$G:$G,0)),"")</f>
        <v/>
      </c>
      <c r="B1725" s="5" t="str">
        <f>IFERROR(INDEX('بيانات الحركات'!B:B,MATCH(1724,'بيانات الحركات'!$G:$G,0)),"")</f>
        <v/>
      </c>
      <c r="C1725" s="3" t="str">
        <f>IFERROR(INDEX('بيانات الحركات'!C:C,MATCH(1724,'بيانات الحركات'!$G:$G,0)),"")</f>
        <v/>
      </c>
      <c r="D1725" s="3" t="str">
        <f>IFERROR(INDEX('بيانات الحركات'!D:D,MATCH(1724,'بيانات الحركات'!$G:$G,0)),"")</f>
        <v/>
      </c>
      <c r="E1725" s="21" t="str">
        <f>IF($B1725="إنتاج طبخة","",IFERROR(INDEX('بيانات الحركات'!E:E,MATCH(1724,'بيانات الحركات'!$G:$G,0)),""))</f>
        <v/>
      </c>
      <c r="F1725" s="3" t="str">
        <f>IFERROR(INDEX('بيانات الحركات'!F:F,MATCH(1724,'بيانات الحركات'!$G:$G,0)),"")</f>
        <v/>
      </c>
    </row>
    <row r="1726" spans="1:6" ht="21.95" customHeight="1">
      <c r="A1726" s="8" t="str">
        <f>IFERROR(INDEX('بيانات الحركات'!A:A,MATCH(1725,'بيانات الحركات'!$G:$G,0)),"")</f>
        <v/>
      </c>
      <c r="B1726" s="5" t="str">
        <f>IFERROR(INDEX('بيانات الحركات'!B:B,MATCH(1725,'بيانات الحركات'!$G:$G,0)),"")</f>
        <v/>
      </c>
      <c r="C1726" s="3" t="str">
        <f>IFERROR(INDEX('بيانات الحركات'!C:C,MATCH(1725,'بيانات الحركات'!$G:$G,0)),"")</f>
        <v/>
      </c>
      <c r="D1726" s="3" t="str">
        <f>IFERROR(INDEX('بيانات الحركات'!D:D,MATCH(1725,'بيانات الحركات'!$G:$G,0)),"")</f>
        <v/>
      </c>
      <c r="E1726" s="21" t="str">
        <f>IF($B1726="إنتاج طبخة","",IFERROR(INDEX('بيانات الحركات'!E:E,MATCH(1725,'بيانات الحركات'!$G:$G,0)),""))</f>
        <v/>
      </c>
      <c r="F1726" s="3" t="str">
        <f>IFERROR(INDEX('بيانات الحركات'!F:F,MATCH(1725,'بيانات الحركات'!$G:$G,0)),"")</f>
        <v/>
      </c>
    </row>
    <row r="1727" spans="1:6" ht="21.95" customHeight="1">
      <c r="A1727" s="8" t="str">
        <f>IFERROR(INDEX('بيانات الحركات'!A:A,MATCH(1726,'بيانات الحركات'!$G:$G,0)),"")</f>
        <v/>
      </c>
      <c r="B1727" s="5" t="str">
        <f>IFERROR(INDEX('بيانات الحركات'!B:B,MATCH(1726,'بيانات الحركات'!$G:$G,0)),"")</f>
        <v/>
      </c>
      <c r="C1727" s="3" t="str">
        <f>IFERROR(INDEX('بيانات الحركات'!C:C,MATCH(1726,'بيانات الحركات'!$G:$G,0)),"")</f>
        <v/>
      </c>
      <c r="D1727" s="3" t="str">
        <f>IFERROR(INDEX('بيانات الحركات'!D:D,MATCH(1726,'بيانات الحركات'!$G:$G,0)),"")</f>
        <v/>
      </c>
      <c r="E1727" s="21" t="str">
        <f>IF($B1727="إنتاج طبخة","",IFERROR(INDEX('بيانات الحركات'!E:E,MATCH(1726,'بيانات الحركات'!$G:$G,0)),""))</f>
        <v/>
      </c>
      <c r="F1727" s="3" t="str">
        <f>IFERROR(INDEX('بيانات الحركات'!F:F,MATCH(1726,'بيانات الحركات'!$G:$G,0)),"")</f>
        <v/>
      </c>
    </row>
    <row r="1728" spans="1:6" ht="21.95" customHeight="1">
      <c r="A1728" s="8" t="str">
        <f>IFERROR(INDEX('بيانات الحركات'!A:A,MATCH(1727,'بيانات الحركات'!$G:$G,0)),"")</f>
        <v/>
      </c>
      <c r="B1728" s="5" t="str">
        <f>IFERROR(INDEX('بيانات الحركات'!B:B,MATCH(1727,'بيانات الحركات'!$G:$G,0)),"")</f>
        <v/>
      </c>
      <c r="C1728" s="3" t="str">
        <f>IFERROR(INDEX('بيانات الحركات'!C:C,MATCH(1727,'بيانات الحركات'!$G:$G,0)),"")</f>
        <v/>
      </c>
      <c r="D1728" s="3" t="str">
        <f>IFERROR(INDEX('بيانات الحركات'!D:D,MATCH(1727,'بيانات الحركات'!$G:$G,0)),"")</f>
        <v/>
      </c>
      <c r="E1728" s="21" t="str">
        <f>IF($B1728="إنتاج طبخة","",IFERROR(INDEX('بيانات الحركات'!E:E,MATCH(1727,'بيانات الحركات'!$G:$G,0)),""))</f>
        <v/>
      </c>
      <c r="F1728" s="3" t="str">
        <f>IFERROR(INDEX('بيانات الحركات'!F:F,MATCH(1727,'بيانات الحركات'!$G:$G,0)),"")</f>
        <v/>
      </c>
    </row>
    <row r="1729" spans="1:6" ht="21.95" customHeight="1">
      <c r="A1729" s="8" t="str">
        <f>IFERROR(INDEX('بيانات الحركات'!A:A,MATCH(1728,'بيانات الحركات'!$G:$G,0)),"")</f>
        <v/>
      </c>
      <c r="B1729" s="5" t="str">
        <f>IFERROR(INDEX('بيانات الحركات'!B:B,MATCH(1728,'بيانات الحركات'!$G:$G,0)),"")</f>
        <v/>
      </c>
      <c r="C1729" s="3" t="str">
        <f>IFERROR(INDEX('بيانات الحركات'!C:C,MATCH(1728,'بيانات الحركات'!$G:$G,0)),"")</f>
        <v/>
      </c>
      <c r="D1729" s="3" t="str">
        <f>IFERROR(INDEX('بيانات الحركات'!D:D,MATCH(1728,'بيانات الحركات'!$G:$G,0)),"")</f>
        <v/>
      </c>
      <c r="E1729" s="21" t="str">
        <f>IF($B1729="إنتاج طبخة","",IFERROR(INDEX('بيانات الحركات'!E:E,MATCH(1728,'بيانات الحركات'!$G:$G,0)),""))</f>
        <v/>
      </c>
      <c r="F1729" s="3" t="str">
        <f>IFERROR(INDEX('بيانات الحركات'!F:F,MATCH(1728,'بيانات الحركات'!$G:$G,0)),"")</f>
        <v/>
      </c>
    </row>
    <row r="1730" spans="1:6" ht="21.95" customHeight="1">
      <c r="A1730" s="8" t="str">
        <f>IFERROR(INDEX('بيانات الحركات'!A:A,MATCH(1729,'بيانات الحركات'!$G:$G,0)),"")</f>
        <v/>
      </c>
      <c r="B1730" s="5" t="str">
        <f>IFERROR(INDEX('بيانات الحركات'!B:B,MATCH(1729,'بيانات الحركات'!$G:$G,0)),"")</f>
        <v/>
      </c>
      <c r="C1730" s="3" t="str">
        <f>IFERROR(INDEX('بيانات الحركات'!C:C,MATCH(1729,'بيانات الحركات'!$G:$G,0)),"")</f>
        <v/>
      </c>
      <c r="D1730" s="3" t="str">
        <f>IFERROR(INDEX('بيانات الحركات'!D:D,MATCH(1729,'بيانات الحركات'!$G:$G,0)),"")</f>
        <v/>
      </c>
      <c r="E1730" s="21" t="str">
        <f>IF($B1730="إنتاج طبخة","",IFERROR(INDEX('بيانات الحركات'!E:E,MATCH(1729,'بيانات الحركات'!$G:$G,0)),""))</f>
        <v/>
      </c>
      <c r="F1730" s="3" t="str">
        <f>IFERROR(INDEX('بيانات الحركات'!F:F,MATCH(1729,'بيانات الحركات'!$G:$G,0)),"")</f>
        <v/>
      </c>
    </row>
    <row r="1731" spans="1:6" ht="21.95" customHeight="1">
      <c r="A1731" s="8" t="str">
        <f>IFERROR(INDEX('بيانات الحركات'!A:A,MATCH(1730,'بيانات الحركات'!$G:$G,0)),"")</f>
        <v/>
      </c>
      <c r="B1731" s="5" t="str">
        <f>IFERROR(INDEX('بيانات الحركات'!B:B,MATCH(1730,'بيانات الحركات'!$G:$G,0)),"")</f>
        <v/>
      </c>
      <c r="C1731" s="3" t="str">
        <f>IFERROR(INDEX('بيانات الحركات'!C:C,MATCH(1730,'بيانات الحركات'!$G:$G,0)),"")</f>
        <v/>
      </c>
      <c r="D1731" s="3" t="str">
        <f>IFERROR(INDEX('بيانات الحركات'!D:D,MATCH(1730,'بيانات الحركات'!$G:$G,0)),"")</f>
        <v/>
      </c>
      <c r="E1731" s="21" t="str">
        <f>IF($B1731="إنتاج طبخة","",IFERROR(INDEX('بيانات الحركات'!E:E,MATCH(1730,'بيانات الحركات'!$G:$G,0)),""))</f>
        <v/>
      </c>
      <c r="F1731" s="3" t="str">
        <f>IFERROR(INDEX('بيانات الحركات'!F:F,MATCH(1730,'بيانات الحركات'!$G:$G,0)),"")</f>
        <v/>
      </c>
    </row>
    <row r="1732" spans="1:6" ht="21.95" customHeight="1">
      <c r="A1732" s="8" t="str">
        <f>IFERROR(INDEX('بيانات الحركات'!A:A,MATCH(1731,'بيانات الحركات'!$G:$G,0)),"")</f>
        <v/>
      </c>
      <c r="B1732" s="5" t="str">
        <f>IFERROR(INDEX('بيانات الحركات'!B:B,MATCH(1731,'بيانات الحركات'!$G:$G,0)),"")</f>
        <v/>
      </c>
      <c r="C1732" s="3" t="str">
        <f>IFERROR(INDEX('بيانات الحركات'!C:C,MATCH(1731,'بيانات الحركات'!$G:$G,0)),"")</f>
        <v/>
      </c>
      <c r="D1732" s="3" t="str">
        <f>IFERROR(INDEX('بيانات الحركات'!D:D,MATCH(1731,'بيانات الحركات'!$G:$G,0)),"")</f>
        <v/>
      </c>
      <c r="E1732" s="21" t="str">
        <f>IF($B1732="إنتاج طبخة","",IFERROR(INDEX('بيانات الحركات'!E:E,MATCH(1731,'بيانات الحركات'!$G:$G,0)),""))</f>
        <v/>
      </c>
      <c r="F1732" s="3" t="str">
        <f>IFERROR(INDEX('بيانات الحركات'!F:F,MATCH(1731,'بيانات الحركات'!$G:$G,0)),"")</f>
        <v/>
      </c>
    </row>
    <row r="1733" spans="1:6" ht="21.95" customHeight="1">
      <c r="A1733" s="8" t="str">
        <f>IFERROR(INDEX('بيانات الحركات'!A:A,MATCH(1732,'بيانات الحركات'!$G:$G,0)),"")</f>
        <v/>
      </c>
      <c r="B1733" s="5" t="str">
        <f>IFERROR(INDEX('بيانات الحركات'!B:B,MATCH(1732,'بيانات الحركات'!$G:$G,0)),"")</f>
        <v/>
      </c>
      <c r="C1733" s="3" t="str">
        <f>IFERROR(INDEX('بيانات الحركات'!C:C,MATCH(1732,'بيانات الحركات'!$G:$G,0)),"")</f>
        <v/>
      </c>
      <c r="D1733" s="3" t="str">
        <f>IFERROR(INDEX('بيانات الحركات'!D:D,MATCH(1732,'بيانات الحركات'!$G:$G,0)),"")</f>
        <v/>
      </c>
      <c r="E1733" s="21" t="str">
        <f>IF($B1733="إنتاج طبخة","",IFERROR(INDEX('بيانات الحركات'!E:E,MATCH(1732,'بيانات الحركات'!$G:$G,0)),""))</f>
        <v/>
      </c>
      <c r="F1733" s="3" t="str">
        <f>IFERROR(INDEX('بيانات الحركات'!F:F,MATCH(1732,'بيانات الحركات'!$G:$G,0)),"")</f>
        <v/>
      </c>
    </row>
    <row r="1734" spans="1:6" ht="21.95" customHeight="1">
      <c r="A1734" s="8" t="str">
        <f>IFERROR(INDEX('بيانات الحركات'!A:A,MATCH(1733,'بيانات الحركات'!$G:$G,0)),"")</f>
        <v/>
      </c>
      <c r="B1734" s="5" t="str">
        <f>IFERROR(INDEX('بيانات الحركات'!B:B,MATCH(1733,'بيانات الحركات'!$G:$G,0)),"")</f>
        <v/>
      </c>
      <c r="C1734" s="3" t="str">
        <f>IFERROR(INDEX('بيانات الحركات'!C:C,MATCH(1733,'بيانات الحركات'!$G:$G,0)),"")</f>
        <v/>
      </c>
      <c r="D1734" s="3" t="str">
        <f>IFERROR(INDEX('بيانات الحركات'!D:D,MATCH(1733,'بيانات الحركات'!$G:$G,0)),"")</f>
        <v/>
      </c>
      <c r="E1734" s="21" t="str">
        <f>IF($B1734="إنتاج طبخة","",IFERROR(INDEX('بيانات الحركات'!E:E,MATCH(1733,'بيانات الحركات'!$G:$G,0)),""))</f>
        <v/>
      </c>
      <c r="F1734" s="3" t="str">
        <f>IFERROR(INDEX('بيانات الحركات'!F:F,MATCH(1733,'بيانات الحركات'!$G:$G,0)),"")</f>
        <v/>
      </c>
    </row>
    <row r="1735" spans="1:6" ht="21.95" customHeight="1">
      <c r="A1735" s="8" t="str">
        <f>IFERROR(INDEX('بيانات الحركات'!A:A,MATCH(1734,'بيانات الحركات'!$G:$G,0)),"")</f>
        <v/>
      </c>
      <c r="B1735" s="5" t="str">
        <f>IFERROR(INDEX('بيانات الحركات'!B:B,MATCH(1734,'بيانات الحركات'!$G:$G,0)),"")</f>
        <v/>
      </c>
      <c r="C1735" s="3" t="str">
        <f>IFERROR(INDEX('بيانات الحركات'!C:C,MATCH(1734,'بيانات الحركات'!$G:$G,0)),"")</f>
        <v/>
      </c>
      <c r="D1735" s="3" t="str">
        <f>IFERROR(INDEX('بيانات الحركات'!D:D,MATCH(1734,'بيانات الحركات'!$G:$G,0)),"")</f>
        <v/>
      </c>
      <c r="E1735" s="21" t="str">
        <f>IF($B1735="إنتاج طبخة","",IFERROR(INDEX('بيانات الحركات'!E:E,MATCH(1734,'بيانات الحركات'!$G:$G,0)),""))</f>
        <v/>
      </c>
      <c r="F1735" s="3" t="str">
        <f>IFERROR(INDEX('بيانات الحركات'!F:F,MATCH(1734,'بيانات الحركات'!$G:$G,0)),"")</f>
        <v/>
      </c>
    </row>
    <row r="1736" spans="1:6" ht="21.95" customHeight="1">
      <c r="A1736" s="8" t="str">
        <f>IFERROR(INDEX('بيانات الحركات'!A:A,MATCH(1735,'بيانات الحركات'!$G:$G,0)),"")</f>
        <v/>
      </c>
      <c r="B1736" s="5" t="str">
        <f>IFERROR(INDEX('بيانات الحركات'!B:B,MATCH(1735,'بيانات الحركات'!$G:$G,0)),"")</f>
        <v/>
      </c>
      <c r="C1736" s="3" t="str">
        <f>IFERROR(INDEX('بيانات الحركات'!C:C,MATCH(1735,'بيانات الحركات'!$G:$G,0)),"")</f>
        <v/>
      </c>
      <c r="D1736" s="3" t="str">
        <f>IFERROR(INDEX('بيانات الحركات'!D:D,MATCH(1735,'بيانات الحركات'!$G:$G,0)),"")</f>
        <v/>
      </c>
      <c r="E1736" s="21" t="str">
        <f>IF($B1736="إنتاج طبخة","",IFERROR(INDEX('بيانات الحركات'!E:E,MATCH(1735,'بيانات الحركات'!$G:$G,0)),""))</f>
        <v/>
      </c>
      <c r="F1736" s="3" t="str">
        <f>IFERROR(INDEX('بيانات الحركات'!F:F,MATCH(1735,'بيانات الحركات'!$G:$G,0)),"")</f>
        <v/>
      </c>
    </row>
    <row r="1737" spans="1:6" ht="21.95" customHeight="1">
      <c r="A1737" s="8" t="str">
        <f>IFERROR(INDEX('بيانات الحركات'!A:A,MATCH(1736,'بيانات الحركات'!$G:$G,0)),"")</f>
        <v/>
      </c>
      <c r="B1737" s="5" t="str">
        <f>IFERROR(INDEX('بيانات الحركات'!B:B,MATCH(1736,'بيانات الحركات'!$G:$G,0)),"")</f>
        <v/>
      </c>
      <c r="C1737" s="3" t="str">
        <f>IFERROR(INDEX('بيانات الحركات'!C:C,MATCH(1736,'بيانات الحركات'!$G:$G,0)),"")</f>
        <v/>
      </c>
      <c r="D1737" s="3" t="str">
        <f>IFERROR(INDEX('بيانات الحركات'!D:D,MATCH(1736,'بيانات الحركات'!$G:$G,0)),"")</f>
        <v/>
      </c>
      <c r="E1737" s="21" t="str">
        <f>IF($B1737="إنتاج طبخة","",IFERROR(INDEX('بيانات الحركات'!E:E,MATCH(1736,'بيانات الحركات'!$G:$G,0)),""))</f>
        <v/>
      </c>
      <c r="F1737" s="3" t="str">
        <f>IFERROR(INDEX('بيانات الحركات'!F:F,MATCH(1736,'بيانات الحركات'!$G:$G,0)),"")</f>
        <v/>
      </c>
    </row>
    <row r="1738" spans="1:6" ht="21.95" customHeight="1">
      <c r="A1738" s="8" t="str">
        <f>IFERROR(INDEX('بيانات الحركات'!A:A,MATCH(1737,'بيانات الحركات'!$G:$G,0)),"")</f>
        <v/>
      </c>
      <c r="B1738" s="5" t="str">
        <f>IFERROR(INDEX('بيانات الحركات'!B:B,MATCH(1737,'بيانات الحركات'!$G:$G,0)),"")</f>
        <v/>
      </c>
      <c r="C1738" s="3" t="str">
        <f>IFERROR(INDEX('بيانات الحركات'!C:C,MATCH(1737,'بيانات الحركات'!$G:$G,0)),"")</f>
        <v/>
      </c>
      <c r="D1738" s="3" t="str">
        <f>IFERROR(INDEX('بيانات الحركات'!D:D,MATCH(1737,'بيانات الحركات'!$G:$G,0)),"")</f>
        <v/>
      </c>
      <c r="E1738" s="21" t="str">
        <f>IF($B1738="إنتاج طبخة","",IFERROR(INDEX('بيانات الحركات'!E:E,MATCH(1737,'بيانات الحركات'!$G:$G,0)),""))</f>
        <v/>
      </c>
      <c r="F1738" s="3" t="str">
        <f>IFERROR(INDEX('بيانات الحركات'!F:F,MATCH(1737,'بيانات الحركات'!$G:$G,0)),"")</f>
        <v/>
      </c>
    </row>
    <row r="1739" spans="1:6" ht="21.95" customHeight="1">
      <c r="A1739" s="8" t="str">
        <f>IFERROR(INDEX('بيانات الحركات'!A:A,MATCH(1738,'بيانات الحركات'!$G:$G,0)),"")</f>
        <v/>
      </c>
      <c r="B1739" s="5" t="str">
        <f>IFERROR(INDEX('بيانات الحركات'!B:B,MATCH(1738,'بيانات الحركات'!$G:$G,0)),"")</f>
        <v/>
      </c>
      <c r="C1739" s="3" t="str">
        <f>IFERROR(INDEX('بيانات الحركات'!C:C,MATCH(1738,'بيانات الحركات'!$G:$G,0)),"")</f>
        <v/>
      </c>
      <c r="D1739" s="3" t="str">
        <f>IFERROR(INDEX('بيانات الحركات'!D:D,MATCH(1738,'بيانات الحركات'!$G:$G,0)),"")</f>
        <v/>
      </c>
      <c r="E1739" s="21" t="str">
        <f>IF($B1739="إنتاج طبخة","",IFERROR(INDEX('بيانات الحركات'!E:E,MATCH(1738,'بيانات الحركات'!$G:$G,0)),""))</f>
        <v/>
      </c>
      <c r="F1739" s="3" t="str">
        <f>IFERROR(INDEX('بيانات الحركات'!F:F,MATCH(1738,'بيانات الحركات'!$G:$G,0)),"")</f>
        <v/>
      </c>
    </row>
    <row r="1740" spans="1:6" ht="21.95" customHeight="1">
      <c r="A1740" s="8" t="str">
        <f>IFERROR(INDEX('بيانات الحركات'!A:A,MATCH(1739,'بيانات الحركات'!$G:$G,0)),"")</f>
        <v/>
      </c>
      <c r="B1740" s="5" t="str">
        <f>IFERROR(INDEX('بيانات الحركات'!B:B,MATCH(1739,'بيانات الحركات'!$G:$G,0)),"")</f>
        <v/>
      </c>
      <c r="C1740" s="3" t="str">
        <f>IFERROR(INDEX('بيانات الحركات'!C:C,MATCH(1739,'بيانات الحركات'!$G:$G,0)),"")</f>
        <v/>
      </c>
      <c r="D1740" s="3" t="str">
        <f>IFERROR(INDEX('بيانات الحركات'!D:D,MATCH(1739,'بيانات الحركات'!$G:$G,0)),"")</f>
        <v/>
      </c>
      <c r="E1740" s="21" t="str">
        <f>IF($B1740="إنتاج طبخة","",IFERROR(INDEX('بيانات الحركات'!E:E,MATCH(1739,'بيانات الحركات'!$G:$G,0)),""))</f>
        <v/>
      </c>
      <c r="F1740" s="3" t="str">
        <f>IFERROR(INDEX('بيانات الحركات'!F:F,MATCH(1739,'بيانات الحركات'!$G:$G,0)),"")</f>
        <v/>
      </c>
    </row>
    <row r="1741" spans="1:6" ht="21.95" customHeight="1">
      <c r="A1741" s="8" t="str">
        <f>IFERROR(INDEX('بيانات الحركات'!A:A,MATCH(1740,'بيانات الحركات'!$G:$G,0)),"")</f>
        <v/>
      </c>
      <c r="B1741" s="5" t="str">
        <f>IFERROR(INDEX('بيانات الحركات'!B:B,MATCH(1740,'بيانات الحركات'!$G:$G,0)),"")</f>
        <v/>
      </c>
      <c r="C1741" s="3" t="str">
        <f>IFERROR(INDEX('بيانات الحركات'!C:C,MATCH(1740,'بيانات الحركات'!$G:$G,0)),"")</f>
        <v/>
      </c>
      <c r="D1741" s="3" t="str">
        <f>IFERROR(INDEX('بيانات الحركات'!D:D,MATCH(1740,'بيانات الحركات'!$G:$G,0)),"")</f>
        <v/>
      </c>
      <c r="E1741" s="21" t="str">
        <f>IF($B1741="إنتاج طبخة","",IFERROR(INDEX('بيانات الحركات'!E:E,MATCH(1740,'بيانات الحركات'!$G:$G,0)),""))</f>
        <v/>
      </c>
      <c r="F1741" s="3" t="str">
        <f>IFERROR(INDEX('بيانات الحركات'!F:F,MATCH(1740,'بيانات الحركات'!$G:$G,0)),"")</f>
        <v/>
      </c>
    </row>
    <row r="1742" spans="1:6" ht="21.95" customHeight="1">
      <c r="A1742" s="8" t="str">
        <f>IFERROR(INDEX('بيانات الحركات'!A:A,MATCH(1741,'بيانات الحركات'!$G:$G,0)),"")</f>
        <v/>
      </c>
      <c r="B1742" s="5" t="str">
        <f>IFERROR(INDEX('بيانات الحركات'!B:B,MATCH(1741,'بيانات الحركات'!$G:$G,0)),"")</f>
        <v/>
      </c>
      <c r="C1742" s="3" t="str">
        <f>IFERROR(INDEX('بيانات الحركات'!C:C,MATCH(1741,'بيانات الحركات'!$G:$G,0)),"")</f>
        <v/>
      </c>
      <c r="D1742" s="3" t="str">
        <f>IFERROR(INDEX('بيانات الحركات'!D:D,MATCH(1741,'بيانات الحركات'!$G:$G,0)),"")</f>
        <v/>
      </c>
      <c r="E1742" s="21" t="str">
        <f>IF($B1742="إنتاج طبخة","",IFERROR(INDEX('بيانات الحركات'!E:E,MATCH(1741,'بيانات الحركات'!$G:$G,0)),""))</f>
        <v/>
      </c>
      <c r="F1742" s="3" t="str">
        <f>IFERROR(INDEX('بيانات الحركات'!F:F,MATCH(1741,'بيانات الحركات'!$G:$G,0)),"")</f>
        <v/>
      </c>
    </row>
    <row r="1743" spans="1:6" ht="21.95" customHeight="1">
      <c r="A1743" s="8" t="str">
        <f>IFERROR(INDEX('بيانات الحركات'!A:A,MATCH(1742,'بيانات الحركات'!$G:$G,0)),"")</f>
        <v/>
      </c>
      <c r="B1743" s="5" t="str">
        <f>IFERROR(INDEX('بيانات الحركات'!B:B,MATCH(1742,'بيانات الحركات'!$G:$G,0)),"")</f>
        <v/>
      </c>
      <c r="C1743" s="3" t="str">
        <f>IFERROR(INDEX('بيانات الحركات'!C:C,MATCH(1742,'بيانات الحركات'!$G:$G,0)),"")</f>
        <v/>
      </c>
      <c r="D1743" s="3" t="str">
        <f>IFERROR(INDEX('بيانات الحركات'!D:D,MATCH(1742,'بيانات الحركات'!$G:$G,0)),"")</f>
        <v/>
      </c>
      <c r="E1743" s="21" t="str">
        <f>IF($B1743="إنتاج طبخة","",IFERROR(INDEX('بيانات الحركات'!E:E,MATCH(1742,'بيانات الحركات'!$G:$G,0)),""))</f>
        <v/>
      </c>
      <c r="F1743" s="3" t="str">
        <f>IFERROR(INDEX('بيانات الحركات'!F:F,MATCH(1742,'بيانات الحركات'!$G:$G,0)),"")</f>
        <v/>
      </c>
    </row>
    <row r="1744" spans="1:6" ht="21.95" customHeight="1">
      <c r="A1744" s="8" t="str">
        <f>IFERROR(INDEX('بيانات الحركات'!A:A,MATCH(1743,'بيانات الحركات'!$G:$G,0)),"")</f>
        <v/>
      </c>
      <c r="B1744" s="5" t="str">
        <f>IFERROR(INDEX('بيانات الحركات'!B:B,MATCH(1743,'بيانات الحركات'!$G:$G,0)),"")</f>
        <v/>
      </c>
      <c r="C1744" s="3" t="str">
        <f>IFERROR(INDEX('بيانات الحركات'!C:C,MATCH(1743,'بيانات الحركات'!$G:$G,0)),"")</f>
        <v/>
      </c>
      <c r="D1744" s="3" t="str">
        <f>IFERROR(INDEX('بيانات الحركات'!D:D,MATCH(1743,'بيانات الحركات'!$G:$G,0)),"")</f>
        <v/>
      </c>
      <c r="E1744" s="21" t="str">
        <f>IF($B1744="إنتاج طبخة","",IFERROR(INDEX('بيانات الحركات'!E:E,MATCH(1743,'بيانات الحركات'!$G:$G,0)),""))</f>
        <v/>
      </c>
      <c r="F1744" s="3" t="str">
        <f>IFERROR(INDEX('بيانات الحركات'!F:F,MATCH(1743,'بيانات الحركات'!$G:$G,0)),"")</f>
        <v/>
      </c>
    </row>
    <row r="1745" spans="1:6" ht="21.95" customHeight="1">
      <c r="A1745" s="8" t="str">
        <f>IFERROR(INDEX('بيانات الحركات'!A:A,MATCH(1744,'بيانات الحركات'!$G:$G,0)),"")</f>
        <v/>
      </c>
      <c r="B1745" s="5" t="str">
        <f>IFERROR(INDEX('بيانات الحركات'!B:B,MATCH(1744,'بيانات الحركات'!$G:$G,0)),"")</f>
        <v/>
      </c>
      <c r="C1745" s="3" t="str">
        <f>IFERROR(INDEX('بيانات الحركات'!C:C,MATCH(1744,'بيانات الحركات'!$G:$G,0)),"")</f>
        <v/>
      </c>
      <c r="D1745" s="3" t="str">
        <f>IFERROR(INDEX('بيانات الحركات'!D:D,MATCH(1744,'بيانات الحركات'!$G:$G,0)),"")</f>
        <v/>
      </c>
      <c r="E1745" s="21" t="str">
        <f>IF($B1745="إنتاج طبخة","",IFERROR(INDEX('بيانات الحركات'!E:E,MATCH(1744,'بيانات الحركات'!$G:$G,0)),""))</f>
        <v/>
      </c>
      <c r="F1745" s="3" t="str">
        <f>IFERROR(INDEX('بيانات الحركات'!F:F,MATCH(1744,'بيانات الحركات'!$G:$G,0)),"")</f>
        <v/>
      </c>
    </row>
    <row r="1746" spans="1:6" ht="21.95" customHeight="1">
      <c r="A1746" s="8" t="str">
        <f>IFERROR(INDEX('بيانات الحركات'!A:A,MATCH(1745,'بيانات الحركات'!$G:$G,0)),"")</f>
        <v/>
      </c>
      <c r="B1746" s="5" t="str">
        <f>IFERROR(INDEX('بيانات الحركات'!B:B,MATCH(1745,'بيانات الحركات'!$G:$G,0)),"")</f>
        <v/>
      </c>
      <c r="C1746" s="3" t="str">
        <f>IFERROR(INDEX('بيانات الحركات'!C:C,MATCH(1745,'بيانات الحركات'!$G:$G,0)),"")</f>
        <v/>
      </c>
      <c r="D1746" s="3" t="str">
        <f>IFERROR(INDEX('بيانات الحركات'!D:D,MATCH(1745,'بيانات الحركات'!$G:$G,0)),"")</f>
        <v/>
      </c>
      <c r="E1746" s="21" t="str">
        <f>IF($B1746="إنتاج طبخة","",IFERROR(INDEX('بيانات الحركات'!E:E,MATCH(1745,'بيانات الحركات'!$G:$G,0)),""))</f>
        <v/>
      </c>
      <c r="F1746" s="3" t="str">
        <f>IFERROR(INDEX('بيانات الحركات'!F:F,MATCH(1745,'بيانات الحركات'!$G:$G,0)),"")</f>
        <v/>
      </c>
    </row>
    <row r="1747" spans="1:6" ht="21.95" customHeight="1">
      <c r="A1747" s="8" t="str">
        <f>IFERROR(INDEX('بيانات الحركات'!A:A,MATCH(1746,'بيانات الحركات'!$G:$G,0)),"")</f>
        <v/>
      </c>
      <c r="B1747" s="5" t="str">
        <f>IFERROR(INDEX('بيانات الحركات'!B:B,MATCH(1746,'بيانات الحركات'!$G:$G,0)),"")</f>
        <v/>
      </c>
      <c r="C1747" s="3" t="str">
        <f>IFERROR(INDEX('بيانات الحركات'!C:C,MATCH(1746,'بيانات الحركات'!$G:$G,0)),"")</f>
        <v/>
      </c>
      <c r="D1747" s="3" t="str">
        <f>IFERROR(INDEX('بيانات الحركات'!D:D,MATCH(1746,'بيانات الحركات'!$G:$G,0)),"")</f>
        <v/>
      </c>
      <c r="E1747" s="21" t="str">
        <f>IF($B1747="إنتاج طبخة","",IFERROR(INDEX('بيانات الحركات'!E:E,MATCH(1746,'بيانات الحركات'!$G:$G,0)),""))</f>
        <v/>
      </c>
      <c r="F1747" s="3" t="str">
        <f>IFERROR(INDEX('بيانات الحركات'!F:F,MATCH(1746,'بيانات الحركات'!$G:$G,0)),"")</f>
        <v/>
      </c>
    </row>
    <row r="1748" spans="1:6" ht="21.95" customHeight="1">
      <c r="A1748" s="8" t="str">
        <f>IFERROR(INDEX('بيانات الحركات'!A:A,MATCH(1747,'بيانات الحركات'!$G:$G,0)),"")</f>
        <v/>
      </c>
      <c r="B1748" s="5" t="str">
        <f>IFERROR(INDEX('بيانات الحركات'!B:B,MATCH(1747,'بيانات الحركات'!$G:$G,0)),"")</f>
        <v/>
      </c>
      <c r="C1748" s="3" t="str">
        <f>IFERROR(INDEX('بيانات الحركات'!C:C,MATCH(1747,'بيانات الحركات'!$G:$G,0)),"")</f>
        <v/>
      </c>
      <c r="D1748" s="3" t="str">
        <f>IFERROR(INDEX('بيانات الحركات'!D:D,MATCH(1747,'بيانات الحركات'!$G:$G,0)),"")</f>
        <v/>
      </c>
      <c r="E1748" s="21" t="str">
        <f>IF($B1748="إنتاج طبخة","",IFERROR(INDEX('بيانات الحركات'!E:E,MATCH(1747,'بيانات الحركات'!$G:$G,0)),""))</f>
        <v/>
      </c>
      <c r="F1748" s="3" t="str">
        <f>IFERROR(INDEX('بيانات الحركات'!F:F,MATCH(1747,'بيانات الحركات'!$G:$G,0)),"")</f>
        <v/>
      </c>
    </row>
    <row r="1749" spans="1:6" ht="21.95" customHeight="1">
      <c r="A1749" s="8" t="str">
        <f>IFERROR(INDEX('بيانات الحركات'!A:A,MATCH(1748,'بيانات الحركات'!$G:$G,0)),"")</f>
        <v/>
      </c>
      <c r="B1749" s="5" t="str">
        <f>IFERROR(INDEX('بيانات الحركات'!B:B,MATCH(1748,'بيانات الحركات'!$G:$G,0)),"")</f>
        <v/>
      </c>
      <c r="C1749" s="3" t="str">
        <f>IFERROR(INDEX('بيانات الحركات'!C:C,MATCH(1748,'بيانات الحركات'!$G:$G,0)),"")</f>
        <v/>
      </c>
      <c r="D1749" s="3" t="str">
        <f>IFERROR(INDEX('بيانات الحركات'!D:D,MATCH(1748,'بيانات الحركات'!$G:$G,0)),"")</f>
        <v/>
      </c>
      <c r="E1749" s="21" t="str">
        <f>IF($B1749="إنتاج طبخة","",IFERROR(INDEX('بيانات الحركات'!E:E,MATCH(1748,'بيانات الحركات'!$G:$G,0)),""))</f>
        <v/>
      </c>
      <c r="F1749" s="3" t="str">
        <f>IFERROR(INDEX('بيانات الحركات'!F:F,MATCH(1748,'بيانات الحركات'!$G:$G,0)),"")</f>
        <v/>
      </c>
    </row>
    <row r="1750" spans="1:6" ht="21.95" customHeight="1">
      <c r="A1750" s="8" t="str">
        <f>IFERROR(INDEX('بيانات الحركات'!A:A,MATCH(1749,'بيانات الحركات'!$G:$G,0)),"")</f>
        <v/>
      </c>
      <c r="B1750" s="5" t="str">
        <f>IFERROR(INDEX('بيانات الحركات'!B:B,MATCH(1749,'بيانات الحركات'!$G:$G,0)),"")</f>
        <v/>
      </c>
      <c r="C1750" s="3" t="str">
        <f>IFERROR(INDEX('بيانات الحركات'!C:C,MATCH(1749,'بيانات الحركات'!$G:$G,0)),"")</f>
        <v/>
      </c>
      <c r="D1750" s="3" t="str">
        <f>IFERROR(INDEX('بيانات الحركات'!D:D,MATCH(1749,'بيانات الحركات'!$G:$G,0)),"")</f>
        <v/>
      </c>
      <c r="E1750" s="21" t="str">
        <f>IF($B1750="إنتاج طبخة","",IFERROR(INDEX('بيانات الحركات'!E:E,MATCH(1749,'بيانات الحركات'!$G:$G,0)),""))</f>
        <v/>
      </c>
      <c r="F1750" s="3" t="str">
        <f>IFERROR(INDEX('بيانات الحركات'!F:F,MATCH(1749,'بيانات الحركات'!$G:$G,0)),"")</f>
        <v/>
      </c>
    </row>
    <row r="1751" spans="1:6" ht="21.95" customHeight="1">
      <c r="A1751" s="8" t="str">
        <f>IFERROR(INDEX('بيانات الحركات'!A:A,MATCH(1750,'بيانات الحركات'!$G:$G,0)),"")</f>
        <v/>
      </c>
      <c r="B1751" s="5" t="str">
        <f>IFERROR(INDEX('بيانات الحركات'!B:B,MATCH(1750,'بيانات الحركات'!$G:$G,0)),"")</f>
        <v/>
      </c>
      <c r="C1751" s="3" t="str">
        <f>IFERROR(INDEX('بيانات الحركات'!C:C,MATCH(1750,'بيانات الحركات'!$G:$G,0)),"")</f>
        <v/>
      </c>
      <c r="D1751" s="3" t="str">
        <f>IFERROR(INDEX('بيانات الحركات'!D:D,MATCH(1750,'بيانات الحركات'!$G:$G,0)),"")</f>
        <v/>
      </c>
      <c r="E1751" s="21" t="str">
        <f>IF($B1751="إنتاج طبخة","",IFERROR(INDEX('بيانات الحركات'!E:E,MATCH(1750,'بيانات الحركات'!$G:$G,0)),""))</f>
        <v/>
      </c>
      <c r="F1751" s="3" t="str">
        <f>IFERROR(INDEX('بيانات الحركات'!F:F,MATCH(1750,'بيانات الحركات'!$G:$G,0)),"")</f>
        <v/>
      </c>
    </row>
    <row r="1752" spans="1:6" ht="21.95" customHeight="1">
      <c r="A1752" s="8" t="str">
        <f>IFERROR(INDEX('بيانات الحركات'!A:A,MATCH(1751,'بيانات الحركات'!$G:$G,0)),"")</f>
        <v/>
      </c>
      <c r="B1752" s="5" t="str">
        <f>IFERROR(INDEX('بيانات الحركات'!B:B,MATCH(1751,'بيانات الحركات'!$G:$G,0)),"")</f>
        <v/>
      </c>
      <c r="C1752" s="3" t="str">
        <f>IFERROR(INDEX('بيانات الحركات'!C:C,MATCH(1751,'بيانات الحركات'!$G:$G,0)),"")</f>
        <v/>
      </c>
      <c r="D1752" s="3" t="str">
        <f>IFERROR(INDEX('بيانات الحركات'!D:D,MATCH(1751,'بيانات الحركات'!$G:$G,0)),"")</f>
        <v/>
      </c>
      <c r="E1752" s="21" t="str">
        <f>IF($B1752="إنتاج طبخة","",IFERROR(INDEX('بيانات الحركات'!E:E,MATCH(1751,'بيانات الحركات'!$G:$G,0)),""))</f>
        <v/>
      </c>
      <c r="F1752" s="3" t="str">
        <f>IFERROR(INDEX('بيانات الحركات'!F:F,MATCH(1751,'بيانات الحركات'!$G:$G,0)),"")</f>
        <v/>
      </c>
    </row>
    <row r="1753" spans="1:6" ht="21.95" customHeight="1">
      <c r="A1753" s="8" t="str">
        <f>IFERROR(INDEX('بيانات الحركات'!A:A,MATCH(1752,'بيانات الحركات'!$G:$G,0)),"")</f>
        <v/>
      </c>
      <c r="B1753" s="5" t="str">
        <f>IFERROR(INDEX('بيانات الحركات'!B:B,MATCH(1752,'بيانات الحركات'!$G:$G,0)),"")</f>
        <v/>
      </c>
      <c r="C1753" s="3" t="str">
        <f>IFERROR(INDEX('بيانات الحركات'!C:C,MATCH(1752,'بيانات الحركات'!$G:$G,0)),"")</f>
        <v/>
      </c>
      <c r="D1753" s="3" t="str">
        <f>IFERROR(INDEX('بيانات الحركات'!D:D,MATCH(1752,'بيانات الحركات'!$G:$G,0)),"")</f>
        <v/>
      </c>
      <c r="E1753" s="21" t="str">
        <f>IF($B1753="إنتاج طبخة","",IFERROR(INDEX('بيانات الحركات'!E:E,MATCH(1752,'بيانات الحركات'!$G:$G,0)),""))</f>
        <v/>
      </c>
      <c r="F1753" s="3" t="str">
        <f>IFERROR(INDEX('بيانات الحركات'!F:F,MATCH(1752,'بيانات الحركات'!$G:$G,0)),"")</f>
        <v/>
      </c>
    </row>
    <row r="1754" spans="1:6" ht="21.95" customHeight="1">
      <c r="A1754" s="8" t="str">
        <f>IFERROR(INDEX('بيانات الحركات'!A:A,MATCH(1753,'بيانات الحركات'!$G:$G,0)),"")</f>
        <v/>
      </c>
      <c r="B1754" s="5" t="str">
        <f>IFERROR(INDEX('بيانات الحركات'!B:B,MATCH(1753,'بيانات الحركات'!$G:$G,0)),"")</f>
        <v/>
      </c>
      <c r="C1754" s="3" t="str">
        <f>IFERROR(INDEX('بيانات الحركات'!C:C,MATCH(1753,'بيانات الحركات'!$G:$G,0)),"")</f>
        <v/>
      </c>
      <c r="D1754" s="3" t="str">
        <f>IFERROR(INDEX('بيانات الحركات'!D:D,MATCH(1753,'بيانات الحركات'!$G:$G,0)),"")</f>
        <v/>
      </c>
      <c r="E1754" s="21" t="str">
        <f>IF($B1754="إنتاج طبخة","",IFERROR(INDEX('بيانات الحركات'!E:E,MATCH(1753,'بيانات الحركات'!$G:$G,0)),""))</f>
        <v/>
      </c>
      <c r="F1754" s="3" t="str">
        <f>IFERROR(INDEX('بيانات الحركات'!F:F,MATCH(1753,'بيانات الحركات'!$G:$G,0)),"")</f>
        <v/>
      </c>
    </row>
    <row r="1755" spans="1:6" ht="21.95" customHeight="1">
      <c r="A1755" s="8" t="str">
        <f>IFERROR(INDEX('بيانات الحركات'!A:A,MATCH(1754,'بيانات الحركات'!$G:$G,0)),"")</f>
        <v/>
      </c>
      <c r="B1755" s="5" t="str">
        <f>IFERROR(INDEX('بيانات الحركات'!B:B,MATCH(1754,'بيانات الحركات'!$G:$G,0)),"")</f>
        <v/>
      </c>
      <c r="C1755" s="3" t="str">
        <f>IFERROR(INDEX('بيانات الحركات'!C:C,MATCH(1754,'بيانات الحركات'!$G:$G,0)),"")</f>
        <v/>
      </c>
      <c r="D1755" s="3" t="str">
        <f>IFERROR(INDEX('بيانات الحركات'!D:D,MATCH(1754,'بيانات الحركات'!$G:$G,0)),"")</f>
        <v/>
      </c>
      <c r="E1755" s="21" t="str">
        <f>IF($B1755="إنتاج طبخة","",IFERROR(INDEX('بيانات الحركات'!E:E,MATCH(1754,'بيانات الحركات'!$G:$G,0)),""))</f>
        <v/>
      </c>
      <c r="F1755" s="3" t="str">
        <f>IFERROR(INDEX('بيانات الحركات'!F:F,MATCH(1754,'بيانات الحركات'!$G:$G,0)),"")</f>
        <v/>
      </c>
    </row>
    <row r="1756" spans="1:6" ht="21.95" customHeight="1">
      <c r="A1756" s="8" t="str">
        <f>IFERROR(INDEX('بيانات الحركات'!A:A,MATCH(1755,'بيانات الحركات'!$G:$G,0)),"")</f>
        <v/>
      </c>
      <c r="B1756" s="5" t="str">
        <f>IFERROR(INDEX('بيانات الحركات'!B:B,MATCH(1755,'بيانات الحركات'!$G:$G,0)),"")</f>
        <v/>
      </c>
      <c r="C1756" s="3" t="str">
        <f>IFERROR(INDEX('بيانات الحركات'!C:C,MATCH(1755,'بيانات الحركات'!$G:$G,0)),"")</f>
        <v/>
      </c>
      <c r="D1756" s="3" t="str">
        <f>IFERROR(INDEX('بيانات الحركات'!D:D,MATCH(1755,'بيانات الحركات'!$G:$G,0)),"")</f>
        <v/>
      </c>
      <c r="E1756" s="21" t="str">
        <f>IF($B1756="إنتاج طبخة","",IFERROR(INDEX('بيانات الحركات'!E:E,MATCH(1755,'بيانات الحركات'!$G:$G,0)),""))</f>
        <v/>
      </c>
      <c r="F1756" s="3" t="str">
        <f>IFERROR(INDEX('بيانات الحركات'!F:F,MATCH(1755,'بيانات الحركات'!$G:$G,0)),"")</f>
        <v/>
      </c>
    </row>
    <row r="1757" spans="1:6" ht="21.95" customHeight="1">
      <c r="A1757" s="8" t="str">
        <f>IFERROR(INDEX('بيانات الحركات'!A:A,MATCH(1756,'بيانات الحركات'!$G:$G,0)),"")</f>
        <v/>
      </c>
      <c r="B1757" s="5" t="str">
        <f>IFERROR(INDEX('بيانات الحركات'!B:B,MATCH(1756,'بيانات الحركات'!$G:$G,0)),"")</f>
        <v/>
      </c>
      <c r="C1757" s="3" t="str">
        <f>IFERROR(INDEX('بيانات الحركات'!C:C,MATCH(1756,'بيانات الحركات'!$G:$G,0)),"")</f>
        <v/>
      </c>
      <c r="D1757" s="3" t="str">
        <f>IFERROR(INDEX('بيانات الحركات'!D:D,MATCH(1756,'بيانات الحركات'!$G:$G,0)),"")</f>
        <v/>
      </c>
      <c r="E1757" s="21" t="str">
        <f>IF($B1757="إنتاج طبخة","",IFERROR(INDEX('بيانات الحركات'!E:E,MATCH(1756,'بيانات الحركات'!$G:$G,0)),""))</f>
        <v/>
      </c>
      <c r="F1757" s="3" t="str">
        <f>IFERROR(INDEX('بيانات الحركات'!F:F,MATCH(1756,'بيانات الحركات'!$G:$G,0)),"")</f>
        <v/>
      </c>
    </row>
    <row r="1758" spans="1:6" ht="21.95" customHeight="1">
      <c r="A1758" s="8" t="str">
        <f>IFERROR(INDEX('بيانات الحركات'!A:A,MATCH(1757,'بيانات الحركات'!$G:$G,0)),"")</f>
        <v/>
      </c>
      <c r="B1758" s="5" t="str">
        <f>IFERROR(INDEX('بيانات الحركات'!B:B,MATCH(1757,'بيانات الحركات'!$G:$G,0)),"")</f>
        <v/>
      </c>
      <c r="C1758" s="3" t="str">
        <f>IFERROR(INDEX('بيانات الحركات'!C:C,MATCH(1757,'بيانات الحركات'!$G:$G,0)),"")</f>
        <v/>
      </c>
      <c r="D1758" s="3" t="str">
        <f>IFERROR(INDEX('بيانات الحركات'!D:D,MATCH(1757,'بيانات الحركات'!$G:$G,0)),"")</f>
        <v/>
      </c>
      <c r="E1758" s="21" t="str">
        <f>IF($B1758="إنتاج طبخة","",IFERROR(INDEX('بيانات الحركات'!E:E,MATCH(1757,'بيانات الحركات'!$G:$G,0)),""))</f>
        <v/>
      </c>
      <c r="F1758" s="3" t="str">
        <f>IFERROR(INDEX('بيانات الحركات'!F:F,MATCH(1757,'بيانات الحركات'!$G:$G,0)),"")</f>
        <v/>
      </c>
    </row>
    <row r="1759" spans="1:6" ht="21.95" customHeight="1">
      <c r="A1759" s="8" t="str">
        <f>IFERROR(INDEX('بيانات الحركات'!A:A,MATCH(1758,'بيانات الحركات'!$G:$G,0)),"")</f>
        <v/>
      </c>
      <c r="B1759" s="5" t="str">
        <f>IFERROR(INDEX('بيانات الحركات'!B:B,MATCH(1758,'بيانات الحركات'!$G:$G,0)),"")</f>
        <v/>
      </c>
      <c r="C1759" s="3" t="str">
        <f>IFERROR(INDEX('بيانات الحركات'!C:C,MATCH(1758,'بيانات الحركات'!$G:$G,0)),"")</f>
        <v/>
      </c>
      <c r="D1759" s="3" t="str">
        <f>IFERROR(INDEX('بيانات الحركات'!D:D,MATCH(1758,'بيانات الحركات'!$G:$G,0)),"")</f>
        <v/>
      </c>
      <c r="E1759" s="21" t="str">
        <f>IF($B1759="إنتاج طبخة","",IFERROR(INDEX('بيانات الحركات'!E:E,MATCH(1758,'بيانات الحركات'!$G:$G,0)),""))</f>
        <v/>
      </c>
      <c r="F1759" s="3" t="str">
        <f>IFERROR(INDEX('بيانات الحركات'!F:F,MATCH(1758,'بيانات الحركات'!$G:$G,0)),"")</f>
        <v/>
      </c>
    </row>
    <row r="1760" spans="1:6" ht="21.95" customHeight="1">
      <c r="A1760" s="8" t="str">
        <f>IFERROR(INDEX('بيانات الحركات'!A:A,MATCH(1759,'بيانات الحركات'!$G:$G,0)),"")</f>
        <v/>
      </c>
      <c r="B1760" s="5" t="str">
        <f>IFERROR(INDEX('بيانات الحركات'!B:B,MATCH(1759,'بيانات الحركات'!$G:$G,0)),"")</f>
        <v/>
      </c>
      <c r="C1760" s="3" t="str">
        <f>IFERROR(INDEX('بيانات الحركات'!C:C,MATCH(1759,'بيانات الحركات'!$G:$G,0)),"")</f>
        <v/>
      </c>
      <c r="D1760" s="3" t="str">
        <f>IFERROR(INDEX('بيانات الحركات'!D:D,MATCH(1759,'بيانات الحركات'!$G:$G,0)),"")</f>
        <v/>
      </c>
      <c r="E1760" s="21" t="str">
        <f>IF($B1760="إنتاج طبخة","",IFERROR(INDEX('بيانات الحركات'!E:E,MATCH(1759,'بيانات الحركات'!$G:$G,0)),""))</f>
        <v/>
      </c>
      <c r="F1760" s="3" t="str">
        <f>IFERROR(INDEX('بيانات الحركات'!F:F,MATCH(1759,'بيانات الحركات'!$G:$G,0)),"")</f>
        <v/>
      </c>
    </row>
    <row r="1761" spans="1:6" ht="21.95" customHeight="1">
      <c r="A1761" s="8" t="str">
        <f>IFERROR(INDEX('بيانات الحركات'!A:A,MATCH(1760,'بيانات الحركات'!$G:$G,0)),"")</f>
        <v/>
      </c>
      <c r="B1761" s="5" t="str">
        <f>IFERROR(INDEX('بيانات الحركات'!B:B,MATCH(1760,'بيانات الحركات'!$G:$G,0)),"")</f>
        <v/>
      </c>
      <c r="C1761" s="3" t="str">
        <f>IFERROR(INDEX('بيانات الحركات'!C:C,MATCH(1760,'بيانات الحركات'!$G:$G,0)),"")</f>
        <v/>
      </c>
      <c r="D1761" s="3" t="str">
        <f>IFERROR(INDEX('بيانات الحركات'!D:D,MATCH(1760,'بيانات الحركات'!$G:$G,0)),"")</f>
        <v/>
      </c>
      <c r="E1761" s="21" t="str">
        <f>IF($B1761="إنتاج طبخة","",IFERROR(INDEX('بيانات الحركات'!E:E,MATCH(1760,'بيانات الحركات'!$G:$G,0)),""))</f>
        <v/>
      </c>
      <c r="F1761" s="3" t="str">
        <f>IFERROR(INDEX('بيانات الحركات'!F:F,MATCH(1760,'بيانات الحركات'!$G:$G,0)),"")</f>
        <v/>
      </c>
    </row>
    <row r="1762" spans="1:6" ht="21.95" customHeight="1">
      <c r="A1762" s="8" t="str">
        <f>IFERROR(INDEX('بيانات الحركات'!A:A,MATCH(1761,'بيانات الحركات'!$G:$G,0)),"")</f>
        <v/>
      </c>
      <c r="B1762" s="5" t="str">
        <f>IFERROR(INDEX('بيانات الحركات'!B:B,MATCH(1761,'بيانات الحركات'!$G:$G,0)),"")</f>
        <v/>
      </c>
      <c r="C1762" s="3" t="str">
        <f>IFERROR(INDEX('بيانات الحركات'!C:C,MATCH(1761,'بيانات الحركات'!$G:$G,0)),"")</f>
        <v/>
      </c>
      <c r="D1762" s="3" t="str">
        <f>IFERROR(INDEX('بيانات الحركات'!D:D,MATCH(1761,'بيانات الحركات'!$G:$G,0)),"")</f>
        <v/>
      </c>
      <c r="E1762" s="21" t="str">
        <f>IF($B1762="إنتاج طبخة","",IFERROR(INDEX('بيانات الحركات'!E:E,MATCH(1761,'بيانات الحركات'!$G:$G,0)),""))</f>
        <v/>
      </c>
      <c r="F1762" s="3" t="str">
        <f>IFERROR(INDEX('بيانات الحركات'!F:F,MATCH(1761,'بيانات الحركات'!$G:$G,0)),"")</f>
        <v/>
      </c>
    </row>
    <row r="1763" spans="1:6" ht="21.95" customHeight="1">
      <c r="A1763" s="8" t="str">
        <f>IFERROR(INDEX('بيانات الحركات'!A:A,MATCH(1762,'بيانات الحركات'!$G:$G,0)),"")</f>
        <v/>
      </c>
      <c r="B1763" s="5" t="str">
        <f>IFERROR(INDEX('بيانات الحركات'!B:B,MATCH(1762,'بيانات الحركات'!$G:$G,0)),"")</f>
        <v/>
      </c>
      <c r="C1763" s="3" t="str">
        <f>IFERROR(INDEX('بيانات الحركات'!C:C,MATCH(1762,'بيانات الحركات'!$G:$G,0)),"")</f>
        <v/>
      </c>
      <c r="D1763" s="3" t="str">
        <f>IFERROR(INDEX('بيانات الحركات'!D:D,MATCH(1762,'بيانات الحركات'!$G:$G,0)),"")</f>
        <v/>
      </c>
      <c r="E1763" s="21" t="str">
        <f>IF($B1763="إنتاج طبخة","",IFERROR(INDEX('بيانات الحركات'!E:E,MATCH(1762,'بيانات الحركات'!$G:$G,0)),""))</f>
        <v/>
      </c>
      <c r="F1763" s="3" t="str">
        <f>IFERROR(INDEX('بيانات الحركات'!F:F,MATCH(1762,'بيانات الحركات'!$G:$G,0)),"")</f>
        <v/>
      </c>
    </row>
    <row r="1764" spans="1:6" ht="21.95" customHeight="1">
      <c r="A1764" s="8" t="str">
        <f>IFERROR(INDEX('بيانات الحركات'!A:A,MATCH(1763,'بيانات الحركات'!$G:$G,0)),"")</f>
        <v/>
      </c>
      <c r="B1764" s="5" t="str">
        <f>IFERROR(INDEX('بيانات الحركات'!B:B,MATCH(1763,'بيانات الحركات'!$G:$G,0)),"")</f>
        <v/>
      </c>
      <c r="C1764" s="3" t="str">
        <f>IFERROR(INDEX('بيانات الحركات'!C:C,MATCH(1763,'بيانات الحركات'!$G:$G,0)),"")</f>
        <v/>
      </c>
      <c r="D1764" s="3" t="str">
        <f>IFERROR(INDEX('بيانات الحركات'!D:D,MATCH(1763,'بيانات الحركات'!$G:$G,0)),"")</f>
        <v/>
      </c>
      <c r="E1764" s="21" t="str">
        <f>IF($B1764="إنتاج طبخة","",IFERROR(INDEX('بيانات الحركات'!E:E,MATCH(1763,'بيانات الحركات'!$G:$G,0)),""))</f>
        <v/>
      </c>
      <c r="F1764" s="3" t="str">
        <f>IFERROR(INDEX('بيانات الحركات'!F:F,MATCH(1763,'بيانات الحركات'!$G:$G,0)),"")</f>
        <v/>
      </c>
    </row>
    <row r="1765" spans="1:6" ht="21.95" customHeight="1">
      <c r="A1765" s="8" t="str">
        <f>IFERROR(INDEX('بيانات الحركات'!A:A,MATCH(1764,'بيانات الحركات'!$G:$G,0)),"")</f>
        <v/>
      </c>
      <c r="B1765" s="5" t="str">
        <f>IFERROR(INDEX('بيانات الحركات'!B:B,MATCH(1764,'بيانات الحركات'!$G:$G,0)),"")</f>
        <v/>
      </c>
      <c r="C1765" s="3" t="str">
        <f>IFERROR(INDEX('بيانات الحركات'!C:C,MATCH(1764,'بيانات الحركات'!$G:$G,0)),"")</f>
        <v/>
      </c>
      <c r="D1765" s="3" t="str">
        <f>IFERROR(INDEX('بيانات الحركات'!D:D,MATCH(1764,'بيانات الحركات'!$G:$G,0)),"")</f>
        <v/>
      </c>
      <c r="E1765" s="21" t="str">
        <f>IF($B1765="إنتاج طبخة","",IFERROR(INDEX('بيانات الحركات'!E:E,MATCH(1764,'بيانات الحركات'!$G:$G,0)),""))</f>
        <v/>
      </c>
      <c r="F1765" s="3" t="str">
        <f>IFERROR(INDEX('بيانات الحركات'!F:F,MATCH(1764,'بيانات الحركات'!$G:$G,0)),"")</f>
        <v/>
      </c>
    </row>
    <row r="1766" spans="1:6" ht="21.95" customHeight="1">
      <c r="A1766" s="8" t="str">
        <f>IFERROR(INDEX('بيانات الحركات'!A:A,MATCH(1765,'بيانات الحركات'!$G:$G,0)),"")</f>
        <v/>
      </c>
      <c r="B1766" s="5" t="str">
        <f>IFERROR(INDEX('بيانات الحركات'!B:B,MATCH(1765,'بيانات الحركات'!$G:$G,0)),"")</f>
        <v/>
      </c>
      <c r="C1766" s="3" t="str">
        <f>IFERROR(INDEX('بيانات الحركات'!C:C,MATCH(1765,'بيانات الحركات'!$G:$G,0)),"")</f>
        <v/>
      </c>
      <c r="D1766" s="3" t="str">
        <f>IFERROR(INDEX('بيانات الحركات'!D:D,MATCH(1765,'بيانات الحركات'!$G:$G,0)),"")</f>
        <v/>
      </c>
      <c r="E1766" s="21" t="str">
        <f>IF($B1766="إنتاج طبخة","",IFERROR(INDEX('بيانات الحركات'!E:E,MATCH(1765,'بيانات الحركات'!$G:$G,0)),""))</f>
        <v/>
      </c>
      <c r="F1766" s="3" t="str">
        <f>IFERROR(INDEX('بيانات الحركات'!F:F,MATCH(1765,'بيانات الحركات'!$G:$G,0)),"")</f>
        <v/>
      </c>
    </row>
    <row r="1767" spans="1:6" ht="21.95" customHeight="1">
      <c r="A1767" s="8" t="str">
        <f>IFERROR(INDEX('بيانات الحركات'!A:A,MATCH(1766,'بيانات الحركات'!$G:$G,0)),"")</f>
        <v/>
      </c>
      <c r="B1767" s="5" t="str">
        <f>IFERROR(INDEX('بيانات الحركات'!B:B,MATCH(1766,'بيانات الحركات'!$G:$G,0)),"")</f>
        <v/>
      </c>
      <c r="C1767" s="3" t="str">
        <f>IFERROR(INDEX('بيانات الحركات'!C:C,MATCH(1766,'بيانات الحركات'!$G:$G,0)),"")</f>
        <v/>
      </c>
      <c r="D1767" s="3" t="str">
        <f>IFERROR(INDEX('بيانات الحركات'!D:D,MATCH(1766,'بيانات الحركات'!$G:$G,0)),"")</f>
        <v/>
      </c>
      <c r="E1767" s="21" t="str">
        <f>IF($B1767="إنتاج طبخة","",IFERROR(INDEX('بيانات الحركات'!E:E,MATCH(1766,'بيانات الحركات'!$G:$G,0)),""))</f>
        <v/>
      </c>
      <c r="F1767" s="3" t="str">
        <f>IFERROR(INDEX('بيانات الحركات'!F:F,MATCH(1766,'بيانات الحركات'!$G:$G,0)),"")</f>
        <v/>
      </c>
    </row>
    <row r="1768" spans="1:6" ht="21.95" customHeight="1">
      <c r="A1768" s="8" t="str">
        <f>IFERROR(INDEX('بيانات الحركات'!A:A,MATCH(1767,'بيانات الحركات'!$G:$G,0)),"")</f>
        <v/>
      </c>
      <c r="B1768" s="5" t="str">
        <f>IFERROR(INDEX('بيانات الحركات'!B:B,MATCH(1767,'بيانات الحركات'!$G:$G,0)),"")</f>
        <v/>
      </c>
      <c r="C1768" s="3" t="str">
        <f>IFERROR(INDEX('بيانات الحركات'!C:C,MATCH(1767,'بيانات الحركات'!$G:$G,0)),"")</f>
        <v/>
      </c>
      <c r="D1768" s="3" t="str">
        <f>IFERROR(INDEX('بيانات الحركات'!D:D,MATCH(1767,'بيانات الحركات'!$G:$G,0)),"")</f>
        <v/>
      </c>
      <c r="E1768" s="21" t="str">
        <f>IF($B1768="إنتاج طبخة","",IFERROR(INDEX('بيانات الحركات'!E:E,MATCH(1767,'بيانات الحركات'!$G:$G,0)),""))</f>
        <v/>
      </c>
      <c r="F1768" s="3" t="str">
        <f>IFERROR(INDEX('بيانات الحركات'!F:F,MATCH(1767,'بيانات الحركات'!$G:$G,0)),"")</f>
        <v/>
      </c>
    </row>
    <row r="1769" spans="1:6" ht="21.95" customHeight="1">
      <c r="A1769" s="8" t="str">
        <f>IFERROR(INDEX('بيانات الحركات'!A:A,MATCH(1768,'بيانات الحركات'!$G:$G,0)),"")</f>
        <v/>
      </c>
      <c r="B1769" s="5" t="str">
        <f>IFERROR(INDEX('بيانات الحركات'!B:B,MATCH(1768,'بيانات الحركات'!$G:$G,0)),"")</f>
        <v/>
      </c>
      <c r="C1769" s="3" t="str">
        <f>IFERROR(INDEX('بيانات الحركات'!C:C,MATCH(1768,'بيانات الحركات'!$G:$G,0)),"")</f>
        <v/>
      </c>
      <c r="D1769" s="3" t="str">
        <f>IFERROR(INDEX('بيانات الحركات'!D:D,MATCH(1768,'بيانات الحركات'!$G:$G,0)),"")</f>
        <v/>
      </c>
      <c r="E1769" s="21" t="str">
        <f>IF($B1769="إنتاج طبخة","",IFERROR(INDEX('بيانات الحركات'!E:E,MATCH(1768,'بيانات الحركات'!$G:$G,0)),""))</f>
        <v/>
      </c>
      <c r="F1769" s="3" t="str">
        <f>IFERROR(INDEX('بيانات الحركات'!F:F,MATCH(1768,'بيانات الحركات'!$G:$G,0)),"")</f>
        <v/>
      </c>
    </row>
    <row r="1770" spans="1:6" ht="21.95" customHeight="1">
      <c r="A1770" s="8" t="str">
        <f>IFERROR(INDEX('بيانات الحركات'!A:A,MATCH(1769,'بيانات الحركات'!$G:$G,0)),"")</f>
        <v/>
      </c>
      <c r="B1770" s="5" t="str">
        <f>IFERROR(INDEX('بيانات الحركات'!B:B,MATCH(1769,'بيانات الحركات'!$G:$G,0)),"")</f>
        <v/>
      </c>
      <c r="C1770" s="3" t="str">
        <f>IFERROR(INDEX('بيانات الحركات'!C:C,MATCH(1769,'بيانات الحركات'!$G:$G,0)),"")</f>
        <v/>
      </c>
      <c r="D1770" s="3" t="str">
        <f>IFERROR(INDEX('بيانات الحركات'!D:D,MATCH(1769,'بيانات الحركات'!$G:$G,0)),"")</f>
        <v/>
      </c>
      <c r="E1770" s="21" t="str">
        <f>IF($B1770="إنتاج طبخة","",IFERROR(INDEX('بيانات الحركات'!E:E,MATCH(1769,'بيانات الحركات'!$G:$G,0)),""))</f>
        <v/>
      </c>
      <c r="F1770" s="3" t="str">
        <f>IFERROR(INDEX('بيانات الحركات'!F:F,MATCH(1769,'بيانات الحركات'!$G:$G,0)),"")</f>
        <v/>
      </c>
    </row>
    <row r="1771" spans="1:6" ht="21.95" customHeight="1">
      <c r="A1771" s="8" t="str">
        <f>IFERROR(INDEX('بيانات الحركات'!A:A,MATCH(1770,'بيانات الحركات'!$G:$G,0)),"")</f>
        <v/>
      </c>
      <c r="B1771" s="5" t="str">
        <f>IFERROR(INDEX('بيانات الحركات'!B:B,MATCH(1770,'بيانات الحركات'!$G:$G,0)),"")</f>
        <v/>
      </c>
      <c r="C1771" s="3" t="str">
        <f>IFERROR(INDEX('بيانات الحركات'!C:C,MATCH(1770,'بيانات الحركات'!$G:$G,0)),"")</f>
        <v/>
      </c>
      <c r="D1771" s="3" t="str">
        <f>IFERROR(INDEX('بيانات الحركات'!D:D,MATCH(1770,'بيانات الحركات'!$G:$G,0)),"")</f>
        <v/>
      </c>
      <c r="E1771" s="21" t="str">
        <f>IF($B1771="إنتاج طبخة","",IFERROR(INDEX('بيانات الحركات'!E:E,MATCH(1770,'بيانات الحركات'!$G:$G,0)),""))</f>
        <v/>
      </c>
      <c r="F1771" s="3" t="str">
        <f>IFERROR(INDEX('بيانات الحركات'!F:F,MATCH(1770,'بيانات الحركات'!$G:$G,0)),"")</f>
        <v/>
      </c>
    </row>
    <row r="1772" spans="1:6" ht="21.95" customHeight="1">
      <c r="A1772" s="8" t="str">
        <f>IFERROR(INDEX('بيانات الحركات'!A:A,MATCH(1771,'بيانات الحركات'!$G:$G,0)),"")</f>
        <v/>
      </c>
      <c r="B1772" s="5" t="str">
        <f>IFERROR(INDEX('بيانات الحركات'!B:B,MATCH(1771,'بيانات الحركات'!$G:$G,0)),"")</f>
        <v/>
      </c>
      <c r="C1772" s="3" t="str">
        <f>IFERROR(INDEX('بيانات الحركات'!C:C,MATCH(1771,'بيانات الحركات'!$G:$G,0)),"")</f>
        <v/>
      </c>
      <c r="D1772" s="3" t="str">
        <f>IFERROR(INDEX('بيانات الحركات'!D:D,MATCH(1771,'بيانات الحركات'!$G:$G,0)),"")</f>
        <v/>
      </c>
      <c r="E1772" s="21" t="str">
        <f>IF($B1772="إنتاج طبخة","",IFERROR(INDEX('بيانات الحركات'!E:E,MATCH(1771,'بيانات الحركات'!$G:$G,0)),""))</f>
        <v/>
      </c>
      <c r="F1772" s="3" t="str">
        <f>IFERROR(INDEX('بيانات الحركات'!F:F,MATCH(1771,'بيانات الحركات'!$G:$G,0)),"")</f>
        <v/>
      </c>
    </row>
    <row r="1773" spans="1:6" ht="21.95" customHeight="1">
      <c r="A1773" s="8" t="str">
        <f>IFERROR(INDEX('بيانات الحركات'!A:A,MATCH(1772,'بيانات الحركات'!$G:$G,0)),"")</f>
        <v/>
      </c>
      <c r="B1773" s="5" t="str">
        <f>IFERROR(INDEX('بيانات الحركات'!B:B,MATCH(1772,'بيانات الحركات'!$G:$G,0)),"")</f>
        <v/>
      </c>
      <c r="C1773" s="3" t="str">
        <f>IFERROR(INDEX('بيانات الحركات'!C:C,MATCH(1772,'بيانات الحركات'!$G:$G,0)),"")</f>
        <v/>
      </c>
      <c r="D1773" s="3" t="str">
        <f>IFERROR(INDEX('بيانات الحركات'!D:D,MATCH(1772,'بيانات الحركات'!$G:$G,0)),"")</f>
        <v/>
      </c>
      <c r="E1773" s="21" t="str">
        <f>IF($B1773="إنتاج طبخة","",IFERROR(INDEX('بيانات الحركات'!E:E,MATCH(1772,'بيانات الحركات'!$G:$G,0)),""))</f>
        <v/>
      </c>
      <c r="F1773" s="3" t="str">
        <f>IFERROR(INDEX('بيانات الحركات'!F:F,MATCH(1772,'بيانات الحركات'!$G:$G,0)),"")</f>
        <v/>
      </c>
    </row>
    <row r="1774" spans="1:6" ht="21.95" customHeight="1">
      <c r="A1774" s="8" t="str">
        <f>IFERROR(INDEX('بيانات الحركات'!A:A,MATCH(1773,'بيانات الحركات'!$G:$G,0)),"")</f>
        <v/>
      </c>
      <c r="B1774" s="5" t="str">
        <f>IFERROR(INDEX('بيانات الحركات'!B:B,MATCH(1773,'بيانات الحركات'!$G:$G,0)),"")</f>
        <v/>
      </c>
      <c r="C1774" s="3" t="str">
        <f>IFERROR(INDEX('بيانات الحركات'!C:C,MATCH(1773,'بيانات الحركات'!$G:$G,0)),"")</f>
        <v/>
      </c>
      <c r="D1774" s="3" t="str">
        <f>IFERROR(INDEX('بيانات الحركات'!D:D,MATCH(1773,'بيانات الحركات'!$G:$G,0)),"")</f>
        <v/>
      </c>
      <c r="E1774" s="21" t="str">
        <f>IF($B1774="إنتاج طبخة","",IFERROR(INDEX('بيانات الحركات'!E:E,MATCH(1773,'بيانات الحركات'!$G:$G,0)),""))</f>
        <v/>
      </c>
      <c r="F1774" s="3" t="str">
        <f>IFERROR(INDEX('بيانات الحركات'!F:F,MATCH(1773,'بيانات الحركات'!$G:$G,0)),"")</f>
        <v/>
      </c>
    </row>
    <row r="1775" spans="1:6" ht="21.95" customHeight="1">
      <c r="A1775" s="8" t="str">
        <f>IFERROR(INDEX('بيانات الحركات'!A:A,MATCH(1774,'بيانات الحركات'!$G:$G,0)),"")</f>
        <v/>
      </c>
      <c r="B1775" s="5" t="str">
        <f>IFERROR(INDEX('بيانات الحركات'!B:B,MATCH(1774,'بيانات الحركات'!$G:$G,0)),"")</f>
        <v/>
      </c>
      <c r="C1775" s="3" t="str">
        <f>IFERROR(INDEX('بيانات الحركات'!C:C,MATCH(1774,'بيانات الحركات'!$G:$G,0)),"")</f>
        <v/>
      </c>
      <c r="D1775" s="3" t="str">
        <f>IFERROR(INDEX('بيانات الحركات'!D:D,MATCH(1774,'بيانات الحركات'!$G:$G,0)),"")</f>
        <v/>
      </c>
      <c r="E1775" s="21" t="str">
        <f>IF($B1775="إنتاج طبخة","",IFERROR(INDEX('بيانات الحركات'!E:E,MATCH(1774,'بيانات الحركات'!$G:$G,0)),""))</f>
        <v/>
      </c>
      <c r="F1775" s="3" t="str">
        <f>IFERROR(INDEX('بيانات الحركات'!F:F,MATCH(1774,'بيانات الحركات'!$G:$G,0)),"")</f>
        <v/>
      </c>
    </row>
    <row r="1776" spans="1:6" ht="21.95" customHeight="1">
      <c r="A1776" s="8" t="str">
        <f>IFERROR(INDEX('بيانات الحركات'!A:A,MATCH(1775,'بيانات الحركات'!$G:$G,0)),"")</f>
        <v/>
      </c>
      <c r="B1776" s="5" t="str">
        <f>IFERROR(INDEX('بيانات الحركات'!B:B,MATCH(1775,'بيانات الحركات'!$G:$G,0)),"")</f>
        <v/>
      </c>
      <c r="C1776" s="3" t="str">
        <f>IFERROR(INDEX('بيانات الحركات'!C:C,MATCH(1775,'بيانات الحركات'!$G:$G,0)),"")</f>
        <v/>
      </c>
      <c r="D1776" s="3" t="str">
        <f>IFERROR(INDEX('بيانات الحركات'!D:D,MATCH(1775,'بيانات الحركات'!$G:$G,0)),"")</f>
        <v/>
      </c>
      <c r="E1776" s="21" t="str">
        <f>IF($B1776="إنتاج طبخة","",IFERROR(INDEX('بيانات الحركات'!E:E,MATCH(1775,'بيانات الحركات'!$G:$G,0)),""))</f>
        <v/>
      </c>
      <c r="F1776" s="3" t="str">
        <f>IFERROR(INDEX('بيانات الحركات'!F:F,MATCH(1775,'بيانات الحركات'!$G:$G,0)),"")</f>
        <v/>
      </c>
    </row>
    <row r="1777" spans="1:6" ht="21.95" customHeight="1">
      <c r="A1777" s="8" t="str">
        <f>IFERROR(INDEX('بيانات الحركات'!A:A,MATCH(1776,'بيانات الحركات'!$G:$G,0)),"")</f>
        <v/>
      </c>
      <c r="B1777" s="5" t="str">
        <f>IFERROR(INDEX('بيانات الحركات'!B:B,MATCH(1776,'بيانات الحركات'!$G:$G,0)),"")</f>
        <v/>
      </c>
      <c r="C1777" s="3" t="str">
        <f>IFERROR(INDEX('بيانات الحركات'!C:C,MATCH(1776,'بيانات الحركات'!$G:$G,0)),"")</f>
        <v/>
      </c>
      <c r="D1777" s="3" t="str">
        <f>IFERROR(INDEX('بيانات الحركات'!D:D,MATCH(1776,'بيانات الحركات'!$G:$G,0)),"")</f>
        <v/>
      </c>
      <c r="E1777" s="21" t="str">
        <f>IF($B1777="إنتاج طبخة","",IFERROR(INDEX('بيانات الحركات'!E:E,MATCH(1776,'بيانات الحركات'!$G:$G,0)),""))</f>
        <v/>
      </c>
      <c r="F1777" s="3" t="str">
        <f>IFERROR(INDEX('بيانات الحركات'!F:F,MATCH(1776,'بيانات الحركات'!$G:$G,0)),"")</f>
        <v/>
      </c>
    </row>
    <row r="1778" spans="1:6" ht="21.95" customHeight="1">
      <c r="A1778" s="8" t="str">
        <f>IFERROR(INDEX('بيانات الحركات'!A:A,MATCH(1777,'بيانات الحركات'!$G:$G,0)),"")</f>
        <v/>
      </c>
      <c r="B1778" s="5" t="str">
        <f>IFERROR(INDEX('بيانات الحركات'!B:B,MATCH(1777,'بيانات الحركات'!$G:$G,0)),"")</f>
        <v/>
      </c>
      <c r="C1778" s="3" t="str">
        <f>IFERROR(INDEX('بيانات الحركات'!C:C,MATCH(1777,'بيانات الحركات'!$G:$G,0)),"")</f>
        <v/>
      </c>
      <c r="D1778" s="3" t="str">
        <f>IFERROR(INDEX('بيانات الحركات'!D:D,MATCH(1777,'بيانات الحركات'!$G:$G,0)),"")</f>
        <v/>
      </c>
      <c r="E1778" s="21" t="str">
        <f>IF($B1778="إنتاج طبخة","",IFERROR(INDEX('بيانات الحركات'!E:E,MATCH(1777,'بيانات الحركات'!$G:$G,0)),""))</f>
        <v/>
      </c>
      <c r="F1778" s="3" t="str">
        <f>IFERROR(INDEX('بيانات الحركات'!F:F,MATCH(1777,'بيانات الحركات'!$G:$G,0)),"")</f>
        <v/>
      </c>
    </row>
    <row r="1779" spans="1:6" ht="21.95" customHeight="1">
      <c r="A1779" s="8" t="str">
        <f>IFERROR(INDEX('بيانات الحركات'!A:A,MATCH(1778,'بيانات الحركات'!$G:$G,0)),"")</f>
        <v/>
      </c>
      <c r="B1779" s="5" t="str">
        <f>IFERROR(INDEX('بيانات الحركات'!B:B,MATCH(1778,'بيانات الحركات'!$G:$G,0)),"")</f>
        <v/>
      </c>
      <c r="C1779" s="3" t="str">
        <f>IFERROR(INDEX('بيانات الحركات'!C:C,MATCH(1778,'بيانات الحركات'!$G:$G,0)),"")</f>
        <v/>
      </c>
      <c r="D1779" s="3" t="str">
        <f>IFERROR(INDEX('بيانات الحركات'!D:D,MATCH(1778,'بيانات الحركات'!$G:$G,0)),"")</f>
        <v/>
      </c>
      <c r="E1779" s="21" t="str">
        <f>IF($B1779="إنتاج طبخة","",IFERROR(INDEX('بيانات الحركات'!E:E,MATCH(1778,'بيانات الحركات'!$G:$G,0)),""))</f>
        <v/>
      </c>
      <c r="F1779" s="3" t="str">
        <f>IFERROR(INDEX('بيانات الحركات'!F:F,MATCH(1778,'بيانات الحركات'!$G:$G,0)),"")</f>
        <v/>
      </c>
    </row>
    <row r="1780" spans="1:6" ht="21.95" customHeight="1">
      <c r="A1780" s="8" t="str">
        <f>IFERROR(INDEX('بيانات الحركات'!A:A,MATCH(1779,'بيانات الحركات'!$G:$G,0)),"")</f>
        <v/>
      </c>
      <c r="B1780" s="5" t="str">
        <f>IFERROR(INDEX('بيانات الحركات'!B:B,MATCH(1779,'بيانات الحركات'!$G:$G,0)),"")</f>
        <v/>
      </c>
      <c r="C1780" s="3" t="str">
        <f>IFERROR(INDEX('بيانات الحركات'!C:C,MATCH(1779,'بيانات الحركات'!$G:$G,0)),"")</f>
        <v/>
      </c>
      <c r="D1780" s="3" t="str">
        <f>IFERROR(INDEX('بيانات الحركات'!D:D,MATCH(1779,'بيانات الحركات'!$G:$G,0)),"")</f>
        <v/>
      </c>
      <c r="E1780" s="21" t="str">
        <f>IF($B1780="إنتاج طبخة","",IFERROR(INDEX('بيانات الحركات'!E:E,MATCH(1779,'بيانات الحركات'!$G:$G,0)),""))</f>
        <v/>
      </c>
      <c r="F1780" s="3" t="str">
        <f>IFERROR(INDEX('بيانات الحركات'!F:F,MATCH(1779,'بيانات الحركات'!$G:$G,0)),"")</f>
        <v/>
      </c>
    </row>
    <row r="1781" spans="1:6" ht="21.95" customHeight="1">
      <c r="A1781" s="8" t="str">
        <f>IFERROR(INDEX('بيانات الحركات'!A:A,MATCH(1780,'بيانات الحركات'!$G:$G,0)),"")</f>
        <v/>
      </c>
      <c r="B1781" s="5" t="str">
        <f>IFERROR(INDEX('بيانات الحركات'!B:B,MATCH(1780,'بيانات الحركات'!$G:$G,0)),"")</f>
        <v/>
      </c>
      <c r="C1781" s="3" t="str">
        <f>IFERROR(INDEX('بيانات الحركات'!C:C,MATCH(1780,'بيانات الحركات'!$G:$G,0)),"")</f>
        <v/>
      </c>
      <c r="D1781" s="3" t="str">
        <f>IFERROR(INDEX('بيانات الحركات'!D:D,MATCH(1780,'بيانات الحركات'!$G:$G,0)),"")</f>
        <v/>
      </c>
      <c r="E1781" s="21" t="str">
        <f>IF($B1781="إنتاج طبخة","",IFERROR(INDEX('بيانات الحركات'!E:E,MATCH(1780,'بيانات الحركات'!$G:$G,0)),""))</f>
        <v/>
      </c>
      <c r="F1781" s="3" t="str">
        <f>IFERROR(INDEX('بيانات الحركات'!F:F,MATCH(1780,'بيانات الحركات'!$G:$G,0)),"")</f>
        <v/>
      </c>
    </row>
    <row r="1782" spans="1:6" ht="21.95" customHeight="1">
      <c r="A1782" s="8" t="str">
        <f>IFERROR(INDEX('بيانات الحركات'!A:A,MATCH(1781,'بيانات الحركات'!$G:$G,0)),"")</f>
        <v/>
      </c>
      <c r="B1782" s="5" t="str">
        <f>IFERROR(INDEX('بيانات الحركات'!B:B,MATCH(1781,'بيانات الحركات'!$G:$G,0)),"")</f>
        <v/>
      </c>
      <c r="C1782" s="3" t="str">
        <f>IFERROR(INDEX('بيانات الحركات'!C:C,MATCH(1781,'بيانات الحركات'!$G:$G,0)),"")</f>
        <v/>
      </c>
      <c r="D1782" s="3" t="str">
        <f>IFERROR(INDEX('بيانات الحركات'!D:D,MATCH(1781,'بيانات الحركات'!$G:$G,0)),"")</f>
        <v/>
      </c>
      <c r="E1782" s="21" t="str">
        <f>IF($B1782="إنتاج طبخة","",IFERROR(INDEX('بيانات الحركات'!E:E,MATCH(1781,'بيانات الحركات'!$G:$G,0)),""))</f>
        <v/>
      </c>
      <c r="F1782" s="3" t="str">
        <f>IFERROR(INDEX('بيانات الحركات'!F:F,MATCH(1781,'بيانات الحركات'!$G:$G,0)),"")</f>
        <v/>
      </c>
    </row>
    <row r="1783" spans="1:6" ht="21.95" customHeight="1">
      <c r="A1783" s="8" t="str">
        <f>IFERROR(INDEX('بيانات الحركات'!A:A,MATCH(1782,'بيانات الحركات'!$G:$G,0)),"")</f>
        <v/>
      </c>
      <c r="B1783" s="5" t="str">
        <f>IFERROR(INDEX('بيانات الحركات'!B:B,MATCH(1782,'بيانات الحركات'!$G:$G,0)),"")</f>
        <v/>
      </c>
      <c r="C1783" s="3" t="str">
        <f>IFERROR(INDEX('بيانات الحركات'!C:C,MATCH(1782,'بيانات الحركات'!$G:$G,0)),"")</f>
        <v/>
      </c>
      <c r="D1783" s="3" t="str">
        <f>IFERROR(INDEX('بيانات الحركات'!D:D,MATCH(1782,'بيانات الحركات'!$G:$G,0)),"")</f>
        <v/>
      </c>
      <c r="E1783" s="21" t="str">
        <f>IF($B1783="إنتاج طبخة","",IFERROR(INDEX('بيانات الحركات'!E:E,MATCH(1782,'بيانات الحركات'!$G:$G,0)),""))</f>
        <v/>
      </c>
      <c r="F1783" s="3" t="str">
        <f>IFERROR(INDEX('بيانات الحركات'!F:F,MATCH(1782,'بيانات الحركات'!$G:$G,0)),"")</f>
        <v/>
      </c>
    </row>
    <row r="1784" spans="1:6" ht="21.95" customHeight="1">
      <c r="A1784" s="8" t="str">
        <f>IFERROR(INDEX('بيانات الحركات'!A:A,MATCH(1783,'بيانات الحركات'!$G:$G,0)),"")</f>
        <v/>
      </c>
      <c r="B1784" s="5" t="str">
        <f>IFERROR(INDEX('بيانات الحركات'!B:B,MATCH(1783,'بيانات الحركات'!$G:$G,0)),"")</f>
        <v/>
      </c>
      <c r="C1784" s="3" t="str">
        <f>IFERROR(INDEX('بيانات الحركات'!C:C,MATCH(1783,'بيانات الحركات'!$G:$G,0)),"")</f>
        <v/>
      </c>
      <c r="D1784" s="3" t="str">
        <f>IFERROR(INDEX('بيانات الحركات'!D:D,MATCH(1783,'بيانات الحركات'!$G:$G,0)),"")</f>
        <v/>
      </c>
      <c r="E1784" s="21" t="str">
        <f>IF($B1784="إنتاج طبخة","",IFERROR(INDEX('بيانات الحركات'!E:E,MATCH(1783,'بيانات الحركات'!$G:$G,0)),""))</f>
        <v/>
      </c>
      <c r="F1784" s="3" t="str">
        <f>IFERROR(INDEX('بيانات الحركات'!F:F,MATCH(1783,'بيانات الحركات'!$G:$G,0)),"")</f>
        <v/>
      </c>
    </row>
    <row r="1785" spans="1:6" ht="21.95" customHeight="1">
      <c r="A1785" s="8" t="str">
        <f>IFERROR(INDEX('بيانات الحركات'!A:A,MATCH(1784,'بيانات الحركات'!$G:$G,0)),"")</f>
        <v/>
      </c>
      <c r="B1785" s="5" t="str">
        <f>IFERROR(INDEX('بيانات الحركات'!B:B,MATCH(1784,'بيانات الحركات'!$G:$G,0)),"")</f>
        <v/>
      </c>
      <c r="C1785" s="3" t="str">
        <f>IFERROR(INDEX('بيانات الحركات'!C:C,MATCH(1784,'بيانات الحركات'!$G:$G,0)),"")</f>
        <v/>
      </c>
      <c r="D1785" s="3" t="str">
        <f>IFERROR(INDEX('بيانات الحركات'!D:D,MATCH(1784,'بيانات الحركات'!$G:$G,0)),"")</f>
        <v/>
      </c>
      <c r="E1785" s="21" t="str">
        <f>IF($B1785="إنتاج طبخة","",IFERROR(INDEX('بيانات الحركات'!E:E,MATCH(1784,'بيانات الحركات'!$G:$G,0)),""))</f>
        <v/>
      </c>
      <c r="F1785" s="3" t="str">
        <f>IFERROR(INDEX('بيانات الحركات'!F:F,MATCH(1784,'بيانات الحركات'!$G:$G,0)),"")</f>
        <v/>
      </c>
    </row>
    <row r="1786" spans="1:6" ht="21.95" customHeight="1">
      <c r="A1786" s="8" t="str">
        <f>IFERROR(INDEX('بيانات الحركات'!A:A,MATCH(1785,'بيانات الحركات'!$G:$G,0)),"")</f>
        <v/>
      </c>
      <c r="B1786" s="5" t="str">
        <f>IFERROR(INDEX('بيانات الحركات'!B:B,MATCH(1785,'بيانات الحركات'!$G:$G,0)),"")</f>
        <v/>
      </c>
      <c r="C1786" s="3" t="str">
        <f>IFERROR(INDEX('بيانات الحركات'!C:C,MATCH(1785,'بيانات الحركات'!$G:$G,0)),"")</f>
        <v/>
      </c>
      <c r="D1786" s="3" t="str">
        <f>IFERROR(INDEX('بيانات الحركات'!D:D,MATCH(1785,'بيانات الحركات'!$G:$G,0)),"")</f>
        <v/>
      </c>
      <c r="E1786" s="21" t="str">
        <f>IF($B1786="إنتاج طبخة","",IFERROR(INDEX('بيانات الحركات'!E:E,MATCH(1785,'بيانات الحركات'!$G:$G,0)),""))</f>
        <v/>
      </c>
      <c r="F1786" s="3" t="str">
        <f>IFERROR(INDEX('بيانات الحركات'!F:F,MATCH(1785,'بيانات الحركات'!$G:$G,0)),"")</f>
        <v/>
      </c>
    </row>
    <row r="1787" spans="1:6" ht="21.95" customHeight="1">
      <c r="A1787" s="8" t="str">
        <f>IFERROR(INDEX('بيانات الحركات'!A:A,MATCH(1786,'بيانات الحركات'!$G:$G,0)),"")</f>
        <v/>
      </c>
      <c r="B1787" s="5" t="str">
        <f>IFERROR(INDEX('بيانات الحركات'!B:B,MATCH(1786,'بيانات الحركات'!$G:$G,0)),"")</f>
        <v/>
      </c>
      <c r="C1787" s="3" t="str">
        <f>IFERROR(INDEX('بيانات الحركات'!C:C,MATCH(1786,'بيانات الحركات'!$G:$G,0)),"")</f>
        <v/>
      </c>
      <c r="D1787" s="3" t="str">
        <f>IFERROR(INDEX('بيانات الحركات'!D:D,MATCH(1786,'بيانات الحركات'!$G:$G,0)),"")</f>
        <v/>
      </c>
      <c r="E1787" s="21" t="str">
        <f>IF($B1787="إنتاج طبخة","",IFERROR(INDEX('بيانات الحركات'!E:E,MATCH(1786,'بيانات الحركات'!$G:$G,0)),""))</f>
        <v/>
      </c>
      <c r="F1787" s="3" t="str">
        <f>IFERROR(INDEX('بيانات الحركات'!F:F,MATCH(1786,'بيانات الحركات'!$G:$G,0)),"")</f>
        <v/>
      </c>
    </row>
    <row r="1788" spans="1:6" ht="21.95" customHeight="1">
      <c r="A1788" s="8" t="str">
        <f>IFERROR(INDEX('بيانات الحركات'!A:A,MATCH(1787,'بيانات الحركات'!$G:$G,0)),"")</f>
        <v/>
      </c>
      <c r="B1788" s="5" t="str">
        <f>IFERROR(INDEX('بيانات الحركات'!B:B,MATCH(1787,'بيانات الحركات'!$G:$G,0)),"")</f>
        <v/>
      </c>
      <c r="C1788" s="3" t="str">
        <f>IFERROR(INDEX('بيانات الحركات'!C:C,MATCH(1787,'بيانات الحركات'!$G:$G,0)),"")</f>
        <v/>
      </c>
      <c r="D1788" s="3" t="str">
        <f>IFERROR(INDEX('بيانات الحركات'!D:D,MATCH(1787,'بيانات الحركات'!$G:$G,0)),"")</f>
        <v/>
      </c>
      <c r="E1788" s="21" t="str">
        <f>IF($B1788="إنتاج طبخة","",IFERROR(INDEX('بيانات الحركات'!E:E,MATCH(1787,'بيانات الحركات'!$G:$G,0)),""))</f>
        <v/>
      </c>
      <c r="F1788" s="3" t="str">
        <f>IFERROR(INDEX('بيانات الحركات'!F:F,MATCH(1787,'بيانات الحركات'!$G:$G,0)),"")</f>
        <v/>
      </c>
    </row>
    <row r="1789" spans="1:6" ht="21.95" customHeight="1">
      <c r="A1789" s="8" t="str">
        <f>IFERROR(INDEX('بيانات الحركات'!A:A,MATCH(1788,'بيانات الحركات'!$G:$G,0)),"")</f>
        <v/>
      </c>
      <c r="B1789" s="5" t="str">
        <f>IFERROR(INDEX('بيانات الحركات'!B:B,MATCH(1788,'بيانات الحركات'!$G:$G,0)),"")</f>
        <v/>
      </c>
      <c r="C1789" s="3" t="str">
        <f>IFERROR(INDEX('بيانات الحركات'!C:C,MATCH(1788,'بيانات الحركات'!$G:$G,0)),"")</f>
        <v/>
      </c>
      <c r="D1789" s="3" t="str">
        <f>IFERROR(INDEX('بيانات الحركات'!D:D,MATCH(1788,'بيانات الحركات'!$G:$G,0)),"")</f>
        <v/>
      </c>
      <c r="E1789" s="21" t="str">
        <f>IF($B1789="إنتاج طبخة","",IFERROR(INDEX('بيانات الحركات'!E:E,MATCH(1788,'بيانات الحركات'!$G:$G,0)),""))</f>
        <v/>
      </c>
      <c r="F1789" s="3" t="str">
        <f>IFERROR(INDEX('بيانات الحركات'!F:F,MATCH(1788,'بيانات الحركات'!$G:$G,0)),"")</f>
        <v/>
      </c>
    </row>
    <row r="1790" spans="1:6" ht="21.95" customHeight="1">
      <c r="A1790" s="8" t="str">
        <f>IFERROR(INDEX('بيانات الحركات'!A:A,MATCH(1789,'بيانات الحركات'!$G:$G,0)),"")</f>
        <v/>
      </c>
      <c r="B1790" s="5" t="str">
        <f>IFERROR(INDEX('بيانات الحركات'!B:B,MATCH(1789,'بيانات الحركات'!$G:$G,0)),"")</f>
        <v/>
      </c>
      <c r="C1790" s="3" t="str">
        <f>IFERROR(INDEX('بيانات الحركات'!C:C,MATCH(1789,'بيانات الحركات'!$G:$G,0)),"")</f>
        <v/>
      </c>
      <c r="D1790" s="3" t="str">
        <f>IFERROR(INDEX('بيانات الحركات'!D:D,MATCH(1789,'بيانات الحركات'!$G:$G,0)),"")</f>
        <v/>
      </c>
      <c r="E1790" s="21" t="str">
        <f>IF($B1790="إنتاج طبخة","",IFERROR(INDEX('بيانات الحركات'!E:E,MATCH(1789,'بيانات الحركات'!$G:$G,0)),""))</f>
        <v/>
      </c>
      <c r="F1790" s="3" t="str">
        <f>IFERROR(INDEX('بيانات الحركات'!F:F,MATCH(1789,'بيانات الحركات'!$G:$G,0)),"")</f>
        <v/>
      </c>
    </row>
    <row r="1791" spans="1:6" ht="21.95" customHeight="1">
      <c r="A1791" s="8" t="str">
        <f>IFERROR(INDEX('بيانات الحركات'!A:A,MATCH(1790,'بيانات الحركات'!$G:$G,0)),"")</f>
        <v/>
      </c>
      <c r="B1791" s="5" t="str">
        <f>IFERROR(INDEX('بيانات الحركات'!B:B,MATCH(1790,'بيانات الحركات'!$G:$G,0)),"")</f>
        <v/>
      </c>
      <c r="C1791" s="3" t="str">
        <f>IFERROR(INDEX('بيانات الحركات'!C:C,MATCH(1790,'بيانات الحركات'!$G:$G,0)),"")</f>
        <v/>
      </c>
      <c r="D1791" s="3" t="str">
        <f>IFERROR(INDEX('بيانات الحركات'!D:D,MATCH(1790,'بيانات الحركات'!$G:$G,0)),"")</f>
        <v/>
      </c>
      <c r="E1791" s="21" t="str">
        <f>IF($B1791="إنتاج طبخة","",IFERROR(INDEX('بيانات الحركات'!E:E,MATCH(1790,'بيانات الحركات'!$G:$G,0)),""))</f>
        <v/>
      </c>
      <c r="F1791" s="3" t="str">
        <f>IFERROR(INDEX('بيانات الحركات'!F:F,MATCH(1790,'بيانات الحركات'!$G:$G,0)),"")</f>
        <v/>
      </c>
    </row>
    <row r="1792" spans="1:6" ht="21.95" customHeight="1">
      <c r="A1792" s="8" t="str">
        <f>IFERROR(INDEX('بيانات الحركات'!A:A,MATCH(1791,'بيانات الحركات'!$G:$G,0)),"")</f>
        <v/>
      </c>
      <c r="B1792" s="5" t="str">
        <f>IFERROR(INDEX('بيانات الحركات'!B:B,MATCH(1791,'بيانات الحركات'!$G:$G,0)),"")</f>
        <v/>
      </c>
      <c r="C1792" s="3" t="str">
        <f>IFERROR(INDEX('بيانات الحركات'!C:C,MATCH(1791,'بيانات الحركات'!$G:$G,0)),"")</f>
        <v/>
      </c>
      <c r="D1792" s="3" t="str">
        <f>IFERROR(INDEX('بيانات الحركات'!D:D,MATCH(1791,'بيانات الحركات'!$G:$G,0)),"")</f>
        <v/>
      </c>
      <c r="E1792" s="21" t="str">
        <f>IF($B1792="إنتاج طبخة","",IFERROR(INDEX('بيانات الحركات'!E:E,MATCH(1791,'بيانات الحركات'!$G:$G,0)),""))</f>
        <v/>
      </c>
      <c r="F1792" s="3" t="str">
        <f>IFERROR(INDEX('بيانات الحركات'!F:F,MATCH(1791,'بيانات الحركات'!$G:$G,0)),"")</f>
        <v/>
      </c>
    </row>
    <row r="1793" spans="1:6" ht="21.95" customHeight="1">
      <c r="A1793" s="8" t="str">
        <f>IFERROR(INDEX('بيانات الحركات'!A:A,MATCH(1792,'بيانات الحركات'!$G:$G,0)),"")</f>
        <v/>
      </c>
      <c r="B1793" s="5" t="str">
        <f>IFERROR(INDEX('بيانات الحركات'!B:B,MATCH(1792,'بيانات الحركات'!$G:$G,0)),"")</f>
        <v/>
      </c>
      <c r="C1793" s="3" t="str">
        <f>IFERROR(INDEX('بيانات الحركات'!C:C,MATCH(1792,'بيانات الحركات'!$G:$G,0)),"")</f>
        <v/>
      </c>
      <c r="D1793" s="3" t="str">
        <f>IFERROR(INDEX('بيانات الحركات'!D:D,MATCH(1792,'بيانات الحركات'!$G:$G,0)),"")</f>
        <v/>
      </c>
      <c r="E1793" s="21" t="str">
        <f>IF($B1793="إنتاج طبخة","",IFERROR(INDEX('بيانات الحركات'!E:E,MATCH(1792,'بيانات الحركات'!$G:$G,0)),""))</f>
        <v/>
      </c>
      <c r="F1793" s="3" t="str">
        <f>IFERROR(INDEX('بيانات الحركات'!F:F,MATCH(1792,'بيانات الحركات'!$G:$G,0)),"")</f>
        <v/>
      </c>
    </row>
    <row r="1794" spans="1:6" ht="21.95" customHeight="1">
      <c r="A1794" s="8" t="str">
        <f>IFERROR(INDEX('بيانات الحركات'!A:A,MATCH(1793,'بيانات الحركات'!$G:$G,0)),"")</f>
        <v/>
      </c>
      <c r="B1794" s="5" t="str">
        <f>IFERROR(INDEX('بيانات الحركات'!B:B,MATCH(1793,'بيانات الحركات'!$G:$G,0)),"")</f>
        <v/>
      </c>
      <c r="C1794" s="3" t="str">
        <f>IFERROR(INDEX('بيانات الحركات'!C:C,MATCH(1793,'بيانات الحركات'!$G:$G,0)),"")</f>
        <v/>
      </c>
      <c r="D1794" s="3" t="str">
        <f>IFERROR(INDEX('بيانات الحركات'!D:D,MATCH(1793,'بيانات الحركات'!$G:$G,0)),"")</f>
        <v/>
      </c>
      <c r="E1794" s="21" t="str">
        <f>IF($B1794="إنتاج طبخة","",IFERROR(INDEX('بيانات الحركات'!E:E,MATCH(1793,'بيانات الحركات'!$G:$G,0)),""))</f>
        <v/>
      </c>
      <c r="F1794" s="3" t="str">
        <f>IFERROR(INDEX('بيانات الحركات'!F:F,MATCH(1793,'بيانات الحركات'!$G:$G,0)),"")</f>
        <v/>
      </c>
    </row>
    <row r="1795" spans="1:6" ht="21.95" customHeight="1">
      <c r="A1795" s="8" t="str">
        <f>IFERROR(INDEX('بيانات الحركات'!A:A,MATCH(1794,'بيانات الحركات'!$G:$G,0)),"")</f>
        <v/>
      </c>
      <c r="B1795" s="5" t="str">
        <f>IFERROR(INDEX('بيانات الحركات'!B:B,MATCH(1794,'بيانات الحركات'!$G:$G,0)),"")</f>
        <v/>
      </c>
      <c r="C1795" s="3" t="str">
        <f>IFERROR(INDEX('بيانات الحركات'!C:C,MATCH(1794,'بيانات الحركات'!$G:$G,0)),"")</f>
        <v/>
      </c>
      <c r="D1795" s="3" t="str">
        <f>IFERROR(INDEX('بيانات الحركات'!D:D,MATCH(1794,'بيانات الحركات'!$G:$G,0)),"")</f>
        <v/>
      </c>
      <c r="E1795" s="21" t="str">
        <f>IF($B1795="إنتاج طبخة","",IFERROR(INDEX('بيانات الحركات'!E:E,MATCH(1794,'بيانات الحركات'!$G:$G,0)),""))</f>
        <v/>
      </c>
      <c r="F1795" s="3" t="str">
        <f>IFERROR(INDEX('بيانات الحركات'!F:F,MATCH(1794,'بيانات الحركات'!$G:$G,0)),"")</f>
        <v/>
      </c>
    </row>
    <row r="1796" spans="1:6" ht="21.95" customHeight="1">
      <c r="A1796" s="8" t="str">
        <f>IFERROR(INDEX('بيانات الحركات'!A:A,MATCH(1795,'بيانات الحركات'!$G:$G,0)),"")</f>
        <v/>
      </c>
      <c r="B1796" s="5" t="str">
        <f>IFERROR(INDEX('بيانات الحركات'!B:B,MATCH(1795,'بيانات الحركات'!$G:$G,0)),"")</f>
        <v/>
      </c>
      <c r="C1796" s="3" t="str">
        <f>IFERROR(INDEX('بيانات الحركات'!C:C,MATCH(1795,'بيانات الحركات'!$G:$G,0)),"")</f>
        <v/>
      </c>
      <c r="D1796" s="3" t="str">
        <f>IFERROR(INDEX('بيانات الحركات'!D:D,MATCH(1795,'بيانات الحركات'!$G:$G,0)),"")</f>
        <v/>
      </c>
      <c r="E1796" s="21" t="str">
        <f>IF($B1796="إنتاج طبخة","",IFERROR(INDEX('بيانات الحركات'!E:E,MATCH(1795,'بيانات الحركات'!$G:$G,0)),""))</f>
        <v/>
      </c>
      <c r="F1796" s="3" t="str">
        <f>IFERROR(INDEX('بيانات الحركات'!F:F,MATCH(1795,'بيانات الحركات'!$G:$G,0)),"")</f>
        <v/>
      </c>
    </row>
    <row r="1797" spans="1:6" ht="21.95" customHeight="1">
      <c r="A1797" s="8" t="str">
        <f>IFERROR(INDEX('بيانات الحركات'!A:A,MATCH(1796,'بيانات الحركات'!$G:$G,0)),"")</f>
        <v/>
      </c>
      <c r="B1797" s="5" t="str">
        <f>IFERROR(INDEX('بيانات الحركات'!B:B,MATCH(1796,'بيانات الحركات'!$G:$G,0)),"")</f>
        <v/>
      </c>
      <c r="C1797" s="3" t="str">
        <f>IFERROR(INDEX('بيانات الحركات'!C:C,MATCH(1796,'بيانات الحركات'!$G:$G,0)),"")</f>
        <v/>
      </c>
      <c r="D1797" s="3" t="str">
        <f>IFERROR(INDEX('بيانات الحركات'!D:D,MATCH(1796,'بيانات الحركات'!$G:$G,0)),"")</f>
        <v/>
      </c>
      <c r="E1797" s="21" t="str">
        <f>IF($B1797="إنتاج طبخة","",IFERROR(INDEX('بيانات الحركات'!E:E,MATCH(1796,'بيانات الحركات'!$G:$G,0)),""))</f>
        <v/>
      </c>
      <c r="F1797" s="3" t="str">
        <f>IFERROR(INDEX('بيانات الحركات'!F:F,MATCH(1796,'بيانات الحركات'!$G:$G,0)),"")</f>
        <v/>
      </c>
    </row>
    <row r="1798" spans="1:6" ht="21.95" customHeight="1">
      <c r="A1798" s="8" t="str">
        <f>IFERROR(INDEX('بيانات الحركات'!A:A,MATCH(1797,'بيانات الحركات'!$G:$G,0)),"")</f>
        <v/>
      </c>
      <c r="B1798" s="5" t="str">
        <f>IFERROR(INDEX('بيانات الحركات'!B:B,MATCH(1797,'بيانات الحركات'!$G:$G,0)),"")</f>
        <v/>
      </c>
      <c r="C1798" s="3" t="str">
        <f>IFERROR(INDEX('بيانات الحركات'!C:C,MATCH(1797,'بيانات الحركات'!$G:$G,0)),"")</f>
        <v/>
      </c>
      <c r="D1798" s="3" t="str">
        <f>IFERROR(INDEX('بيانات الحركات'!D:D,MATCH(1797,'بيانات الحركات'!$G:$G,0)),"")</f>
        <v/>
      </c>
      <c r="E1798" s="21" t="str">
        <f>IF($B1798="إنتاج طبخة","",IFERROR(INDEX('بيانات الحركات'!E:E,MATCH(1797,'بيانات الحركات'!$G:$G,0)),""))</f>
        <v/>
      </c>
      <c r="F1798" s="3" t="str">
        <f>IFERROR(INDEX('بيانات الحركات'!F:F,MATCH(1797,'بيانات الحركات'!$G:$G,0)),"")</f>
        <v/>
      </c>
    </row>
    <row r="1799" spans="1:6" ht="21.95" customHeight="1">
      <c r="A1799" s="8" t="str">
        <f>IFERROR(INDEX('بيانات الحركات'!A:A,MATCH(1798,'بيانات الحركات'!$G:$G,0)),"")</f>
        <v/>
      </c>
      <c r="B1799" s="5" t="str">
        <f>IFERROR(INDEX('بيانات الحركات'!B:B,MATCH(1798,'بيانات الحركات'!$G:$G,0)),"")</f>
        <v/>
      </c>
      <c r="C1799" s="3" t="str">
        <f>IFERROR(INDEX('بيانات الحركات'!C:C,MATCH(1798,'بيانات الحركات'!$G:$G,0)),"")</f>
        <v/>
      </c>
      <c r="D1799" s="3" t="str">
        <f>IFERROR(INDEX('بيانات الحركات'!D:D,MATCH(1798,'بيانات الحركات'!$G:$G,0)),"")</f>
        <v/>
      </c>
      <c r="E1799" s="21" t="str">
        <f>IF($B1799="إنتاج طبخة","",IFERROR(INDEX('بيانات الحركات'!E:E,MATCH(1798,'بيانات الحركات'!$G:$G,0)),""))</f>
        <v/>
      </c>
      <c r="F1799" s="3" t="str">
        <f>IFERROR(INDEX('بيانات الحركات'!F:F,MATCH(1798,'بيانات الحركات'!$G:$G,0)),"")</f>
        <v/>
      </c>
    </row>
    <row r="1800" spans="1:6" ht="21.95" customHeight="1">
      <c r="A1800" s="8" t="str">
        <f>IFERROR(INDEX('بيانات الحركات'!A:A,MATCH(1799,'بيانات الحركات'!$G:$G,0)),"")</f>
        <v/>
      </c>
      <c r="B1800" s="5" t="str">
        <f>IFERROR(INDEX('بيانات الحركات'!B:B,MATCH(1799,'بيانات الحركات'!$G:$G,0)),"")</f>
        <v/>
      </c>
      <c r="C1800" s="3" t="str">
        <f>IFERROR(INDEX('بيانات الحركات'!C:C,MATCH(1799,'بيانات الحركات'!$G:$G,0)),"")</f>
        <v/>
      </c>
      <c r="D1800" s="3" t="str">
        <f>IFERROR(INDEX('بيانات الحركات'!D:D,MATCH(1799,'بيانات الحركات'!$G:$G,0)),"")</f>
        <v/>
      </c>
      <c r="E1800" s="21" t="str">
        <f>IF($B1800="إنتاج طبخة","",IFERROR(INDEX('بيانات الحركات'!E:E,MATCH(1799,'بيانات الحركات'!$G:$G,0)),""))</f>
        <v/>
      </c>
      <c r="F1800" s="3" t="str">
        <f>IFERROR(INDEX('بيانات الحركات'!F:F,MATCH(1799,'بيانات الحركات'!$G:$G,0)),"")</f>
        <v/>
      </c>
    </row>
    <row r="1801" spans="1:6" ht="21.95" customHeight="1">
      <c r="A1801" s="8" t="str">
        <f>IFERROR(INDEX('بيانات الحركات'!A:A,MATCH(1800,'بيانات الحركات'!$G:$G,0)),"")</f>
        <v/>
      </c>
      <c r="B1801" s="5" t="str">
        <f>IFERROR(INDEX('بيانات الحركات'!B:B,MATCH(1800,'بيانات الحركات'!$G:$G,0)),"")</f>
        <v/>
      </c>
      <c r="C1801" s="3" t="str">
        <f>IFERROR(INDEX('بيانات الحركات'!C:C,MATCH(1800,'بيانات الحركات'!$G:$G,0)),"")</f>
        <v/>
      </c>
      <c r="D1801" s="3" t="str">
        <f>IFERROR(INDEX('بيانات الحركات'!D:D,MATCH(1800,'بيانات الحركات'!$G:$G,0)),"")</f>
        <v/>
      </c>
      <c r="E1801" s="21" t="str">
        <f>IF($B1801="إنتاج طبخة","",IFERROR(INDEX('بيانات الحركات'!E:E,MATCH(1800,'بيانات الحركات'!$G:$G,0)),""))</f>
        <v/>
      </c>
      <c r="F1801" s="3" t="str">
        <f>IFERROR(INDEX('بيانات الحركات'!F:F,MATCH(1800,'بيانات الحركات'!$G:$G,0)),"")</f>
        <v/>
      </c>
    </row>
    <row r="1802" spans="1:6" ht="21.95" customHeight="1">
      <c r="A1802" s="8" t="str">
        <f>IFERROR(INDEX('بيانات الحركات'!A:A,MATCH(1801,'بيانات الحركات'!$G:$G,0)),"")</f>
        <v/>
      </c>
      <c r="B1802" s="5" t="str">
        <f>IFERROR(INDEX('بيانات الحركات'!B:B,MATCH(1801,'بيانات الحركات'!$G:$G,0)),"")</f>
        <v/>
      </c>
      <c r="C1802" s="3" t="str">
        <f>IFERROR(INDEX('بيانات الحركات'!C:C,MATCH(1801,'بيانات الحركات'!$G:$G,0)),"")</f>
        <v/>
      </c>
      <c r="D1802" s="3" t="str">
        <f>IFERROR(INDEX('بيانات الحركات'!D:D,MATCH(1801,'بيانات الحركات'!$G:$G,0)),"")</f>
        <v/>
      </c>
      <c r="E1802" s="21" t="str">
        <f>IF($B1802="إنتاج طبخة","",IFERROR(INDEX('بيانات الحركات'!E:E,MATCH(1801,'بيانات الحركات'!$G:$G,0)),""))</f>
        <v/>
      </c>
      <c r="F1802" s="3" t="str">
        <f>IFERROR(INDEX('بيانات الحركات'!F:F,MATCH(1801,'بيانات الحركات'!$G:$G,0)),"")</f>
        <v/>
      </c>
    </row>
    <row r="1803" spans="1:6" ht="21.95" customHeight="1">
      <c r="A1803" s="8" t="str">
        <f>IFERROR(INDEX('بيانات الحركات'!A:A,MATCH(1802,'بيانات الحركات'!$G:$G,0)),"")</f>
        <v/>
      </c>
      <c r="B1803" s="5" t="str">
        <f>IFERROR(INDEX('بيانات الحركات'!B:B,MATCH(1802,'بيانات الحركات'!$G:$G,0)),"")</f>
        <v/>
      </c>
      <c r="C1803" s="3" t="str">
        <f>IFERROR(INDEX('بيانات الحركات'!C:C,MATCH(1802,'بيانات الحركات'!$G:$G,0)),"")</f>
        <v/>
      </c>
      <c r="D1803" s="3" t="str">
        <f>IFERROR(INDEX('بيانات الحركات'!D:D,MATCH(1802,'بيانات الحركات'!$G:$G,0)),"")</f>
        <v/>
      </c>
      <c r="E1803" s="21" t="str">
        <f>IF($B1803="إنتاج طبخة","",IFERROR(INDEX('بيانات الحركات'!E:E,MATCH(1802,'بيانات الحركات'!$G:$G,0)),""))</f>
        <v/>
      </c>
      <c r="F1803" s="3" t="str">
        <f>IFERROR(INDEX('بيانات الحركات'!F:F,MATCH(1802,'بيانات الحركات'!$G:$G,0)),"")</f>
        <v/>
      </c>
    </row>
    <row r="1804" spans="1:6" ht="21.95" customHeight="1">
      <c r="A1804" s="8" t="str">
        <f>IFERROR(INDEX('بيانات الحركات'!A:A,MATCH(1803,'بيانات الحركات'!$G:$G,0)),"")</f>
        <v/>
      </c>
      <c r="B1804" s="5" t="str">
        <f>IFERROR(INDEX('بيانات الحركات'!B:B,MATCH(1803,'بيانات الحركات'!$G:$G,0)),"")</f>
        <v/>
      </c>
      <c r="C1804" s="3" t="str">
        <f>IFERROR(INDEX('بيانات الحركات'!C:C,MATCH(1803,'بيانات الحركات'!$G:$G,0)),"")</f>
        <v/>
      </c>
      <c r="D1804" s="3" t="str">
        <f>IFERROR(INDEX('بيانات الحركات'!D:D,MATCH(1803,'بيانات الحركات'!$G:$G,0)),"")</f>
        <v/>
      </c>
      <c r="E1804" s="21" t="str">
        <f>IF($B1804="إنتاج طبخة","",IFERROR(INDEX('بيانات الحركات'!E:E,MATCH(1803,'بيانات الحركات'!$G:$G,0)),""))</f>
        <v/>
      </c>
      <c r="F1804" s="3" t="str">
        <f>IFERROR(INDEX('بيانات الحركات'!F:F,MATCH(1803,'بيانات الحركات'!$G:$G,0)),"")</f>
        <v/>
      </c>
    </row>
    <row r="1805" spans="1:6" ht="21.95" customHeight="1">
      <c r="A1805" s="8" t="str">
        <f>IFERROR(INDEX('بيانات الحركات'!A:A,MATCH(1804,'بيانات الحركات'!$G:$G,0)),"")</f>
        <v/>
      </c>
      <c r="B1805" s="5" t="str">
        <f>IFERROR(INDEX('بيانات الحركات'!B:B,MATCH(1804,'بيانات الحركات'!$G:$G,0)),"")</f>
        <v/>
      </c>
      <c r="C1805" s="3" t="str">
        <f>IFERROR(INDEX('بيانات الحركات'!C:C,MATCH(1804,'بيانات الحركات'!$G:$G,0)),"")</f>
        <v/>
      </c>
      <c r="D1805" s="3" t="str">
        <f>IFERROR(INDEX('بيانات الحركات'!D:D,MATCH(1804,'بيانات الحركات'!$G:$G,0)),"")</f>
        <v/>
      </c>
      <c r="E1805" s="21" t="str">
        <f>IF($B1805="إنتاج طبخة","",IFERROR(INDEX('بيانات الحركات'!E:E,MATCH(1804,'بيانات الحركات'!$G:$G,0)),""))</f>
        <v/>
      </c>
      <c r="F1805" s="3" t="str">
        <f>IFERROR(INDEX('بيانات الحركات'!F:F,MATCH(1804,'بيانات الحركات'!$G:$G,0)),"")</f>
        <v/>
      </c>
    </row>
    <row r="1806" spans="1:6" ht="21.95" customHeight="1">
      <c r="A1806" s="8" t="str">
        <f>IFERROR(INDEX('بيانات الحركات'!A:A,MATCH(1805,'بيانات الحركات'!$G:$G,0)),"")</f>
        <v/>
      </c>
      <c r="B1806" s="5" t="str">
        <f>IFERROR(INDEX('بيانات الحركات'!B:B,MATCH(1805,'بيانات الحركات'!$G:$G,0)),"")</f>
        <v/>
      </c>
      <c r="C1806" s="3" t="str">
        <f>IFERROR(INDEX('بيانات الحركات'!C:C,MATCH(1805,'بيانات الحركات'!$G:$G,0)),"")</f>
        <v/>
      </c>
      <c r="D1806" s="3" t="str">
        <f>IFERROR(INDEX('بيانات الحركات'!D:D,MATCH(1805,'بيانات الحركات'!$G:$G,0)),"")</f>
        <v/>
      </c>
      <c r="E1806" s="21" t="str">
        <f>IF($B1806="إنتاج طبخة","",IFERROR(INDEX('بيانات الحركات'!E:E,MATCH(1805,'بيانات الحركات'!$G:$G,0)),""))</f>
        <v/>
      </c>
      <c r="F1806" s="3" t="str">
        <f>IFERROR(INDEX('بيانات الحركات'!F:F,MATCH(1805,'بيانات الحركات'!$G:$G,0)),"")</f>
        <v/>
      </c>
    </row>
    <row r="1807" spans="1:6" ht="21.95" customHeight="1">
      <c r="A1807" s="8" t="str">
        <f>IFERROR(INDEX('بيانات الحركات'!A:A,MATCH(1806,'بيانات الحركات'!$G:$G,0)),"")</f>
        <v/>
      </c>
      <c r="B1807" s="5" t="str">
        <f>IFERROR(INDEX('بيانات الحركات'!B:B,MATCH(1806,'بيانات الحركات'!$G:$G,0)),"")</f>
        <v/>
      </c>
      <c r="C1807" s="3" t="str">
        <f>IFERROR(INDEX('بيانات الحركات'!C:C,MATCH(1806,'بيانات الحركات'!$G:$G,0)),"")</f>
        <v/>
      </c>
      <c r="D1807" s="3" t="str">
        <f>IFERROR(INDEX('بيانات الحركات'!D:D,MATCH(1806,'بيانات الحركات'!$G:$G,0)),"")</f>
        <v/>
      </c>
      <c r="E1807" s="21" t="str">
        <f>IF($B1807="إنتاج طبخة","",IFERROR(INDEX('بيانات الحركات'!E:E,MATCH(1806,'بيانات الحركات'!$G:$G,0)),""))</f>
        <v/>
      </c>
      <c r="F1807" s="3" t="str">
        <f>IFERROR(INDEX('بيانات الحركات'!F:F,MATCH(1806,'بيانات الحركات'!$G:$G,0)),"")</f>
        <v/>
      </c>
    </row>
    <row r="1808" spans="1:6" ht="21.95" customHeight="1">
      <c r="A1808" s="8" t="str">
        <f>IFERROR(INDEX('بيانات الحركات'!A:A,MATCH(1807,'بيانات الحركات'!$G:$G,0)),"")</f>
        <v/>
      </c>
      <c r="B1808" s="5" t="str">
        <f>IFERROR(INDEX('بيانات الحركات'!B:B,MATCH(1807,'بيانات الحركات'!$G:$G,0)),"")</f>
        <v/>
      </c>
      <c r="C1808" s="3" t="str">
        <f>IFERROR(INDEX('بيانات الحركات'!C:C,MATCH(1807,'بيانات الحركات'!$G:$G,0)),"")</f>
        <v/>
      </c>
      <c r="D1808" s="3" t="str">
        <f>IFERROR(INDEX('بيانات الحركات'!D:D,MATCH(1807,'بيانات الحركات'!$G:$G,0)),"")</f>
        <v/>
      </c>
      <c r="E1808" s="21" t="str">
        <f>IF($B1808="إنتاج طبخة","",IFERROR(INDEX('بيانات الحركات'!E:E,MATCH(1807,'بيانات الحركات'!$G:$G,0)),""))</f>
        <v/>
      </c>
      <c r="F1808" s="3" t="str">
        <f>IFERROR(INDEX('بيانات الحركات'!F:F,MATCH(1807,'بيانات الحركات'!$G:$G,0)),"")</f>
        <v/>
      </c>
    </row>
    <row r="1809" spans="1:6" ht="21.95" customHeight="1">
      <c r="A1809" s="8" t="str">
        <f>IFERROR(INDEX('بيانات الحركات'!A:A,MATCH(1808,'بيانات الحركات'!$G:$G,0)),"")</f>
        <v/>
      </c>
      <c r="B1809" s="5" t="str">
        <f>IFERROR(INDEX('بيانات الحركات'!B:B,MATCH(1808,'بيانات الحركات'!$G:$G,0)),"")</f>
        <v/>
      </c>
      <c r="C1809" s="3" t="str">
        <f>IFERROR(INDEX('بيانات الحركات'!C:C,MATCH(1808,'بيانات الحركات'!$G:$G,0)),"")</f>
        <v/>
      </c>
      <c r="D1809" s="3" t="str">
        <f>IFERROR(INDEX('بيانات الحركات'!D:D,MATCH(1808,'بيانات الحركات'!$G:$G,0)),"")</f>
        <v/>
      </c>
      <c r="E1809" s="21" t="str">
        <f>IF($B1809="إنتاج طبخة","",IFERROR(INDEX('بيانات الحركات'!E:E,MATCH(1808,'بيانات الحركات'!$G:$G,0)),""))</f>
        <v/>
      </c>
      <c r="F1809" s="3" t="str">
        <f>IFERROR(INDEX('بيانات الحركات'!F:F,MATCH(1808,'بيانات الحركات'!$G:$G,0)),"")</f>
        <v/>
      </c>
    </row>
    <row r="1810" spans="1:6" ht="21.95" customHeight="1">
      <c r="A1810" s="8" t="str">
        <f>IFERROR(INDEX('بيانات الحركات'!A:A,MATCH(1809,'بيانات الحركات'!$G:$G,0)),"")</f>
        <v/>
      </c>
      <c r="B1810" s="5" t="str">
        <f>IFERROR(INDEX('بيانات الحركات'!B:B,MATCH(1809,'بيانات الحركات'!$G:$G,0)),"")</f>
        <v/>
      </c>
      <c r="C1810" s="3" t="str">
        <f>IFERROR(INDEX('بيانات الحركات'!C:C,MATCH(1809,'بيانات الحركات'!$G:$G,0)),"")</f>
        <v/>
      </c>
      <c r="D1810" s="3" t="str">
        <f>IFERROR(INDEX('بيانات الحركات'!D:D,MATCH(1809,'بيانات الحركات'!$G:$G,0)),"")</f>
        <v/>
      </c>
      <c r="E1810" s="21" t="str">
        <f>IF($B1810="إنتاج طبخة","",IFERROR(INDEX('بيانات الحركات'!E:E,MATCH(1809,'بيانات الحركات'!$G:$G,0)),""))</f>
        <v/>
      </c>
      <c r="F1810" s="3" t="str">
        <f>IFERROR(INDEX('بيانات الحركات'!F:F,MATCH(1809,'بيانات الحركات'!$G:$G,0)),"")</f>
        <v/>
      </c>
    </row>
    <row r="1811" spans="1:6" ht="21.95" customHeight="1">
      <c r="A1811" s="8" t="str">
        <f>IFERROR(INDEX('بيانات الحركات'!A:A,MATCH(1810,'بيانات الحركات'!$G:$G,0)),"")</f>
        <v/>
      </c>
      <c r="B1811" s="5" t="str">
        <f>IFERROR(INDEX('بيانات الحركات'!B:B,MATCH(1810,'بيانات الحركات'!$G:$G,0)),"")</f>
        <v/>
      </c>
      <c r="C1811" s="3" t="str">
        <f>IFERROR(INDEX('بيانات الحركات'!C:C,MATCH(1810,'بيانات الحركات'!$G:$G,0)),"")</f>
        <v/>
      </c>
      <c r="D1811" s="3" t="str">
        <f>IFERROR(INDEX('بيانات الحركات'!D:D,MATCH(1810,'بيانات الحركات'!$G:$G,0)),"")</f>
        <v/>
      </c>
      <c r="E1811" s="21" t="str">
        <f>IF($B1811="إنتاج طبخة","",IFERROR(INDEX('بيانات الحركات'!E:E,MATCH(1810,'بيانات الحركات'!$G:$G,0)),""))</f>
        <v/>
      </c>
      <c r="F1811" s="3" t="str">
        <f>IFERROR(INDEX('بيانات الحركات'!F:F,MATCH(1810,'بيانات الحركات'!$G:$G,0)),"")</f>
        <v/>
      </c>
    </row>
    <row r="1812" spans="1:6" ht="21.95" customHeight="1">
      <c r="A1812" s="8" t="str">
        <f>IFERROR(INDEX('بيانات الحركات'!A:A,MATCH(1811,'بيانات الحركات'!$G:$G,0)),"")</f>
        <v/>
      </c>
      <c r="B1812" s="5" t="str">
        <f>IFERROR(INDEX('بيانات الحركات'!B:B,MATCH(1811,'بيانات الحركات'!$G:$G,0)),"")</f>
        <v/>
      </c>
      <c r="C1812" s="3" t="str">
        <f>IFERROR(INDEX('بيانات الحركات'!C:C,MATCH(1811,'بيانات الحركات'!$G:$G,0)),"")</f>
        <v/>
      </c>
      <c r="D1812" s="3" t="str">
        <f>IFERROR(INDEX('بيانات الحركات'!D:D,MATCH(1811,'بيانات الحركات'!$G:$G,0)),"")</f>
        <v/>
      </c>
      <c r="E1812" s="21" t="str">
        <f>IF($B1812="إنتاج طبخة","",IFERROR(INDEX('بيانات الحركات'!E:E,MATCH(1811,'بيانات الحركات'!$G:$G,0)),""))</f>
        <v/>
      </c>
      <c r="F1812" s="3" t="str">
        <f>IFERROR(INDEX('بيانات الحركات'!F:F,MATCH(1811,'بيانات الحركات'!$G:$G,0)),"")</f>
        <v/>
      </c>
    </row>
    <row r="1813" spans="1:6" ht="21.95" customHeight="1">
      <c r="A1813" s="8" t="str">
        <f>IFERROR(INDEX('بيانات الحركات'!A:A,MATCH(1812,'بيانات الحركات'!$G:$G,0)),"")</f>
        <v/>
      </c>
      <c r="B1813" s="5" t="str">
        <f>IFERROR(INDEX('بيانات الحركات'!B:B,MATCH(1812,'بيانات الحركات'!$G:$G,0)),"")</f>
        <v/>
      </c>
      <c r="C1813" s="3" t="str">
        <f>IFERROR(INDEX('بيانات الحركات'!C:C,MATCH(1812,'بيانات الحركات'!$G:$G,0)),"")</f>
        <v/>
      </c>
      <c r="D1813" s="3" t="str">
        <f>IFERROR(INDEX('بيانات الحركات'!D:D,MATCH(1812,'بيانات الحركات'!$G:$G,0)),"")</f>
        <v/>
      </c>
      <c r="E1813" s="21" t="str">
        <f>IF($B1813="إنتاج طبخة","",IFERROR(INDEX('بيانات الحركات'!E:E,MATCH(1812,'بيانات الحركات'!$G:$G,0)),""))</f>
        <v/>
      </c>
      <c r="F1813" s="3" t="str">
        <f>IFERROR(INDEX('بيانات الحركات'!F:F,MATCH(1812,'بيانات الحركات'!$G:$G,0)),"")</f>
        <v/>
      </c>
    </row>
    <row r="1814" spans="1:6" ht="21.95" customHeight="1">
      <c r="A1814" s="8" t="str">
        <f>IFERROR(INDEX('بيانات الحركات'!A:A,MATCH(1813,'بيانات الحركات'!$G:$G,0)),"")</f>
        <v/>
      </c>
      <c r="B1814" s="5" t="str">
        <f>IFERROR(INDEX('بيانات الحركات'!B:B,MATCH(1813,'بيانات الحركات'!$G:$G,0)),"")</f>
        <v/>
      </c>
      <c r="C1814" s="3" t="str">
        <f>IFERROR(INDEX('بيانات الحركات'!C:C,MATCH(1813,'بيانات الحركات'!$G:$G,0)),"")</f>
        <v/>
      </c>
      <c r="D1814" s="3" t="str">
        <f>IFERROR(INDEX('بيانات الحركات'!D:D,MATCH(1813,'بيانات الحركات'!$G:$G,0)),"")</f>
        <v/>
      </c>
      <c r="E1814" s="21" t="str">
        <f>IF($B1814="إنتاج طبخة","",IFERROR(INDEX('بيانات الحركات'!E:E,MATCH(1813,'بيانات الحركات'!$G:$G,0)),""))</f>
        <v/>
      </c>
      <c r="F1814" s="3" t="str">
        <f>IFERROR(INDEX('بيانات الحركات'!F:F,MATCH(1813,'بيانات الحركات'!$G:$G,0)),"")</f>
        <v/>
      </c>
    </row>
    <row r="1815" spans="1:6" ht="21.95" customHeight="1">
      <c r="A1815" s="8" t="str">
        <f>IFERROR(INDEX('بيانات الحركات'!A:A,MATCH(1814,'بيانات الحركات'!$G:$G,0)),"")</f>
        <v/>
      </c>
      <c r="B1815" s="5" t="str">
        <f>IFERROR(INDEX('بيانات الحركات'!B:B,MATCH(1814,'بيانات الحركات'!$G:$G,0)),"")</f>
        <v/>
      </c>
      <c r="C1815" s="3" t="str">
        <f>IFERROR(INDEX('بيانات الحركات'!C:C,MATCH(1814,'بيانات الحركات'!$G:$G,0)),"")</f>
        <v/>
      </c>
      <c r="D1815" s="3" t="str">
        <f>IFERROR(INDEX('بيانات الحركات'!D:D,MATCH(1814,'بيانات الحركات'!$G:$G,0)),"")</f>
        <v/>
      </c>
      <c r="E1815" s="21" t="str">
        <f>IF($B1815="إنتاج طبخة","",IFERROR(INDEX('بيانات الحركات'!E:E,MATCH(1814,'بيانات الحركات'!$G:$G,0)),""))</f>
        <v/>
      </c>
      <c r="F1815" s="3" t="str">
        <f>IFERROR(INDEX('بيانات الحركات'!F:F,MATCH(1814,'بيانات الحركات'!$G:$G,0)),"")</f>
        <v/>
      </c>
    </row>
    <row r="1816" spans="1:6" ht="21.95" customHeight="1">
      <c r="A1816" s="8" t="str">
        <f>IFERROR(INDEX('بيانات الحركات'!A:A,MATCH(1815,'بيانات الحركات'!$G:$G,0)),"")</f>
        <v/>
      </c>
      <c r="B1816" s="5" t="str">
        <f>IFERROR(INDEX('بيانات الحركات'!B:B,MATCH(1815,'بيانات الحركات'!$G:$G,0)),"")</f>
        <v/>
      </c>
      <c r="C1816" s="3" t="str">
        <f>IFERROR(INDEX('بيانات الحركات'!C:C,MATCH(1815,'بيانات الحركات'!$G:$G,0)),"")</f>
        <v/>
      </c>
      <c r="D1816" s="3" t="str">
        <f>IFERROR(INDEX('بيانات الحركات'!D:D,MATCH(1815,'بيانات الحركات'!$G:$G,0)),"")</f>
        <v/>
      </c>
      <c r="E1816" s="21" t="str">
        <f>IF($B1816="إنتاج طبخة","",IFERROR(INDEX('بيانات الحركات'!E:E,MATCH(1815,'بيانات الحركات'!$G:$G,0)),""))</f>
        <v/>
      </c>
      <c r="F1816" s="3" t="str">
        <f>IFERROR(INDEX('بيانات الحركات'!F:F,MATCH(1815,'بيانات الحركات'!$G:$G,0)),"")</f>
        <v/>
      </c>
    </row>
    <row r="1817" spans="1:6" ht="21.95" customHeight="1">
      <c r="A1817" s="8" t="str">
        <f>IFERROR(INDEX('بيانات الحركات'!A:A,MATCH(1816,'بيانات الحركات'!$G:$G,0)),"")</f>
        <v/>
      </c>
      <c r="B1817" s="5" t="str">
        <f>IFERROR(INDEX('بيانات الحركات'!B:B,MATCH(1816,'بيانات الحركات'!$G:$G,0)),"")</f>
        <v/>
      </c>
      <c r="C1817" s="3" t="str">
        <f>IFERROR(INDEX('بيانات الحركات'!C:C,MATCH(1816,'بيانات الحركات'!$G:$G,0)),"")</f>
        <v/>
      </c>
      <c r="D1817" s="3" t="str">
        <f>IFERROR(INDEX('بيانات الحركات'!D:D,MATCH(1816,'بيانات الحركات'!$G:$G,0)),"")</f>
        <v/>
      </c>
      <c r="E1817" s="21" t="str">
        <f>IF($B1817="إنتاج طبخة","",IFERROR(INDEX('بيانات الحركات'!E:E,MATCH(1816,'بيانات الحركات'!$G:$G,0)),""))</f>
        <v/>
      </c>
      <c r="F1817" s="3" t="str">
        <f>IFERROR(INDEX('بيانات الحركات'!F:F,MATCH(1816,'بيانات الحركات'!$G:$G,0)),"")</f>
        <v/>
      </c>
    </row>
    <row r="1818" spans="1:6" ht="21.95" customHeight="1">
      <c r="A1818" s="8" t="str">
        <f>IFERROR(INDEX('بيانات الحركات'!A:A,MATCH(1817,'بيانات الحركات'!$G:$G,0)),"")</f>
        <v/>
      </c>
      <c r="B1818" s="5" t="str">
        <f>IFERROR(INDEX('بيانات الحركات'!B:B,MATCH(1817,'بيانات الحركات'!$G:$G,0)),"")</f>
        <v/>
      </c>
      <c r="C1818" s="3" t="str">
        <f>IFERROR(INDEX('بيانات الحركات'!C:C,MATCH(1817,'بيانات الحركات'!$G:$G,0)),"")</f>
        <v/>
      </c>
      <c r="D1818" s="3" t="str">
        <f>IFERROR(INDEX('بيانات الحركات'!D:D,MATCH(1817,'بيانات الحركات'!$G:$G,0)),"")</f>
        <v/>
      </c>
      <c r="E1818" s="21" t="str">
        <f>IF($B1818="إنتاج طبخة","",IFERROR(INDEX('بيانات الحركات'!E:E,MATCH(1817,'بيانات الحركات'!$G:$G,0)),""))</f>
        <v/>
      </c>
      <c r="F1818" s="3" t="str">
        <f>IFERROR(INDEX('بيانات الحركات'!F:F,MATCH(1817,'بيانات الحركات'!$G:$G,0)),"")</f>
        <v/>
      </c>
    </row>
    <row r="1819" spans="1:6" ht="21.95" customHeight="1">
      <c r="A1819" s="8" t="str">
        <f>IFERROR(INDEX('بيانات الحركات'!A:A,MATCH(1818,'بيانات الحركات'!$G:$G,0)),"")</f>
        <v/>
      </c>
      <c r="B1819" s="5" t="str">
        <f>IFERROR(INDEX('بيانات الحركات'!B:B,MATCH(1818,'بيانات الحركات'!$G:$G,0)),"")</f>
        <v/>
      </c>
      <c r="C1819" s="3" t="str">
        <f>IFERROR(INDEX('بيانات الحركات'!C:C,MATCH(1818,'بيانات الحركات'!$G:$G,0)),"")</f>
        <v/>
      </c>
      <c r="D1819" s="3" t="str">
        <f>IFERROR(INDEX('بيانات الحركات'!D:D,MATCH(1818,'بيانات الحركات'!$G:$G,0)),"")</f>
        <v/>
      </c>
      <c r="E1819" s="21" t="str">
        <f>IF($B1819="إنتاج طبخة","",IFERROR(INDEX('بيانات الحركات'!E:E,MATCH(1818,'بيانات الحركات'!$G:$G,0)),""))</f>
        <v/>
      </c>
      <c r="F1819" s="3" t="str">
        <f>IFERROR(INDEX('بيانات الحركات'!F:F,MATCH(1818,'بيانات الحركات'!$G:$G,0)),"")</f>
        <v/>
      </c>
    </row>
    <row r="1820" spans="1:6" ht="21.95" customHeight="1">
      <c r="A1820" s="8" t="str">
        <f>IFERROR(INDEX('بيانات الحركات'!A:A,MATCH(1819,'بيانات الحركات'!$G:$G,0)),"")</f>
        <v/>
      </c>
      <c r="B1820" s="5" t="str">
        <f>IFERROR(INDEX('بيانات الحركات'!B:B,MATCH(1819,'بيانات الحركات'!$G:$G,0)),"")</f>
        <v/>
      </c>
      <c r="C1820" s="3" t="str">
        <f>IFERROR(INDEX('بيانات الحركات'!C:C,MATCH(1819,'بيانات الحركات'!$G:$G,0)),"")</f>
        <v/>
      </c>
      <c r="D1820" s="3" t="str">
        <f>IFERROR(INDEX('بيانات الحركات'!D:D,MATCH(1819,'بيانات الحركات'!$G:$G,0)),"")</f>
        <v/>
      </c>
      <c r="E1820" s="21" t="str">
        <f>IF($B1820="إنتاج طبخة","",IFERROR(INDEX('بيانات الحركات'!E:E,MATCH(1819,'بيانات الحركات'!$G:$G,0)),""))</f>
        <v/>
      </c>
      <c r="F1820" s="3" t="str">
        <f>IFERROR(INDEX('بيانات الحركات'!F:F,MATCH(1819,'بيانات الحركات'!$G:$G,0)),"")</f>
        <v/>
      </c>
    </row>
    <row r="1821" spans="1:6" ht="21.95" customHeight="1">
      <c r="A1821" s="8" t="str">
        <f>IFERROR(INDEX('بيانات الحركات'!A:A,MATCH(1820,'بيانات الحركات'!$G:$G,0)),"")</f>
        <v/>
      </c>
      <c r="B1821" s="5" t="str">
        <f>IFERROR(INDEX('بيانات الحركات'!B:B,MATCH(1820,'بيانات الحركات'!$G:$G,0)),"")</f>
        <v/>
      </c>
      <c r="C1821" s="3" t="str">
        <f>IFERROR(INDEX('بيانات الحركات'!C:C,MATCH(1820,'بيانات الحركات'!$G:$G,0)),"")</f>
        <v/>
      </c>
      <c r="D1821" s="3" t="str">
        <f>IFERROR(INDEX('بيانات الحركات'!D:D,MATCH(1820,'بيانات الحركات'!$G:$G,0)),"")</f>
        <v/>
      </c>
      <c r="E1821" s="21" t="str">
        <f>IF($B1821="إنتاج طبخة","",IFERROR(INDEX('بيانات الحركات'!E:E,MATCH(1820,'بيانات الحركات'!$G:$G,0)),""))</f>
        <v/>
      </c>
      <c r="F1821" s="3" t="str">
        <f>IFERROR(INDEX('بيانات الحركات'!F:F,MATCH(1820,'بيانات الحركات'!$G:$G,0)),"")</f>
        <v/>
      </c>
    </row>
    <row r="1822" spans="1:6" ht="21.95" customHeight="1">
      <c r="A1822" s="8" t="str">
        <f>IFERROR(INDEX('بيانات الحركات'!A:A,MATCH(1821,'بيانات الحركات'!$G:$G,0)),"")</f>
        <v/>
      </c>
      <c r="B1822" s="5" t="str">
        <f>IFERROR(INDEX('بيانات الحركات'!B:B,MATCH(1821,'بيانات الحركات'!$G:$G,0)),"")</f>
        <v/>
      </c>
      <c r="C1822" s="3" t="str">
        <f>IFERROR(INDEX('بيانات الحركات'!C:C,MATCH(1821,'بيانات الحركات'!$G:$G,0)),"")</f>
        <v/>
      </c>
      <c r="D1822" s="3" t="str">
        <f>IFERROR(INDEX('بيانات الحركات'!D:D,MATCH(1821,'بيانات الحركات'!$G:$G,0)),"")</f>
        <v/>
      </c>
      <c r="E1822" s="21" t="str">
        <f>IF($B1822="إنتاج طبخة","",IFERROR(INDEX('بيانات الحركات'!E:E,MATCH(1821,'بيانات الحركات'!$G:$G,0)),""))</f>
        <v/>
      </c>
      <c r="F1822" s="3" t="str">
        <f>IFERROR(INDEX('بيانات الحركات'!F:F,MATCH(1821,'بيانات الحركات'!$G:$G,0)),"")</f>
        <v/>
      </c>
    </row>
    <row r="1823" spans="1:6" ht="21.95" customHeight="1">
      <c r="A1823" s="8" t="str">
        <f>IFERROR(INDEX('بيانات الحركات'!A:A,MATCH(1822,'بيانات الحركات'!$G:$G,0)),"")</f>
        <v/>
      </c>
      <c r="B1823" s="5" t="str">
        <f>IFERROR(INDEX('بيانات الحركات'!B:B,MATCH(1822,'بيانات الحركات'!$G:$G,0)),"")</f>
        <v/>
      </c>
      <c r="C1823" s="3" t="str">
        <f>IFERROR(INDEX('بيانات الحركات'!C:C,MATCH(1822,'بيانات الحركات'!$G:$G,0)),"")</f>
        <v/>
      </c>
      <c r="D1823" s="3" t="str">
        <f>IFERROR(INDEX('بيانات الحركات'!D:D,MATCH(1822,'بيانات الحركات'!$G:$G,0)),"")</f>
        <v/>
      </c>
      <c r="E1823" s="21" t="str">
        <f>IF($B1823="إنتاج طبخة","",IFERROR(INDEX('بيانات الحركات'!E:E,MATCH(1822,'بيانات الحركات'!$G:$G,0)),""))</f>
        <v/>
      </c>
      <c r="F1823" s="3" t="str">
        <f>IFERROR(INDEX('بيانات الحركات'!F:F,MATCH(1822,'بيانات الحركات'!$G:$G,0)),"")</f>
        <v/>
      </c>
    </row>
    <row r="1824" spans="1:6" ht="21.95" customHeight="1">
      <c r="A1824" s="8" t="str">
        <f>IFERROR(INDEX('بيانات الحركات'!A:A,MATCH(1823,'بيانات الحركات'!$G:$G,0)),"")</f>
        <v/>
      </c>
      <c r="B1824" s="5" t="str">
        <f>IFERROR(INDEX('بيانات الحركات'!B:B,MATCH(1823,'بيانات الحركات'!$G:$G,0)),"")</f>
        <v/>
      </c>
      <c r="C1824" s="3" t="str">
        <f>IFERROR(INDEX('بيانات الحركات'!C:C,MATCH(1823,'بيانات الحركات'!$G:$G,0)),"")</f>
        <v/>
      </c>
      <c r="D1824" s="3" t="str">
        <f>IFERROR(INDEX('بيانات الحركات'!D:D,MATCH(1823,'بيانات الحركات'!$G:$G,0)),"")</f>
        <v/>
      </c>
      <c r="E1824" s="21" t="str">
        <f>IF($B1824="إنتاج طبخة","",IFERROR(INDEX('بيانات الحركات'!E:E,MATCH(1823,'بيانات الحركات'!$G:$G,0)),""))</f>
        <v/>
      </c>
      <c r="F1824" s="3" t="str">
        <f>IFERROR(INDEX('بيانات الحركات'!F:F,MATCH(1823,'بيانات الحركات'!$G:$G,0)),"")</f>
        <v/>
      </c>
    </row>
    <row r="1825" spans="1:6" ht="21.95" customHeight="1">
      <c r="A1825" s="8" t="str">
        <f>IFERROR(INDEX('بيانات الحركات'!A:A,MATCH(1824,'بيانات الحركات'!$G:$G,0)),"")</f>
        <v/>
      </c>
      <c r="B1825" s="5" t="str">
        <f>IFERROR(INDEX('بيانات الحركات'!B:B,MATCH(1824,'بيانات الحركات'!$G:$G,0)),"")</f>
        <v/>
      </c>
      <c r="C1825" s="3" t="str">
        <f>IFERROR(INDEX('بيانات الحركات'!C:C,MATCH(1824,'بيانات الحركات'!$G:$G,0)),"")</f>
        <v/>
      </c>
      <c r="D1825" s="3" t="str">
        <f>IFERROR(INDEX('بيانات الحركات'!D:D,MATCH(1824,'بيانات الحركات'!$G:$G,0)),"")</f>
        <v/>
      </c>
      <c r="E1825" s="21" t="str">
        <f>IF($B1825="إنتاج طبخة","",IFERROR(INDEX('بيانات الحركات'!E:E,MATCH(1824,'بيانات الحركات'!$G:$G,0)),""))</f>
        <v/>
      </c>
      <c r="F1825" s="3" t="str">
        <f>IFERROR(INDEX('بيانات الحركات'!F:F,MATCH(1824,'بيانات الحركات'!$G:$G,0)),"")</f>
        <v/>
      </c>
    </row>
    <row r="1826" spans="1:6" ht="21.95" customHeight="1">
      <c r="A1826" s="8" t="str">
        <f>IFERROR(INDEX('بيانات الحركات'!A:A,MATCH(1825,'بيانات الحركات'!$G:$G,0)),"")</f>
        <v/>
      </c>
      <c r="B1826" s="5" t="str">
        <f>IFERROR(INDEX('بيانات الحركات'!B:B,MATCH(1825,'بيانات الحركات'!$G:$G,0)),"")</f>
        <v/>
      </c>
      <c r="C1826" s="3" t="str">
        <f>IFERROR(INDEX('بيانات الحركات'!C:C,MATCH(1825,'بيانات الحركات'!$G:$G,0)),"")</f>
        <v/>
      </c>
      <c r="D1826" s="3" t="str">
        <f>IFERROR(INDEX('بيانات الحركات'!D:D,MATCH(1825,'بيانات الحركات'!$G:$G,0)),"")</f>
        <v/>
      </c>
      <c r="E1826" s="21" t="str">
        <f>IF($B1826="إنتاج طبخة","",IFERROR(INDEX('بيانات الحركات'!E:E,MATCH(1825,'بيانات الحركات'!$G:$G,0)),""))</f>
        <v/>
      </c>
      <c r="F1826" s="3" t="str">
        <f>IFERROR(INDEX('بيانات الحركات'!F:F,MATCH(1825,'بيانات الحركات'!$G:$G,0)),"")</f>
        <v/>
      </c>
    </row>
    <row r="1827" spans="1:6" ht="21.95" customHeight="1">
      <c r="A1827" s="8" t="str">
        <f>IFERROR(INDEX('بيانات الحركات'!A:A,MATCH(1826,'بيانات الحركات'!$G:$G,0)),"")</f>
        <v/>
      </c>
      <c r="B1827" s="5" t="str">
        <f>IFERROR(INDEX('بيانات الحركات'!B:B,MATCH(1826,'بيانات الحركات'!$G:$G,0)),"")</f>
        <v/>
      </c>
      <c r="C1827" s="3" t="str">
        <f>IFERROR(INDEX('بيانات الحركات'!C:C,MATCH(1826,'بيانات الحركات'!$G:$G,0)),"")</f>
        <v/>
      </c>
      <c r="D1827" s="3" t="str">
        <f>IFERROR(INDEX('بيانات الحركات'!D:D,MATCH(1826,'بيانات الحركات'!$G:$G,0)),"")</f>
        <v/>
      </c>
      <c r="E1827" s="21" t="str">
        <f>IF($B1827="إنتاج طبخة","",IFERROR(INDEX('بيانات الحركات'!E:E,MATCH(1826,'بيانات الحركات'!$G:$G,0)),""))</f>
        <v/>
      </c>
      <c r="F1827" s="3" t="str">
        <f>IFERROR(INDEX('بيانات الحركات'!F:F,MATCH(1826,'بيانات الحركات'!$G:$G,0)),"")</f>
        <v/>
      </c>
    </row>
    <row r="1828" spans="1:6" ht="21.95" customHeight="1">
      <c r="A1828" s="8" t="str">
        <f>IFERROR(INDEX('بيانات الحركات'!A:A,MATCH(1827,'بيانات الحركات'!$G:$G,0)),"")</f>
        <v/>
      </c>
      <c r="B1828" s="5" t="str">
        <f>IFERROR(INDEX('بيانات الحركات'!B:B,MATCH(1827,'بيانات الحركات'!$G:$G,0)),"")</f>
        <v/>
      </c>
      <c r="C1828" s="3" t="str">
        <f>IFERROR(INDEX('بيانات الحركات'!C:C,MATCH(1827,'بيانات الحركات'!$G:$G,0)),"")</f>
        <v/>
      </c>
      <c r="D1828" s="3" t="str">
        <f>IFERROR(INDEX('بيانات الحركات'!D:D,MATCH(1827,'بيانات الحركات'!$G:$G,0)),"")</f>
        <v/>
      </c>
      <c r="E1828" s="21" t="str">
        <f>IF($B1828="إنتاج طبخة","",IFERROR(INDEX('بيانات الحركات'!E:E,MATCH(1827,'بيانات الحركات'!$G:$G,0)),""))</f>
        <v/>
      </c>
      <c r="F1828" s="3" t="str">
        <f>IFERROR(INDEX('بيانات الحركات'!F:F,MATCH(1827,'بيانات الحركات'!$G:$G,0)),"")</f>
        <v/>
      </c>
    </row>
    <row r="1829" spans="1:6" ht="21.95" customHeight="1">
      <c r="A1829" s="8" t="str">
        <f>IFERROR(INDEX('بيانات الحركات'!A:A,MATCH(1828,'بيانات الحركات'!$G:$G,0)),"")</f>
        <v/>
      </c>
      <c r="B1829" s="5" t="str">
        <f>IFERROR(INDEX('بيانات الحركات'!B:B,MATCH(1828,'بيانات الحركات'!$G:$G,0)),"")</f>
        <v/>
      </c>
      <c r="C1829" s="3" t="str">
        <f>IFERROR(INDEX('بيانات الحركات'!C:C,MATCH(1828,'بيانات الحركات'!$G:$G,0)),"")</f>
        <v/>
      </c>
      <c r="D1829" s="3" t="str">
        <f>IFERROR(INDEX('بيانات الحركات'!D:D,MATCH(1828,'بيانات الحركات'!$G:$G,0)),"")</f>
        <v/>
      </c>
      <c r="E1829" s="21" t="str">
        <f>IF($B1829="إنتاج طبخة","",IFERROR(INDEX('بيانات الحركات'!E:E,MATCH(1828,'بيانات الحركات'!$G:$G,0)),""))</f>
        <v/>
      </c>
      <c r="F1829" s="3" t="str">
        <f>IFERROR(INDEX('بيانات الحركات'!F:F,MATCH(1828,'بيانات الحركات'!$G:$G,0)),"")</f>
        <v/>
      </c>
    </row>
    <row r="1830" spans="1:6" ht="21.95" customHeight="1">
      <c r="A1830" s="8" t="str">
        <f>IFERROR(INDEX('بيانات الحركات'!A:A,MATCH(1829,'بيانات الحركات'!$G:$G,0)),"")</f>
        <v/>
      </c>
      <c r="B1830" s="5" t="str">
        <f>IFERROR(INDEX('بيانات الحركات'!B:B,MATCH(1829,'بيانات الحركات'!$G:$G,0)),"")</f>
        <v/>
      </c>
      <c r="C1830" s="3" t="str">
        <f>IFERROR(INDEX('بيانات الحركات'!C:C,MATCH(1829,'بيانات الحركات'!$G:$G,0)),"")</f>
        <v/>
      </c>
      <c r="D1830" s="3" t="str">
        <f>IFERROR(INDEX('بيانات الحركات'!D:D,MATCH(1829,'بيانات الحركات'!$G:$G,0)),"")</f>
        <v/>
      </c>
      <c r="E1830" s="21" t="str">
        <f>IF($B1830="إنتاج طبخة","",IFERROR(INDEX('بيانات الحركات'!E:E,MATCH(1829,'بيانات الحركات'!$G:$G,0)),""))</f>
        <v/>
      </c>
      <c r="F1830" s="3" t="str">
        <f>IFERROR(INDEX('بيانات الحركات'!F:F,MATCH(1829,'بيانات الحركات'!$G:$G,0)),"")</f>
        <v/>
      </c>
    </row>
    <row r="1831" spans="1:6" ht="21.95" customHeight="1">
      <c r="A1831" s="8" t="str">
        <f>IFERROR(INDEX('بيانات الحركات'!A:A,MATCH(1830,'بيانات الحركات'!$G:$G,0)),"")</f>
        <v/>
      </c>
      <c r="B1831" s="5" t="str">
        <f>IFERROR(INDEX('بيانات الحركات'!B:B,MATCH(1830,'بيانات الحركات'!$G:$G,0)),"")</f>
        <v/>
      </c>
      <c r="C1831" s="3" t="str">
        <f>IFERROR(INDEX('بيانات الحركات'!C:C,MATCH(1830,'بيانات الحركات'!$G:$G,0)),"")</f>
        <v/>
      </c>
      <c r="D1831" s="3" t="str">
        <f>IFERROR(INDEX('بيانات الحركات'!D:D,MATCH(1830,'بيانات الحركات'!$G:$G,0)),"")</f>
        <v/>
      </c>
      <c r="E1831" s="21" t="str">
        <f>IF($B1831="إنتاج طبخة","",IFERROR(INDEX('بيانات الحركات'!E:E,MATCH(1830,'بيانات الحركات'!$G:$G,0)),""))</f>
        <v/>
      </c>
      <c r="F1831" s="3" t="str">
        <f>IFERROR(INDEX('بيانات الحركات'!F:F,MATCH(1830,'بيانات الحركات'!$G:$G,0)),"")</f>
        <v/>
      </c>
    </row>
    <row r="1832" spans="1:6" ht="21.95" customHeight="1">
      <c r="A1832" s="8" t="str">
        <f>IFERROR(INDEX('بيانات الحركات'!A:A,MATCH(1831,'بيانات الحركات'!$G:$G,0)),"")</f>
        <v/>
      </c>
      <c r="B1832" s="5" t="str">
        <f>IFERROR(INDEX('بيانات الحركات'!B:B,MATCH(1831,'بيانات الحركات'!$G:$G,0)),"")</f>
        <v/>
      </c>
      <c r="C1832" s="3" t="str">
        <f>IFERROR(INDEX('بيانات الحركات'!C:C,MATCH(1831,'بيانات الحركات'!$G:$G,0)),"")</f>
        <v/>
      </c>
      <c r="D1832" s="3" t="str">
        <f>IFERROR(INDEX('بيانات الحركات'!D:D,MATCH(1831,'بيانات الحركات'!$G:$G,0)),"")</f>
        <v/>
      </c>
      <c r="E1832" s="21" t="str">
        <f>IF($B1832="إنتاج طبخة","",IFERROR(INDEX('بيانات الحركات'!E:E,MATCH(1831,'بيانات الحركات'!$G:$G,0)),""))</f>
        <v/>
      </c>
      <c r="F1832" s="3" t="str">
        <f>IFERROR(INDEX('بيانات الحركات'!F:F,MATCH(1831,'بيانات الحركات'!$G:$G,0)),"")</f>
        <v/>
      </c>
    </row>
    <row r="1833" spans="1:6" ht="21.95" customHeight="1">
      <c r="A1833" s="8" t="str">
        <f>IFERROR(INDEX('بيانات الحركات'!A:A,MATCH(1832,'بيانات الحركات'!$G:$G,0)),"")</f>
        <v/>
      </c>
      <c r="B1833" s="5" t="str">
        <f>IFERROR(INDEX('بيانات الحركات'!B:B,MATCH(1832,'بيانات الحركات'!$G:$G,0)),"")</f>
        <v/>
      </c>
      <c r="C1833" s="3" t="str">
        <f>IFERROR(INDEX('بيانات الحركات'!C:C,MATCH(1832,'بيانات الحركات'!$G:$G,0)),"")</f>
        <v/>
      </c>
      <c r="D1833" s="3" t="str">
        <f>IFERROR(INDEX('بيانات الحركات'!D:D,MATCH(1832,'بيانات الحركات'!$G:$G,0)),"")</f>
        <v/>
      </c>
      <c r="E1833" s="21" t="str">
        <f>IF($B1833="إنتاج طبخة","",IFERROR(INDEX('بيانات الحركات'!E:E,MATCH(1832,'بيانات الحركات'!$G:$G,0)),""))</f>
        <v/>
      </c>
      <c r="F1833" s="3" t="str">
        <f>IFERROR(INDEX('بيانات الحركات'!F:F,MATCH(1832,'بيانات الحركات'!$G:$G,0)),"")</f>
        <v/>
      </c>
    </row>
    <row r="1834" spans="1:6" ht="21.95" customHeight="1">
      <c r="A1834" s="8" t="str">
        <f>IFERROR(INDEX('بيانات الحركات'!A:A,MATCH(1833,'بيانات الحركات'!$G:$G,0)),"")</f>
        <v/>
      </c>
      <c r="B1834" s="5" t="str">
        <f>IFERROR(INDEX('بيانات الحركات'!B:B,MATCH(1833,'بيانات الحركات'!$G:$G,0)),"")</f>
        <v/>
      </c>
      <c r="C1834" s="3" t="str">
        <f>IFERROR(INDEX('بيانات الحركات'!C:C,MATCH(1833,'بيانات الحركات'!$G:$G,0)),"")</f>
        <v/>
      </c>
      <c r="D1834" s="3" t="str">
        <f>IFERROR(INDEX('بيانات الحركات'!D:D,MATCH(1833,'بيانات الحركات'!$G:$G,0)),"")</f>
        <v/>
      </c>
      <c r="E1834" s="21" t="str">
        <f>IF($B1834="إنتاج طبخة","",IFERROR(INDEX('بيانات الحركات'!E:E,MATCH(1833,'بيانات الحركات'!$G:$G,0)),""))</f>
        <v/>
      </c>
      <c r="F1834" s="3" t="str">
        <f>IFERROR(INDEX('بيانات الحركات'!F:F,MATCH(1833,'بيانات الحركات'!$G:$G,0)),"")</f>
        <v/>
      </c>
    </row>
    <row r="1835" spans="1:6" ht="21.95" customHeight="1">
      <c r="A1835" s="8" t="str">
        <f>IFERROR(INDEX('بيانات الحركات'!A:A,MATCH(1834,'بيانات الحركات'!$G:$G,0)),"")</f>
        <v/>
      </c>
      <c r="B1835" s="5" t="str">
        <f>IFERROR(INDEX('بيانات الحركات'!B:B,MATCH(1834,'بيانات الحركات'!$G:$G,0)),"")</f>
        <v/>
      </c>
      <c r="C1835" s="3" t="str">
        <f>IFERROR(INDEX('بيانات الحركات'!C:C,MATCH(1834,'بيانات الحركات'!$G:$G,0)),"")</f>
        <v/>
      </c>
      <c r="D1835" s="3" t="str">
        <f>IFERROR(INDEX('بيانات الحركات'!D:D,MATCH(1834,'بيانات الحركات'!$G:$G,0)),"")</f>
        <v/>
      </c>
      <c r="E1835" s="21" t="str">
        <f>IF($B1835="إنتاج طبخة","",IFERROR(INDEX('بيانات الحركات'!E:E,MATCH(1834,'بيانات الحركات'!$G:$G,0)),""))</f>
        <v/>
      </c>
      <c r="F1835" s="3" t="str">
        <f>IFERROR(INDEX('بيانات الحركات'!F:F,MATCH(1834,'بيانات الحركات'!$G:$G,0)),"")</f>
        <v/>
      </c>
    </row>
    <row r="1836" spans="1:6" ht="21.95" customHeight="1">
      <c r="A1836" s="8" t="str">
        <f>IFERROR(INDEX('بيانات الحركات'!A:A,MATCH(1835,'بيانات الحركات'!$G:$G,0)),"")</f>
        <v/>
      </c>
      <c r="B1836" s="5" t="str">
        <f>IFERROR(INDEX('بيانات الحركات'!B:B,MATCH(1835,'بيانات الحركات'!$G:$G,0)),"")</f>
        <v/>
      </c>
      <c r="C1836" s="3" t="str">
        <f>IFERROR(INDEX('بيانات الحركات'!C:C,MATCH(1835,'بيانات الحركات'!$G:$G,0)),"")</f>
        <v/>
      </c>
      <c r="D1836" s="3" t="str">
        <f>IFERROR(INDEX('بيانات الحركات'!D:D,MATCH(1835,'بيانات الحركات'!$G:$G,0)),"")</f>
        <v/>
      </c>
      <c r="E1836" s="21" t="str">
        <f>IF($B1836="إنتاج طبخة","",IFERROR(INDEX('بيانات الحركات'!E:E,MATCH(1835,'بيانات الحركات'!$G:$G,0)),""))</f>
        <v/>
      </c>
      <c r="F1836" s="3" t="str">
        <f>IFERROR(INDEX('بيانات الحركات'!F:F,MATCH(1835,'بيانات الحركات'!$G:$G,0)),"")</f>
        <v/>
      </c>
    </row>
    <row r="1837" spans="1:6" ht="21.95" customHeight="1">
      <c r="A1837" s="8" t="str">
        <f>IFERROR(INDEX('بيانات الحركات'!A:A,MATCH(1836,'بيانات الحركات'!$G:$G,0)),"")</f>
        <v/>
      </c>
      <c r="B1837" s="5" t="str">
        <f>IFERROR(INDEX('بيانات الحركات'!B:B,MATCH(1836,'بيانات الحركات'!$G:$G,0)),"")</f>
        <v/>
      </c>
      <c r="C1837" s="3" t="str">
        <f>IFERROR(INDEX('بيانات الحركات'!C:C,MATCH(1836,'بيانات الحركات'!$G:$G,0)),"")</f>
        <v/>
      </c>
      <c r="D1837" s="3" t="str">
        <f>IFERROR(INDEX('بيانات الحركات'!D:D,MATCH(1836,'بيانات الحركات'!$G:$G,0)),"")</f>
        <v/>
      </c>
      <c r="E1837" s="21" t="str">
        <f>IF($B1837="إنتاج طبخة","",IFERROR(INDEX('بيانات الحركات'!E:E,MATCH(1836,'بيانات الحركات'!$G:$G,0)),""))</f>
        <v/>
      </c>
      <c r="F1837" s="3" t="str">
        <f>IFERROR(INDEX('بيانات الحركات'!F:F,MATCH(1836,'بيانات الحركات'!$G:$G,0)),"")</f>
        <v/>
      </c>
    </row>
    <row r="1838" spans="1:6" ht="21.95" customHeight="1">
      <c r="A1838" s="8" t="str">
        <f>IFERROR(INDEX('بيانات الحركات'!A:A,MATCH(1837,'بيانات الحركات'!$G:$G,0)),"")</f>
        <v/>
      </c>
      <c r="B1838" s="5" t="str">
        <f>IFERROR(INDEX('بيانات الحركات'!B:B,MATCH(1837,'بيانات الحركات'!$G:$G,0)),"")</f>
        <v/>
      </c>
      <c r="C1838" s="3" t="str">
        <f>IFERROR(INDEX('بيانات الحركات'!C:C,MATCH(1837,'بيانات الحركات'!$G:$G,0)),"")</f>
        <v/>
      </c>
      <c r="D1838" s="3" t="str">
        <f>IFERROR(INDEX('بيانات الحركات'!D:D,MATCH(1837,'بيانات الحركات'!$G:$G,0)),"")</f>
        <v/>
      </c>
      <c r="E1838" s="21" t="str">
        <f>IF($B1838="إنتاج طبخة","",IFERROR(INDEX('بيانات الحركات'!E:E,MATCH(1837,'بيانات الحركات'!$G:$G,0)),""))</f>
        <v/>
      </c>
      <c r="F1838" s="3" t="str">
        <f>IFERROR(INDEX('بيانات الحركات'!F:F,MATCH(1837,'بيانات الحركات'!$G:$G,0)),"")</f>
        <v/>
      </c>
    </row>
    <row r="1839" spans="1:6" ht="21.95" customHeight="1">
      <c r="A1839" s="8" t="str">
        <f>IFERROR(INDEX('بيانات الحركات'!A:A,MATCH(1838,'بيانات الحركات'!$G:$G,0)),"")</f>
        <v/>
      </c>
      <c r="B1839" s="5" t="str">
        <f>IFERROR(INDEX('بيانات الحركات'!B:B,MATCH(1838,'بيانات الحركات'!$G:$G,0)),"")</f>
        <v/>
      </c>
      <c r="C1839" s="3" t="str">
        <f>IFERROR(INDEX('بيانات الحركات'!C:C,MATCH(1838,'بيانات الحركات'!$G:$G,0)),"")</f>
        <v/>
      </c>
      <c r="D1839" s="3" t="str">
        <f>IFERROR(INDEX('بيانات الحركات'!D:D,MATCH(1838,'بيانات الحركات'!$G:$G,0)),"")</f>
        <v/>
      </c>
      <c r="E1839" s="21" t="str">
        <f>IF($B1839="إنتاج طبخة","",IFERROR(INDEX('بيانات الحركات'!E:E,MATCH(1838,'بيانات الحركات'!$G:$G,0)),""))</f>
        <v/>
      </c>
      <c r="F1839" s="3" t="str">
        <f>IFERROR(INDEX('بيانات الحركات'!F:F,MATCH(1838,'بيانات الحركات'!$G:$G,0)),"")</f>
        <v/>
      </c>
    </row>
    <row r="1840" spans="1:6" ht="21.95" customHeight="1">
      <c r="A1840" s="8" t="str">
        <f>IFERROR(INDEX('بيانات الحركات'!A:A,MATCH(1839,'بيانات الحركات'!$G:$G,0)),"")</f>
        <v/>
      </c>
      <c r="B1840" s="5" t="str">
        <f>IFERROR(INDEX('بيانات الحركات'!B:B,MATCH(1839,'بيانات الحركات'!$G:$G,0)),"")</f>
        <v/>
      </c>
      <c r="C1840" s="3" t="str">
        <f>IFERROR(INDEX('بيانات الحركات'!C:C,MATCH(1839,'بيانات الحركات'!$G:$G,0)),"")</f>
        <v/>
      </c>
      <c r="D1840" s="3" t="str">
        <f>IFERROR(INDEX('بيانات الحركات'!D:D,MATCH(1839,'بيانات الحركات'!$G:$G,0)),"")</f>
        <v/>
      </c>
      <c r="E1840" s="21" t="str">
        <f>IF($B1840="إنتاج طبخة","",IFERROR(INDEX('بيانات الحركات'!E:E,MATCH(1839,'بيانات الحركات'!$G:$G,0)),""))</f>
        <v/>
      </c>
      <c r="F1840" s="3" t="str">
        <f>IFERROR(INDEX('بيانات الحركات'!F:F,MATCH(1839,'بيانات الحركات'!$G:$G,0)),"")</f>
        <v/>
      </c>
    </row>
    <row r="1841" spans="1:6" ht="21.95" customHeight="1">
      <c r="A1841" s="8" t="str">
        <f>IFERROR(INDEX('بيانات الحركات'!A:A,MATCH(1840,'بيانات الحركات'!$G:$G,0)),"")</f>
        <v/>
      </c>
      <c r="B1841" s="5" t="str">
        <f>IFERROR(INDEX('بيانات الحركات'!B:B,MATCH(1840,'بيانات الحركات'!$G:$G,0)),"")</f>
        <v/>
      </c>
      <c r="C1841" s="3" t="str">
        <f>IFERROR(INDEX('بيانات الحركات'!C:C,MATCH(1840,'بيانات الحركات'!$G:$G,0)),"")</f>
        <v/>
      </c>
      <c r="D1841" s="3" t="str">
        <f>IFERROR(INDEX('بيانات الحركات'!D:D,MATCH(1840,'بيانات الحركات'!$G:$G,0)),"")</f>
        <v/>
      </c>
      <c r="E1841" s="21" t="str">
        <f>IF($B1841="إنتاج طبخة","",IFERROR(INDEX('بيانات الحركات'!E:E,MATCH(1840,'بيانات الحركات'!$G:$G,0)),""))</f>
        <v/>
      </c>
      <c r="F1841" s="3" t="str">
        <f>IFERROR(INDEX('بيانات الحركات'!F:F,MATCH(1840,'بيانات الحركات'!$G:$G,0)),"")</f>
        <v/>
      </c>
    </row>
    <row r="1842" spans="1:6" ht="21.95" customHeight="1">
      <c r="A1842" s="8" t="str">
        <f>IFERROR(INDEX('بيانات الحركات'!A:A,MATCH(1841,'بيانات الحركات'!$G:$G,0)),"")</f>
        <v/>
      </c>
      <c r="B1842" s="5" t="str">
        <f>IFERROR(INDEX('بيانات الحركات'!B:B,MATCH(1841,'بيانات الحركات'!$G:$G,0)),"")</f>
        <v/>
      </c>
      <c r="C1842" s="3" t="str">
        <f>IFERROR(INDEX('بيانات الحركات'!C:C,MATCH(1841,'بيانات الحركات'!$G:$G,0)),"")</f>
        <v/>
      </c>
      <c r="D1842" s="3" t="str">
        <f>IFERROR(INDEX('بيانات الحركات'!D:D,MATCH(1841,'بيانات الحركات'!$G:$G,0)),"")</f>
        <v/>
      </c>
      <c r="E1842" s="21" t="str">
        <f>IF($B1842="إنتاج طبخة","",IFERROR(INDEX('بيانات الحركات'!E:E,MATCH(1841,'بيانات الحركات'!$G:$G,0)),""))</f>
        <v/>
      </c>
      <c r="F1842" s="3" t="str">
        <f>IFERROR(INDEX('بيانات الحركات'!F:F,MATCH(1841,'بيانات الحركات'!$G:$G,0)),"")</f>
        <v/>
      </c>
    </row>
    <row r="1843" spans="1:6" ht="21.95" customHeight="1">
      <c r="A1843" s="8" t="str">
        <f>IFERROR(INDEX('بيانات الحركات'!A:A,MATCH(1842,'بيانات الحركات'!$G:$G,0)),"")</f>
        <v/>
      </c>
      <c r="B1843" s="5" t="str">
        <f>IFERROR(INDEX('بيانات الحركات'!B:B,MATCH(1842,'بيانات الحركات'!$G:$G,0)),"")</f>
        <v/>
      </c>
      <c r="C1843" s="3" t="str">
        <f>IFERROR(INDEX('بيانات الحركات'!C:C,MATCH(1842,'بيانات الحركات'!$G:$G,0)),"")</f>
        <v/>
      </c>
      <c r="D1843" s="3" t="str">
        <f>IFERROR(INDEX('بيانات الحركات'!D:D,MATCH(1842,'بيانات الحركات'!$G:$G,0)),"")</f>
        <v/>
      </c>
      <c r="E1843" s="21" t="str">
        <f>IF($B1843="إنتاج طبخة","",IFERROR(INDEX('بيانات الحركات'!E:E,MATCH(1842,'بيانات الحركات'!$G:$G,0)),""))</f>
        <v/>
      </c>
      <c r="F1843" s="3" t="str">
        <f>IFERROR(INDEX('بيانات الحركات'!F:F,MATCH(1842,'بيانات الحركات'!$G:$G,0)),"")</f>
        <v/>
      </c>
    </row>
    <row r="1844" spans="1:6" ht="21.95" customHeight="1">
      <c r="A1844" s="8" t="str">
        <f>IFERROR(INDEX('بيانات الحركات'!A:A,MATCH(1843,'بيانات الحركات'!$G:$G,0)),"")</f>
        <v/>
      </c>
      <c r="B1844" s="5" t="str">
        <f>IFERROR(INDEX('بيانات الحركات'!B:B,MATCH(1843,'بيانات الحركات'!$G:$G,0)),"")</f>
        <v/>
      </c>
      <c r="C1844" s="3" t="str">
        <f>IFERROR(INDEX('بيانات الحركات'!C:C,MATCH(1843,'بيانات الحركات'!$G:$G,0)),"")</f>
        <v/>
      </c>
      <c r="D1844" s="3" t="str">
        <f>IFERROR(INDEX('بيانات الحركات'!D:D,MATCH(1843,'بيانات الحركات'!$G:$G,0)),"")</f>
        <v/>
      </c>
      <c r="E1844" s="21" t="str">
        <f>IF($B1844="إنتاج طبخة","",IFERROR(INDEX('بيانات الحركات'!E:E,MATCH(1843,'بيانات الحركات'!$G:$G,0)),""))</f>
        <v/>
      </c>
      <c r="F1844" s="3" t="str">
        <f>IFERROR(INDEX('بيانات الحركات'!F:F,MATCH(1843,'بيانات الحركات'!$G:$G,0)),"")</f>
        <v/>
      </c>
    </row>
    <row r="1845" spans="1:6" ht="21.95" customHeight="1">
      <c r="A1845" s="8" t="str">
        <f>IFERROR(INDEX('بيانات الحركات'!A:A,MATCH(1844,'بيانات الحركات'!$G:$G,0)),"")</f>
        <v/>
      </c>
      <c r="B1845" s="5" t="str">
        <f>IFERROR(INDEX('بيانات الحركات'!B:B,MATCH(1844,'بيانات الحركات'!$G:$G,0)),"")</f>
        <v/>
      </c>
      <c r="C1845" s="3" t="str">
        <f>IFERROR(INDEX('بيانات الحركات'!C:C,MATCH(1844,'بيانات الحركات'!$G:$G,0)),"")</f>
        <v/>
      </c>
      <c r="D1845" s="3" t="str">
        <f>IFERROR(INDEX('بيانات الحركات'!D:D,MATCH(1844,'بيانات الحركات'!$G:$G,0)),"")</f>
        <v/>
      </c>
      <c r="E1845" s="21" t="str">
        <f>IF($B1845="إنتاج طبخة","",IFERROR(INDEX('بيانات الحركات'!E:E,MATCH(1844,'بيانات الحركات'!$G:$G,0)),""))</f>
        <v/>
      </c>
      <c r="F1845" s="3" t="str">
        <f>IFERROR(INDEX('بيانات الحركات'!F:F,MATCH(1844,'بيانات الحركات'!$G:$G,0)),"")</f>
        <v/>
      </c>
    </row>
    <row r="1846" spans="1:6" ht="21.95" customHeight="1">
      <c r="A1846" s="8" t="str">
        <f>IFERROR(INDEX('بيانات الحركات'!A:A,MATCH(1845,'بيانات الحركات'!$G:$G,0)),"")</f>
        <v/>
      </c>
      <c r="B1846" s="5" t="str">
        <f>IFERROR(INDEX('بيانات الحركات'!B:B,MATCH(1845,'بيانات الحركات'!$G:$G,0)),"")</f>
        <v/>
      </c>
      <c r="C1846" s="3" t="str">
        <f>IFERROR(INDEX('بيانات الحركات'!C:C,MATCH(1845,'بيانات الحركات'!$G:$G,0)),"")</f>
        <v/>
      </c>
      <c r="D1846" s="3" t="str">
        <f>IFERROR(INDEX('بيانات الحركات'!D:D,MATCH(1845,'بيانات الحركات'!$G:$G,0)),"")</f>
        <v/>
      </c>
      <c r="E1846" s="21" t="str">
        <f>IF($B1846="إنتاج طبخة","",IFERROR(INDEX('بيانات الحركات'!E:E,MATCH(1845,'بيانات الحركات'!$G:$G,0)),""))</f>
        <v/>
      </c>
      <c r="F1846" s="3" t="str">
        <f>IFERROR(INDEX('بيانات الحركات'!F:F,MATCH(1845,'بيانات الحركات'!$G:$G,0)),"")</f>
        <v/>
      </c>
    </row>
    <row r="1847" spans="1:6" ht="21.95" customHeight="1">
      <c r="A1847" s="8" t="str">
        <f>IFERROR(INDEX('بيانات الحركات'!A:A,MATCH(1846,'بيانات الحركات'!$G:$G,0)),"")</f>
        <v/>
      </c>
      <c r="B1847" s="5" t="str">
        <f>IFERROR(INDEX('بيانات الحركات'!B:B,MATCH(1846,'بيانات الحركات'!$G:$G,0)),"")</f>
        <v/>
      </c>
      <c r="C1847" s="3" t="str">
        <f>IFERROR(INDEX('بيانات الحركات'!C:C,MATCH(1846,'بيانات الحركات'!$G:$G,0)),"")</f>
        <v/>
      </c>
      <c r="D1847" s="3" t="str">
        <f>IFERROR(INDEX('بيانات الحركات'!D:D,MATCH(1846,'بيانات الحركات'!$G:$G,0)),"")</f>
        <v/>
      </c>
      <c r="E1847" s="21" t="str">
        <f>IF($B1847="إنتاج طبخة","",IFERROR(INDEX('بيانات الحركات'!E:E,MATCH(1846,'بيانات الحركات'!$G:$G,0)),""))</f>
        <v/>
      </c>
      <c r="F1847" s="3" t="str">
        <f>IFERROR(INDEX('بيانات الحركات'!F:F,MATCH(1846,'بيانات الحركات'!$G:$G,0)),"")</f>
        <v/>
      </c>
    </row>
    <row r="1848" spans="1:6" ht="21.95" customHeight="1">
      <c r="A1848" s="8" t="str">
        <f>IFERROR(INDEX('بيانات الحركات'!A:A,MATCH(1847,'بيانات الحركات'!$G:$G,0)),"")</f>
        <v/>
      </c>
      <c r="B1848" s="5" t="str">
        <f>IFERROR(INDEX('بيانات الحركات'!B:B,MATCH(1847,'بيانات الحركات'!$G:$G,0)),"")</f>
        <v/>
      </c>
      <c r="C1848" s="3" t="str">
        <f>IFERROR(INDEX('بيانات الحركات'!C:C,MATCH(1847,'بيانات الحركات'!$G:$G,0)),"")</f>
        <v/>
      </c>
      <c r="D1848" s="3" t="str">
        <f>IFERROR(INDEX('بيانات الحركات'!D:D,MATCH(1847,'بيانات الحركات'!$G:$G,0)),"")</f>
        <v/>
      </c>
      <c r="E1848" s="21" t="str">
        <f>IF($B1848="إنتاج طبخة","",IFERROR(INDEX('بيانات الحركات'!E:E,MATCH(1847,'بيانات الحركات'!$G:$G,0)),""))</f>
        <v/>
      </c>
      <c r="F1848" s="3" t="str">
        <f>IFERROR(INDEX('بيانات الحركات'!F:F,MATCH(1847,'بيانات الحركات'!$G:$G,0)),"")</f>
        <v/>
      </c>
    </row>
    <row r="1849" spans="1:6" ht="21.95" customHeight="1">
      <c r="A1849" s="8" t="str">
        <f>IFERROR(INDEX('بيانات الحركات'!A:A,MATCH(1848,'بيانات الحركات'!$G:$G,0)),"")</f>
        <v/>
      </c>
      <c r="B1849" s="5" t="str">
        <f>IFERROR(INDEX('بيانات الحركات'!B:B,MATCH(1848,'بيانات الحركات'!$G:$G,0)),"")</f>
        <v/>
      </c>
      <c r="C1849" s="3" t="str">
        <f>IFERROR(INDEX('بيانات الحركات'!C:C,MATCH(1848,'بيانات الحركات'!$G:$G,0)),"")</f>
        <v/>
      </c>
      <c r="D1849" s="3" t="str">
        <f>IFERROR(INDEX('بيانات الحركات'!D:D,MATCH(1848,'بيانات الحركات'!$G:$G,0)),"")</f>
        <v/>
      </c>
      <c r="E1849" s="21" t="str">
        <f>IF($B1849="إنتاج طبخة","",IFERROR(INDEX('بيانات الحركات'!E:E,MATCH(1848,'بيانات الحركات'!$G:$G,0)),""))</f>
        <v/>
      </c>
      <c r="F1849" s="3" t="str">
        <f>IFERROR(INDEX('بيانات الحركات'!F:F,MATCH(1848,'بيانات الحركات'!$G:$G,0)),"")</f>
        <v/>
      </c>
    </row>
    <row r="1850" spans="1:6" ht="21.95" customHeight="1">
      <c r="A1850" s="8" t="str">
        <f>IFERROR(INDEX('بيانات الحركات'!A:A,MATCH(1849,'بيانات الحركات'!$G:$G,0)),"")</f>
        <v/>
      </c>
      <c r="B1850" s="5" t="str">
        <f>IFERROR(INDEX('بيانات الحركات'!B:B,MATCH(1849,'بيانات الحركات'!$G:$G,0)),"")</f>
        <v/>
      </c>
      <c r="C1850" s="3" t="str">
        <f>IFERROR(INDEX('بيانات الحركات'!C:C,MATCH(1849,'بيانات الحركات'!$G:$G,0)),"")</f>
        <v/>
      </c>
      <c r="D1850" s="3" t="str">
        <f>IFERROR(INDEX('بيانات الحركات'!D:D,MATCH(1849,'بيانات الحركات'!$G:$G,0)),"")</f>
        <v/>
      </c>
      <c r="E1850" s="21" t="str">
        <f>IF($B1850="إنتاج طبخة","",IFERROR(INDEX('بيانات الحركات'!E:E,MATCH(1849,'بيانات الحركات'!$G:$G,0)),""))</f>
        <v/>
      </c>
      <c r="F1850" s="3" t="str">
        <f>IFERROR(INDEX('بيانات الحركات'!F:F,MATCH(1849,'بيانات الحركات'!$G:$G,0)),"")</f>
        <v/>
      </c>
    </row>
    <row r="1851" spans="1:6" ht="21.95" customHeight="1">
      <c r="A1851" s="8" t="str">
        <f>IFERROR(INDEX('بيانات الحركات'!A:A,MATCH(1850,'بيانات الحركات'!$G:$G,0)),"")</f>
        <v/>
      </c>
      <c r="B1851" s="5" t="str">
        <f>IFERROR(INDEX('بيانات الحركات'!B:B,MATCH(1850,'بيانات الحركات'!$G:$G,0)),"")</f>
        <v/>
      </c>
      <c r="C1851" s="3" t="str">
        <f>IFERROR(INDEX('بيانات الحركات'!C:C,MATCH(1850,'بيانات الحركات'!$G:$G,0)),"")</f>
        <v/>
      </c>
      <c r="D1851" s="3" t="str">
        <f>IFERROR(INDEX('بيانات الحركات'!D:D,MATCH(1850,'بيانات الحركات'!$G:$G,0)),"")</f>
        <v/>
      </c>
      <c r="E1851" s="21" t="str">
        <f>IF($B1851="إنتاج طبخة","",IFERROR(INDEX('بيانات الحركات'!E:E,MATCH(1850,'بيانات الحركات'!$G:$G,0)),""))</f>
        <v/>
      </c>
      <c r="F1851" s="3" t="str">
        <f>IFERROR(INDEX('بيانات الحركات'!F:F,MATCH(1850,'بيانات الحركات'!$G:$G,0)),"")</f>
        <v/>
      </c>
    </row>
    <row r="1852" spans="1:6" ht="21.95" customHeight="1">
      <c r="A1852" s="8" t="str">
        <f>IFERROR(INDEX('بيانات الحركات'!A:A,MATCH(1851,'بيانات الحركات'!$G:$G,0)),"")</f>
        <v/>
      </c>
      <c r="B1852" s="5" t="str">
        <f>IFERROR(INDEX('بيانات الحركات'!B:B,MATCH(1851,'بيانات الحركات'!$G:$G,0)),"")</f>
        <v/>
      </c>
      <c r="C1852" s="3" t="str">
        <f>IFERROR(INDEX('بيانات الحركات'!C:C,MATCH(1851,'بيانات الحركات'!$G:$G,0)),"")</f>
        <v/>
      </c>
      <c r="D1852" s="3" t="str">
        <f>IFERROR(INDEX('بيانات الحركات'!D:D,MATCH(1851,'بيانات الحركات'!$G:$G,0)),"")</f>
        <v/>
      </c>
      <c r="E1852" s="21" t="str">
        <f>IF($B1852="إنتاج طبخة","",IFERROR(INDEX('بيانات الحركات'!E:E,MATCH(1851,'بيانات الحركات'!$G:$G,0)),""))</f>
        <v/>
      </c>
      <c r="F1852" s="3" t="str">
        <f>IFERROR(INDEX('بيانات الحركات'!F:F,MATCH(1851,'بيانات الحركات'!$G:$G,0)),"")</f>
        <v/>
      </c>
    </row>
    <row r="1853" spans="1:6" ht="21.95" customHeight="1">
      <c r="A1853" s="8" t="str">
        <f>IFERROR(INDEX('بيانات الحركات'!A:A,MATCH(1852,'بيانات الحركات'!$G:$G,0)),"")</f>
        <v/>
      </c>
      <c r="B1853" s="5" t="str">
        <f>IFERROR(INDEX('بيانات الحركات'!B:B,MATCH(1852,'بيانات الحركات'!$G:$G,0)),"")</f>
        <v/>
      </c>
      <c r="C1853" s="3" t="str">
        <f>IFERROR(INDEX('بيانات الحركات'!C:C,MATCH(1852,'بيانات الحركات'!$G:$G,0)),"")</f>
        <v/>
      </c>
      <c r="D1853" s="3" t="str">
        <f>IFERROR(INDEX('بيانات الحركات'!D:D,MATCH(1852,'بيانات الحركات'!$G:$G,0)),"")</f>
        <v/>
      </c>
      <c r="E1853" s="21" t="str">
        <f>IF($B1853="إنتاج طبخة","",IFERROR(INDEX('بيانات الحركات'!E:E,MATCH(1852,'بيانات الحركات'!$G:$G,0)),""))</f>
        <v/>
      </c>
      <c r="F1853" s="3" t="str">
        <f>IFERROR(INDEX('بيانات الحركات'!F:F,MATCH(1852,'بيانات الحركات'!$G:$G,0)),"")</f>
        <v/>
      </c>
    </row>
    <row r="1854" spans="1:6" ht="21.95" customHeight="1">
      <c r="A1854" s="8" t="str">
        <f>IFERROR(INDEX('بيانات الحركات'!A:A,MATCH(1853,'بيانات الحركات'!$G:$G,0)),"")</f>
        <v/>
      </c>
      <c r="B1854" s="5" t="str">
        <f>IFERROR(INDEX('بيانات الحركات'!B:B,MATCH(1853,'بيانات الحركات'!$G:$G,0)),"")</f>
        <v/>
      </c>
      <c r="C1854" s="3" t="str">
        <f>IFERROR(INDEX('بيانات الحركات'!C:C,MATCH(1853,'بيانات الحركات'!$G:$G,0)),"")</f>
        <v/>
      </c>
      <c r="D1854" s="3" t="str">
        <f>IFERROR(INDEX('بيانات الحركات'!D:D,MATCH(1853,'بيانات الحركات'!$G:$G,0)),"")</f>
        <v/>
      </c>
      <c r="E1854" s="21" t="str">
        <f>IF($B1854="إنتاج طبخة","",IFERROR(INDEX('بيانات الحركات'!E:E,MATCH(1853,'بيانات الحركات'!$G:$G,0)),""))</f>
        <v/>
      </c>
      <c r="F1854" s="3" t="str">
        <f>IFERROR(INDEX('بيانات الحركات'!F:F,MATCH(1853,'بيانات الحركات'!$G:$G,0)),"")</f>
        <v/>
      </c>
    </row>
    <row r="1855" spans="1:6" ht="21.95" customHeight="1">
      <c r="A1855" s="8" t="str">
        <f>IFERROR(INDEX('بيانات الحركات'!A:A,MATCH(1854,'بيانات الحركات'!$G:$G,0)),"")</f>
        <v/>
      </c>
      <c r="B1855" s="5" t="str">
        <f>IFERROR(INDEX('بيانات الحركات'!B:B,MATCH(1854,'بيانات الحركات'!$G:$G,0)),"")</f>
        <v/>
      </c>
      <c r="C1855" s="3" t="str">
        <f>IFERROR(INDEX('بيانات الحركات'!C:C,MATCH(1854,'بيانات الحركات'!$G:$G,0)),"")</f>
        <v/>
      </c>
      <c r="D1855" s="3" t="str">
        <f>IFERROR(INDEX('بيانات الحركات'!D:D,MATCH(1854,'بيانات الحركات'!$G:$G,0)),"")</f>
        <v/>
      </c>
      <c r="E1855" s="21" t="str">
        <f>IF($B1855="إنتاج طبخة","",IFERROR(INDEX('بيانات الحركات'!E:E,MATCH(1854,'بيانات الحركات'!$G:$G,0)),""))</f>
        <v/>
      </c>
      <c r="F1855" s="3" t="str">
        <f>IFERROR(INDEX('بيانات الحركات'!F:F,MATCH(1854,'بيانات الحركات'!$G:$G,0)),"")</f>
        <v/>
      </c>
    </row>
    <row r="1856" spans="1:6" ht="21.95" customHeight="1">
      <c r="A1856" s="8" t="str">
        <f>IFERROR(INDEX('بيانات الحركات'!A:A,MATCH(1855,'بيانات الحركات'!$G:$G,0)),"")</f>
        <v/>
      </c>
      <c r="B1856" s="5" t="str">
        <f>IFERROR(INDEX('بيانات الحركات'!B:B,MATCH(1855,'بيانات الحركات'!$G:$G,0)),"")</f>
        <v/>
      </c>
      <c r="C1856" s="3" t="str">
        <f>IFERROR(INDEX('بيانات الحركات'!C:C,MATCH(1855,'بيانات الحركات'!$G:$G,0)),"")</f>
        <v/>
      </c>
      <c r="D1856" s="3" t="str">
        <f>IFERROR(INDEX('بيانات الحركات'!D:D,MATCH(1855,'بيانات الحركات'!$G:$G,0)),"")</f>
        <v/>
      </c>
      <c r="E1856" s="21" t="str">
        <f>IF($B1856="إنتاج طبخة","",IFERROR(INDEX('بيانات الحركات'!E:E,MATCH(1855,'بيانات الحركات'!$G:$G,0)),""))</f>
        <v/>
      </c>
      <c r="F1856" s="3" t="str">
        <f>IFERROR(INDEX('بيانات الحركات'!F:F,MATCH(1855,'بيانات الحركات'!$G:$G,0)),"")</f>
        <v/>
      </c>
    </row>
    <row r="1857" spans="1:6" ht="21.95" customHeight="1">
      <c r="A1857" s="8" t="str">
        <f>IFERROR(INDEX('بيانات الحركات'!A:A,MATCH(1856,'بيانات الحركات'!$G:$G,0)),"")</f>
        <v/>
      </c>
      <c r="B1857" s="5" t="str">
        <f>IFERROR(INDEX('بيانات الحركات'!B:B,MATCH(1856,'بيانات الحركات'!$G:$G,0)),"")</f>
        <v/>
      </c>
      <c r="C1857" s="3" t="str">
        <f>IFERROR(INDEX('بيانات الحركات'!C:C,MATCH(1856,'بيانات الحركات'!$G:$G,0)),"")</f>
        <v/>
      </c>
      <c r="D1857" s="3" t="str">
        <f>IFERROR(INDEX('بيانات الحركات'!D:D,MATCH(1856,'بيانات الحركات'!$G:$G,0)),"")</f>
        <v/>
      </c>
      <c r="E1857" s="21" t="str">
        <f>IF($B1857="إنتاج طبخة","",IFERROR(INDEX('بيانات الحركات'!E:E,MATCH(1856,'بيانات الحركات'!$G:$G,0)),""))</f>
        <v/>
      </c>
      <c r="F1857" s="3" t="str">
        <f>IFERROR(INDEX('بيانات الحركات'!F:F,MATCH(1856,'بيانات الحركات'!$G:$G,0)),"")</f>
        <v/>
      </c>
    </row>
    <row r="1858" spans="1:6" ht="21.95" customHeight="1">
      <c r="A1858" s="8" t="str">
        <f>IFERROR(INDEX('بيانات الحركات'!A:A,MATCH(1857,'بيانات الحركات'!$G:$G,0)),"")</f>
        <v/>
      </c>
      <c r="B1858" s="5" t="str">
        <f>IFERROR(INDEX('بيانات الحركات'!B:B,MATCH(1857,'بيانات الحركات'!$G:$G,0)),"")</f>
        <v/>
      </c>
      <c r="C1858" s="3" t="str">
        <f>IFERROR(INDEX('بيانات الحركات'!C:C,MATCH(1857,'بيانات الحركات'!$G:$G,0)),"")</f>
        <v/>
      </c>
      <c r="D1858" s="3" t="str">
        <f>IFERROR(INDEX('بيانات الحركات'!D:D,MATCH(1857,'بيانات الحركات'!$G:$G,0)),"")</f>
        <v/>
      </c>
      <c r="E1858" s="21" t="str">
        <f>IF($B1858="إنتاج طبخة","",IFERROR(INDEX('بيانات الحركات'!E:E,MATCH(1857,'بيانات الحركات'!$G:$G,0)),""))</f>
        <v/>
      </c>
      <c r="F1858" s="3" t="str">
        <f>IFERROR(INDEX('بيانات الحركات'!F:F,MATCH(1857,'بيانات الحركات'!$G:$G,0)),"")</f>
        <v/>
      </c>
    </row>
    <row r="1859" spans="1:6" ht="21.95" customHeight="1">
      <c r="A1859" s="8" t="str">
        <f>IFERROR(INDEX('بيانات الحركات'!A:A,MATCH(1858,'بيانات الحركات'!$G:$G,0)),"")</f>
        <v/>
      </c>
      <c r="B1859" s="5" t="str">
        <f>IFERROR(INDEX('بيانات الحركات'!B:B,MATCH(1858,'بيانات الحركات'!$G:$G,0)),"")</f>
        <v/>
      </c>
      <c r="C1859" s="3" t="str">
        <f>IFERROR(INDEX('بيانات الحركات'!C:C,MATCH(1858,'بيانات الحركات'!$G:$G,0)),"")</f>
        <v/>
      </c>
      <c r="D1859" s="3" t="str">
        <f>IFERROR(INDEX('بيانات الحركات'!D:D,MATCH(1858,'بيانات الحركات'!$G:$G,0)),"")</f>
        <v/>
      </c>
      <c r="E1859" s="21" t="str">
        <f>IF($B1859="إنتاج طبخة","",IFERROR(INDEX('بيانات الحركات'!E:E,MATCH(1858,'بيانات الحركات'!$G:$G,0)),""))</f>
        <v/>
      </c>
      <c r="F1859" s="3" t="str">
        <f>IFERROR(INDEX('بيانات الحركات'!F:F,MATCH(1858,'بيانات الحركات'!$G:$G,0)),"")</f>
        <v/>
      </c>
    </row>
    <row r="1860" spans="1:6" ht="21.95" customHeight="1">
      <c r="A1860" s="8" t="str">
        <f>IFERROR(INDEX('بيانات الحركات'!A:A,MATCH(1859,'بيانات الحركات'!$G:$G,0)),"")</f>
        <v/>
      </c>
      <c r="B1860" s="5" t="str">
        <f>IFERROR(INDEX('بيانات الحركات'!B:B,MATCH(1859,'بيانات الحركات'!$G:$G,0)),"")</f>
        <v/>
      </c>
      <c r="C1860" s="3" t="str">
        <f>IFERROR(INDEX('بيانات الحركات'!C:C,MATCH(1859,'بيانات الحركات'!$G:$G,0)),"")</f>
        <v/>
      </c>
      <c r="D1860" s="3" t="str">
        <f>IFERROR(INDEX('بيانات الحركات'!D:D,MATCH(1859,'بيانات الحركات'!$G:$G,0)),"")</f>
        <v/>
      </c>
      <c r="E1860" s="21" t="str">
        <f>IF($B1860="إنتاج طبخة","",IFERROR(INDEX('بيانات الحركات'!E:E,MATCH(1859,'بيانات الحركات'!$G:$G,0)),""))</f>
        <v/>
      </c>
      <c r="F1860" s="3" t="str">
        <f>IFERROR(INDEX('بيانات الحركات'!F:F,MATCH(1859,'بيانات الحركات'!$G:$G,0)),"")</f>
        <v/>
      </c>
    </row>
    <row r="1861" spans="1:6" ht="21.95" customHeight="1">
      <c r="A1861" s="8" t="str">
        <f>IFERROR(INDEX('بيانات الحركات'!A:A,MATCH(1860,'بيانات الحركات'!$G:$G,0)),"")</f>
        <v/>
      </c>
      <c r="B1861" s="5" t="str">
        <f>IFERROR(INDEX('بيانات الحركات'!B:B,MATCH(1860,'بيانات الحركات'!$G:$G,0)),"")</f>
        <v/>
      </c>
      <c r="C1861" s="3" t="str">
        <f>IFERROR(INDEX('بيانات الحركات'!C:C,MATCH(1860,'بيانات الحركات'!$G:$G,0)),"")</f>
        <v/>
      </c>
      <c r="D1861" s="3" t="str">
        <f>IFERROR(INDEX('بيانات الحركات'!D:D,MATCH(1860,'بيانات الحركات'!$G:$G,0)),"")</f>
        <v/>
      </c>
      <c r="E1861" s="21" t="str">
        <f>IF($B1861="إنتاج طبخة","",IFERROR(INDEX('بيانات الحركات'!E:E,MATCH(1860,'بيانات الحركات'!$G:$G,0)),""))</f>
        <v/>
      </c>
      <c r="F1861" s="3" t="str">
        <f>IFERROR(INDEX('بيانات الحركات'!F:F,MATCH(1860,'بيانات الحركات'!$G:$G,0)),"")</f>
        <v/>
      </c>
    </row>
    <row r="1862" spans="1:6" ht="21.95" customHeight="1">
      <c r="A1862" s="8" t="str">
        <f>IFERROR(INDEX('بيانات الحركات'!A:A,MATCH(1861,'بيانات الحركات'!$G:$G,0)),"")</f>
        <v/>
      </c>
      <c r="B1862" s="5" t="str">
        <f>IFERROR(INDEX('بيانات الحركات'!B:B,MATCH(1861,'بيانات الحركات'!$G:$G,0)),"")</f>
        <v/>
      </c>
      <c r="C1862" s="3" t="str">
        <f>IFERROR(INDEX('بيانات الحركات'!C:C,MATCH(1861,'بيانات الحركات'!$G:$G,0)),"")</f>
        <v/>
      </c>
      <c r="D1862" s="3" t="str">
        <f>IFERROR(INDEX('بيانات الحركات'!D:D,MATCH(1861,'بيانات الحركات'!$G:$G,0)),"")</f>
        <v/>
      </c>
      <c r="E1862" s="21" t="str">
        <f>IF($B1862="إنتاج طبخة","",IFERROR(INDEX('بيانات الحركات'!E:E,MATCH(1861,'بيانات الحركات'!$G:$G,0)),""))</f>
        <v/>
      </c>
      <c r="F1862" s="3" t="str">
        <f>IFERROR(INDEX('بيانات الحركات'!F:F,MATCH(1861,'بيانات الحركات'!$G:$G,0)),"")</f>
        <v/>
      </c>
    </row>
    <row r="1863" spans="1:6" ht="21.95" customHeight="1">
      <c r="A1863" s="8" t="str">
        <f>IFERROR(INDEX('بيانات الحركات'!A:A,MATCH(1862,'بيانات الحركات'!$G:$G,0)),"")</f>
        <v/>
      </c>
      <c r="B1863" s="5" t="str">
        <f>IFERROR(INDEX('بيانات الحركات'!B:B,MATCH(1862,'بيانات الحركات'!$G:$G,0)),"")</f>
        <v/>
      </c>
      <c r="C1863" s="3" t="str">
        <f>IFERROR(INDEX('بيانات الحركات'!C:C,MATCH(1862,'بيانات الحركات'!$G:$G,0)),"")</f>
        <v/>
      </c>
      <c r="D1863" s="3" t="str">
        <f>IFERROR(INDEX('بيانات الحركات'!D:D,MATCH(1862,'بيانات الحركات'!$G:$G,0)),"")</f>
        <v/>
      </c>
      <c r="E1863" s="21" t="str">
        <f>IF($B1863="إنتاج طبخة","",IFERROR(INDEX('بيانات الحركات'!E:E,MATCH(1862,'بيانات الحركات'!$G:$G,0)),""))</f>
        <v/>
      </c>
      <c r="F1863" s="3" t="str">
        <f>IFERROR(INDEX('بيانات الحركات'!F:F,MATCH(1862,'بيانات الحركات'!$G:$G,0)),"")</f>
        <v/>
      </c>
    </row>
    <row r="1864" spans="1:6" ht="21.95" customHeight="1">
      <c r="A1864" s="8" t="str">
        <f>IFERROR(INDEX('بيانات الحركات'!A:A,MATCH(1863,'بيانات الحركات'!$G:$G,0)),"")</f>
        <v/>
      </c>
      <c r="B1864" s="5" t="str">
        <f>IFERROR(INDEX('بيانات الحركات'!B:B,MATCH(1863,'بيانات الحركات'!$G:$G,0)),"")</f>
        <v/>
      </c>
      <c r="C1864" s="3" t="str">
        <f>IFERROR(INDEX('بيانات الحركات'!C:C,MATCH(1863,'بيانات الحركات'!$G:$G,0)),"")</f>
        <v/>
      </c>
      <c r="D1864" s="3" t="str">
        <f>IFERROR(INDEX('بيانات الحركات'!D:D,MATCH(1863,'بيانات الحركات'!$G:$G,0)),"")</f>
        <v/>
      </c>
      <c r="E1864" s="21" t="str">
        <f>IF($B1864="إنتاج طبخة","",IFERROR(INDEX('بيانات الحركات'!E:E,MATCH(1863,'بيانات الحركات'!$G:$G,0)),""))</f>
        <v/>
      </c>
      <c r="F1864" s="3" t="str">
        <f>IFERROR(INDEX('بيانات الحركات'!F:F,MATCH(1863,'بيانات الحركات'!$G:$G,0)),"")</f>
        <v/>
      </c>
    </row>
    <row r="1865" spans="1:6" ht="21.95" customHeight="1">
      <c r="A1865" s="8" t="str">
        <f>IFERROR(INDEX('بيانات الحركات'!A:A,MATCH(1864,'بيانات الحركات'!$G:$G,0)),"")</f>
        <v/>
      </c>
      <c r="B1865" s="5" t="str">
        <f>IFERROR(INDEX('بيانات الحركات'!B:B,MATCH(1864,'بيانات الحركات'!$G:$G,0)),"")</f>
        <v/>
      </c>
      <c r="C1865" s="3" t="str">
        <f>IFERROR(INDEX('بيانات الحركات'!C:C,MATCH(1864,'بيانات الحركات'!$G:$G,0)),"")</f>
        <v/>
      </c>
      <c r="D1865" s="3" t="str">
        <f>IFERROR(INDEX('بيانات الحركات'!D:D,MATCH(1864,'بيانات الحركات'!$G:$G,0)),"")</f>
        <v/>
      </c>
      <c r="E1865" s="21" t="str">
        <f>IF($B1865="إنتاج طبخة","",IFERROR(INDEX('بيانات الحركات'!E:E,MATCH(1864,'بيانات الحركات'!$G:$G,0)),""))</f>
        <v/>
      </c>
      <c r="F1865" s="3" t="str">
        <f>IFERROR(INDEX('بيانات الحركات'!F:F,MATCH(1864,'بيانات الحركات'!$G:$G,0)),"")</f>
        <v/>
      </c>
    </row>
    <row r="1866" spans="1:6" ht="21.95" customHeight="1">
      <c r="A1866" s="8" t="str">
        <f>IFERROR(INDEX('بيانات الحركات'!A:A,MATCH(1865,'بيانات الحركات'!$G:$G,0)),"")</f>
        <v/>
      </c>
      <c r="B1866" s="5" t="str">
        <f>IFERROR(INDEX('بيانات الحركات'!B:B,MATCH(1865,'بيانات الحركات'!$G:$G,0)),"")</f>
        <v/>
      </c>
      <c r="C1866" s="3" t="str">
        <f>IFERROR(INDEX('بيانات الحركات'!C:C,MATCH(1865,'بيانات الحركات'!$G:$G,0)),"")</f>
        <v/>
      </c>
      <c r="D1866" s="3" t="str">
        <f>IFERROR(INDEX('بيانات الحركات'!D:D,MATCH(1865,'بيانات الحركات'!$G:$G,0)),"")</f>
        <v/>
      </c>
      <c r="E1866" s="21" t="str">
        <f>IF($B1866="إنتاج طبخة","",IFERROR(INDEX('بيانات الحركات'!E:E,MATCH(1865,'بيانات الحركات'!$G:$G,0)),""))</f>
        <v/>
      </c>
      <c r="F1866" s="3" t="str">
        <f>IFERROR(INDEX('بيانات الحركات'!F:F,MATCH(1865,'بيانات الحركات'!$G:$G,0)),"")</f>
        <v/>
      </c>
    </row>
    <row r="1867" spans="1:6" ht="21.95" customHeight="1">
      <c r="A1867" s="8" t="str">
        <f>IFERROR(INDEX('بيانات الحركات'!A:A,MATCH(1866,'بيانات الحركات'!$G:$G,0)),"")</f>
        <v/>
      </c>
      <c r="B1867" s="5" t="str">
        <f>IFERROR(INDEX('بيانات الحركات'!B:B,MATCH(1866,'بيانات الحركات'!$G:$G,0)),"")</f>
        <v/>
      </c>
      <c r="C1867" s="3" t="str">
        <f>IFERROR(INDEX('بيانات الحركات'!C:C,MATCH(1866,'بيانات الحركات'!$G:$G,0)),"")</f>
        <v/>
      </c>
      <c r="D1867" s="3" t="str">
        <f>IFERROR(INDEX('بيانات الحركات'!D:D,MATCH(1866,'بيانات الحركات'!$G:$G,0)),"")</f>
        <v/>
      </c>
      <c r="E1867" s="21" t="str">
        <f>IF($B1867="إنتاج طبخة","",IFERROR(INDEX('بيانات الحركات'!E:E,MATCH(1866,'بيانات الحركات'!$G:$G,0)),""))</f>
        <v/>
      </c>
      <c r="F1867" s="3" t="str">
        <f>IFERROR(INDEX('بيانات الحركات'!F:F,MATCH(1866,'بيانات الحركات'!$G:$G,0)),"")</f>
        <v/>
      </c>
    </row>
    <row r="1868" spans="1:6" ht="21.95" customHeight="1">
      <c r="A1868" s="8" t="str">
        <f>IFERROR(INDEX('بيانات الحركات'!A:A,MATCH(1867,'بيانات الحركات'!$G:$G,0)),"")</f>
        <v/>
      </c>
      <c r="B1868" s="5" t="str">
        <f>IFERROR(INDEX('بيانات الحركات'!B:B,MATCH(1867,'بيانات الحركات'!$G:$G,0)),"")</f>
        <v/>
      </c>
      <c r="C1868" s="3" t="str">
        <f>IFERROR(INDEX('بيانات الحركات'!C:C,MATCH(1867,'بيانات الحركات'!$G:$G,0)),"")</f>
        <v/>
      </c>
      <c r="D1868" s="3" t="str">
        <f>IFERROR(INDEX('بيانات الحركات'!D:D,MATCH(1867,'بيانات الحركات'!$G:$G,0)),"")</f>
        <v/>
      </c>
      <c r="E1868" s="21" t="str">
        <f>IF($B1868="إنتاج طبخة","",IFERROR(INDEX('بيانات الحركات'!E:E,MATCH(1867,'بيانات الحركات'!$G:$G,0)),""))</f>
        <v/>
      </c>
      <c r="F1868" s="3" t="str">
        <f>IFERROR(INDEX('بيانات الحركات'!F:F,MATCH(1867,'بيانات الحركات'!$G:$G,0)),"")</f>
        <v/>
      </c>
    </row>
    <row r="1869" spans="1:6" ht="21.95" customHeight="1">
      <c r="A1869" s="8" t="str">
        <f>IFERROR(INDEX('بيانات الحركات'!A:A,MATCH(1868,'بيانات الحركات'!$G:$G,0)),"")</f>
        <v/>
      </c>
      <c r="B1869" s="5" t="str">
        <f>IFERROR(INDEX('بيانات الحركات'!B:B,MATCH(1868,'بيانات الحركات'!$G:$G,0)),"")</f>
        <v/>
      </c>
      <c r="C1869" s="3" t="str">
        <f>IFERROR(INDEX('بيانات الحركات'!C:C,MATCH(1868,'بيانات الحركات'!$G:$G,0)),"")</f>
        <v/>
      </c>
      <c r="D1869" s="3" t="str">
        <f>IFERROR(INDEX('بيانات الحركات'!D:D,MATCH(1868,'بيانات الحركات'!$G:$G,0)),"")</f>
        <v/>
      </c>
      <c r="E1869" s="21" t="str">
        <f>IF($B1869="إنتاج طبخة","",IFERROR(INDEX('بيانات الحركات'!E:E,MATCH(1868,'بيانات الحركات'!$G:$G,0)),""))</f>
        <v/>
      </c>
      <c r="F1869" s="3" t="str">
        <f>IFERROR(INDEX('بيانات الحركات'!F:F,MATCH(1868,'بيانات الحركات'!$G:$G,0)),"")</f>
        <v/>
      </c>
    </row>
    <row r="1870" spans="1:6" ht="21.95" customHeight="1">
      <c r="A1870" s="8" t="str">
        <f>IFERROR(INDEX('بيانات الحركات'!A:A,MATCH(1869,'بيانات الحركات'!$G:$G,0)),"")</f>
        <v/>
      </c>
      <c r="B1870" s="5" t="str">
        <f>IFERROR(INDEX('بيانات الحركات'!B:B,MATCH(1869,'بيانات الحركات'!$G:$G,0)),"")</f>
        <v/>
      </c>
      <c r="C1870" s="3" t="str">
        <f>IFERROR(INDEX('بيانات الحركات'!C:C,MATCH(1869,'بيانات الحركات'!$G:$G,0)),"")</f>
        <v/>
      </c>
      <c r="D1870" s="3" t="str">
        <f>IFERROR(INDEX('بيانات الحركات'!D:D,MATCH(1869,'بيانات الحركات'!$G:$G,0)),"")</f>
        <v/>
      </c>
      <c r="E1870" s="21" t="str">
        <f>IF($B1870="إنتاج طبخة","",IFERROR(INDEX('بيانات الحركات'!E:E,MATCH(1869,'بيانات الحركات'!$G:$G,0)),""))</f>
        <v/>
      </c>
      <c r="F1870" s="3" t="str">
        <f>IFERROR(INDEX('بيانات الحركات'!F:F,MATCH(1869,'بيانات الحركات'!$G:$G,0)),"")</f>
        <v/>
      </c>
    </row>
    <row r="1871" spans="1:6" ht="21.95" customHeight="1">
      <c r="A1871" s="8" t="str">
        <f>IFERROR(INDEX('بيانات الحركات'!A:A,MATCH(1870,'بيانات الحركات'!$G:$G,0)),"")</f>
        <v/>
      </c>
      <c r="B1871" s="5" t="str">
        <f>IFERROR(INDEX('بيانات الحركات'!B:B,MATCH(1870,'بيانات الحركات'!$G:$G,0)),"")</f>
        <v/>
      </c>
      <c r="C1871" s="3" t="str">
        <f>IFERROR(INDEX('بيانات الحركات'!C:C,MATCH(1870,'بيانات الحركات'!$G:$G,0)),"")</f>
        <v/>
      </c>
      <c r="D1871" s="3" t="str">
        <f>IFERROR(INDEX('بيانات الحركات'!D:D,MATCH(1870,'بيانات الحركات'!$G:$G,0)),"")</f>
        <v/>
      </c>
      <c r="E1871" s="21" t="str">
        <f>IF($B1871="إنتاج طبخة","",IFERROR(INDEX('بيانات الحركات'!E:E,MATCH(1870,'بيانات الحركات'!$G:$G,0)),""))</f>
        <v/>
      </c>
      <c r="F1871" s="3" t="str">
        <f>IFERROR(INDEX('بيانات الحركات'!F:F,MATCH(1870,'بيانات الحركات'!$G:$G,0)),"")</f>
        <v/>
      </c>
    </row>
    <row r="1872" spans="1:6" ht="21.95" customHeight="1">
      <c r="A1872" s="8" t="str">
        <f>IFERROR(INDEX('بيانات الحركات'!A:A,MATCH(1871,'بيانات الحركات'!$G:$G,0)),"")</f>
        <v/>
      </c>
      <c r="B1872" s="5" t="str">
        <f>IFERROR(INDEX('بيانات الحركات'!B:B,MATCH(1871,'بيانات الحركات'!$G:$G,0)),"")</f>
        <v/>
      </c>
      <c r="C1872" s="3" t="str">
        <f>IFERROR(INDEX('بيانات الحركات'!C:C,MATCH(1871,'بيانات الحركات'!$G:$G,0)),"")</f>
        <v/>
      </c>
      <c r="D1872" s="3" t="str">
        <f>IFERROR(INDEX('بيانات الحركات'!D:D,MATCH(1871,'بيانات الحركات'!$G:$G,0)),"")</f>
        <v/>
      </c>
      <c r="E1872" s="21" t="str">
        <f>IF($B1872="إنتاج طبخة","",IFERROR(INDEX('بيانات الحركات'!E:E,MATCH(1871,'بيانات الحركات'!$G:$G,0)),""))</f>
        <v/>
      </c>
      <c r="F1872" s="3" t="str">
        <f>IFERROR(INDEX('بيانات الحركات'!F:F,MATCH(1871,'بيانات الحركات'!$G:$G,0)),"")</f>
        <v/>
      </c>
    </row>
    <row r="1873" spans="1:6" ht="21.95" customHeight="1">
      <c r="A1873" s="8" t="str">
        <f>IFERROR(INDEX('بيانات الحركات'!A:A,MATCH(1872,'بيانات الحركات'!$G:$G,0)),"")</f>
        <v/>
      </c>
      <c r="B1873" s="5" t="str">
        <f>IFERROR(INDEX('بيانات الحركات'!B:B,MATCH(1872,'بيانات الحركات'!$G:$G,0)),"")</f>
        <v/>
      </c>
      <c r="C1873" s="3" t="str">
        <f>IFERROR(INDEX('بيانات الحركات'!C:C,MATCH(1872,'بيانات الحركات'!$G:$G,0)),"")</f>
        <v/>
      </c>
      <c r="D1873" s="3" t="str">
        <f>IFERROR(INDEX('بيانات الحركات'!D:D,MATCH(1872,'بيانات الحركات'!$G:$G,0)),"")</f>
        <v/>
      </c>
      <c r="E1873" s="21" t="str">
        <f>IF($B1873="إنتاج طبخة","",IFERROR(INDEX('بيانات الحركات'!E:E,MATCH(1872,'بيانات الحركات'!$G:$G,0)),""))</f>
        <v/>
      </c>
      <c r="F1873" s="3" t="str">
        <f>IFERROR(INDEX('بيانات الحركات'!F:F,MATCH(1872,'بيانات الحركات'!$G:$G,0)),"")</f>
        <v/>
      </c>
    </row>
    <row r="1874" spans="1:6" ht="21.95" customHeight="1">
      <c r="A1874" s="8" t="str">
        <f>IFERROR(INDEX('بيانات الحركات'!A:A,MATCH(1873,'بيانات الحركات'!$G:$G,0)),"")</f>
        <v/>
      </c>
      <c r="B1874" s="5" t="str">
        <f>IFERROR(INDEX('بيانات الحركات'!B:B,MATCH(1873,'بيانات الحركات'!$G:$G,0)),"")</f>
        <v/>
      </c>
      <c r="C1874" s="3" t="str">
        <f>IFERROR(INDEX('بيانات الحركات'!C:C,MATCH(1873,'بيانات الحركات'!$G:$G,0)),"")</f>
        <v/>
      </c>
      <c r="D1874" s="3" t="str">
        <f>IFERROR(INDEX('بيانات الحركات'!D:D,MATCH(1873,'بيانات الحركات'!$G:$G,0)),"")</f>
        <v/>
      </c>
      <c r="E1874" s="21" t="str">
        <f>IF($B1874="إنتاج طبخة","",IFERROR(INDEX('بيانات الحركات'!E:E,MATCH(1873,'بيانات الحركات'!$G:$G,0)),""))</f>
        <v/>
      </c>
      <c r="F1874" s="3" t="str">
        <f>IFERROR(INDEX('بيانات الحركات'!F:F,MATCH(1873,'بيانات الحركات'!$G:$G,0)),"")</f>
        <v/>
      </c>
    </row>
    <row r="1875" spans="1:6" ht="21.95" customHeight="1">
      <c r="A1875" s="8" t="str">
        <f>IFERROR(INDEX('بيانات الحركات'!A:A,MATCH(1874,'بيانات الحركات'!$G:$G,0)),"")</f>
        <v/>
      </c>
      <c r="B1875" s="5" t="str">
        <f>IFERROR(INDEX('بيانات الحركات'!B:B,MATCH(1874,'بيانات الحركات'!$G:$G,0)),"")</f>
        <v/>
      </c>
      <c r="C1875" s="3" t="str">
        <f>IFERROR(INDEX('بيانات الحركات'!C:C,MATCH(1874,'بيانات الحركات'!$G:$G,0)),"")</f>
        <v/>
      </c>
      <c r="D1875" s="3" t="str">
        <f>IFERROR(INDEX('بيانات الحركات'!D:D,MATCH(1874,'بيانات الحركات'!$G:$G,0)),"")</f>
        <v/>
      </c>
      <c r="E1875" s="21" t="str">
        <f>IF($B1875="إنتاج طبخة","",IFERROR(INDEX('بيانات الحركات'!E:E,MATCH(1874,'بيانات الحركات'!$G:$G,0)),""))</f>
        <v/>
      </c>
      <c r="F1875" s="3" t="str">
        <f>IFERROR(INDEX('بيانات الحركات'!F:F,MATCH(1874,'بيانات الحركات'!$G:$G,0)),"")</f>
        <v/>
      </c>
    </row>
    <row r="1876" spans="1:6" ht="21.95" customHeight="1">
      <c r="A1876" s="8" t="str">
        <f>IFERROR(INDEX('بيانات الحركات'!A:A,MATCH(1875,'بيانات الحركات'!$G:$G,0)),"")</f>
        <v/>
      </c>
      <c r="B1876" s="5" t="str">
        <f>IFERROR(INDEX('بيانات الحركات'!B:B,MATCH(1875,'بيانات الحركات'!$G:$G,0)),"")</f>
        <v/>
      </c>
      <c r="C1876" s="3" t="str">
        <f>IFERROR(INDEX('بيانات الحركات'!C:C,MATCH(1875,'بيانات الحركات'!$G:$G,0)),"")</f>
        <v/>
      </c>
      <c r="D1876" s="3" t="str">
        <f>IFERROR(INDEX('بيانات الحركات'!D:D,MATCH(1875,'بيانات الحركات'!$G:$G,0)),"")</f>
        <v/>
      </c>
      <c r="E1876" s="21" t="str">
        <f>IF($B1876="إنتاج طبخة","",IFERROR(INDEX('بيانات الحركات'!E:E,MATCH(1875,'بيانات الحركات'!$G:$G,0)),""))</f>
        <v/>
      </c>
      <c r="F1876" s="3" t="str">
        <f>IFERROR(INDEX('بيانات الحركات'!F:F,MATCH(1875,'بيانات الحركات'!$G:$G,0)),"")</f>
        <v/>
      </c>
    </row>
    <row r="1877" spans="1:6" ht="21.95" customHeight="1">
      <c r="A1877" s="8" t="str">
        <f>IFERROR(INDEX('بيانات الحركات'!A:A,MATCH(1876,'بيانات الحركات'!$G:$G,0)),"")</f>
        <v/>
      </c>
      <c r="B1877" s="5" t="str">
        <f>IFERROR(INDEX('بيانات الحركات'!B:B,MATCH(1876,'بيانات الحركات'!$G:$G,0)),"")</f>
        <v/>
      </c>
      <c r="C1877" s="3" t="str">
        <f>IFERROR(INDEX('بيانات الحركات'!C:C,MATCH(1876,'بيانات الحركات'!$G:$G,0)),"")</f>
        <v/>
      </c>
      <c r="D1877" s="3" t="str">
        <f>IFERROR(INDEX('بيانات الحركات'!D:D,MATCH(1876,'بيانات الحركات'!$G:$G,0)),"")</f>
        <v/>
      </c>
      <c r="E1877" s="21" t="str">
        <f>IF($B1877="إنتاج طبخة","",IFERROR(INDEX('بيانات الحركات'!E:E,MATCH(1876,'بيانات الحركات'!$G:$G,0)),""))</f>
        <v/>
      </c>
      <c r="F1877" s="3" t="str">
        <f>IFERROR(INDEX('بيانات الحركات'!F:F,MATCH(1876,'بيانات الحركات'!$G:$G,0)),"")</f>
        <v/>
      </c>
    </row>
    <row r="1878" spans="1:6" ht="21.95" customHeight="1">
      <c r="A1878" s="8" t="str">
        <f>IFERROR(INDEX('بيانات الحركات'!A:A,MATCH(1877,'بيانات الحركات'!$G:$G,0)),"")</f>
        <v/>
      </c>
      <c r="B1878" s="5" t="str">
        <f>IFERROR(INDEX('بيانات الحركات'!B:B,MATCH(1877,'بيانات الحركات'!$G:$G,0)),"")</f>
        <v/>
      </c>
      <c r="C1878" s="3" t="str">
        <f>IFERROR(INDEX('بيانات الحركات'!C:C,MATCH(1877,'بيانات الحركات'!$G:$G,0)),"")</f>
        <v/>
      </c>
      <c r="D1878" s="3" t="str">
        <f>IFERROR(INDEX('بيانات الحركات'!D:D,MATCH(1877,'بيانات الحركات'!$G:$G,0)),"")</f>
        <v/>
      </c>
      <c r="E1878" s="21" t="str">
        <f>IF($B1878="إنتاج طبخة","",IFERROR(INDEX('بيانات الحركات'!E:E,MATCH(1877,'بيانات الحركات'!$G:$G,0)),""))</f>
        <v/>
      </c>
      <c r="F1878" s="3" t="str">
        <f>IFERROR(INDEX('بيانات الحركات'!F:F,MATCH(1877,'بيانات الحركات'!$G:$G,0)),"")</f>
        <v/>
      </c>
    </row>
    <row r="1879" spans="1:6" ht="21.95" customHeight="1">
      <c r="A1879" s="8" t="str">
        <f>IFERROR(INDEX('بيانات الحركات'!A:A,MATCH(1878,'بيانات الحركات'!$G:$G,0)),"")</f>
        <v/>
      </c>
      <c r="B1879" s="5" t="str">
        <f>IFERROR(INDEX('بيانات الحركات'!B:B,MATCH(1878,'بيانات الحركات'!$G:$G,0)),"")</f>
        <v/>
      </c>
      <c r="C1879" s="3" t="str">
        <f>IFERROR(INDEX('بيانات الحركات'!C:C,MATCH(1878,'بيانات الحركات'!$G:$G,0)),"")</f>
        <v/>
      </c>
      <c r="D1879" s="3" t="str">
        <f>IFERROR(INDEX('بيانات الحركات'!D:D,MATCH(1878,'بيانات الحركات'!$G:$G,0)),"")</f>
        <v/>
      </c>
      <c r="E1879" s="21" t="str">
        <f>IF($B1879="إنتاج طبخة","",IFERROR(INDEX('بيانات الحركات'!E:E,MATCH(1878,'بيانات الحركات'!$G:$G,0)),""))</f>
        <v/>
      </c>
      <c r="F1879" s="3" t="str">
        <f>IFERROR(INDEX('بيانات الحركات'!F:F,MATCH(1878,'بيانات الحركات'!$G:$G,0)),"")</f>
        <v/>
      </c>
    </row>
    <row r="1880" spans="1:6" ht="21.95" customHeight="1">
      <c r="A1880" s="8" t="str">
        <f>IFERROR(INDEX('بيانات الحركات'!A:A,MATCH(1879,'بيانات الحركات'!$G:$G,0)),"")</f>
        <v/>
      </c>
      <c r="B1880" s="5" t="str">
        <f>IFERROR(INDEX('بيانات الحركات'!B:B,MATCH(1879,'بيانات الحركات'!$G:$G,0)),"")</f>
        <v/>
      </c>
      <c r="C1880" s="3" t="str">
        <f>IFERROR(INDEX('بيانات الحركات'!C:C,MATCH(1879,'بيانات الحركات'!$G:$G,0)),"")</f>
        <v/>
      </c>
      <c r="D1880" s="3" t="str">
        <f>IFERROR(INDEX('بيانات الحركات'!D:D,MATCH(1879,'بيانات الحركات'!$G:$G,0)),"")</f>
        <v/>
      </c>
      <c r="E1880" s="21" t="str">
        <f>IF($B1880="إنتاج طبخة","",IFERROR(INDEX('بيانات الحركات'!E:E,MATCH(1879,'بيانات الحركات'!$G:$G,0)),""))</f>
        <v/>
      </c>
      <c r="F1880" s="3" t="str">
        <f>IFERROR(INDEX('بيانات الحركات'!F:F,MATCH(1879,'بيانات الحركات'!$G:$G,0)),"")</f>
        <v/>
      </c>
    </row>
    <row r="1881" spans="1:6" ht="21.95" customHeight="1">
      <c r="A1881" s="8" t="str">
        <f>IFERROR(INDEX('بيانات الحركات'!A:A,MATCH(1880,'بيانات الحركات'!$G:$G,0)),"")</f>
        <v/>
      </c>
      <c r="B1881" s="5" t="str">
        <f>IFERROR(INDEX('بيانات الحركات'!B:B,MATCH(1880,'بيانات الحركات'!$G:$G,0)),"")</f>
        <v/>
      </c>
      <c r="C1881" s="3" t="str">
        <f>IFERROR(INDEX('بيانات الحركات'!C:C,MATCH(1880,'بيانات الحركات'!$G:$G,0)),"")</f>
        <v/>
      </c>
      <c r="D1881" s="3" t="str">
        <f>IFERROR(INDEX('بيانات الحركات'!D:D,MATCH(1880,'بيانات الحركات'!$G:$G,0)),"")</f>
        <v/>
      </c>
      <c r="E1881" s="21" t="str">
        <f>IF($B1881="إنتاج طبخة","",IFERROR(INDEX('بيانات الحركات'!E:E,MATCH(1880,'بيانات الحركات'!$G:$G,0)),""))</f>
        <v/>
      </c>
      <c r="F1881" s="3" t="str">
        <f>IFERROR(INDEX('بيانات الحركات'!F:F,MATCH(1880,'بيانات الحركات'!$G:$G,0)),"")</f>
        <v/>
      </c>
    </row>
    <row r="1882" spans="1:6" ht="21.95" customHeight="1">
      <c r="A1882" s="8" t="str">
        <f>IFERROR(INDEX('بيانات الحركات'!A:A,MATCH(1881,'بيانات الحركات'!$G:$G,0)),"")</f>
        <v/>
      </c>
      <c r="B1882" s="5" t="str">
        <f>IFERROR(INDEX('بيانات الحركات'!B:B,MATCH(1881,'بيانات الحركات'!$G:$G,0)),"")</f>
        <v/>
      </c>
      <c r="C1882" s="3" t="str">
        <f>IFERROR(INDEX('بيانات الحركات'!C:C,MATCH(1881,'بيانات الحركات'!$G:$G,0)),"")</f>
        <v/>
      </c>
      <c r="D1882" s="3" t="str">
        <f>IFERROR(INDEX('بيانات الحركات'!D:D,MATCH(1881,'بيانات الحركات'!$G:$G,0)),"")</f>
        <v/>
      </c>
      <c r="E1882" s="21" t="str">
        <f>IF($B1882="إنتاج طبخة","",IFERROR(INDEX('بيانات الحركات'!E:E,MATCH(1881,'بيانات الحركات'!$G:$G,0)),""))</f>
        <v/>
      </c>
      <c r="F1882" s="3" t="str">
        <f>IFERROR(INDEX('بيانات الحركات'!F:F,MATCH(1881,'بيانات الحركات'!$G:$G,0)),"")</f>
        <v/>
      </c>
    </row>
    <row r="1883" spans="1:6" ht="21.95" customHeight="1">
      <c r="A1883" s="8" t="str">
        <f>IFERROR(INDEX('بيانات الحركات'!A:A,MATCH(1882,'بيانات الحركات'!$G:$G,0)),"")</f>
        <v/>
      </c>
      <c r="B1883" s="5" t="str">
        <f>IFERROR(INDEX('بيانات الحركات'!B:B,MATCH(1882,'بيانات الحركات'!$G:$G,0)),"")</f>
        <v/>
      </c>
      <c r="C1883" s="3" t="str">
        <f>IFERROR(INDEX('بيانات الحركات'!C:C,MATCH(1882,'بيانات الحركات'!$G:$G,0)),"")</f>
        <v/>
      </c>
      <c r="D1883" s="3" t="str">
        <f>IFERROR(INDEX('بيانات الحركات'!D:D,MATCH(1882,'بيانات الحركات'!$G:$G,0)),"")</f>
        <v/>
      </c>
      <c r="E1883" s="21" t="str">
        <f>IF($B1883="إنتاج طبخة","",IFERROR(INDEX('بيانات الحركات'!E:E,MATCH(1882,'بيانات الحركات'!$G:$G,0)),""))</f>
        <v/>
      </c>
      <c r="F1883" s="3" t="str">
        <f>IFERROR(INDEX('بيانات الحركات'!F:F,MATCH(1882,'بيانات الحركات'!$G:$G,0)),"")</f>
        <v/>
      </c>
    </row>
    <row r="1884" spans="1:6" ht="21.95" customHeight="1">
      <c r="A1884" s="8" t="str">
        <f>IFERROR(INDEX('بيانات الحركات'!A:A,MATCH(1883,'بيانات الحركات'!$G:$G,0)),"")</f>
        <v/>
      </c>
      <c r="B1884" s="5" t="str">
        <f>IFERROR(INDEX('بيانات الحركات'!B:B,MATCH(1883,'بيانات الحركات'!$G:$G,0)),"")</f>
        <v/>
      </c>
      <c r="C1884" s="3" t="str">
        <f>IFERROR(INDEX('بيانات الحركات'!C:C,MATCH(1883,'بيانات الحركات'!$G:$G,0)),"")</f>
        <v/>
      </c>
      <c r="D1884" s="3" t="str">
        <f>IFERROR(INDEX('بيانات الحركات'!D:D,MATCH(1883,'بيانات الحركات'!$G:$G,0)),"")</f>
        <v/>
      </c>
      <c r="E1884" s="21" t="str">
        <f>IF($B1884="إنتاج طبخة","",IFERROR(INDEX('بيانات الحركات'!E:E,MATCH(1883,'بيانات الحركات'!$G:$G,0)),""))</f>
        <v/>
      </c>
      <c r="F1884" s="3" t="str">
        <f>IFERROR(INDEX('بيانات الحركات'!F:F,MATCH(1883,'بيانات الحركات'!$G:$G,0)),"")</f>
        <v/>
      </c>
    </row>
    <row r="1885" spans="1:6" ht="21.95" customHeight="1">
      <c r="A1885" s="8" t="str">
        <f>IFERROR(INDEX('بيانات الحركات'!A:A,MATCH(1884,'بيانات الحركات'!$G:$G,0)),"")</f>
        <v/>
      </c>
      <c r="B1885" s="5" t="str">
        <f>IFERROR(INDEX('بيانات الحركات'!B:B,MATCH(1884,'بيانات الحركات'!$G:$G,0)),"")</f>
        <v/>
      </c>
      <c r="C1885" s="3" t="str">
        <f>IFERROR(INDEX('بيانات الحركات'!C:C,MATCH(1884,'بيانات الحركات'!$G:$G,0)),"")</f>
        <v/>
      </c>
      <c r="D1885" s="3" t="str">
        <f>IFERROR(INDEX('بيانات الحركات'!D:D,MATCH(1884,'بيانات الحركات'!$G:$G,0)),"")</f>
        <v/>
      </c>
      <c r="E1885" s="21" t="str">
        <f>IF($B1885="إنتاج طبخة","",IFERROR(INDEX('بيانات الحركات'!E:E,MATCH(1884,'بيانات الحركات'!$G:$G,0)),""))</f>
        <v/>
      </c>
      <c r="F1885" s="3" t="str">
        <f>IFERROR(INDEX('بيانات الحركات'!F:F,MATCH(1884,'بيانات الحركات'!$G:$G,0)),"")</f>
        <v/>
      </c>
    </row>
    <row r="1886" spans="1:6" ht="21.95" customHeight="1">
      <c r="A1886" s="8" t="str">
        <f>IFERROR(INDEX('بيانات الحركات'!A:A,MATCH(1885,'بيانات الحركات'!$G:$G,0)),"")</f>
        <v/>
      </c>
      <c r="B1886" s="5" t="str">
        <f>IFERROR(INDEX('بيانات الحركات'!B:B,MATCH(1885,'بيانات الحركات'!$G:$G,0)),"")</f>
        <v/>
      </c>
      <c r="C1886" s="3" t="str">
        <f>IFERROR(INDEX('بيانات الحركات'!C:C,MATCH(1885,'بيانات الحركات'!$G:$G,0)),"")</f>
        <v/>
      </c>
      <c r="D1886" s="3" t="str">
        <f>IFERROR(INDEX('بيانات الحركات'!D:D,MATCH(1885,'بيانات الحركات'!$G:$G,0)),"")</f>
        <v/>
      </c>
      <c r="E1886" s="21" t="str">
        <f>IF($B1886="إنتاج طبخة","",IFERROR(INDEX('بيانات الحركات'!E:E,MATCH(1885,'بيانات الحركات'!$G:$G,0)),""))</f>
        <v/>
      </c>
      <c r="F1886" s="3" t="str">
        <f>IFERROR(INDEX('بيانات الحركات'!F:F,MATCH(1885,'بيانات الحركات'!$G:$G,0)),"")</f>
        <v/>
      </c>
    </row>
    <row r="1887" spans="1:6" ht="21.95" customHeight="1">
      <c r="A1887" s="8" t="str">
        <f>IFERROR(INDEX('بيانات الحركات'!A:A,MATCH(1886,'بيانات الحركات'!$G:$G,0)),"")</f>
        <v/>
      </c>
      <c r="B1887" s="5" t="str">
        <f>IFERROR(INDEX('بيانات الحركات'!B:B,MATCH(1886,'بيانات الحركات'!$G:$G,0)),"")</f>
        <v/>
      </c>
      <c r="C1887" s="3" t="str">
        <f>IFERROR(INDEX('بيانات الحركات'!C:C,MATCH(1886,'بيانات الحركات'!$G:$G,0)),"")</f>
        <v/>
      </c>
      <c r="D1887" s="3" t="str">
        <f>IFERROR(INDEX('بيانات الحركات'!D:D,MATCH(1886,'بيانات الحركات'!$G:$G,0)),"")</f>
        <v/>
      </c>
      <c r="E1887" s="21" t="str">
        <f>IF($B1887="إنتاج طبخة","",IFERROR(INDEX('بيانات الحركات'!E:E,MATCH(1886,'بيانات الحركات'!$G:$G,0)),""))</f>
        <v/>
      </c>
      <c r="F1887" s="3" t="str">
        <f>IFERROR(INDEX('بيانات الحركات'!F:F,MATCH(1886,'بيانات الحركات'!$G:$G,0)),"")</f>
        <v/>
      </c>
    </row>
    <row r="1888" spans="1:6" ht="21.95" customHeight="1">
      <c r="A1888" s="8" t="str">
        <f>IFERROR(INDEX('بيانات الحركات'!A:A,MATCH(1887,'بيانات الحركات'!$G:$G,0)),"")</f>
        <v/>
      </c>
      <c r="B1888" s="5" t="str">
        <f>IFERROR(INDEX('بيانات الحركات'!B:B,MATCH(1887,'بيانات الحركات'!$G:$G,0)),"")</f>
        <v/>
      </c>
      <c r="C1888" s="3" t="str">
        <f>IFERROR(INDEX('بيانات الحركات'!C:C,MATCH(1887,'بيانات الحركات'!$G:$G,0)),"")</f>
        <v/>
      </c>
      <c r="D1888" s="3" t="str">
        <f>IFERROR(INDEX('بيانات الحركات'!D:D,MATCH(1887,'بيانات الحركات'!$G:$G,0)),"")</f>
        <v/>
      </c>
      <c r="E1888" s="21" t="str">
        <f>IF($B1888="إنتاج طبخة","",IFERROR(INDEX('بيانات الحركات'!E:E,MATCH(1887,'بيانات الحركات'!$G:$G,0)),""))</f>
        <v/>
      </c>
      <c r="F1888" s="3" t="str">
        <f>IFERROR(INDEX('بيانات الحركات'!F:F,MATCH(1887,'بيانات الحركات'!$G:$G,0)),"")</f>
        <v/>
      </c>
    </row>
    <row r="1889" spans="1:6" ht="21.95" customHeight="1">
      <c r="A1889" s="8" t="str">
        <f>IFERROR(INDEX('بيانات الحركات'!A:A,MATCH(1888,'بيانات الحركات'!$G:$G,0)),"")</f>
        <v/>
      </c>
      <c r="B1889" s="5" t="str">
        <f>IFERROR(INDEX('بيانات الحركات'!B:B,MATCH(1888,'بيانات الحركات'!$G:$G,0)),"")</f>
        <v/>
      </c>
      <c r="C1889" s="3" t="str">
        <f>IFERROR(INDEX('بيانات الحركات'!C:C,MATCH(1888,'بيانات الحركات'!$G:$G,0)),"")</f>
        <v/>
      </c>
      <c r="D1889" s="3" t="str">
        <f>IFERROR(INDEX('بيانات الحركات'!D:D,MATCH(1888,'بيانات الحركات'!$G:$G,0)),"")</f>
        <v/>
      </c>
      <c r="E1889" s="21" t="str">
        <f>IF($B1889="إنتاج طبخة","",IFERROR(INDEX('بيانات الحركات'!E:E,MATCH(1888,'بيانات الحركات'!$G:$G,0)),""))</f>
        <v/>
      </c>
      <c r="F1889" s="3" t="str">
        <f>IFERROR(INDEX('بيانات الحركات'!F:F,MATCH(1888,'بيانات الحركات'!$G:$G,0)),"")</f>
        <v/>
      </c>
    </row>
    <row r="1890" spans="1:6" ht="21.95" customHeight="1">
      <c r="A1890" s="8" t="str">
        <f>IFERROR(INDEX('بيانات الحركات'!A:A,MATCH(1889,'بيانات الحركات'!$G:$G,0)),"")</f>
        <v/>
      </c>
      <c r="B1890" s="5" t="str">
        <f>IFERROR(INDEX('بيانات الحركات'!B:B,MATCH(1889,'بيانات الحركات'!$G:$G,0)),"")</f>
        <v/>
      </c>
      <c r="C1890" s="3" t="str">
        <f>IFERROR(INDEX('بيانات الحركات'!C:C,MATCH(1889,'بيانات الحركات'!$G:$G,0)),"")</f>
        <v/>
      </c>
      <c r="D1890" s="3" t="str">
        <f>IFERROR(INDEX('بيانات الحركات'!D:D,MATCH(1889,'بيانات الحركات'!$G:$G,0)),"")</f>
        <v/>
      </c>
      <c r="E1890" s="21" t="str">
        <f>IF($B1890="إنتاج طبخة","",IFERROR(INDEX('بيانات الحركات'!E:E,MATCH(1889,'بيانات الحركات'!$G:$G,0)),""))</f>
        <v/>
      </c>
      <c r="F1890" s="3" t="str">
        <f>IFERROR(INDEX('بيانات الحركات'!F:F,MATCH(1889,'بيانات الحركات'!$G:$G,0)),"")</f>
        <v/>
      </c>
    </row>
    <row r="1891" spans="1:6" ht="21.95" customHeight="1">
      <c r="A1891" s="8" t="str">
        <f>IFERROR(INDEX('بيانات الحركات'!A:A,MATCH(1890,'بيانات الحركات'!$G:$G,0)),"")</f>
        <v/>
      </c>
      <c r="B1891" s="5" t="str">
        <f>IFERROR(INDEX('بيانات الحركات'!B:B,MATCH(1890,'بيانات الحركات'!$G:$G,0)),"")</f>
        <v/>
      </c>
      <c r="C1891" s="3" t="str">
        <f>IFERROR(INDEX('بيانات الحركات'!C:C,MATCH(1890,'بيانات الحركات'!$G:$G,0)),"")</f>
        <v/>
      </c>
      <c r="D1891" s="3" t="str">
        <f>IFERROR(INDEX('بيانات الحركات'!D:D,MATCH(1890,'بيانات الحركات'!$G:$G,0)),"")</f>
        <v/>
      </c>
      <c r="E1891" s="21" t="str">
        <f>IF($B1891="إنتاج طبخة","",IFERROR(INDEX('بيانات الحركات'!E:E,MATCH(1890,'بيانات الحركات'!$G:$G,0)),""))</f>
        <v/>
      </c>
      <c r="F1891" s="3" t="str">
        <f>IFERROR(INDEX('بيانات الحركات'!F:F,MATCH(1890,'بيانات الحركات'!$G:$G,0)),"")</f>
        <v/>
      </c>
    </row>
    <row r="1892" spans="1:6" ht="21.95" customHeight="1">
      <c r="A1892" s="8" t="str">
        <f>IFERROR(INDEX('بيانات الحركات'!A:A,MATCH(1891,'بيانات الحركات'!$G:$G,0)),"")</f>
        <v/>
      </c>
      <c r="B1892" s="5" t="str">
        <f>IFERROR(INDEX('بيانات الحركات'!B:B,MATCH(1891,'بيانات الحركات'!$G:$G,0)),"")</f>
        <v/>
      </c>
      <c r="C1892" s="3" t="str">
        <f>IFERROR(INDEX('بيانات الحركات'!C:C,MATCH(1891,'بيانات الحركات'!$G:$G,0)),"")</f>
        <v/>
      </c>
      <c r="D1892" s="3" t="str">
        <f>IFERROR(INDEX('بيانات الحركات'!D:D,MATCH(1891,'بيانات الحركات'!$G:$G,0)),"")</f>
        <v/>
      </c>
      <c r="E1892" s="21" t="str">
        <f>IF($B1892="إنتاج طبخة","",IFERROR(INDEX('بيانات الحركات'!E:E,MATCH(1891,'بيانات الحركات'!$G:$G,0)),""))</f>
        <v/>
      </c>
      <c r="F1892" s="3" t="str">
        <f>IFERROR(INDEX('بيانات الحركات'!F:F,MATCH(1891,'بيانات الحركات'!$G:$G,0)),"")</f>
        <v/>
      </c>
    </row>
    <row r="1893" spans="1:6" ht="21.95" customHeight="1">
      <c r="A1893" s="8" t="str">
        <f>IFERROR(INDEX('بيانات الحركات'!A:A,MATCH(1892,'بيانات الحركات'!$G:$G,0)),"")</f>
        <v/>
      </c>
      <c r="B1893" s="5" t="str">
        <f>IFERROR(INDEX('بيانات الحركات'!B:B,MATCH(1892,'بيانات الحركات'!$G:$G,0)),"")</f>
        <v/>
      </c>
      <c r="C1893" s="3" t="str">
        <f>IFERROR(INDEX('بيانات الحركات'!C:C,MATCH(1892,'بيانات الحركات'!$G:$G,0)),"")</f>
        <v/>
      </c>
      <c r="D1893" s="3" t="str">
        <f>IFERROR(INDEX('بيانات الحركات'!D:D,MATCH(1892,'بيانات الحركات'!$G:$G,0)),"")</f>
        <v/>
      </c>
      <c r="E1893" s="21" t="str">
        <f>IF($B1893="إنتاج طبخة","",IFERROR(INDEX('بيانات الحركات'!E:E,MATCH(1892,'بيانات الحركات'!$G:$G,0)),""))</f>
        <v/>
      </c>
      <c r="F1893" s="3" t="str">
        <f>IFERROR(INDEX('بيانات الحركات'!F:F,MATCH(1892,'بيانات الحركات'!$G:$G,0)),"")</f>
        <v/>
      </c>
    </row>
    <row r="1894" spans="1:6" ht="21.95" customHeight="1">
      <c r="A1894" s="8" t="str">
        <f>IFERROR(INDEX('بيانات الحركات'!A:A,MATCH(1893,'بيانات الحركات'!$G:$G,0)),"")</f>
        <v/>
      </c>
      <c r="B1894" s="5" t="str">
        <f>IFERROR(INDEX('بيانات الحركات'!B:B,MATCH(1893,'بيانات الحركات'!$G:$G,0)),"")</f>
        <v/>
      </c>
      <c r="C1894" s="3" t="str">
        <f>IFERROR(INDEX('بيانات الحركات'!C:C,MATCH(1893,'بيانات الحركات'!$G:$G,0)),"")</f>
        <v/>
      </c>
      <c r="D1894" s="3" t="str">
        <f>IFERROR(INDEX('بيانات الحركات'!D:D,MATCH(1893,'بيانات الحركات'!$G:$G,0)),"")</f>
        <v/>
      </c>
      <c r="E1894" s="21" t="str">
        <f>IF($B1894="إنتاج طبخة","",IFERROR(INDEX('بيانات الحركات'!E:E,MATCH(1893,'بيانات الحركات'!$G:$G,0)),""))</f>
        <v/>
      </c>
      <c r="F1894" s="3" t="str">
        <f>IFERROR(INDEX('بيانات الحركات'!F:F,MATCH(1893,'بيانات الحركات'!$G:$G,0)),"")</f>
        <v/>
      </c>
    </row>
    <row r="1895" spans="1:6" ht="21.95" customHeight="1">
      <c r="A1895" s="8" t="str">
        <f>IFERROR(INDEX('بيانات الحركات'!A:A,MATCH(1894,'بيانات الحركات'!$G:$G,0)),"")</f>
        <v/>
      </c>
      <c r="B1895" s="5" t="str">
        <f>IFERROR(INDEX('بيانات الحركات'!B:B,MATCH(1894,'بيانات الحركات'!$G:$G,0)),"")</f>
        <v/>
      </c>
      <c r="C1895" s="3" t="str">
        <f>IFERROR(INDEX('بيانات الحركات'!C:C,MATCH(1894,'بيانات الحركات'!$G:$G,0)),"")</f>
        <v/>
      </c>
      <c r="D1895" s="3" t="str">
        <f>IFERROR(INDEX('بيانات الحركات'!D:D,MATCH(1894,'بيانات الحركات'!$G:$G,0)),"")</f>
        <v/>
      </c>
      <c r="E1895" s="21" t="str">
        <f>IF($B1895="إنتاج طبخة","",IFERROR(INDEX('بيانات الحركات'!E:E,MATCH(1894,'بيانات الحركات'!$G:$G,0)),""))</f>
        <v/>
      </c>
      <c r="F1895" s="3" t="str">
        <f>IFERROR(INDEX('بيانات الحركات'!F:F,MATCH(1894,'بيانات الحركات'!$G:$G,0)),"")</f>
        <v/>
      </c>
    </row>
    <row r="1896" spans="1:6" ht="21.95" customHeight="1">
      <c r="A1896" s="8" t="str">
        <f>IFERROR(INDEX('بيانات الحركات'!A:A,MATCH(1895,'بيانات الحركات'!$G:$G,0)),"")</f>
        <v/>
      </c>
      <c r="B1896" s="5" t="str">
        <f>IFERROR(INDEX('بيانات الحركات'!B:B,MATCH(1895,'بيانات الحركات'!$G:$G,0)),"")</f>
        <v/>
      </c>
      <c r="C1896" s="3" t="str">
        <f>IFERROR(INDEX('بيانات الحركات'!C:C,MATCH(1895,'بيانات الحركات'!$G:$G,0)),"")</f>
        <v/>
      </c>
      <c r="D1896" s="3" t="str">
        <f>IFERROR(INDEX('بيانات الحركات'!D:D,MATCH(1895,'بيانات الحركات'!$G:$G,0)),"")</f>
        <v/>
      </c>
      <c r="E1896" s="21" t="str">
        <f>IF($B1896="إنتاج طبخة","",IFERROR(INDEX('بيانات الحركات'!E:E,MATCH(1895,'بيانات الحركات'!$G:$G,0)),""))</f>
        <v/>
      </c>
      <c r="F1896" s="3" t="str">
        <f>IFERROR(INDEX('بيانات الحركات'!F:F,MATCH(1895,'بيانات الحركات'!$G:$G,0)),"")</f>
        <v/>
      </c>
    </row>
    <row r="1897" spans="1:6" ht="21.95" customHeight="1">
      <c r="A1897" s="8" t="str">
        <f>IFERROR(INDEX('بيانات الحركات'!A:A,MATCH(1896,'بيانات الحركات'!$G:$G,0)),"")</f>
        <v/>
      </c>
      <c r="B1897" s="5" t="str">
        <f>IFERROR(INDEX('بيانات الحركات'!B:B,MATCH(1896,'بيانات الحركات'!$G:$G,0)),"")</f>
        <v/>
      </c>
      <c r="C1897" s="3" t="str">
        <f>IFERROR(INDEX('بيانات الحركات'!C:C,MATCH(1896,'بيانات الحركات'!$G:$G,0)),"")</f>
        <v/>
      </c>
      <c r="D1897" s="3" t="str">
        <f>IFERROR(INDEX('بيانات الحركات'!D:D,MATCH(1896,'بيانات الحركات'!$G:$G,0)),"")</f>
        <v/>
      </c>
      <c r="E1897" s="21" t="str">
        <f>IF($B1897="إنتاج طبخة","",IFERROR(INDEX('بيانات الحركات'!E:E,MATCH(1896,'بيانات الحركات'!$G:$G,0)),""))</f>
        <v/>
      </c>
      <c r="F1897" s="3" t="str">
        <f>IFERROR(INDEX('بيانات الحركات'!F:F,MATCH(1896,'بيانات الحركات'!$G:$G,0)),"")</f>
        <v/>
      </c>
    </row>
    <row r="1898" spans="1:6" ht="21.95" customHeight="1">
      <c r="A1898" s="8" t="str">
        <f>IFERROR(INDEX('بيانات الحركات'!A:A,MATCH(1897,'بيانات الحركات'!$G:$G,0)),"")</f>
        <v/>
      </c>
      <c r="B1898" s="5" t="str">
        <f>IFERROR(INDEX('بيانات الحركات'!B:B,MATCH(1897,'بيانات الحركات'!$G:$G,0)),"")</f>
        <v/>
      </c>
      <c r="C1898" s="3" t="str">
        <f>IFERROR(INDEX('بيانات الحركات'!C:C,MATCH(1897,'بيانات الحركات'!$G:$G,0)),"")</f>
        <v/>
      </c>
      <c r="D1898" s="3" t="str">
        <f>IFERROR(INDEX('بيانات الحركات'!D:D,MATCH(1897,'بيانات الحركات'!$G:$G,0)),"")</f>
        <v/>
      </c>
      <c r="E1898" s="21" t="str">
        <f>IF($B1898="إنتاج طبخة","",IFERROR(INDEX('بيانات الحركات'!E:E,MATCH(1897,'بيانات الحركات'!$G:$G,0)),""))</f>
        <v/>
      </c>
      <c r="F1898" s="3" t="str">
        <f>IFERROR(INDEX('بيانات الحركات'!F:F,MATCH(1897,'بيانات الحركات'!$G:$G,0)),"")</f>
        <v/>
      </c>
    </row>
    <row r="1899" spans="1:6" ht="21.95" customHeight="1">
      <c r="A1899" s="8" t="str">
        <f>IFERROR(INDEX('بيانات الحركات'!A:A,MATCH(1898,'بيانات الحركات'!$G:$G,0)),"")</f>
        <v/>
      </c>
      <c r="B1899" s="5" t="str">
        <f>IFERROR(INDEX('بيانات الحركات'!B:B,MATCH(1898,'بيانات الحركات'!$G:$G,0)),"")</f>
        <v/>
      </c>
      <c r="C1899" s="3" t="str">
        <f>IFERROR(INDEX('بيانات الحركات'!C:C,MATCH(1898,'بيانات الحركات'!$G:$G,0)),"")</f>
        <v/>
      </c>
      <c r="D1899" s="3" t="str">
        <f>IFERROR(INDEX('بيانات الحركات'!D:D,MATCH(1898,'بيانات الحركات'!$G:$G,0)),"")</f>
        <v/>
      </c>
      <c r="E1899" s="21" t="str">
        <f>IF($B1899="إنتاج طبخة","",IFERROR(INDEX('بيانات الحركات'!E:E,MATCH(1898,'بيانات الحركات'!$G:$G,0)),""))</f>
        <v/>
      </c>
      <c r="F1899" s="3" t="str">
        <f>IFERROR(INDEX('بيانات الحركات'!F:F,MATCH(1898,'بيانات الحركات'!$G:$G,0)),"")</f>
        <v/>
      </c>
    </row>
    <row r="1900" spans="1:6" ht="21.95" customHeight="1">
      <c r="A1900" s="8" t="str">
        <f>IFERROR(INDEX('بيانات الحركات'!A:A,MATCH(1899,'بيانات الحركات'!$G:$G,0)),"")</f>
        <v/>
      </c>
      <c r="B1900" s="5" t="str">
        <f>IFERROR(INDEX('بيانات الحركات'!B:B,MATCH(1899,'بيانات الحركات'!$G:$G,0)),"")</f>
        <v/>
      </c>
      <c r="C1900" s="3" t="str">
        <f>IFERROR(INDEX('بيانات الحركات'!C:C,MATCH(1899,'بيانات الحركات'!$G:$G,0)),"")</f>
        <v/>
      </c>
      <c r="D1900" s="3" t="str">
        <f>IFERROR(INDEX('بيانات الحركات'!D:D,MATCH(1899,'بيانات الحركات'!$G:$G,0)),"")</f>
        <v/>
      </c>
      <c r="E1900" s="21" t="str">
        <f>IF($B1900="إنتاج طبخة","",IFERROR(INDEX('بيانات الحركات'!E:E,MATCH(1899,'بيانات الحركات'!$G:$G,0)),""))</f>
        <v/>
      </c>
      <c r="F1900" s="3" t="str">
        <f>IFERROR(INDEX('بيانات الحركات'!F:F,MATCH(1899,'بيانات الحركات'!$G:$G,0)),"")</f>
        <v/>
      </c>
    </row>
    <row r="1901" spans="1:6" ht="21.95" customHeight="1">
      <c r="A1901" s="8" t="str">
        <f>IFERROR(INDEX('بيانات الحركات'!A:A,MATCH(1900,'بيانات الحركات'!$G:$G,0)),"")</f>
        <v/>
      </c>
      <c r="B1901" s="5" t="str">
        <f>IFERROR(INDEX('بيانات الحركات'!B:B,MATCH(1900,'بيانات الحركات'!$G:$G,0)),"")</f>
        <v/>
      </c>
      <c r="C1901" s="3" t="str">
        <f>IFERROR(INDEX('بيانات الحركات'!C:C,MATCH(1900,'بيانات الحركات'!$G:$G,0)),"")</f>
        <v/>
      </c>
      <c r="D1901" s="3" t="str">
        <f>IFERROR(INDEX('بيانات الحركات'!D:D,MATCH(1900,'بيانات الحركات'!$G:$G,0)),"")</f>
        <v/>
      </c>
      <c r="E1901" s="21" t="str">
        <f>IF($B1901="إنتاج طبخة","",IFERROR(INDEX('بيانات الحركات'!E:E,MATCH(1900,'بيانات الحركات'!$G:$G,0)),""))</f>
        <v/>
      </c>
      <c r="F1901" s="3" t="str">
        <f>IFERROR(INDEX('بيانات الحركات'!F:F,MATCH(1900,'بيانات الحركات'!$G:$G,0)),"")</f>
        <v/>
      </c>
    </row>
    <row r="1902" spans="1:6" ht="21.95" customHeight="1">
      <c r="A1902" s="8" t="str">
        <f>IFERROR(INDEX('بيانات الحركات'!A:A,MATCH(1901,'بيانات الحركات'!$G:$G,0)),"")</f>
        <v/>
      </c>
      <c r="B1902" s="5" t="str">
        <f>IFERROR(INDEX('بيانات الحركات'!B:B,MATCH(1901,'بيانات الحركات'!$G:$G,0)),"")</f>
        <v/>
      </c>
      <c r="C1902" s="3" t="str">
        <f>IFERROR(INDEX('بيانات الحركات'!C:C,MATCH(1901,'بيانات الحركات'!$G:$G,0)),"")</f>
        <v/>
      </c>
      <c r="D1902" s="3" t="str">
        <f>IFERROR(INDEX('بيانات الحركات'!D:D,MATCH(1901,'بيانات الحركات'!$G:$G,0)),"")</f>
        <v/>
      </c>
      <c r="E1902" s="21" t="str">
        <f>IF($B1902="إنتاج طبخة","",IFERROR(INDEX('بيانات الحركات'!E:E,MATCH(1901,'بيانات الحركات'!$G:$G,0)),""))</f>
        <v/>
      </c>
      <c r="F1902" s="3" t="str">
        <f>IFERROR(INDEX('بيانات الحركات'!F:F,MATCH(1901,'بيانات الحركات'!$G:$G,0)),"")</f>
        <v/>
      </c>
    </row>
    <row r="1903" spans="1:6" ht="21.95" customHeight="1">
      <c r="A1903" s="8" t="str">
        <f>IFERROR(INDEX('بيانات الحركات'!A:A,MATCH(1902,'بيانات الحركات'!$G:$G,0)),"")</f>
        <v/>
      </c>
      <c r="B1903" s="5" t="str">
        <f>IFERROR(INDEX('بيانات الحركات'!B:B,MATCH(1902,'بيانات الحركات'!$G:$G,0)),"")</f>
        <v/>
      </c>
      <c r="C1903" s="3" t="str">
        <f>IFERROR(INDEX('بيانات الحركات'!C:C,MATCH(1902,'بيانات الحركات'!$G:$G,0)),"")</f>
        <v/>
      </c>
      <c r="D1903" s="3" t="str">
        <f>IFERROR(INDEX('بيانات الحركات'!D:D,MATCH(1902,'بيانات الحركات'!$G:$G,0)),"")</f>
        <v/>
      </c>
      <c r="E1903" s="21" t="str">
        <f>IF($B1903="إنتاج طبخة","",IFERROR(INDEX('بيانات الحركات'!E:E,MATCH(1902,'بيانات الحركات'!$G:$G,0)),""))</f>
        <v/>
      </c>
      <c r="F1903" s="3" t="str">
        <f>IFERROR(INDEX('بيانات الحركات'!F:F,MATCH(1902,'بيانات الحركات'!$G:$G,0)),"")</f>
        <v/>
      </c>
    </row>
    <row r="1904" spans="1:6" ht="21.95" customHeight="1">
      <c r="A1904" s="8" t="str">
        <f>IFERROR(INDEX('بيانات الحركات'!A:A,MATCH(1903,'بيانات الحركات'!$G:$G,0)),"")</f>
        <v/>
      </c>
      <c r="B1904" s="5" t="str">
        <f>IFERROR(INDEX('بيانات الحركات'!B:B,MATCH(1903,'بيانات الحركات'!$G:$G,0)),"")</f>
        <v/>
      </c>
      <c r="C1904" s="3" t="str">
        <f>IFERROR(INDEX('بيانات الحركات'!C:C,MATCH(1903,'بيانات الحركات'!$G:$G,0)),"")</f>
        <v/>
      </c>
      <c r="D1904" s="3" t="str">
        <f>IFERROR(INDEX('بيانات الحركات'!D:D,MATCH(1903,'بيانات الحركات'!$G:$G,0)),"")</f>
        <v/>
      </c>
      <c r="E1904" s="21" t="str">
        <f>IF($B1904="إنتاج طبخة","",IFERROR(INDEX('بيانات الحركات'!E:E,MATCH(1903,'بيانات الحركات'!$G:$G,0)),""))</f>
        <v/>
      </c>
      <c r="F1904" s="3" t="str">
        <f>IFERROR(INDEX('بيانات الحركات'!F:F,MATCH(1903,'بيانات الحركات'!$G:$G,0)),"")</f>
        <v/>
      </c>
    </row>
    <row r="1905" spans="1:6" ht="21.95" customHeight="1">
      <c r="A1905" s="8" t="str">
        <f>IFERROR(INDEX('بيانات الحركات'!A:A,MATCH(1904,'بيانات الحركات'!$G:$G,0)),"")</f>
        <v/>
      </c>
      <c r="B1905" s="5" t="str">
        <f>IFERROR(INDEX('بيانات الحركات'!B:B,MATCH(1904,'بيانات الحركات'!$G:$G,0)),"")</f>
        <v/>
      </c>
      <c r="C1905" s="3" t="str">
        <f>IFERROR(INDEX('بيانات الحركات'!C:C,MATCH(1904,'بيانات الحركات'!$G:$G,0)),"")</f>
        <v/>
      </c>
      <c r="D1905" s="3" t="str">
        <f>IFERROR(INDEX('بيانات الحركات'!D:D,MATCH(1904,'بيانات الحركات'!$G:$G,0)),"")</f>
        <v/>
      </c>
      <c r="E1905" s="21" t="str">
        <f>IF($B1905="إنتاج طبخة","",IFERROR(INDEX('بيانات الحركات'!E:E,MATCH(1904,'بيانات الحركات'!$G:$G,0)),""))</f>
        <v/>
      </c>
      <c r="F1905" s="3" t="str">
        <f>IFERROR(INDEX('بيانات الحركات'!F:F,MATCH(1904,'بيانات الحركات'!$G:$G,0)),"")</f>
        <v/>
      </c>
    </row>
    <row r="1906" spans="1:6" ht="21.95" customHeight="1">
      <c r="A1906" s="8" t="str">
        <f>IFERROR(INDEX('بيانات الحركات'!A:A,MATCH(1905,'بيانات الحركات'!$G:$G,0)),"")</f>
        <v/>
      </c>
      <c r="B1906" s="5" t="str">
        <f>IFERROR(INDEX('بيانات الحركات'!B:B,MATCH(1905,'بيانات الحركات'!$G:$G,0)),"")</f>
        <v/>
      </c>
      <c r="C1906" s="3" t="str">
        <f>IFERROR(INDEX('بيانات الحركات'!C:C,MATCH(1905,'بيانات الحركات'!$G:$G,0)),"")</f>
        <v/>
      </c>
      <c r="D1906" s="3" t="str">
        <f>IFERROR(INDEX('بيانات الحركات'!D:D,MATCH(1905,'بيانات الحركات'!$G:$G,0)),"")</f>
        <v/>
      </c>
      <c r="E1906" s="21" t="str">
        <f>IF($B1906="إنتاج طبخة","",IFERROR(INDEX('بيانات الحركات'!E:E,MATCH(1905,'بيانات الحركات'!$G:$G,0)),""))</f>
        <v/>
      </c>
      <c r="F1906" s="3" t="str">
        <f>IFERROR(INDEX('بيانات الحركات'!F:F,MATCH(1905,'بيانات الحركات'!$G:$G,0)),"")</f>
        <v/>
      </c>
    </row>
    <row r="1907" spans="1:6" ht="21.95" customHeight="1">
      <c r="A1907" s="8" t="str">
        <f>IFERROR(INDEX('بيانات الحركات'!A:A,MATCH(1906,'بيانات الحركات'!$G:$G,0)),"")</f>
        <v/>
      </c>
      <c r="B1907" s="5" t="str">
        <f>IFERROR(INDEX('بيانات الحركات'!B:B,MATCH(1906,'بيانات الحركات'!$G:$G,0)),"")</f>
        <v/>
      </c>
      <c r="C1907" s="3" t="str">
        <f>IFERROR(INDEX('بيانات الحركات'!C:C,MATCH(1906,'بيانات الحركات'!$G:$G,0)),"")</f>
        <v/>
      </c>
      <c r="D1907" s="3" t="str">
        <f>IFERROR(INDEX('بيانات الحركات'!D:D,MATCH(1906,'بيانات الحركات'!$G:$G,0)),"")</f>
        <v/>
      </c>
      <c r="E1907" s="21" t="str">
        <f>IF($B1907="إنتاج طبخة","",IFERROR(INDEX('بيانات الحركات'!E:E,MATCH(1906,'بيانات الحركات'!$G:$G,0)),""))</f>
        <v/>
      </c>
      <c r="F1907" s="3" t="str">
        <f>IFERROR(INDEX('بيانات الحركات'!F:F,MATCH(1906,'بيانات الحركات'!$G:$G,0)),"")</f>
        <v/>
      </c>
    </row>
    <row r="1908" spans="1:6" ht="21.95" customHeight="1">
      <c r="A1908" s="8" t="str">
        <f>IFERROR(INDEX('بيانات الحركات'!A:A,MATCH(1907,'بيانات الحركات'!$G:$G,0)),"")</f>
        <v/>
      </c>
      <c r="B1908" s="5" t="str">
        <f>IFERROR(INDEX('بيانات الحركات'!B:B,MATCH(1907,'بيانات الحركات'!$G:$G,0)),"")</f>
        <v/>
      </c>
      <c r="C1908" s="3" t="str">
        <f>IFERROR(INDEX('بيانات الحركات'!C:C,MATCH(1907,'بيانات الحركات'!$G:$G,0)),"")</f>
        <v/>
      </c>
      <c r="D1908" s="3" t="str">
        <f>IFERROR(INDEX('بيانات الحركات'!D:D,MATCH(1907,'بيانات الحركات'!$G:$G,0)),"")</f>
        <v/>
      </c>
      <c r="E1908" s="21" t="str">
        <f>IF($B1908="إنتاج طبخة","",IFERROR(INDEX('بيانات الحركات'!E:E,MATCH(1907,'بيانات الحركات'!$G:$G,0)),""))</f>
        <v/>
      </c>
      <c r="F1908" s="3" t="str">
        <f>IFERROR(INDEX('بيانات الحركات'!F:F,MATCH(1907,'بيانات الحركات'!$G:$G,0)),"")</f>
        <v/>
      </c>
    </row>
    <row r="1909" spans="1:6" ht="21.95" customHeight="1">
      <c r="A1909" s="8" t="str">
        <f>IFERROR(INDEX('بيانات الحركات'!A:A,MATCH(1908,'بيانات الحركات'!$G:$G,0)),"")</f>
        <v/>
      </c>
      <c r="B1909" s="5" t="str">
        <f>IFERROR(INDEX('بيانات الحركات'!B:B,MATCH(1908,'بيانات الحركات'!$G:$G,0)),"")</f>
        <v/>
      </c>
      <c r="C1909" s="3" t="str">
        <f>IFERROR(INDEX('بيانات الحركات'!C:C,MATCH(1908,'بيانات الحركات'!$G:$G,0)),"")</f>
        <v/>
      </c>
      <c r="D1909" s="3" t="str">
        <f>IFERROR(INDEX('بيانات الحركات'!D:D,MATCH(1908,'بيانات الحركات'!$G:$G,0)),"")</f>
        <v/>
      </c>
      <c r="E1909" s="21" t="str">
        <f>IF($B1909="إنتاج طبخة","",IFERROR(INDEX('بيانات الحركات'!E:E,MATCH(1908,'بيانات الحركات'!$G:$G,0)),""))</f>
        <v/>
      </c>
      <c r="F1909" s="3" t="str">
        <f>IFERROR(INDEX('بيانات الحركات'!F:F,MATCH(1908,'بيانات الحركات'!$G:$G,0)),"")</f>
        <v/>
      </c>
    </row>
    <row r="1910" spans="1:6" ht="21.95" customHeight="1">
      <c r="A1910" s="8" t="str">
        <f>IFERROR(INDEX('بيانات الحركات'!A:A,MATCH(1909,'بيانات الحركات'!$G:$G,0)),"")</f>
        <v/>
      </c>
      <c r="B1910" s="5" t="str">
        <f>IFERROR(INDEX('بيانات الحركات'!B:B,MATCH(1909,'بيانات الحركات'!$G:$G,0)),"")</f>
        <v/>
      </c>
      <c r="C1910" s="3" t="str">
        <f>IFERROR(INDEX('بيانات الحركات'!C:C,MATCH(1909,'بيانات الحركات'!$G:$G,0)),"")</f>
        <v/>
      </c>
      <c r="D1910" s="3" t="str">
        <f>IFERROR(INDEX('بيانات الحركات'!D:D,MATCH(1909,'بيانات الحركات'!$G:$G,0)),"")</f>
        <v/>
      </c>
      <c r="E1910" s="21" t="str">
        <f>IF($B1910="إنتاج طبخة","",IFERROR(INDEX('بيانات الحركات'!E:E,MATCH(1909,'بيانات الحركات'!$G:$G,0)),""))</f>
        <v/>
      </c>
      <c r="F1910" s="3" t="str">
        <f>IFERROR(INDEX('بيانات الحركات'!F:F,MATCH(1909,'بيانات الحركات'!$G:$G,0)),"")</f>
        <v/>
      </c>
    </row>
    <row r="1911" spans="1:6" ht="21.95" customHeight="1">
      <c r="A1911" s="8" t="str">
        <f>IFERROR(INDEX('بيانات الحركات'!A:A,MATCH(1910,'بيانات الحركات'!$G:$G,0)),"")</f>
        <v/>
      </c>
      <c r="B1911" s="5" t="str">
        <f>IFERROR(INDEX('بيانات الحركات'!B:B,MATCH(1910,'بيانات الحركات'!$G:$G,0)),"")</f>
        <v/>
      </c>
      <c r="C1911" s="3" t="str">
        <f>IFERROR(INDEX('بيانات الحركات'!C:C,MATCH(1910,'بيانات الحركات'!$G:$G,0)),"")</f>
        <v/>
      </c>
      <c r="D1911" s="3" t="str">
        <f>IFERROR(INDEX('بيانات الحركات'!D:D,MATCH(1910,'بيانات الحركات'!$G:$G,0)),"")</f>
        <v/>
      </c>
      <c r="E1911" s="21" t="str">
        <f>IF($B1911="إنتاج طبخة","",IFERROR(INDEX('بيانات الحركات'!E:E,MATCH(1910,'بيانات الحركات'!$G:$G,0)),""))</f>
        <v/>
      </c>
      <c r="F1911" s="3" t="str">
        <f>IFERROR(INDEX('بيانات الحركات'!F:F,MATCH(1910,'بيانات الحركات'!$G:$G,0)),"")</f>
        <v/>
      </c>
    </row>
    <row r="1912" spans="1:6" ht="21.95" customHeight="1">
      <c r="A1912" s="8" t="str">
        <f>IFERROR(INDEX('بيانات الحركات'!A:A,MATCH(1911,'بيانات الحركات'!$G:$G,0)),"")</f>
        <v/>
      </c>
      <c r="B1912" s="5" t="str">
        <f>IFERROR(INDEX('بيانات الحركات'!B:B,MATCH(1911,'بيانات الحركات'!$G:$G,0)),"")</f>
        <v/>
      </c>
      <c r="C1912" s="3" t="str">
        <f>IFERROR(INDEX('بيانات الحركات'!C:C,MATCH(1911,'بيانات الحركات'!$G:$G,0)),"")</f>
        <v/>
      </c>
      <c r="D1912" s="3" t="str">
        <f>IFERROR(INDEX('بيانات الحركات'!D:D,MATCH(1911,'بيانات الحركات'!$G:$G,0)),"")</f>
        <v/>
      </c>
      <c r="E1912" s="21" t="str">
        <f>IF($B1912="إنتاج طبخة","",IFERROR(INDEX('بيانات الحركات'!E:E,MATCH(1911,'بيانات الحركات'!$G:$G,0)),""))</f>
        <v/>
      </c>
      <c r="F1912" s="3" t="str">
        <f>IFERROR(INDEX('بيانات الحركات'!F:F,MATCH(1911,'بيانات الحركات'!$G:$G,0)),"")</f>
        <v/>
      </c>
    </row>
    <row r="1913" spans="1:6" ht="21.95" customHeight="1">
      <c r="A1913" s="8" t="str">
        <f>IFERROR(INDEX('بيانات الحركات'!A:A,MATCH(1912,'بيانات الحركات'!$G:$G,0)),"")</f>
        <v/>
      </c>
      <c r="B1913" s="5" t="str">
        <f>IFERROR(INDEX('بيانات الحركات'!B:B,MATCH(1912,'بيانات الحركات'!$G:$G,0)),"")</f>
        <v/>
      </c>
      <c r="C1913" s="3" t="str">
        <f>IFERROR(INDEX('بيانات الحركات'!C:C,MATCH(1912,'بيانات الحركات'!$G:$G,0)),"")</f>
        <v/>
      </c>
      <c r="D1913" s="3" t="str">
        <f>IFERROR(INDEX('بيانات الحركات'!D:D,MATCH(1912,'بيانات الحركات'!$G:$G,0)),"")</f>
        <v/>
      </c>
      <c r="E1913" s="21" t="str">
        <f>IF($B1913="إنتاج طبخة","",IFERROR(INDEX('بيانات الحركات'!E:E,MATCH(1912,'بيانات الحركات'!$G:$G,0)),""))</f>
        <v/>
      </c>
      <c r="F1913" s="3" t="str">
        <f>IFERROR(INDEX('بيانات الحركات'!F:F,MATCH(1912,'بيانات الحركات'!$G:$G,0)),"")</f>
        <v/>
      </c>
    </row>
    <row r="1914" spans="1:6" ht="21.95" customHeight="1">
      <c r="A1914" s="8" t="str">
        <f>IFERROR(INDEX('بيانات الحركات'!A:A,MATCH(1913,'بيانات الحركات'!$G:$G,0)),"")</f>
        <v/>
      </c>
      <c r="B1914" s="5" t="str">
        <f>IFERROR(INDEX('بيانات الحركات'!B:B,MATCH(1913,'بيانات الحركات'!$G:$G,0)),"")</f>
        <v/>
      </c>
      <c r="C1914" s="3" t="str">
        <f>IFERROR(INDEX('بيانات الحركات'!C:C,MATCH(1913,'بيانات الحركات'!$G:$G,0)),"")</f>
        <v/>
      </c>
      <c r="D1914" s="3" t="str">
        <f>IFERROR(INDEX('بيانات الحركات'!D:D,MATCH(1913,'بيانات الحركات'!$G:$G,0)),"")</f>
        <v/>
      </c>
      <c r="E1914" s="21" t="str">
        <f>IF($B1914="إنتاج طبخة","",IFERROR(INDEX('بيانات الحركات'!E:E,MATCH(1913,'بيانات الحركات'!$G:$G,0)),""))</f>
        <v/>
      </c>
      <c r="F1914" s="3" t="str">
        <f>IFERROR(INDEX('بيانات الحركات'!F:F,MATCH(1913,'بيانات الحركات'!$G:$G,0)),"")</f>
        <v/>
      </c>
    </row>
    <row r="1915" spans="1:6" ht="21.95" customHeight="1">
      <c r="A1915" s="8" t="str">
        <f>IFERROR(INDEX('بيانات الحركات'!A:A,MATCH(1914,'بيانات الحركات'!$G:$G,0)),"")</f>
        <v/>
      </c>
      <c r="B1915" s="5" t="str">
        <f>IFERROR(INDEX('بيانات الحركات'!B:B,MATCH(1914,'بيانات الحركات'!$G:$G,0)),"")</f>
        <v/>
      </c>
      <c r="C1915" s="3" t="str">
        <f>IFERROR(INDEX('بيانات الحركات'!C:C,MATCH(1914,'بيانات الحركات'!$G:$G,0)),"")</f>
        <v/>
      </c>
      <c r="D1915" s="3" t="str">
        <f>IFERROR(INDEX('بيانات الحركات'!D:D,MATCH(1914,'بيانات الحركات'!$G:$G,0)),"")</f>
        <v/>
      </c>
      <c r="E1915" s="21" t="str">
        <f>IF($B1915="إنتاج طبخة","",IFERROR(INDEX('بيانات الحركات'!E:E,MATCH(1914,'بيانات الحركات'!$G:$G,0)),""))</f>
        <v/>
      </c>
      <c r="F1915" s="3" t="str">
        <f>IFERROR(INDEX('بيانات الحركات'!F:F,MATCH(1914,'بيانات الحركات'!$G:$G,0)),"")</f>
        <v/>
      </c>
    </row>
    <row r="1916" spans="1:6" ht="21.95" customHeight="1">
      <c r="A1916" s="8" t="str">
        <f>IFERROR(INDEX('بيانات الحركات'!A:A,MATCH(1915,'بيانات الحركات'!$G:$G,0)),"")</f>
        <v/>
      </c>
      <c r="B1916" s="5" t="str">
        <f>IFERROR(INDEX('بيانات الحركات'!B:B,MATCH(1915,'بيانات الحركات'!$G:$G,0)),"")</f>
        <v/>
      </c>
      <c r="C1916" s="3" t="str">
        <f>IFERROR(INDEX('بيانات الحركات'!C:C,MATCH(1915,'بيانات الحركات'!$G:$G,0)),"")</f>
        <v/>
      </c>
      <c r="D1916" s="3" t="str">
        <f>IFERROR(INDEX('بيانات الحركات'!D:D,MATCH(1915,'بيانات الحركات'!$G:$G,0)),"")</f>
        <v/>
      </c>
      <c r="E1916" s="21" t="str">
        <f>IF($B1916="إنتاج طبخة","",IFERROR(INDEX('بيانات الحركات'!E:E,MATCH(1915,'بيانات الحركات'!$G:$G,0)),""))</f>
        <v/>
      </c>
      <c r="F1916" s="3" t="str">
        <f>IFERROR(INDEX('بيانات الحركات'!F:F,MATCH(1915,'بيانات الحركات'!$G:$G,0)),"")</f>
        <v/>
      </c>
    </row>
    <row r="1917" spans="1:6" ht="21.95" customHeight="1">
      <c r="A1917" s="8" t="str">
        <f>IFERROR(INDEX('بيانات الحركات'!A:A,MATCH(1916,'بيانات الحركات'!$G:$G,0)),"")</f>
        <v/>
      </c>
      <c r="B1917" s="5" t="str">
        <f>IFERROR(INDEX('بيانات الحركات'!B:B,MATCH(1916,'بيانات الحركات'!$G:$G,0)),"")</f>
        <v/>
      </c>
      <c r="C1917" s="3" t="str">
        <f>IFERROR(INDEX('بيانات الحركات'!C:C,MATCH(1916,'بيانات الحركات'!$G:$G,0)),"")</f>
        <v/>
      </c>
      <c r="D1917" s="3" t="str">
        <f>IFERROR(INDEX('بيانات الحركات'!D:D,MATCH(1916,'بيانات الحركات'!$G:$G,0)),"")</f>
        <v/>
      </c>
      <c r="E1917" s="21" t="str">
        <f>IF($B1917="إنتاج طبخة","",IFERROR(INDEX('بيانات الحركات'!E:E,MATCH(1916,'بيانات الحركات'!$G:$G,0)),""))</f>
        <v/>
      </c>
      <c r="F1917" s="3" t="str">
        <f>IFERROR(INDEX('بيانات الحركات'!F:F,MATCH(1916,'بيانات الحركات'!$G:$G,0)),"")</f>
        <v/>
      </c>
    </row>
    <row r="1918" spans="1:6" ht="21.95" customHeight="1">
      <c r="A1918" s="8" t="str">
        <f>IFERROR(INDEX('بيانات الحركات'!A:A,MATCH(1917,'بيانات الحركات'!$G:$G,0)),"")</f>
        <v/>
      </c>
      <c r="B1918" s="5" t="str">
        <f>IFERROR(INDEX('بيانات الحركات'!B:B,MATCH(1917,'بيانات الحركات'!$G:$G,0)),"")</f>
        <v/>
      </c>
      <c r="C1918" s="3" t="str">
        <f>IFERROR(INDEX('بيانات الحركات'!C:C,MATCH(1917,'بيانات الحركات'!$G:$G,0)),"")</f>
        <v/>
      </c>
      <c r="D1918" s="3" t="str">
        <f>IFERROR(INDEX('بيانات الحركات'!D:D,MATCH(1917,'بيانات الحركات'!$G:$G,0)),"")</f>
        <v/>
      </c>
      <c r="E1918" s="21" t="str">
        <f>IF($B1918="إنتاج طبخة","",IFERROR(INDEX('بيانات الحركات'!E:E,MATCH(1917,'بيانات الحركات'!$G:$G,0)),""))</f>
        <v/>
      </c>
      <c r="F1918" s="3" t="str">
        <f>IFERROR(INDEX('بيانات الحركات'!F:F,MATCH(1917,'بيانات الحركات'!$G:$G,0)),"")</f>
        <v/>
      </c>
    </row>
    <row r="1919" spans="1:6" ht="21.95" customHeight="1">
      <c r="A1919" s="8" t="str">
        <f>IFERROR(INDEX('بيانات الحركات'!A:A,MATCH(1918,'بيانات الحركات'!$G:$G,0)),"")</f>
        <v/>
      </c>
      <c r="B1919" s="5" t="str">
        <f>IFERROR(INDEX('بيانات الحركات'!B:B,MATCH(1918,'بيانات الحركات'!$G:$G,0)),"")</f>
        <v/>
      </c>
      <c r="C1919" s="3" t="str">
        <f>IFERROR(INDEX('بيانات الحركات'!C:C,MATCH(1918,'بيانات الحركات'!$G:$G,0)),"")</f>
        <v/>
      </c>
      <c r="D1919" s="3" t="str">
        <f>IFERROR(INDEX('بيانات الحركات'!D:D,MATCH(1918,'بيانات الحركات'!$G:$G,0)),"")</f>
        <v/>
      </c>
      <c r="E1919" s="21" t="str">
        <f>IF($B1919="إنتاج طبخة","",IFERROR(INDEX('بيانات الحركات'!E:E,MATCH(1918,'بيانات الحركات'!$G:$G,0)),""))</f>
        <v/>
      </c>
      <c r="F1919" s="3" t="str">
        <f>IFERROR(INDEX('بيانات الحركات'!F:F,MATCH(1918,'بيانات الحركات'!$G:$G,0)),"")</f>
        <v/>
      </c>
    </row>
    <row r="1920" spans="1:6" ht="21.95" customHeight="1">
      <c r="A1920" s="8" t="str">
        <f>IFERROR(INDEX('بيانات الحركات'!A:A,MATCH(1919,'بيانات الحركات'!$G:$G,0)),"")</f>
        <v/>
      </c>
      <c r="B1920" s="5" t="str">
        <f>IFERROR(INDEX('بيانات الحركات'!B:B,MATCH(1919,'بيانات الحركات'!$G:$G,0)),"")</f>
        <v/>
      </c>
      <c r="C1920" s="3" t="str">
        <f>IFERROR(INDEX('بيانات الحركات'!C:C,MATCH(1919,'بيانات الحركات'!$G:$G,0)),"")</f>
        <v/>
      </c>
      <c r="D1920" s="3" t="str">
        <f>IFERROR(INDEX('بيانات الحركات'!D:D,MATCH(1919,'بيانات الحركات'!$G:$G,0)),"")</f>
        <v/>
      </c>
      <c r="E1920" s="21" t="str">
        <f>IF($B1920="إنتاج طبخة","",IFERROR(INDEX('بيانات الحركات'!E:E,MATCH(1919,'بيانات الحركات'!$G:$G,0)),""))</f>
        <v/>
      </c>
      <c r="F1920" s="3" t="str">
        <f>IFERROR(INDEX('بيانات الحركات'!F:F,MATCH(1919,'بيانات الحركات'!$G:$G,0)),"")</f>
        <v/>
      </c>
    </row>
    <row r="1921" spans="1:6" ht="21.95" customHeight="1">
      <c r="A1921" s="8" t="str">
        <f>IFERROR(INDEX('بيانات الحركات'!A:A,MATCH(1920,'بيانات الحركات'!$G:$G,0)),"")</f>
        <v/>
      </c>
      <c r="B1921" s="5" t="str">
        <f>IFERROR(INDEX('بيانات الحركات'!B:B,MATCH(1920,'بيانات الحركات'!$G:$G,0)),"")</f>
        <v/>
      </c>
      <c r="C1921" s="3" t="str">
        <f>IFERROR(INDEX('بيانات الحركات'!C:C,MATCH(1920,'بيانات الحركات'!$G:$G,0)),"")</f>
        <v/>
      </c>
      <c r="D1921" s="3" t="str">
        <f>IFERROR(INDEX('بيانات الحركات'!D:D,MATCH(1920,'بيانات الحركات'!$G:$G,0)),"")</f>
        <v/>
      </c>
      <c r="E1921" s="21" t="str">
        <f>IF($B1921="إنتاج طبخة","",IFERROR(INDEX('بيانات الحركات'!E:E,MATCH(1920,'بيانات الحركات'!$G:$G,0)),""))</f>
        <v/>
      </c>
      <c r="F1921" s="3" t="str">
        <f>IFERROR(INDEX('بيانات الحركات'!F:F,MATCH(1920,'بيانات الحركات'!$G:$G,0)),"")</f>
        <v/>
      </c>
    </row>
    <row r="1922" spans="1:6" ht="21.95" customHeight="1">
      <c r="A1922" s="8" t="str">
        <f>IFERROR(INDEX('بيانات الحركات'!A:A,MATCH(1921,'بيانات الحركات'!$G:$G,0)),"")</f>
        <v/>
      </c>
      <c r="B1922" s="5" t="str">
        <f>IFERROR(INDEX('بيانات الحركات'!B:B,MATCH(1921,'بيانات الحركات'!$G:$G,0)),"")</f>
        <v/>
      </c>
      <c r="C1922" s="3" t="str">
        <f>IFERROR(INDEX('بيانات الحركات'!C:C,MATCH(1921,'بيانات الحركات'!$G:$G,0)),"")</f>
        <v/>
      </c>
      <c r="D1922" s="3" t="str">
        <f>IFERROR(INDEX('بيانات الحركات'!D:D,MATCH(1921,'بيانات الحركات'!$G:$G,0)),"")</f>
        <v/>
      </c>
      <c r="E1922" s="21" t="str">
        <f>IF($B1922="إنتاج طبخة","",IFERROR(INDEX('بيانات الحركات'!E:E,MATCH(1921,'بيانات الحركات'!$G:$G,0)),""))</f>
        <v/>
      </c>
      <c r="F1922" s="3" t="str">
        <f>IFERROR(INDEX('بيانات الحركات'!F:F,MATCH(1921,'بيانات الحركات'!$G:$G,0)),"")</f>
        <v/>
      </c>
    </row>
    <row r="1923" spans="1:6" ht="21.95" customHeight="1">
      <c r="A1923" s="8" t="str">
        <f>IFERROR(INDEX('بيانات الحركات'!A:A,MATCH(1922,'بيانات الحركات'!$G:$G,0)),"")</f>
        <v/>
      </c>
      <c r="B1923" s="5" t="str">
        <f>IFERROR(INDEX('بيانات الحركات'!B:B,MATCH(1922,'بيانات الحركات'!$G:$G,0)),"")</f>
        <v/>
      </c>
      <c r="C1923" s="3" t="str">
        <f>IFERROR(INDEX('بيانات الحركات'!C:C,MATCH(1922,'بيانات الحركات'!$G:$G,0)),"")</f>
        <v/>
      </c>
      <c r="D1923" s="3" t="str">
        <f>IFERROR(INDEX('بيانات الحركات'!D:D,MATCH(1922,'بيانات الحركات'!$G:$G,0)),"")</f>
        <v/>
      </c>
      <c r="E1923" s="21" t="str">
        <f>IF($B1923="إنتاج طبخة","",IFERROR(INDEX('بيانات الحركات'!E:E,MATCH(1922,'بيانات الحركات'!$G:$G,0)),""))</f>
        <v/>
      </c>
      <c r="F1923" s="3" t="str">
        <f>IFERROR(INDEX('بيانات الحركات'!F:F,MATCH(1922,'بيانات الحركات'!$G:$G,0)),"")</f>
        <v/>
      </c>
    </row>
    <row r="1924" spans="1:6" ht="21.95" customHeight="1">
      <c r="A1924" s="8" t="str">
        <f>IFERROR(INDEX('بيانات الحركات'!A:A,MATCH(1923,'بيانات الحركات'!$G:$G,0)),"")</f>
        <v/>
      </c>
      <c r="B1924" s="5" t="str">
        <f>IFERROR(INDEX('بيانات الحركات'!B:B,MATCH(1923,'بيانات الحركات'!$G:$G,0)),"")</f>
        <v/>
      </c>
      <c r="C1924" s="3" t="str">
        <f>IFERROR(INDEX('بيانات الحركات'!C:C,MATCH(1923,'بيانات الحركات'!$G:$G,0)),"")</f>
        <v/>
      </c>
      <c r="D1924" s="3" t="str">
        <f>IFERROR(INDEX('بيانات الحركات'!D:D,MATCH(1923,'بيانات الحركات'!$G:$G,0)),"")</f>
        <v/>
      </c>
      <c r="E1924" s="21" t="str">
        <f>IF($B1924="إنتاج طبخة","",IFERROR(INDEX('بيانات الحركات'!E:E,MATCH(1923,'بيانات الحركات'!$G:$G,0)),""))</f>
        <v/>
      </c>
      <c r="F1924" s="3" t="str">
        <f>IFERROR(INDEX('بيانات الحركات'!F:F,MATCH(1923,'بيانات الحركات'!$G:$G,0)),"")</f>
        <v/>
      </c>
    </row>
    <row r="1925" spans="1:6" ht="21.95" customHeight="1">
      <c r="A1925" s="8" t="str">
        <f>IFERROR(INDEX('بيانات الحركات'!A:A,MATCH(1924,'بيانات الحركات'!$G:$G,0)),"")</f>
        <v/>
      </c>
      <c r="B1925" s="5" t="str">
        <f>IFERROR(INDEX('بيانات الحركات'!B:B,MATCH(1924,'بيانات الحركات'!$G:$G,0)),"")</f>
        <v/>
      </c>
      <c r="C1925" s="3" t="str">
        <f>IFERROR(INDEX('بيانات الحركات'!C:C,MATCH(1924,'بيانات الحركات'!$G:$G,0)),"")</f>
        <v/>
      </c>
      <c r="D1925" s="3" t="str">
        <f>IFERROR(INDEX('بيانات الحركات'!D:D,MATCH(1924,'بيانات الحركات'!$G:$G,0)),"")</f>
        <v/>
      </c>
      <c r="E1925" s="21" t="str">
        <f>IF($B1925="إنتاج طبخة","",IFERROR(INDEX('بيانات الحركات'!E:E,MATCH(1924,'بيانات الحركات'!$G:$G,0)),""))</f>
        <v/>
      </c>
      <c r="F1925" s="3" t="str">
        <f>IFERROR(INDEX('بيانات الحركات'!F:F,MATCH(1924,'بيانات الحركات'!$G:$G,0)),"")</f>
        <v/>
      </c>
    </row>
    <row r="1926" spans="1:6" ht="21.95" customHeight="1">
      <c r="A1926" s="8" t="str">
        <f>IFERROR(INDEX('بيانات الحركات'!A:A,MATCH(1925,'بيانات الحركات'!$G:$G,0)),"")</f>
        <v/>
      </c>
      <c r="B1926" s="5" t="str">
        <f>IFERROR(INDEX('بيانات الحركات'!B:B,MATCH(1925,'بيانات الحركات'!$G:$G,0)),"")</f>
        <v/>
      </c>
      <c r="C1926" s="3" t="str">
        <f>IFERROR(INDEX('بيانات الحركات'!C:C,MATCH(1925,'بيانات الحركات'!$G:$G,0)),"")</f>
        <v/>
      </c>
      <c r="D1926" s="3" t="str">
        <f>IFERROR(INDEX('بيانات الحركات'!D:D,MATCH(1925,'بيانات الحركات'!$G:$G,0)),"")</f>
        <v/>
      </c>
      <c r="E1926" s="21" t="str">
        <f>IF($B1926="إنتاج طبخة","",IFERROR(INDEX('بيانات الحركات'!E:E,MATCH(1925,'بيانات الحركات'!$G:$G,0)),""))</f>
        <v/>
      </c>
      <c r="F1926" s="3" t="str">
        <f>IFERROR(INDEX('بيانات الحركات'!F:F,MATCH(1925,'بيانات الحركات'!$G:$G,0)),"")</f>
        <v/>
      </c>
    </row>
    <row r="1927" spans="1:6" ht="21.95" customHeight="1">
      <c r="A1927" s="8" t="str">
        <f>IFERROR(INDEX('بيانات الحركات'!A:A,MATCH(1926,'بيانات الحركات'!$G:$G,0)),"")</f>
        <v/>
      </c>
      <c r="B1927" s="5" t="str">
        <f>IFERROR(INDEX('بيانات الحركات'!B:B,MATCH(1926,'بيانات الحركات'!$G:$G,0)),"")</f>
        <v/>
      </c>
      <c r="C1927" s="3" t="str">
        <f>IFERROR(INDEX('بيانات الحركات'!C:C,MATCH(1926,'بيانات الحركات'!$G:$G,0)),"")</f>
        <v/>
      </c>
      <c r="D1927" s="3" t="str">
        <f>IFERROR(INDEX('بيانات الحركات'!D:D,MATCH(1926,'بيانات الحركات'!$G:$G,0)),"")</f>
        <v/>
      </c>
      <c r="E1927" s="21" t="str">
        <f>IF($B1927="إنتاج طبخة","",IFERROR(INDEX('بيانات الحركات'!E:E,MATCH(1926,'بيانات الحركات'!$G:$G,0)),""))</f>
        <v/>
      </c>
      <c r="F1927" s="3" t="str">
        <f>IFERROR(INDEX('بيانات الحركات'!F:F,MATCH(1926,'بيانات الحركات'!$G:$G,0)),"")</f>
        <v/>
      </c>
    </row>
    <row r="1928" spans="1:6" ht="21.95" customHeight="1">
      <c r="A1928" s="8" t="str">
        <f>IFERROR(INDEX('بيانات الحركات'!A:A,MATCH(1927,'بيانات الحركات'!$G:$G,0)),"")</f>
        <v/>
      </c>
      <c r="B1928" s="5" t="str">
        <f>IFERROR(INDEX('بيانات الحركات'!B:B,MATCH(1927,'بيانات الحركات'!$G:$G,0)),"")</f>
        <v/>
      </c>
      <c r="C1928" s="3" t="str">
        <f>IFERROR(INDEX('بيانات الحركات'!C:C,MATCH(1927,'بيانات الحركات'!$G:$G,0)),"")</f>
        <v/>
      </c>
      <c r="D1928" s="3" t="str">
        <f>IFERROR(INDEX('بيانات الحركات'!D:D,MATCH(1927,'بيانات الحركات'!$G:$G,0)),"")</f>
        <v/>
      </c>
      <c r="E1928" s="21" t="str">
        <f>IF($B1928="إنتاج طبخة","",IFERROR(INDEX('بيانات الحركات'!E:E,MATCH(1927,'بيانات الحركات'!$G:$G,0)),""))</f>
        <v/>
      </c>
      <c r="F1928" s="3" t="str">
        <f>IFERROR(INDEX('بيانات الحركات'!F:F,MATCH(1927,'بيانات الحركات'!$G:$G,0)),"")</f>
        <v/>
      </c>
    </row>
    <row r="1929" spans="1:6" ht="21.95" customHeight="1">
      <c r="A1929" s="8" t="str">
        <f>IFERROR(INDEX('بيانات الحركات'!A:A,MATCH(1928,'بيانات الحركات'!$G:$G,0)),"")</f>
        <v/>
      </c>
      <c r="B1929" s="5" t="str">
        <f>IFERROR(INDEX('بيانات الحركات'!B:B,MATCH(1928,'بيانات الحركات'!$G:$G,0)),"")</f>
        <v/>
      </c>
      <c r="C1929" s="3" t="str">
        <f>IFERROR(INDEX('بيانات الحركات'!C:C,MATCH(1928,'بيانات الحركات'!$G:$G,0)),"")</f>
        <v/>
      </c>
      <c r="D1929" s="3" t="str">
        <f>IFERROR(INDEX('بيانات الحركات'!D:D,MATCH(1928,'بيانات الحركات'!$G:$G,0)),"")</f>
        <v/>
      </c>
      <c r="E1929" s="21" t="str">
        <f>IF($B1929="إنتاج طبخة","",IFERROR(INDEX('بيانات الحركات'!E:E,MATCH(1928,'بيانات الحركات'!$G:$G,0)),""))</f>
        <v/>
      </c>
      <c r="F1929" s="3" t="str">
        <f>IFERROR(INDEX('بيانات الحركات'!F:F,MATCH(1928,'بيانات الحركات'!$G:$G,0)),"")</f>
        <v/>
      </c>
    </row>
    <row r="1930" spans="1:6" ht="21.95" customHeight="1">
      <c r="A1930" s="8" t="str">
        <f>IFERROR(INDEX('بيانات الحركات'!A:A,MATCH(1929,'بيانات الحركات'!$G:$G,0)),"")</f>
        <v/>
      </c>
      <c r="B1930" s="5" t="str">
        <f>IFERROR(INDEX('بيانات الحركات'!B:B,MATCH(1929,'بيانات الحركات'!$G:$G,0)),"")</f>
        <v/>
      </c>
      <c r="C1930" s="3" t="str">
        <f>IFERROR(INDEX('بيانات الحركات'!C:C,MATCH(1929,'بيانات الحركات'!$G:$G,0)),"")</f>
        <v/>
      </c>
      <c r="D1930" s="3" t="str">
        <f>IFERROR(INDEX('بيانات الحركات'!D:D,MATCH(1929,'بيانات الحركات'!$G:$G,0)),"")</f>
        <v/>
      </c>
      <c r="E1930" s="21" t="str">
        <f>IF($B1930="إنتاج طبخة","",IFERROR(INDEX('بيانات الحركات'!E:E,MATCH(1929,'بيانات الحركات'!$G:$G,0)),""))</f>
        <v/>
      </c>
      <c r="F1930" s="3" t="str">
        <f>IFERROR(INDEX('بيانات الحركات'!F:F,MATCH(1929,'بيانات الحركات'!$G:$G,0)),"")</f>
        <v/>
      </c>
    </row>
    <row r="1931" spans="1:6" ht="21.95" customHeight="1">
      <c r="A1931" s="8" t="str">
        <f>IFERROR(INDEX('بيانات الحركات'!A:A,MATCH(1930,'بيانات الحركات'!$G:$G,0)),"")</f>
        <v/>
      </c>
      <c r="B1931" s="5" t="str">
        <f>IFERROR(INDEX('بيانات الحركات'!B:B,MATCH(1930,'بيانات الحركات'!$G:$G,0)),"")</f>
        <v/>
      </c>
      <c r="C1931" s="3" t="str">
        <f>IFERROR(INDEX('بيانات الحركات'!C:C,MATCH(1930,'بيانات الحركات'!$G:$G,0)),"")</f>
        <v/>
      </c>
      <c r="D1931" s="3" t="str">
        <f>IFERROR(INDEX('بيانات الحركات'!D:D,MATCH(1930,'بيانات الحركات'!$G:$G,0)),"")</f>
        <v/>
      </c>
      <c r="E1931" s="21" t="str">
        <f>IF($B1931="إنتاج طبخة","",IFERROR(INDEX('بيانات الحركات'!E:E,MATCH(1930,'بيانات الحركات'!$G:$G,0)),""))</f>
        <v/>
      </c>
      <c r="F1931" s="3" t="str">
        <f>IFERROR(INDEX('بيانات الحركات'!F:F,MATCH(1930,'بيانات الحركات'!$G:$G,0)),"")</f>
        <v/>
      </c>
    </row>
    <row r="1932" spans="1:6" ht="21.95" customHeight="1">
      <c r="A1932" s="8" t="str">
        <f>IFERROR(INDEX('بيانات الحركات'!A:A,MATCH(1931,'بيانات الحركات'!$G:$G,0)),"")</f>
        <v/>
      </c>
      <c r="B1932" s="5" t="str">
        <f>IFERROR(INDEX('بيانات الحركات'!B:B,MATCH(1931,'بيانات الحركات'!$G:$G,0)),"")</f>
        <v/>
      </c>
      <c r="C1932" s="3" t="str">
        <f>IFERROR(INDEX('بيانات الحركات'!C:C,MATCH(1931,'بيانات الحركات'!$G:$G,0)),"")</f>
        <v/>
      </c>
      <c r="D1932" s="3" t="str">
        <f>IFERROR(INDEX('بيانات الحركات'!D:D,MATCH(1931,'بيانات الحركات'!$G:$G,0)),"")</f>
        <v/>
      </c>
      <c r="E1932" s="21" t="str">
        <f>IF($B1932="إنتاج طبخة","",IFERROR(INDEX('بيانات الحركات'!E:E,MATCH(1931,'بيانات الحركات'!$G:$G,0)),""))</f>
        <v/>
      </c>
      <c r="F1932" s="3" t="str">
        <f>IFERROR(INDEX('بيانات الحركات'!F:F,MATCH(1931,'بيانات الحركات'!$G:$G,0)),"")</f>
        <v/>
      </c>
    </row>
    <row r="1933" spans="1:6" ht="21.95" customHeight="1">
      <c r="A1933" s="8" t="str">
        <f>IFERROR(INDEX('بيانات الحركات'!A:A,MATCH(1932,'بيانات الحركات'!$G:$G,0)),"")</f>
        <v/>
      </c>
      <c r="B1933" s="5" t="str">
        <f>IFERROR(INDEX('بيانات الحركات'!B:B,MATCH(1932,'بيانات الحركات'!$G:$G,0)),"")</f>
        <v/>
      </c>
      <c r="C1933" s="3" t="str">
        <f>IFERROR(INDEX('بيانات الحركات'!C:C,MATCH(1932,'بيانات الحركات'!$G:$G,0)),"")</f>
        <v/>
      </c>
      <c r="D1933" s="3" t="str">
        <f>IFERROR(INDEX('بيانات الحركات'!D:D,MATCH(1932,'بيانات الحركات'!$G:$G,0)),"")</f>
        <v/>
      </c>
      <c r="E1933" s="21" t="str">
        <f>IF($B1933="إنتاج طبخة","",IFERROR(INDEX('بيانات الحركات'!E:E,MATCH(1932,'بيانات الحركات'!$G:$G,0)),""))</f>
        <v/>
      </c>
      <c r="F1933" s="3" t="str">
        <f>IFERROR(INDEX('بيانات الحركات'!F:F,MATCH(1932,'بيانات الحركات'!$G:$G,0)),"")</f>
        <v/>
      </c>
    </row>
    <row r="1934" spans="1:6" ht="21.95" customHeight="1">
      <c r="A1934" s="8" t="str">
        <f>IFERROR(INDEX('بيانات الحركات'!A:A,MATCH(1933,'بيانات الحركات'!$G:$G,0)),"")</f>
        <v/>
      </c>
      <c r="B1934" s="5" t="str">
        <f>IFERROR(INDEX('بيانات الحركات'!B:B,MATCH(1933,'بيانات الحركات'!$G:$G,0)),"")</f>
        <v/>
      </c>
      <c r="C1934" s="3" t="str">
        <f>IFERROR(INDEX('بيانات الحركات'!C:C,MATCH(1933,'بيانات الحركات'!$G:$G,0)),"")</f>
        <v/>
      </c>
      <c r="D1934" s="3" t="str">
        <f>IFERROR(INDEX('بيانات الحركات'!D:D,MATCH(1933,'بيانات الحركات'!$G:$G,0)),"")</f>
        <v/>
      </c>
      <c r="E1934" s="21" t="str">
        <f>IF($B1934="إنتاج طبخة","",IFERROR(INDEX('بيانات الحركات'!E:E,MATCH(1933,'بيانات الحركات'!$G:$G,0)),""))</f>
        <v/>
      </c>
      <c r="F1934" s="3" t="str">
        <f>IFERROR(INDEX('بيانات الحركات'!F:F,MATCH(1933,'بيانات الحركات'!$G:$G,0)),"")</f>
        <v/>
      </c>
    </row>
    <row r="1935" spans="1:6" ht="21.95" customHeight="1">
      <c r="A1935" s="8" t="str">
        <f>IFERROR(INDEX('بيانات الحركات'!A:A,MATCH(1934,'بيانات الحركات'!$G:$G,0)),"")</f>
        <v/>
      </c>
      <c r="B1935" s="5" t="str">
        <f>IFERROR(INDEX('بيانات الحركات'!B:B,MATCH(1934,'بيانات الحركات'!$G:$G,0)),"")</f>
        <v/>
      </c>
      <c r="C1935" s="3" t="str">
        <f>IFERROR(INDEX('بيانات الحركات'!C:C,MATCH(1934,'بيانات الحركات'!$G:$G,0)),"")</f>
        <v/>
      </c>
      <c r="D1935" s="3" t="str">
        <f>IFERROR(INDEX('بيانات الحركات'!D:D,MATCH(1934,'بيانات الحركات'!$G:$G,0)),"")</f>
        <v/>
      </c>
      <c r="E1935" s="21" t="str">
        <f>IF($B1935="إنتاج طبخة","",IFERROR(INDEX('بيانات الحركات'!E:E,MATCH(1934,'بيانات الحركات'!$G:$G,0)),""))</f>
        <v/>
      </c>
      <c r="F1935" s="3" t="str">
        <f>IFERROR(INDEX('بيانات الحركات'!F:F,MATCH(1934,'بيانات الحركات'!$G:$G,0)),"")</f>
        <v/>
      </c>
    </row>
    <row r="1936" spans="1:6" ht="21.95" customHeight="1">
      <c r="A1936" s="8" t="str">
        <f>IFERROR(INDEX('بيانات الحركات'!A:A,MATCH(1935,'بيانات الحركات'!$G:$G,0)),"")</f>
        <v/>
      </c>
      <c r="B1936" s="5" t="str">
        <f>IFERROR(INDEX('بيانات الحركات'!B:B,MATCH(1935,'بيانات الحركات'!$G:$G,0)),"")</f>
        <v/>
      </c>
      <c r="C1936" s="3" t="str">
        <f>IFERROR(INDEX('بيانات الحركات'!C:C,MATCH(1935,'بيانات الحركات'!$G:$G,0)),"")</f>
        <v/>
      </c>
      <c r="D1936" s="3" t="str">
        <f>IFERROR(INDEX('بيانات الحركات'!D:D,MATCH(1935,'بيانات الحركات'!$G:$G,0)),"")</f>
        <v/>
      </c>
      <c r="E1936" s="21" t="str">
        <f>IF($B1936="إنتاج طبخة","",IFERROR(INDEX('بيانات الحركات'!E:E,MATCH(1935,'بيانات الحركات'!$G:$G,0)),""))</f>
        <v/>
      </c>
      <c r="F1936" s="3" t="str">
        <f>IFERROR(INDEX('بيانات الحركات'!F:F,MATCH(1935,'بيانات الحركات'!$G:$G,0)),"")</f>
        <v/>
      </c>
    </row>
    <row r="1937" spans="1:6" ht="21.95" customHeight="1">
      <c r="A1937" s="8" t="str">
        <f>IFERROR(INDEX('بيانات الحركات'!A:A,MATCH(1936,'بيانات الحركات'!$G:$G,0)),"")</f>
        <v/>
      </c>
      <c r="B1937" s="5" t="str">
        <f>IFERROR(INDEX('بيانات الحركات'!B:B,MATCH(1936,'بيانات الحركات'!$G:$G,0)),"")</f>
        <v/>
      </c>
      <c r="C1937" s="3" t="str">
        <f>IFERROR(INDEX('بيانات الحركات'!C:C,MATCH(1936,'بيانات الحركات'!$G:$G,0)),"")</f>
        <v/>
      </c>
      <c r="D1937" s="3" t="str">
        <f>IFERROR(INDEX('بيانات الحركات'!D:D,MATCH(1936,'بيانات الحركات'!$G:$G,0)),"")</f>
        <v/>
      </c>
      <c r="E1937" s="21" t="str">
        <f>IF($B1937="إنتاج طبخة","",IFERROR(INDEX('بيانات الحركات'!E:E,MATCH(1936,'بيانات الحركات'!$G:$G,0)),""))</f>
        <v/>
      </c>
      <c r="F1937" s="3" t="str">
        <f>IFERROR(INDEX('بيانات الحركات'!F:F,MATCH(1936,'بيانات الحركات'!$G:$G,0)),"")</f>
        <v/>
      </c>
    </row>
    <row r="1938" spans="1:6" ht="21.95" customHeight="1">
      <c r="A1938" s="8" t="str">
        <f>IFERROR(INDEX('بيانات الحركات'!A:A,MATCH(1937,'بيانات الحركات'!$G:$G,0)),"")</f>
        <v/>
      </c>
      <c r="B1938" s="5" t="str">
        <f>IFERROR(INDEX('بيانات الحركات'!B:B,MATCH(1937,'بيانات الحركات'!$G:$G,0)),"")</f>
        <v/>
      </c>
      <c r="C1938" s="3" t="str">
        <f>IFERROR(INDEX('بيانات الحركات'!C:C,MATCH(1937,'بيانات الحركات'!$G:$G,0)),"")</f>
        <v/>
      </c>
      <c r="D1938" s="3" t="str">
        <f>IFERROR(INDEX('بيانات الحركات'!D:D,MATCH(1937,'بيانات الحركات'!$G:$G,0)),"")</f>
        <v/>
      </c>
      <c r="E1938" s="21" t="str">
        <f>IF($B1938="إنتاج طبخة","",IFERROR(INDEX('بيانات الحركات'!E:E,MATCH(1937,'بيانات الحركات'!$G:$G,0)),""))</f>
        <v/>
      </c>
      <c r="F1938" s="3" t="str">
        <f>IFERROR(INDEX('بيانات الحركات'!F:F,MATCH(1937,'بيانات الحركات'!$G:$G,0)),"")</f>
        <v/>
      </c>
    </row>
    <row r="1939" spans="1:6" ht="21.95" customHeight="1">
      <c r="A1939" s="8" t="str">
        <f>IFERROR(INDEX('بيانات الحركات'!A:A,MATCH(1938,'بيانات الحركات'!$G:$G,0)),"")</f>
        <v/>
      </c>
      <c r="B1939" s="5" t="str">
        <f>IFERROR(INDEX('بيانات الحركات'!B:B,MATCH(1938,'بيانات الحركات'!$G:$G,0)),"")</f>
        <v/>
      </c>
      <c r="C1939" s="3" t="str">
        <f>IFERROR(INDEX('بيانات الحركات'!C:C,MATCH(1938,'بيانات الحركات'!$G:$G,0)),"")</f>
        <v/>
      </c>
      <c r="D1939" s="3" t="str">
        <f>IFERROR(INDEX('بيانات الحركات'!D:D,MATCH(1938,'بيانات الحركات'!$G:$G,0)),"")</f>
        <v/>
      </c>
      <c r="E1939" s="21" t="str">
        <f>IF($B1939="إنتاج طبخة","",IFERROR(INDEX('بيانات الحركات'!E:E,MATCH(1938,'بيانات الحركات'!$G:$G,0)),""))</f>
        <v/>
      </c>
      <c r="F1939" s="3" t="str">
        <f>IFERROR(INDEX('بيانات الحركات'!F:F,MATCH(1938,'بيانات الحركات'!$G:$G,0)),"")</f>
        <v/>
      </c>
    </row>
    <row r="1940" spans="1:6" ht="21.95" customHeight="1">
      <c r="A1940" s="8" t="str">
        <f>IFERROR(INDEX('بيانات الحركات'!A:A,MATCH(1939,'بيانات الحركات'!$G:$G,0)),"")</f>
        <v/>
      </c>
      <c r="B1940" s="5" t="str">
        <f>IFERROR(INDEX('بيانات الحركات'!B:B,MATCH(1939,'بيانات الحركات'!$G:$G,0)),"")</f>
        <v/>
      </c>
      <c r="C1940" s="3" t="str">
        <f>IFERROR(INDEX('بيانات الحركات'!C:C,MATCH(1939,'بيانات الحركات'!$G:$G,0)),"")</f>
        <v/>
      </c>
      <c r="D1940" s="3" t="str">
        <f>IFERROR(INDEX('بيانات الحركات'!D:D,MATCH(1939,'بيانات الحركات'!$G:$G,0)),"")</f>
        <v/>
      </c>
      <c r="E1940" s="21" t="str">
        <f>IF($B1940="إنتاج طبخة","",IFERROR(INDEX('بيانات الحركات'!E:E,MATCH(1939,'بيانات الحركات'!$G:$G,0)),""))</f>
        <v/>
      </c>
      <c r="F1940" s="3" t="str">
        <f>IFERROR(INDEX('بيانات الحركات'!F:F,MATCH(1939,'بيانات الحركات'!$G:$G,0)),"")</f>
        <v/>
      </c>
    </row>
    <row r="1941" spans="1:6" ht="21.95" customHeight="1">
      <c r="A1941" s="8" t="str">
        <f>IFERROR(INDEX('بيانات الحركات'!A:A,MATCH(1940,'بيانات الحركات'!$G:$G,0)),"")</f>
        <v/>
      </c>
      <c r="B1941" s="5" t="str">
        <f>IFERROR(INDEX('بيانات الحركات'!B:B,MATCH(1940,'بيانات الحركات'!$G:$G,0)),"")</f>
        <v/>
      </c>
      <c r="C1941" s="3" t="str">
        <f>IFERROR(INDEX('بيانات الحركات'!C:C,MATCH(1940,'بيانات الحركات'!$G:$G,0)),"")</f>
        <v/>
      </c>
      <c r="D1941" s="3" t="str">
        <f>IFERROR(INDEX('بيانات الحركات'!D:D,MATCH(1940,'بيانات الحركات'!$G:$G,0)),"")</f>
        <v/>
      </c>
      <c r="E1941" s="21" t="str">
        <f>IF($B1941="إنتاج طبخة","",IFERROR(INDEX('بيانات الحركات'!E:E,MATCH(1940,'بيانات الحركات'!$G:$G,0)),""))</f>
        <v/>
      </c>
      <c r="F1941" s="3" t="str">
        <f>IFERROR(INDEX('بيانات الحركات'!F:F,MATCH(1940,'بيانات الحركات'!$G:$G,0)),"")</f>
        <v/>
      </c>
    </row>
    <row r="1942" spans="1:6" ht="21.95" customHeight="1">
      <c r="A1942" s="8" t="str">
        <f>IFERROR(INDEX('بيانات الحركات'!A:A,MATCH(1941,'بيانات الحركات'!$G:$G,0)),"")</f>
        <v/>
      </c>
      <c r="B1942" s="5" t="str">
        <f>IFERROR(INDEX('بيانات الحركات'!B:B,MATCH(1941,'بيانات الحركات'!$G:$G,0)),"")</f>
        <v/>
      </c>
      <c r="C1942" s="3" t="str">
        <f>IFERROR(INDEX('بيانات الحركات'!C:C,MATCH(1941,'بيانات الحركات'!$G:$G,0)),"")</f>
        <v/>
      </c>
      <c r="D1942" s="3" t="str">
        <f>IFERROR(INDEX('بيانات الحركات'!D:D,MATCH(1941,'بيانات الحركات'!$G:$G,0)),"")</f>
        <v/>
      </c>
      <c r="E1942" s="21" t="str">
        <f>IF($B1942="إنتاج طبخة","",IFERROR(INDEX('بيانات الحركات'!E:E,MATCH(1941,'بيانات الحركات'!$G:$G,0)),""))</f>
        <v/>
      </c>
      <c r="F1942" s="3" t="str">
        <f>IFERROR(INDEX('بيانات الحركات'!F:F,MATCH(1941,'بيانات الحركات'!$G:$G,0)),"")</f>
        <v/>
      </c>
    </row>
    <row r="1943" spans="1:6" ht="21.95" customHeight="1">
      <c r="A1943" s="8" t="str">
        <f>IFERROR(INDEX('بيانات الحركات'!A:A,MATCH(1942,'بيانات الحركات'!$G:$G,0)),"")</f>
        <v/>
      </c>
      <c r="B1943" s="5" t="str">
        <f>IFERROR(INDEX('بيانات الحركات'!B:B,MATCH(1942,'بيانات الحركات'!$G:$G,0)),"")</f>
        <v/>
      </c>
      <c r="C1943" s="3" t="str">
        <f>IFERROR(INDEX('بيانات الحركات'!C:C,MATCH(1942,'بيانات الحركات'!$G:$G,0)),"")</f>
        <v/>
      </c>
      <c r="D1943" s="3" t="str">
        <f>IFERROR(INDEX('بيانات الحركات'!D:D,MATCH(1942,'بيانات الحركات'!$G:$G,0)),"")</f>
        <v/>
      </c>
      <c r="E1943" s="21" t="str">
        <f>IF($B1943="إنتاج طبخة","",IFERROR(INDEX('بيانات الحركات'!E:E,MATCH(1942,'بيانات الحركات'!$G:$G,0)),""))</f>
        <v/>
      </c>
      <c r="F1943" s="3" t="str">
        <f>IFERROR(INDEX('بيانات الحركات'!F:F,MATCH(1942,'بيانات الحركات'!$G:$G,0)),"")</f>
        <v/>
      </c>
    </row>
    <row r="1944" spans="1:6" ht="21.95" customHeight="1">
      <c r="A1944" s="8" t="str">
        <f>IFERROR(INDEX('بيانات الحركات'!A:A,MATCH(1943,'بيانات الحركات'!$G:$G,0)),"")</f>
        <v/>
      </c>
      <c r="B1944" s="5" t="str">
        <f>IFERROR(INDEX('بيانات الحركات'!B:B,MATCH(1943,'بيانات الحركات'!$G:$G,0)),"")</f>
        <v/>
      </c>
      <c r="C1944" s="3" t="str">
        <f>IFERROR(INDEX('بيانات الحركات'!C:C,MATCH(1943,'بيانات الحركات'!$G:$G,0)),"")</f>
        <v/>
      </c>
      <c r="D1944" s="3" t="str">
        <f>IFERROR(INDEX('بيانات الحركات'!D:D,MATCH(1943,'بيانات الحركات'!$G:$G,0)),"")</f>
        <v/>
      </c>
      <c r="E1944" s="21" t="str">
        <f>IF($B1944="إنتاج طبخة","",IFERROR(INDEX('بيانات الحركات'!E:E,MATCH(1943,'بيانات الحركات'!$G:$G,0)),""))</f>
        <v/>
      </c>
      <c r="F1944" s="3" t="str">
        <f>IFERROR(INDEX('بيانات الحركات'!F:F,MATCH(1943,'بيانات الحركات'!$G:$G,0)),"")</f>
        <v/>
      </c>
    </row>
    <row r="1945" spans="1:6" ht="21.95" customHeight="1">
      <c r="A1945" s="8" t="str">
        <f>IFERROR(INDEX('بيانات الحركات'!A:A,MATCH(1944,'بيانات الحركات'!$G:$G,0)),"")</f>
        <v/>
      </c>
      <c r="B1945" s="5" t="str">
        <f>IFERROR(INDEX('بيانات الحركات'!B:B,MATCH(1944,'بيانات الحركات'!$G:$G,0)),"")</f>
        <v/>
      </c>
      <c r="C1945" s="3" t="str">
        <f>IFERROR(INDEX('بيانات الحركات'!C:C,MATCH(1944,'بيانات الحركات'!$G:$G,0)),"")</f>
        <v/>
      </c>
      <c r="D1945" s="3" t="str">
        <f>IFERROR(INDEX('بيانات الحركات'!D:D,MATCH(1944,'بيانات الحركات'!$G:$G,0)),"")</f>
        <v/>
      </c>
      <c r="E1945" s="21" t="str">
        <f>IF($B1945="إنتاج طبخة","",IFERROR(INDEX('بيانات الحركات'!E:E,MATCH(1944,'بيانات الحركات'!$G:$G,0)),""))</f>
        <v/>
      </c>
      <c r="F1945" s="3" t="str">
        <f>IFERROR(INDEX('بيانات الحركات'!F:F,MATCH(1944,'بيانات الحركات'!$G:$G,0)),"")</f>
        <v/>
      </c>
    </row>
    <row r="1946" spans="1:6" ht="21.95" customHeight="1">
      <c r="A1946" s="8" t="str">
        <f>IFERROR(INDEX('بيانات الحركات'!A:A,MATCH(1945,'بيانات الحركات'!$G:$G,0)),"")</f>
        <v/>
      </c>
      <c r="B1946" s="5" t="str">
        <f>IFERROR(INDEX('بيانات الحركات'!B:B,MATCH(1945,'بيانات الحركات'!$G:$G,0)),"")</f>
        <v/>
      </c>
      <c r="C1946" s="3" t="str">
        <f>IFERROR(INDEX('بيانات الحركات'!C:C,MATCH(1945,'بيانات الحركات'!$G:$G,0)),"")</f>
        <v/>
      </c>
      <c r="D1946" s="3" t="str">
        <f>IFERROR(INDEX('بيانات الحركات'!D:D,MATCH(1945,'بيانات الحركات'!$G:$G,0)),"")</f>
        <v/>
      </c>
      <c r="E1946" s="21" t="str">
        <f>IF($B1946="إنتاج طبخة","",IFERROR(INDEX('بيانات الحركات'!E:E,MATCH(1945,'بيانات الحركات'!$G:$G,0)),""))</f>
        <v/>
      </c>
      <c r="F1946" s="3" t="str">
        <f>IFERROR(INDEX('بيانات الحركات'!F:F,MATCH(1945,'بيانات الحركات'!$G:$G,0)),"")</f>
        <v/>
      </c>
    </row>
    <row r="1947" spans="1:6" ht="21.95" customHeight="1">
      <c r="A1947" s="8" t="str">
        <f>IFERROR(INDEX('بيانات الحركات'!A:A,MATCH(1946,'بيانات الحركات'!$G:$G,0)),"")</f>
        <v/>
      </c>
      <c r="B1947" s="5" t="str">
        <f>IFERROR(INDEX('بيانات الحركات'!B:B,MATCH(1946,'بيانات الحركات'!$G:$G,0)),"")</f>
        <v/>
      </c>
      <c r="C1947" s="3" t="str">
        <f>IFERROR(INDEX('بيانات الحركات'!C:C,MATCH(1946,'بيانات الحركات'!$G:$G,0)),"")</f>
        <v/>
      </c>
      <c r="D1947" s="3" t="str">
        <f>IFERROR(INDEX('بيانات الحركات'!D:D,MATCH(1946,'بيانات الحركات'!$G:$G,0)),"")</f>
        <v/>
      </c>
      <c r="E1947" s="21" t="str">
        <f>IF($B1947="إنتاج طبخة","",IFERROR(INDEX('بيانات الحركات'!E:E,MATCH(1946,'بيانات الحركات'!$G:$G,0)),""))</f>
        <v/>
      </c>
      <c r="F1947" s="3" t="str">
        <f>IFERROR(INDEX('بيانات الحركات'!F:F,MATCH(1946,'بيانات الحركات'!$G:$G,0)),"")</f>
        <v/>
      </c>
    </row>
    <row r="1948" spans="1:6" ht="21.95" customHeight="1">
      <c r="A1948" s="8" t="str">
        <f>IFERROR(INDEX('بيانات الحركات'!A:A,MATCH(1947,'بيانات الحركات'!$G:$G,0)),"")</f>
        <v/>
      </c>
      <c r="B1948" s="5" t="str">
        <f>IFERROR(INDEX('بيانات الحركات'!B:B,MATCH(1947,'بيانات الحركات'!$G:$G,0)),"")</f>
        <v/>
      </c>
      <c r="C1948" s="3" t="str">
        <f>IFERROR(INDEX('بيانات الحركات'!C:C,MATCH(1947,'بيانات الحركات'!$G:$G,0)),"")</f>
        <v/>
      </c>
      <c r="D1948" s="3" t="str">
        <f>IFERROR(INDEX('بيانات الحركات'!D:D,MATCH(1947,'بيانات الحركات'!$G:$G,0)),"")</f>
        <v/>
      </c>
      <c r="E1948" s="21" t="str">
        <f>IF($B1948="إنتاج طبخة","",IFERROR(INDEX('بيانات الحركات'!E:E,MATCH(1947,'بيانات الحركات'!$G:$G,0)),""))</f>
        <v/>
      </c>
      <c r="F1948" s="3" t="str">
        <f>IFERROR(INDEX('بيانات الحركات'!F:F,MATCH(1947,'بيانات الحركات'!$G:$G,0)),"")</f>
        <v/>
      </c>
    </row>
    <row r="1949" spans="1:6" ht="21.95" customHeight="1">
      <c r="A1949" s="8" t="str">
        <f>IFERROR(INDEX('بيانات الحركات'!A:A,MATCH(1948,'بيانات الحركات'!$G:$G,0)),"")</f>
        <v/>
      </c>
      <c r="B1949" s="5" t="str">
        <f>IFERROR(INDEX('بيانات الحركات'!B:B,MATCH(1948,'بيانات الحركات'!$G:$G,0)),"")</f>
        <v/>
      </c>
      <c r="C1949" s="3" t="str">
        <f>IFERROR(INDEX('بيانات الحركات'!C:C,MATCH(1948,'بيانات الحركات'!$G:$G,0)),"")</f>
        <v/>
      </c>
      <c r="D1949" s="3" t="str">
        <f>IFERROR(INDEX('بيانات الحركات'!D:D,MATCH(1948,'بيانات الحركات'!$G:$G,0)),"")</f>
        <v/>
      </c>
      <c r="E1949" s="21" t="str">
        <f>IF($B1949="إنتاج طبخة","",IFERROR(INDEX('بيانات الحركات'!E:E,MATCH(1948,'بيانات الحركات'!$G:$G,0)),""))</f>
        <v/>
      </c>
      <c r="F1949" s="3" t="str">
        <f>IFERROR(INDEX('بيانات الحركات'!F:F,MATCH(1948,'بيانات الحركات'!$G:$G,0)),"")</f>
        <v/>
      </c>
    </row>
    <row r="1950" spans="1:6" ht="21.95" customHeight="1">
      <c r="A1950" s="8" t="str">
        <f>IFERROR(INDEX('بيانات الحركات'!A:A,MATCH(1949,'بيانات الحركات'!$G:$G,0)),"")</f>
        <v/>
      </c>
      <c r="B1950" s="5" t="str">
        <f>IFERROR(INDEX('بيانات الحركات'!B:B,MATCH(1949,'بيانات الحركات'!$G:$G,0)),"")</f>
        <v/>
      </c>
      <c r="C1950" s="3" t="str">
        <f>IFERROR(INDEX('بيانات الحركات'!C:C,MATCH(1949,'بيانات الحركات'!$G:$G,0)),"")</f>
        <v/>
      </c>
      <c r="D1950" s="3" t="str">
        <f>IFERROR(INDEX('بيانات الحركات'!D:D,MATCH(1949,'بيانات الحركات'!$G:$G,0)),"")</f>
        <v/>
      </c>
      <c r="E1950" s="21" t="str">
        <f>IF($B1950="إنتاج طبخة","",IFERROR(INDEX('بيانات الحركات'!E:E,MATCH(1949,'بيانات الحركات'!$G:$G,0)),""))</f>
        <v/>
      </c>
      <c r="F1950" s="3" t="str">
        <f>IFERROR(INDEX('بيانات الحركات'!F:F,MATCH(1949,'بيانات الحركات'!$G:$G,0)),"")</f>
        <v/>
      </c>
    </row>
    <row r="1951" spans="1:6" ht="21.95" customHeight="1">
      <c r="A1951" s="8" t="str">
        <f>IFERROR(INDEX('بيانات الحركات'!A:A,MATCH(1950,'بيانات الحركات'!$G:$G,0)),"")</f>
        <v/>
      </c>
      <c r="B1951" s="5" t="str">
        <f>IFERROR(INDEX('بيانات الحركات'!B:B,MATCH(1950,'بيانات الحركات'!$G:$G,0)),"")</f>
        <v/>
      </c>
      <c r="C1951" s="3" t="str">
        <f>IFERROR(INDEX('بيانات الحركات'!C:C,MATCH(1950,'بيانات الحركات'!$G:$G,0)),"")</f>
        <v/>
      </c>
      <c r="D1951" s="3" t="str">
        <f>IFERROR(INDEX('بيانات الحركات'!D:D,MATCH(1950,'بيانات الحركات'!$G:$G,0)),"")</f>
        <v/>
      </c>
      <c r="E1951" s="21" t="str">
        <f>IF($B1951="إنتاج طبخة","",IFERROR(INDEX('بيانات الحركات'!E:E,MATCH(1950,'بيانات الحركات'!$G:$G,0)),""))</f>
        <v/>
      </c>
      <c r="F1951" s="3" t="str">
        <f>IFERROR(INDEX('بيانات الحركات'!F:F,MATCH(1950,'بيانات الحركات'!$G:$G,0)),"")</f>
        <v/>
      </c>
    </row>
    <row r="1952" spans="1:6" ht="21.95" customHeight="1">
      <c r="A1952" s="8" t="str">
        <f>IFERROR(INDEX('بيانات الحركات'!A:A,MATCH(1951,'بيانات الحركات'!$G:$G,0)),"")</f>
        <v/>
      </c>
      <c r="B1952" s="5" t="str">
        <f>IFERROR(INDEX('بيانات الحركات'!B:B,MATCH(1951,'بيانات الحركات'!$G:$G,0)),"")</f>
        <v/>
      </c>
      <c r="C1952" s="3" t="str">
        <f>IFERROR(INDEX('بيانات الحركات'!C:C,MATCH(1951,'بيانات الحركات'!$G:$G,0)),"")</f>
        <v/>
      </c>
      <c r="D1952" s="3" t="str">
        <f>IFERROR(INDEX('بيانات الحركات'!D:D,MATCH(1951,'بيانات الحركات'!$G:$G,0)),"")</f>
        <v/>
      </c>
      <c r="E1952" s="21" t="str">
        <f>IF($B1952="إنتاج طبخة","",IFERROR(INDEX('بيانات الحركات'!E:E,MATCH(1951,'بيانات الحركات'!$G:$G,0)),""))</f>
        <v/>
      </c>
      <c r="F1952" s="3" t="str">
        <f>IFERROR(INDEX('بيانات الحركات'!F:F,MATCH(1951,'بيانات الحركات'!$G:$G,0)),"")</f>
        <v/>
      </c>
    </row>
    <row r="1953" spans="1:6" ht="21.95" customHeight="1">
      <c r="A1953" s="8" t="str">
        <f>IFERROR(INDEX('بيانات الحركات'!A:A,MATCH(1952,'بيانات الحركات'!$G:$G,0)),"")</f>
        <v/>
      </c>
      <c r="B1953" s="5" t="str">
        <f>IFERROR(INDEX('بيانات الحركات'!B:B,MATCH(1952,'بيانات الحركات'!$G:$G,0)),"")</f>
        <v/>
      </c>
      <c r="C1953" s="3" t="str">
        <f>IFERROR(INDEX('بيانات الحركات'!C:C,MATCH(1952,'بيانات الحركات'!$G:$G,0)),"")</f>
        <v/>
      </c>
      <c r="D1953" s="3" t="str">
        <f>IFERROR(INDEX('بيانات الحركات'!D:D,MATCH(1952,'بيانات الحركات'!$G:$G,0)),"")</f>
        <v/>
      </c>
      <c r="E1953" s="21" t="str">
        <f>IF($B1953="إنتاج طبخة","",IFERROR(INDEX('بيانات الحركات'!E:E,MATCH(1952,'بيانات الحركات'!$G:$G,0)),""))</f>
        <v/>
      </c>
      <c r="F1953" s="3" t="str">
        <f>IFERROR(INDEX('بيانات الحركات'!F:F,MATCH(1952,'بيانات الحركات'!$G:$G,0)),"")</f>
        <v/>
      </c>
    </row>
    <row r="1954" spans="1:6" ht="21.95" customHeight="1">
      <c r="A1954" s="8" t="str">
        <f>IFERROR(INDEX('بيانات الحركات'!A:A,MATCH(1953,'بيانات الحركات'!$G:$G,0)),"")</f>
        <v/>
      </c>
      <c r="B1954" s="5" t="str">
        <f>IFERROR(INDEX('بيانات الحركات'!B:B,MATCH(1953,'بيانات الحركات'!$G:$G,0)),"")</f>
        <v/>
      </c>
      <c r="C1954" s="3" t="str">
        <f>IFERROR(INDEX('بيانات الحركات'!C:C,MATCH(1953,'بيانات الحركات'!$G:$G,0)),"")</f>
        <v/>
      </c>
      <c r="D1954" s="3" t="str">
        <f>IFERROR(INDEX('بيانات الحركات'!D:D,MATCH(1953,'بيانات الحركات'!$G:$G,0)),"")</f>
        <v/>
      </c>
      <c r="E1954" s="21" t="str">
        <f>IF($B1954="إنتاج طبخة","",IFERROR(INDEX('بيانات الحركات'!E:E,MATCH(1953,'بيانات الحركات'!$G:$G,0)),""))</f>
        <v/>
      </c>
      <c r="F1954" s="3" t="str">
        <f>IFERROR(INDEX('بيانات الحركات'!F:F,MATCH(1953,'بيانات الحركات'!$G:$G,0)),"")</f>
        <v/>
      </c>
    </row>
    <row r="1955" spans="1:6" ht="21.95" customHeight="1">
      <c r="A1955" s="8" t="str">
        <f>IFERROR(INDEX('بيانات الحركات'!A:A,MATCH(1954,'بيانات الحركات'!$G:$G,0)),"")</f>
        <v/>
      </c>
      <c r="B1955" s="5" t="str">
        <f>IFERROR(INDEX('بيانات الحركات'!B:B,MATCH(1954,'بيانات الحركات'!$G:$G,0)),"")</f>
        <v/>
      </c>
      <c r="C1955" s="3" t="str">
        <f>IFERROR(INDEX('بيانات الحركات'!C:C,MATCH(1954,'بيانات الحركات'!$G:$G,0)),"")</f>
        <v/>
      </c>
      <c r="D1955" s="3" t="str">
        <f>IFERROR(INDEX('بيانات الحركات'!D:D,MATCH(1954,'بيانات الحركات'!$G:$G,0)),"")</f>
        <v/>
      </c>
      <c r="E1955" s="21" t="str">
        <f>IF($B1955="إنتاج طبخة","",IFERROR(INDEX('بيانات الحركات'!E:E,MATCH(1954,'بيانات الحركات'!$G:$G,0)),""))</f>
        <v/>
      </c>
      <c r="F1955" s="3" t="str">
        <f>IFERROR(INDEX('بيانات الحركات'!F:F,MATCH(1954,'بيانات الحركات'!$G:$G,0)),"")</f>
        <v/>
      </c>
    </row>
    <row r="1956" spans="1:6" ht="21.95" customHeight="1">
      <c r="A1956" s="8" t="str">
        <f>IFERROR(INDEX('بيانات الحركات'!A:A,MATCH(1955,'بيانات الحركات'!$G:$G,0)),"")</f>
        <v/>
      </c>
      <c r="B1956" s="5" t="str">
        <f>IFERROR(INDEX('بيانات الحركات'!B:B,MATCH(1955,'بيانات الحركات'!$G:$G,0)),"")</f>
        <v/>
      </c>
      <c r="C1956" s="3" t="str">
        <f>IFERROR(INDEX('بيانات الحركات'!C:C,MATCH(1955,'بيانات الحركات'!$G:$G,0)),"")</f>
        <v/>
      </c>
      <c r="D1956" s="3" t="str">
        <f>IFERROR(INDEX('بيانات الحركات'!D:D,MATCH(1955,'بيانات الحركات'!$G:$G,0)),"")</f>
        <v/>
      </c>
      <c r="E1956" s="21" t="str">
        <f>IF($B1956="إنتاج طبخة","",IFERROR(INDEX('بيانات الحركات'!E:E,MATCH(1955,'بيانات الحركات'!$G:$G,0)),""))</f>
        <v/>
      </c>
      <c r="F1956" s="3" t="str">
        <f>IFERROR(INDEX('بيانات الحركات'!F:F,MATCH(1955,'بيانات الحركات'!$G:$G,0)),"")</f>
        <v/>
      </c>
    </row>
    <row r="1957" spans="1:6" ht="21.95" customHeight="1">
      <c r="A1957" s="8" t="str">
        <f>IFERROR(INDEX('بيانات الحركات'!A:A,MATCH(1956,'بيانات الحركات'!$G:$G,0)),"")</f>
        <v/>
      </c>
      <c r="B1957" s="5" t="str">
        <f>IFERROR(INDEX('بيانات الحركات'!B:B,MATCH(1956,'بيانات الحركات'!$G:$G,0)),"")</f>
        <v/>
      </c>
      <c r="C1957" s="3" t="str">
        <f>IFERROR(INDEX('بيانات الحركات'!C:C,MATCH(1956,'بيانات الحركات'!$G:$G,0)),"")</f>
        <v/>
      </c>
      <c r="D1957" s="3" t="str">
        <f>IFERROR(INDEX('بيانات الحركات'!D:D,MATCH(1956,'بيانات الحركات'!$G:$G,0)),"")</f>
        <v/>
      </c>
      <c r="E1957" s="21" t="str">
        <f>IF($B1957="إنتاج طبخة","",IFERROR(INDEX('بيانات الحركات'!E:E,MATCH(1956,'بيانات الحركات'!$G:$G,0)),""))</f>
        <v/>
      </c>
      <c r="F1957" s="3" t="str">
        <f>IFERROR(INDEX('بيانات الحركات'!F:F,MATCH(1956,'بيانات الحركات'!$G:$G,0)),"")</f>
        <v/>
      </c>
    </row>
    <row r="1958" spans="1:6" ht="21.95" customHeight="1">
      <c r="A1958" s="8" t="str">
        <f>IFERROR(INDEX('بيانات الحركات'!A:A,MATCH(1957,'بيانات الحركات'!$G:$G,0)),"")</f>
        <v/>
      </c>
      <c r="B1958" s="5" t="str">
        <f>IFERROR(INDEX('بيانات الحركات'!B:B,MATCH(1957,'بيانات الحركات'!$G:$G,0)),"")</f>
        <v/>
      </c>
      <c r="C1958" s="3" t="str">
        <f>IFERROR(INDEX('بيانات الحركات'!C:C,MATCH(1957,'بيانات الحركات'!$G:$G,0)),"")</f>
        <v/>
      </c>
      <c r="D1958" s="3" t="str">
        <f>IFERROR(INDEX('بيانات الحركات'!D:D,MATCH(1957,'بيانات الحركات'!$G:$G,0)),"")</f>
        <v/>
      </c>
      <c r="E1958" s="21" t="str">
        <f>IF($B1958="إنتاج طبخة","",IFERROR(INDEX('بيانات الحركات'!E:E,MATCH(1957,'بيانات الحركات'!$G:$G,0)),""))</f>
        <v/>
      </c>
      <c r="F1958" s="3" t="str">
        <f>IFERROR(INDEX('بيانات الحركات'!F:F,MATCH(1957,'بيانات الحركات'!$G:$G,0)),"")</f>
        <v/>
      </c>
    </row>
    <row r="1959" spans="1:6" ht="21.95" customHeight="1">
      <c r="A1959" s="8" t="str">
        <f>IFERROR(INDEX('بيانات الحركات'!A:A,MATCH(1958,'بيانات الحركات'!$G:$G,0)),"")</f>
        <v/>
      </c>
      <c r="B1959" s="5" t="str">
        <f>IFERROR(INDEX('بيانات الحركات'!B:B,MATCH(1958,'بيانات الحركات'!$G:$G,0)),"")</f>
        <v/>
      </c>
      <c r="C1959" s="3" t="str">
        <f>IFERROR(INDEX('بيانات الحركات'!C:C,MATCH(1958,'بيانات الحركات'!$G:$G,0)),"")</f>
        <v/>
      </c>
      <c r="D1959" s="3" t="str">
        <f>IFERROR(INDEX('بيانات الحركات'!D:D,MATCH(1958,'بيانات الحركات'!$G:$G,0)),"")</f>
        <v/>
      </c>
      <c r="E1959" s="21" t="str">
        <f>IF($B1959="إنتاج طبخة","",IFERROR(INDEX('بيانات الحركات'!E:E,MATCH(1958,'بيانات الحركات'!$G:$G,0)),""))</f>
        <v/>
      </c>
      <c r="F1959" s="3" t="str">
        <f>IFERROR(INDEX('بيانات الحركات'!F:F,MATCH(1958,'بيانات الحركات'!$G:$G,0)),"")</f>
        <v/>
      </c>
    </row>
    <row r="1960" spans="1:6" ht="21.95" customHeight="1">
      <c r="A1960" s="8" t="str">
        <f>IFERROR(INDEX('بيانات الحركات'!A:A,MATCH(1959,'بيانات الحركات'!$G:$G,0)),"")</f>
        <v/>
      </c>
      <c r="B1960" s="5" t="str">
        <f>IFERROR(INDEX('بيانات الحركات'!B:B,MATCH(1959,'بيانات الحركات'!$G:$G,0)),"")</f>
        <v/>
      </c>
      <c r="C1960" s="3" t="str">
        <f>IFERROR(INDEX('بيانات الحركات'!C:C,MATCH(1959,'بيانات الحركات'!$G:$G,0)),"")</f>
        <v/>
      </c>
      <c r="D1960" s="3" t="str">
        <f>IFERROR(INDEX('بيانات الحركات'!D:D,MATCH(1959,'بيانات الحركات'!$G:$G,0)),"")</f>
        <v/>
      </c>
      <c r="E1960" s="21" t="str">
        <f>IF($B1960="إنتاج طبخة","",IFERROR(INDEX('بيانات الحركات'!E:E,MATCH(1959,'بيانات الحركات'!$G:$G,0)),""))</f>
        <v/>
      </c>
      <c r="F1960" s="3" t="str">
        <f>IFERROR(INDEX('بيانات الحركات'!F:F,MATCH(1959,'بيانات الحركات'!$G:$G,0)),"")</f>
        <v/>
      </c>
    </row>
    <row r="1961" spans="1:6" ht="21.95" customHeight="1">
      <c r="A1961" s="8" t="str">
        <f>IFERROR(INDEX('بيانات الحركات'!A:A,MATCH(1960,'بيانات الحركات'!$G:$G,0)),"")</f>
        <v/>
      </c>
      <c r="B1961" s="5" t="str">
        <f>IFERROR(INDEX('بيانات الحركات'!B:B,MATCH(1960,'بيانات الحركات'!$G:$G,0)),"")</f>
        <v/>
      </c>
      <c r="C1961" s="3" t="str">
        <f>IFERROR(INDEX('بيانات الحركات'!C:C,MATCH(1960,'بيانات الحركات'!$G:$G,0)),"")</f>
        <v/>
      </c>
      <c r="D1961" s="3" t="str">
        <f>IFERROR(INDEX('بيانات الحركات'!D:D,MATCH(1960,'بيانات الحركات'!$G:$G,0)),"")</f>
        <v/>
      </c>
      <c r="E1961" s="21" t="str">
        <f>IF($B1961="إنتاج طبخة","",IFERROR(INDEX('بيانات الحركات'!E:E,MATCH(1960,'بيانات الحركات'!$G:$G,0)),""))</f>
        <v/>
      </c>
      <c r="F1961" s="3" t="str">
        <f>IFERROR(INDEX('بيانات الحركات'!F:F,MATCH(1960,'بيانات الحركات'!$G:$G,0)),"")</f>
        <v/>
      </c>
    </row>
    <row r="1962" spans="1:6" ht="21.95" customHeight="1">
      <c r="A1962" s="8" t="str">
        <f>IFERROR(INDEX('بيانات الحركات'!A:A,MATCH(1961,'بيانات الحركات'!$G:$G,0)),"")</f>
        <v/>
      </c>
      <c r="B1962" s="5" t="str">
        <f>IFERROR(INDEX('بيانات الحركات'!B:B,MATCH(1961,'بيانات الحركات'!$G:$G,0)),"")</f>
        <v/>
      </c>
      <c r="C1962" s="3" t="str">
        <f>IFERROR(INDEX('بيانات الحركات'!C:C,MATCH(1961,'بيانات الحركات'!$G:$G,0)),"")</f>
        <v/>
      </c>
      <c r="D1962" s="3" t="str">
        <f>IFERROR(INDEX('بيانات الحركات'!D:D,MATCH(1961,'بيانات الحركات'!$G:$G,0)),"")</f>
        <v/>
      </c>
      <c r="E1962" s="21" t="str">
        <f>IF($B1962="إنتاج طبخة","",IFERROR(INDEX('بيانات الحركات'!E:E,MATCH(1961,'بيانات الحركات'!$G:$G,0)),""))</f>
        <v/>
      </c>
      <c r="F1962" s="3" t="str">
        <f>IFERROR(INDEX('بيانات الحركات'!F:F,MATCH(1961,'بيانات الحركات'!$G:$G,0)),"")</f>
        <v/>
      </c>
    </row>
    <row r="1963" spans="1:6" ht="21.95" customHeight="1">
      <c r="A1963" s="8" t="str">
        <f>IFERROR(INDEX('بيانات الحركات'!A:A,MATCH(1962,'بيانات الحركات'!$G:$G,0)),"")</f>
        <v/>
      </c>
      <c r="B1963" s="5" t="str">
        <f>IFERROR(INDEX('بيانات الحركات'!B:B,MATCH(1962,'بيانات الحركات'!$G:$G,0)),"")</f>
        <v/>
      </c>
      <c r="C1963" s="3" t="str">
        <f>IFERROR(INDEX('بيانات الحركات'!C:C,MATCH(1962,'بيانات الحركات'!$G:$G,0)),"")</f>
        <v/>
      </c>
      <c r="D1963" s="3" t="str">
        <f>IFERROR(INDEX('بيانات الحركات'!D:D,MATCH(1962,'بيانات الحركات'!$G:$G,0)),"")</f>
        <v/>
      </c>
      <c r="E1963" s="21" t="str">
        <f>IF($B1963="إنتاج طبخة","",IFERROR(INDEX('بيانات الحركات'!E:E,MATCH(1962,'بيانات الحركات'!$G:$G,0)),""))</f>
        <v/>
      </c>
      <c r="F1963" s="3" t="str">
        <f>IFERROR(INDEX('بيانات الحركات'!F:F,MATCH(1962,'بيانات الحركات'!$G:$G,0)),"")</f>
        <v/>
      </c>
    </row>
    <row r="1964" spans="1:6" ht="21.95" customHeight="1">
      <c r="A1964" s="8" t="str">
        <f>IFERROR(INDEX('بيانات الحركات'!A:A,MATCH(1963,'بيانات الحركات'!$G:$G,0)),"")</f>
        <v/>
      </c>
      <c r="B1964" s="5" t="str">
        <f>IFERROR(INDEX('بيانات الحركات'!B:B,MATCH(1963,'بيانات الحركات'!$G:$G,0)),"")</f>
        <v/>
      </c>
      <c r="C1964" s="3" t="str">
        <f>IFERROR(INDEX('بيانات الحركات'!C:C,MATCH(1963,'بيانات الحركات'!$G:$G,0)),"")</f>
        <v/>
      </c>
      <c r="D1964" s="3" t="str">
        <f>IFERROR(INDEX('بيانات الحركات'!D:D,MATCH(1963,'بيانات الحركات'!$G:$G,0)),"")</f>
        <v/>
      </c>
      <c r="E1964" s="21" t="str">
        <f>IF($B1964="إنتاج طبخة","",IFERROR(INDEX('بيانات الحركات'!E:E,MATCH(1963,'بيانات الحركات'!$G:$G,0)),""))</f>
        <v/>
      </c>
      <c r="F1964" s="3" t="str">
        <f>IFERROR(INDEX('بيانات الحركات'!F:F,MATCH(1963,'بيانات الحركات'!$G:$G,0)),"")</f>
        <v/>
      </c>
    </row>
    <row r="1965" spans="1:6" ht="21.95" customHeight="1">
      <c r="A1965" s="8" t="str">
        <f>IFERROR(INDEX('بيانات الحركات'!A:A,MATCH(1964,'بيانات الحركات'!$G:$G,0)),"")</f>
        <v/>
      </c>
      <c r="B1965" s="5" t="str">
        <f>IFERROR(INDEX('بيانات الحركات'!B:B,MATCH(1964,'بيانات الحركات'!$G:$G,0)),"")</f>
        <v/>
      </c>
      <c r="C1965" s="3" t="str">
        <f>IFERROR(INDEX('بيانات الحركات'!C:C,MATCH(1964,'بيانات الحركات'!$G:$G,0)),"")</f>
        <v/>
      </c>
      <c r="D1965" s="3" t="str">
        <f>IFERROR(INDEX('بيانات الحركات'!D:D,MATCH(1964,'بيانات الحركات'!$G:$G,0)),"")</f>
        <v/>
      </c>
      <c r="E1965" s="21" t="str">
        <f>IF($B1965="إنتاج طبخة","",IFERROR(INDEX('بيانات الحركات'!E:E,MATCH(1964,'بيانات الحركات'!$G:$G,0)),""))</f>
        <v/>
      </c>
      <c r="F1965" s="3" t="str">
        <f>IFERROR(INDEX('بيانات الحركات'!F:F,MATCH(1964,'بيانات الحركات'!$G:$G,0)),"")</f>
        <v/>
      </c>
    </row>
    <row r="1966" spans="1:6" ht="21.95" customHeight="1">
      <c r="A1966" s="8" t="str">
        <f>IFERROR(INDEX('بيانات الحركات'!A:A,MATCH(1965,'بيانات الحركات'!$G:$G,0)),"")</f>
        <v/>
      </c>
      <c r="B1966" s="5" t="str">
        <f>IFERROR(INDEX('بيانات الحركات'!B:B,MATCH(1965,'بيانات الحركات'!$G:$G,0)),"")</f>
        <v/>
      </c>
      <c r="C1966" s="3" t="str">
        <f>IFERROR(INDEX('بيانات الحركات'!C:C,MATCH(1965,'بيانات الحركات'!$G:$G,0)),"")</f>
        <v/>
      </c>
      <c r="D1966" s="3" t="str">
        <f>IFERROR(INDEX('بيانات الحركات'!D:D,MATCH(1965,'بيانات الحركات'!$G:$G,0)),"")</f>
        <v/>
      </c>
      <c r="E1966" s="21" t="str">
        <f>IF($B1966="إنتاج طبخة","",IFERROR(INDEX('بيانات الحركات'!E:E,MATCH(1965,'بيانات الحركات'!$G:$G,0)),""))</f>
        <v/>
      </c>
      <c r="F1966" s="3" t="str">
        <f>IFERROR(INDEX('بيانات الحركات'!F:F,MATCH(1965,'بيانات الحركات'!$G:$G,0)),"")</f>
        <v/>
      </c>
    </row>
    <row r="1967" spans="1:6" ht="21.95" customHeight="1">
      <c r="A1967" s="8" t="str">
        <f>IFERROR(INDEX('بيانات الحركات'!A:A,MATCH(1966,'بيانات الحركات'!$G:$G,0)),"")</f>
        <v/>
      </c>
      <c r="B1967" s="5" t="str">
        <f>IFERROR(INDEX('بيانات الحركات'!B:B,MATCH(1966,'بيانات الحركات'!$G:$G,0)),"")</f>
        <v/>
      </c>
      <c r="C1967" s="3" t="str">
        <f>IFERROR(INDEX('بيانات الحركات'!C:C,MATCH(1966,'بيانات الحركات'!$G:$G,0)),"")</f>
        <v/>
      </c>
      <c r="D1967" s="3" t="str">
        <f>IFERROR(INDEX('بيانات الحركات'!D:D,MATCH(1966,'بيانات الحركات'!$G:$G,0)),"")</f>
        <v/>
      </c>
      <c r="E1967" s="21" t="str">
        <f>IF($B1967="إنتاج طبخة","",IFERROR(INDEX('بيانات الحركات'!E:E,MATCH(1966,'بيانات الحركات'!$G:$G,0)),""))</f>
        <v/>
      </c>
      <c r="F1967" s="3" t="str">
        <f>IFERROR(INDEX('بيانات الحركات'!F:F,MATCH(1966,'بيانات الحركات'!$G:$G,0)),"")</f>
        <v/>
      </c>
    </row>
    <row r="1968" spans="1:6" ht="21.95" customHeight="1">
      <c r="A1968" s="8" t="str">
        <f>IFERROR(INDEX('بيانات الحركات'!A:A,MATCH(1967,'بيانات الحركات'!$G:$G,0)),"")</f>
        <v/>
      </c>
      <c r="B1968" s="5" t="str">
        <f>IFERROR(INDEX('بيانات الحركات'!B:B,MATCH(1967,'بيانات الحركات'!$G:$G,0)),"")</f>
        <v/>
      </c>
      <c r="C1968" s="3" t="str">
        <f>IFERROR(INDEX('بيانات الحركات'!C:C,MATCH(1967,'بيانات الحركات'!$G:$G,0)),"")</f>
        <v/>
      </c>
      <c r="D1968" s="3" t="str">
        <f>IFERROR(INDEX('بيانات الحركات'!D:D,MATCH(1967,'بيانات الحركات'!$G:$G,0)),"")</f>
        <v/>
      </c>
      <c r="E1968" s="21" t="str">
        <f>IF($B1968="إنتاج طبخة","",IFERROR(INDEX('بيانات الحركات'!E:E,MATCH(1967,'بيانات الحركات'!$G:$G,0)),""))</f>
        <v/>
      </c>
      <c r="F1968" s="3" t="str">
        <f>IFERROR(INDEX('بيانات الحركات'!F:F,MATCH(1967,'بيانات الحركات'!$G:$G,0)),"")</f>
        <v/>
      </c>
    </row>
    <row r="1969" spans="1:6" ht="21.95" customHeight="1">
      <c r="A1969" s="8" t="str">
        <f>IFERROR(INDEX('بيانات الحركات'!A:A,MATCH(1968,'بيانات الحركات'!$G:$G,0)),"")</f>
        <v/>
      </c>
      <c r="B1969" s="5" t="str">
        <f>IFERROR(INDEX('بيانات الحركات'!B:B,MATCH(1968,'بيانات الحركات'!$G:$G,0)),"")</f>
        <v/>
      </c>
      <c r="C1969" s="3" t="str">
        <f>IFERROR(INDEX('بيانات الحركات'!C:C,MATCH(1968,'بيانات الحركات'!$G:$G,0)),"")</f>
        <v/>
      </c>
      <c r="D1969" s="3" t="str">
        <f>IFERROR(INDEX('بيانات الحركات'!D:D,MATCH(1968,'بيانات الحركات'!$G:$G,0)),"")</f>
        <v/>
      </c>
      <c r="E1969" s="21" t="str">
        <f>IF($B1969="إنتاج طبخة","",IFERROR(INDEX('بيانات الحركات'!E:E,MATCH(1968,'بيانات الحركات'!$G:$G,0)),""))</f>
        <v/>
      </c>
      <c r="F1969" s="3" t="str">
        <f>IFERROR(INDEX('بيانات الحركات'!F:F,MATCH(1968,'بيانات الحركات'!$G:$G,0)),"")</f>
        <v/>
      </c>
    </row>
    <row r="1970" spans="1:6" ht="21.95" customHeight="1">
      <c r="A1970" s="8" t="str">
        <f>IFERROR(INDEX('بيانات الحركات'!A:A,MATCH(1969,'بيانات الحركات'!$G:$G,0)),"")</f>
        <v/>
      </c>
      <c r="B1970" s="5" t="str">
        <f>IFERROR(INDEX('بيانات الحركات'!B:B,MATCH(1969,'بيانات الحركات'!$G:$G,0)),"")</f>
        <v/>
      </c>
      <c r="C1970" s="3" t="str">
        <f>IFERROR(INDEX('بيانات الحركات'!C:C,MATCH(1969,'بيانات الحركات'!$G:$G,0)),"")</f>
        <v/>
      </c>
      <c r="D1970" s="3" t="str">
        <f>IFERROR(INDEX('بيانات الحركات'!D:D,MATCH(1969,'بيانات الحركات'!$G:$G,0)),"")</f>
        <v/>
      </c>
      <c r="E1970" s="21" t="str">
        <f>IF($B1970="إنتاج طبخة","",IFERROR(INDEX('بيانات الحركات'!E:E,MATCH(1969,'بيانات الحركات'!$G:$G,0)),""))</f>
        <v/>
      </c>
      <c r="F1970" s="3" t="str">
        <f>IFERROR(INDEX('بيانات الحركات'!F:F,MATCH(1969,'بيانات الحركات'!$G:$G,0)),"")</f>
        <v/>
      </c>
    </row>
    <row r="1971" spans="1:6" ht="21.95" customHeight="1">
      <c r="A1971" s="8" t="str">
        <f>IFERROR(INDEX('بيانات الحركات'!A:A,MATCH(1970,'بيانات الحركات'!$G:$G,0)),"")</f>
        <v/>
      </c>
      <c r="B1971" s="5" t="str">
        <f>IFERROR(INDEX('بيانات الحركات'!B:B,MATCH(1970,'بيانات الحركات'!$G:$G,0)),"")</f>
        <v/>
      </c>
      <c r="C1971" s="3" t="str">
        <f>IFERROR(INDEX('بيانات الحركات'!C:C,MATCH(1970,'بيانات الحركات'!$G:$G,0)),"")</f>
        <v/>
      </c>
      <c r="D1971" s="3" t="str">
        <f>IFERROR(INDEX('بيانات الحركات'!D:D,MATCH(1970,'بيانات الحركات'!$G:$G,0)),"")</f>
        <v/>
      </c>
      <c r="E1971" s="21" t="str">
        <f>IF($B1971="إنتاج طبخة","",IFERROR(INDEX('بيانات الحركات'!E:E,MATCH(1970,'بيانات الحركات'!$G:$G,0)),""))</f>
        <v/>
      </c>
      <c r="F1971" s="3" t="str">
        <f>IFERROR(INDEX('بيانات الحركات'!F:F,MATCH(1970,'بيانات الحركات'!$G:$G,0)),"")</f>
        <v/>
      </c>
    </row>
    <row r="1972" spans="1:6" ht="21.95" customHeight="1">
      <c r="A1972" s="8" t="str">
        <f>IFERROR(INDEX('بيانات الحركات'!A:A,MATCH(1971,'بيانات الحركات'!$G:$G,0)),"")</f>
        <v/>
      </c>
      <c r="B1972" s="5" t="str">
        <f>IFERROR(INDEX('بيانات الحركات'!B:B,MATCH(1971,'بيانات الحركات'!$G:$G,0)),"")</f>
        <v/>
      </c>
      <c r="C1972" s="3" t="str">
        <f>IFERROR(INDEX('بيانات الحركات'!C:C,MATCH(1971,'بيانات الحركات'!$G:$G,0)),"")</f>
        <v/>
      </c>
      <c r="D1972" s="3" t="str">
        <f>IFERROR(INDEX('بيانات الحركات'!D:D,MATCH(1971,'بيانات الحركات'!$G:$G,0)),"")</f>
        <v/>
      </c>
      <c r="E1972" s="21" t="str">
        <f>IF($B1972="إنتاج طبخة","",IFERROR(INDEX('بيانات الحركات'!E:E,MATCH(1971,'بيانات الحركات'!$G:$G,0)),""))</f>
        <v/>
      </c>
      <c r="F1972" s="3" t="str">
        <f>IFERROR(INDEX('بيانات الحركات'!F:F,MATCH(1971,'بيانات الحركات'!$G:$G,0)),"")</f>
        <v/>
      </c>
    </row>
    <row r="1973" spans="1:6" ht="21.95" customHeight="1">
      <c r="A1973" s="8" t="str">
        <f>IFERROR(INDEX('بيانات الحركات'!A:A,MATCH(1972,'بيانات الحركات'!$G:$G,0)),"")</f>
        <v/>
      </c>
      <c r="B1973" s="5" t="str">
        <f>IFERROR(INDEX('بيانات الحركات'!B:B,MATCH(1972,'بيانات الحركات'!$G:$G,0)),"")</f>
        <v/>
      </c>
      <c r="C1973" s="3" t="str">
        <f>IFERROR(INDEX('بيانات الحركات'!C:C,MATCH(1972,'بيانات الحركات'!$G:$G,0)),"")</f>
        <v/>
      </c>
      <c r="D1973" s="3" t="str">
        <f>IFERROR(INDEX('بيانات الحركات'!D:D,MATCH(1972,'بيانات الحركات'!$G:$G,0)),"")</f>
        <v/>
      </c>
      <c r="E1973" s="21" t="str">
        <f>IF($B1973="إنتاج طبخة","",IFERROR(INDEX('بيانات الحركات'!E:E,MATCH(1972,'بيانات الحركات'!$G:$G,0)),""))</f>
        <v/>
      </c>
      <c r="F1973" s="3" t="str">
        <f>IFERROR(INDEX('بيانات الحركات'!F:F,MATCH(1972,'بيانات الحركات'!$G:$G,0)),"")</f>
        <v/>
      </c>
    </row>
    <row r="1974" spans="1:6" ht="21.95" customHeight="1">
      <c r="A1974" s="8" t="str">
        <f>IFERROR(INDEX('بيانات الحركات'!A:A,MATCH(1973,'بيانات الحركات'!$G:$G,0)),"")</f>
        <v/>
      </c>
      <c r="B1974" s="5" t="str">
        <f>IFERROR(INDEX('بيانات الحركات'!B:B,MATCH(1973,'بيانات الحركات'!$G:$G,0)),"")</f>
        <v/>
      </c>
      <c r="C1974" s="3" t="str">
        <f>IFERROR(INDEX('بيانات الحركات'!C:C,MATCH(1973,'بيانات الحركات'!$G:$G,0)),"")</f>
        <v/>
      </c>
      <c r="D1974" s="3" t="str">
        <f>IFERROR(INDEX('بيانات الحركات'!D:D,MATCH(1973,'بيانات الحركات'!$G:$G,0)),"")</f>
        <v/>
      </c>
      <c r="E1974" s="21" t="str">
        <f>IF($B1974="إنتاج طبخة","",IFERROR(INDEX('بيانات الحركات'!E:E,MATCH(1973,'بيانات الحركات'!$G:$G,0)),""))</f>
        <v/>
      </c>
      <c r="F1974" s="3" t="str">
        <f>IFERROR(INDEX('بيانات الحركات'!F:F,MATCH(1973,'بيانات الحركات'!$G:$G,0)),"")</f>
        <v/>
      </c>
    </row>
    <row r="1975" spans="1:6" ht="21.95" customHeight="1">
      <c r="A1975" s="8" t="str">
        <f>IFERROR(INDEX('بيانات الحركات'!A:A,MATCH(1974,'بيانات الحركات'!$G:$G,0)),"")</f>
        <v/>
      </c>
      <c r="B1975" s="5" t="str">
        <f>IFERROR(INDEX('بيانات الحركات'!B:B,MATCH(1974,'بيانات الحركات'!$G:$G,0)),"")</f>
        <v/>
      </c>
      <c r="C1975" s="3" t="str">
        <f>IFERROR(INDEX('بيانات الحركات'!C:C,MATCH(1974,'بيانات الحركات'!$G:$G,0)),"")</f>
        <v/>
      </c>
      <c r="D1975" s="3" t="str">
        <f>IFERROR(INDEX('بيانات الحركات'!D:D,MATCH(1974,'بيانات الحركات'!$G:$G,0)),"")</f>
        <v/>
      </c>
      <c r="E1975" s="21" t="str">
        <f>IF($B1975="إنتاج طبخة","",IFERROR(INDEX('بيانات الحركات'!E:E,MATCH(1974,'بيانات الحركات'!$G:$G,0)),""))</f>
        <v/>
      </c>
      <c r="F1975" s="3" t="str">
        <f>IFERROR(INDEX('بيانات الحركات'!F:F,MATCH(1974,'بيانات الحركات'!$G:$G,0)),"")</f>
        <v/>
      </c>
    </row>
    <row r="1976" spans="1:6" ht="21.95" customHeight="1">
      <c r="A1976" s="8" t="str">
        <f>IFERROR(INDEX('بيانات الحركات'!A:A,MATCH(1975,'بيانات الحركات'!$G:$G,0)),"")</f>
        <v/>
      </c>
      <c r="B1976" s="5" t="str">
        <f>IFERROR(INDEX('بيانات الحركات'!B:B,MATCH(1975,'بيانات الحركات'!$G:$G,0)),"")</f>
        <v/>
      </c>
      <c r="C1976" s="3" t="str">
        <f>IFERROR(INDEX('بيانات الحركات'!C:C,MATCH(1975,'بيانات الحركات'!$G:$G,0)),"")</f>
        <v/>
      </c>
      <c r="D1976" s="3" t="str">
        <f>IFERROR(INDEX('بيانات الحركات'!D:D,MATCH(1975,'بيانات الحركات'!$G:$G,0)),"")</f>
        <v/>
      </c>
      <c r="E1976" s="21" t="str">
        <f>IF($B1976="إنتاج طبخة","",IFERROR(INDEX('بيانات الحركات'!E:E,MATCH(1975,'بيانات الحركات'!$G:$G,0)),""))</f>
        <v/>
      </c>
      <c r="F1976" s="3" t="str">
        <f>IFERROR(INDEX('بيانات الحركات'!F:F,MATCH(1975,'بيانات الحركات'!$G:$G,0)),"")</f>
        <v/>
      </c>
    </row>
    <row r="1977" spans="1:6" ht="21.95" customHeight="1">
      <c r="A1977" s="8" t="str">
        <f>IFERROR(INDEX('بيانات الحركات'!A:A,MATCH(1976,'بيانات الحركات'!$G:$G,0)),"")</f>
        <v/>
      </c>
      <c r="B1977" s="5" t="str">
        <f>IFERROR(INDEX('بيانات الحركات'!B:B,MATCH(1976,'بيانات الحركات'!$G:$G,0)),"")</f>
        <v/>
      </c>
      <c r="C1977" s="3" t="str">
        <f>IFERROR(INDEX('بيانات الحركات'!C:C,MATCH(1976,'بيانات الحركات'!$G:$G,0)),"")</f>
        <v/>
      </c>
      <c r="D1977" s="3" t="str">
        <f>IFERROR(INDEX('بيانات الحركات'!D:D,MATCH(1976,'بيانات الحركات'!$G:$G,0)),"")</f>
        <v/>
      </c>
      <c r="E1977" s="21" t="str">
        <f>IF($B1977="إنتاج طبخة","",IFERROR(INDEX('بيانات الحركات'!E:E,MATCH(1976,'بيانات الحركات'!$G:$G,0)),""))</f>
        <v/>
      </c>
      <c r="F1977" s="3" t="str">
        <f>IFERROR(INDEX('بيانات الحركات'!F:F,MATCH(1976,'بيانات الحركات'!$G:$G,0)),"")</f>
        <v/>
      </c>
    </row>
    <row r="1978" spans="1:6" ht="21.95" customHeight="1">
      <c r="A1978" s="8" t="str">
        <f>IFERROR(INDEX('بيانات الحركات'!A:A,MATCH(1977,'بيانات الحركات'!$G:$G,0)),"")</f>
        <v/>
      </c>
      <c r="B1978" s="5" t="str">
        <f>IFERROR(INDEX('بيانات الحركات'!B:B,MATCH(1977,'بيانات الحركات'!$G:$G,0)),"")</f>
        <v/>
      </c>
      <c r="C1978" s="3" t="str">
        <f>IFERROR(INDEX('بيانات الحركات'!C:C,MATCH(1977,'بيانات الحركات'!$G:$G,0)),"")</f>
        <v/>
      </c>
      <c r="D1978" s="3" t="str">
        <f>IFERROR(INDEX('بيانات الحركات'!D:D,MATCH(1977,'بيانات الحركات'!$G:$G,0)),"")</f>
        <v/>
      </c>
      <c r="E1978" s="21" t="str">
        <f>IF($B1978="إنتاج طبخة","",IFERROR(INDEX('بيانات الحركات'!E:E,MATCH(1977,'بيانات الحركات'!$G:$G,0)),""))</f>
        <v/>
      </c>
      <c r="F1978" s="3" t="str">
        <f>IFERROR(INDEX('بيانات الحركات'!F:F,MATCH(1977,'بيانات الحركات'!$G:$G,0)),"")</f>
        <v/>
      </c>
    </row>
    <row r="1979" spans="1:6" ht="21.95" customHeight="1">
      <c r="A1979" s="8" t="str">
        <f>IFERROR(INDEX('بيانات الحركات'!A:A,MATCH(1978,'بيانات الحركات'!$G:$G,0)),"")</f>
        <v/>
      </c>
      <c r="B1979" s="5" t="str">
        <f>IFERROR(INDEX('بيانات الحركات'!B:B,MATCH(1978,'بيانات الحركات'!$G:$G,0)),"")</f>
        <v/>
      </c>
      <c r="C1979" s="3" t="str">
        <f>IFERROR(INDEX('بيانات الحركات'!C:C,MATCH(1978,'بيانات الحركات'!$G:$G,0)),"")</f>
        <v/>
      </c>
      <c r="D1979" s="3" t="str">
        <f>IFERROR(INDEX('بيانات الحركات'!D:D,MATCH(1978,'بيانات الحركات'!$G:$G,0)),"")</f>
        <v/>
      </c>
      <c r="E1979" s="21" t="str">
        <f>IF($B1979="إنتاج طبخة","",IFERROR(INDEX('بيانات الحركات'!E:E,MATCH(1978,'بيانات الحركات'!$G:$G,0)),""))</f>
        <v/>
      </c>
      <c r="F1979" s="3" t="str">
        <f>IFERROR(INDEX('بيانات الحركات'!F:F,MATCH(1978,'بيانات الحركات'!$G:$G,0)),"")</f>
        <v/>
      </c>
    </row>
    <row r="1980" spans="1:6" ht="21.95" customHeight="1">
      <c r="A1980" s="8" t="str">
        <f>IFERROR(INDEX('بيانات الحركات'!A:A,MATCH(1979,'بيانات الحركات'!$G:$G,0)),"")</f>
        <v/>
      </c>
      <c r="B1980" s="5" t="str">
        <f>IFERROR(INDEX('بيانات الحركات'!B:B,MATCH(1979,'بيانات الحركات'!$G:$G,0)),"")</f>
        <v/>
      </c>
      <c r="C1980" s="3" t="str">
        <f>IFERROR(INDEX('بيانات الحركات'!C:C,MATCH(1979,'بيانات الحركات'!$G:$G,0)),"")</f>
        <v/>
      </c>
      <c r="D1980" s="3" t="str">
        <f>IFERROR(INDEX('بيانات الحركات'!D:D,MATCH(1979,'بيانات الحركات'!$G:$G,0)),"")</f>
        <v/>
      </c>
      <c r="E1980" s="21" t="str">
        <f>IF($B1980="إنتاج طبخة","",IFERROR(INDEX('بيانات الحركات'!E:E,MATCH(1979,'بيانات الحركات'!$G:$G,0)),""))</f>
        <v/>
      </c>
      <c r="F1980" s="3" t="str">
        <f>IFERROR(INDEX('بيانات الحركات'!F:F,MATCH(1979,'بيانات الحركات'!$G:$G,0)),"")</f>
        <v/>
      </c>
    </row>
    <row r="1981" spans="1:6" ht="21.95" customHeight="1">
      <c r="A1981" s="8" t="str">
        <f>IFERROR(INDEX('بيانات الحركات'!A:A,MATCH(1980,'بيانات الحركات'!$G:$G,0)),"")</f>
        <v/>
      </c>
      <c r="B1981" s="5" t="str">
        <f>IFERROR(INDEX('بيانات الحركات'!B:B,MATCH(1980,'بيانات الحركات'!$G:$G,0)),"")</f>
        <v/>
      </c>
      <c r="C1981" s="3" t="str">
        <f>IFERROR(INDEX('بيانات الحركات'!C:C,MATCH(1980,'بيانات الحركات'!$G:$G,0)),"")</f>
        <v/>
      </c>
      <c r="D1981" s="3" t="str">
        <f>IFERROR(INDEX('بيانات الحركات'!D:D,MATCH(1980,'بيانات الحركات'!$G:$G,0)),"")</f>
        <v/>
      </c>
      <c r="E1981" s="21" t="str">
        <f>IF($B1981="إنتاج طبخة","",IFERROR(INDEX('بيانات الحركات'!E:E,MATCH(1980,'بيانات الحركات'!$G:$G,0)),""))</f>
        <v/>
      </c>
      <c r="F1981" s="3" t="str">
        <f>IFERROR(INDEX('بيانات الحركات'!F:F,MATCH(1980,'بيانات الحركات'!$G:$G,0)),"")</f>
        <v/>
      </c>
    </row>
    <row r="1982" spans="1:6" ht="21.95" customHeight="1">
      <c r="A1982" s="8" t="str">
        <f>IFERROR(INDEX('بيانات الحركات'!A:A,MATCH(1981,'بيانات الحركات'!$G:$G,0)),"")</f>
        <v/>
      </c>
      <c r="B1982" s="5" t="str">
        <f>IFERROR(INDEX('بيانات الحركات'!B:B,MATCH(1981,'بيانات الحركات'!$G:$G,0)),"")</f>
        <v/>
      </c>
      <c r="C1982" s="3" t="str">
        <f>IFERROR(INDEX('بيانات الحركات'!C:C,MATCH(1981,'بيانات الحركات'!$G:$G,0)),"")</f>
        <v/>
      </c>
      <c r="D1982" s="3" t="str">
        <f>IFERROR(INDEX('بيانات الحركات'!D:D,MATCH(1981,'بيانات الحركات'!$G:$G,0)),"")</f>
        <v/>
      </c>
      <c r="E1982" s="21" t="str">
        <f>IF($B1982="إنتاج طبخة","",IFERROR(INDEX('بيانات الحركات'!E:E,MATCH(1981,'بيانات الحركات'!$G:$G,0)),""))</f>
        <v/>
      </c>
      <c r="F1982" s="3" t="str">
        <f>IFERROR(INDEX('بيانات الحركات'!F:F,MATCH(1981,'بيانات الحركات'!$G:$G,0)),"")</f>
        <v/>
      </c>
    </row>
    <row r="1983" spans="1:6" ht="21.95" customHeight="1">
      <c r="A1983" s="8" t="str">
        <f>IFERROR(INDEX('بيانات الحركات'!A:A,MATCH(1982,'بيانات الحركات'!$G:$G,0)),"")</f>
        <v/>
      </c>
      <c r="B1983" s="5" t="str">
        <f>IFERROR(INDEX('بيانات الحركات'!B:B,MATCH(1982,'بيانات الحركات'!$G:$G,0)),"")</f>
        <v/>
      </c>
      <c r="C1983" s="3" t="str">
        <f>IFERROR(INDEX('بيانات الحركات'!C:C,MATCH(1982,'بيانات الحركات'!$G:$G,0)),"")</f>
        <v/>
      </c>
      <c r="D1983" s="3" t="str">
        <f>IFERROR(INDEX('بيانات الحركات'!D:D,MATCH(1982,'بيانات الحركات'!$G:$G,0)),"")</f>
        <v/>
      </c>
      <c r="E1983" s="21" t="str">
        <f>IF($B1983="إنتاج طبخة","",IFERROR(INDEX('بيانات الحركات'!E:E,MATCH(1982,'بيانات الحركات'!$G:$G,0)),""))</f>
        <v/>
      </c>
      <c r="F1983" s="3" t="str">
        <f>IFERROR(INDEX('بيانات الحركات'!F:F,MATCH(1982,'بيانات الحركات'!$G:$G,0)),"")</f>
        <v/>
      </c>
    </row>
    <row r="1984" spans="1:6" ht="21.95" customHeight="1">
      <c r="A1984" s="8" t="str">
        <f>IFERROR(INDEX('بيانات الحركات'!A:A,MATCH(1983,'بيانات الحركات'!$G:$G,0)),"")</f>
        <v/>
      </c>
      <c r="B1984" s="5" t="str">
        <f>IFERROR(INDEX('بيانات الحركات'!B:B,MATCH(1983,'بيانات الحركات'!$G:$G,0)),"")</f>
        <v/>
      </c>
      <c r="C1984" s="3" t="str">
        <f>IFERROR(INDEX('بيانات الحركات'!C:C,MATCH(1983,'بيانات الحركات'!$G:$G,0)),"")</f>
        <v/>
      </c>
      <c r="D1984" s="3" t="str">
        <f>IFERROR(INDEX('بيانات الحركات'!D:D,MATCH(1983,'بيانات الحركات'!$G:$G,0)),"")</f>
        <v/>
      </c>
      <c r="E1984" s="21" t="str">
        <f>IF($B1984="إنتاج طبخة","",IFERROR(INDEX('بيانات الحركات'!E:E,MATCH(1983,'بيانات الحركات'!$G:$G,0)),""))</f>
        <v/>
      </c>
      <c r="F1984" s="3" t="str">
        <f>IFERROR(INDEX('بيانات الحركات'!F:F,MATCH(1983,'بيانات الحركات'!$G:$G,0)),"")</f>
        <v/>
      </c>
    </row>
    <row r="1985" spans="1:6" ht="21.95" customHeight="1">
      <c r="A1985" s="8" t="str">
        <f>IFERROR(INDEX('بيانات الحركات'!A:A,MATCH(1984,'بيانات الحركات'!$G:$G,0)),"")</f>
        <v/>
      </c>
      <c r="B1985" s="5" t="str">
        <f>IFERROR(INDEX('بيانات الحركات'!B:B,MATCH(1984,'بيانات الحركات'!$G:$G,0)),"")</f>
        <v/>
      </c>
      <c r="C1985" s="3" t="str">
        <f>IFERROR(INDEX('بيانات الحركات'!C:C,MATCH(1984,'بيانات الحركات'!$G:$G,0)),"")</f>
        <v/>
      </c>
      <c r="D1985" s="3" t="str">
        <f>IFERROR(INDEX('بيانات الحركات'!D:D,MATCH(1984,'بيانات الحركات'!$G:$G,0)),"")</f>
        <v/>
      </c>
      <c r="E1985" s="21" t="str">
        <f>IF($B1985="إنتاج طبخة","",IFERROR(INDEX('بيانات الحركات'!E:E,MATCH(1984,'بيانات الحركات'!$G:$G,0)),""))</f>
        <v/>
      </c>
      <c r="F1985" s="3" t="str">
        <f>IFERROR(INDEX('بيانات الحركات'!F:F,MATCH(1984,'بيانات الحركات'!$G:$G,0)),"")</f>
        <v/>
      </c>
    </row>
    <row r="1986" spans="1:6" ht="21.95" customHeight="1">
      <c r="A1986" s="8" t="str">
        <f>IFERROR(INDEX('بيانات الحركات'!A:A,MATCH(1985,'بيانات الحركات'!$G:$G,0)),"")</f>
        <v/>
      </c>
      <c r="B1986" s="5" t="str">
        <f>IFERROR(INDEX('بيانات الحركات'!B:B,MATCH(1985,'بيانات الحركات'!$G:$G,0)),"")</f>
        <v/>
      </c>
      <c r="C1986" s="3" t="str">
        <f>IFERROR(INDEX('بيانات الحركات'!C:C,MATCH(1985,'بيانات الحركات'!$G:$G,0)),"")</f>
        <v/>
      </c>
      <c r="D1986" s="3" t="str">
        <f>IFERROR(INDEX('بيانات الحركات'!D:D,MATCH(1985,'بيانات الحركات'!$G:$G,0)),"")</f>
        <v/>
      </c>
      <c r="E1986" s="21" t="str">
        <f>IF($B1986="إنتاج طبخة","",IFERROR(INDEX('بيانات الحركات'!E:E,MATCH(1985,'بيانات الحركات'!$G:$G,0)),""))</f>
        <v/>
      </c>
      <c r="F1986" s="3" t="str">
        <f>IFERROR(INDEX('بيانات الحركات'!F:F,MATCH(1985,'بيانات الحركات'!$G:$G,0)),"")</f>
        <v/>
      </c>
    </row>
    <row r="1987" spans="1:6" ht="21.95" customHeight="1">
      <c r="A1987" s="8" t="str">
        <f>IFERROR(INDEX('بيانات الحركات'!A:A,MATCH(1986,'بيانات الحركات'!$G:$G,0)),"")</f>
        <v/>
      </c>
      <c r="B1987" s="5" t="str">
        <f>IFERROR(INDEX('بيانات الحركات'!B:B,MATCH(1986,'بيانات الحركات'!$G:$G,0)),"")</f>
        <v/>
      </c>
      <c r="C1987" s="3" t="str">
        <f>IFERROR(INDEX('بيانات الحركات'!C:C,MATCH(1986,'بيانات الحركات'!$G:$G,0)),"")</f>
        <v/>
      </c>
      <c r="D1987" s="3" t="str">
        <f>IFERROR(INDEX('بيانات الحركات'!D:D,MATCH(1986,'بيانات الحركات'!$G:$G,0)),"")</f>
        <v/>
      </c>
      <c r="E1987" s="21" t="str">
        <f>IF($B1987="إنتاج طبخة","",IFERROR(INDEX('بيانات الحركات'!E:E,MATCH(1986,'بيانات الحركات'!$G:$G,0)),""))</f>
        <v/>
      </c>
      <c r="F1987" s="3" t="str">
        <f>IFERROR(INDEX('بيانات الحركات'!F:F,MATCH(1986,'بيانات الحركات'!$G:$G,0)),"")</f>
        <v/>
      </c>
    </row>
    <row r="1988" spans="1:6" ht="21.95" customHeight="1">
      <c r="A1988" s="8" t="str">
        <f>IFERROR(INDEX('بيانات الحركات'!A:A,MATCH(1987,'بيانات الحركات'!$G:$G,0)),"")</f>
        <v/>
      </c>
      <c r="B1988" s="5" t="str">
        <f>IFERROR(INDEX('بيانات الحركات'!B:B,MATCH(1987,'بيانات الحركات'!$G:$G,0)),"")</f>
        <v/>
      </c>
      <c r="C1988" s="3" t="str">
        <f>IFERROR(INDEX('بيانات الحركات'!C:C,MATCH(1987,'بيانات الحركات'!$G:$G,0)),"")</f>
        <v/>
      </c>
      <c r="D1988" s="3" t="str">
        <f>IFERROR(INDEX('بيانات الحركات'!D:D,MATCH(1987,'بيانات الحركات'!$G:$G,0)),"")</f>
        <v/>
      </c>
      <c r="E1988" s="21" t="str">
        <f>IF($B1988="إنتاج طبخة","",IFERROR(INDEX('بيانات الحركات'!E:E,MATCH(1987,'بيانات الحركات'!$G:$G,0)),""))</f>
        <v/>
      </c>
      <c r="F1988" s="3" t="str">
        <f>IFERROR(INDEX('بيانات الحركات'!F:F,MATCH(1987,'بيانات الحركات'!$G:$G,0)),"")</f>
        <v/>
      </c>
    </row>
    <row r="1989" spans="1:6" ht="21.95" customHeight="1">
      <c r="A1989" s="8" t="str">
        <f>IFERROR(INDEX('بيانات الحركات'!A:A,MATCH(1988,'بيانات الحركات'!$G:$G,0)),"")</f>
        <v/>
      </c>
      <c r="B1989" s="5" t="str">
        <f>IFERROR(INDEX('بيانات الحركات'!B:B,MATCH(1988,'بيانات الحركات'!$G:$G,0)),"")</f>
        <v/>
      </c>
      <c r="C1989" s="3" t="str">
        <f>IFERROR(INDEX('بيانات الحركات'!C:C,MATCH(1988,'بيانات الحركات'!$G:$G,0)),"")</f>
        <v/>
      </c>
      <c r="D1989" s="3" t="str">
        <f>IFERROR(INDEX('بيانات الحركات'!D:D,MATCH(1988,'بيانات الحركات'!$G:$G,0)),"")</f>
        <v/>
      </c>
      <c r="E1989" s="21" t="str">
        <f>IF($B1989="إنتاج طبخة","",IFERROR(INDEX('بيانات الحركات'!E:E,MATCH(1988,'بيانات الحركات'!$G:$G,0)),""))</f>
        <v/>
      </c>
      <c r="F1989" s="3" t="str">
        <f>IFERROR(INDEX('بيانات الحركات'!F:F,MATCH(1988,'بيانات الحركات'!$G:$G,0)),"")</f>
        <v/>
      </c>
    </row>
    <row r="1990" spans="1:6" ht="21.95" customHeight="1">
      <c r="A1990" s="8" t="str">
        <f>IFERROR(INDEX('بيانات الحركات'!A:A,MATCH(1989,'بيانات الحركات'!$G:$G,0)),"")</f>
        <v/>
      </c>
      <c r="B1990" s="5" t="str">
        <f>IFERROR(INDEX('بيانات الحركات'!B:B,MATCH(1989,'بيانات الحركات'!$G:$G,0)),"")</f>
        <v/>
      </c>
      <c r="C1990" s="3" t="str">
        <f>IFERROR(INDEX('بيانات الحركات'!C:C,MATCH(1989,'بيانات الحركات'!$G:$G,0)),"")</f>
        <v/>
      </c>
      <c r="D1990" s="3" t="str">
        <f>IFERROR(INDEX('بيانات الحركات'!D:D,MATCH(1989,'بيانات الحركات'!$G:$G,0)),"")</f>
        <v/>
      </c>
      <c r="E1990" s="21" t="str">
        <f>IF($B1990="إنتاج طبخة","",IFERROR(INDEX('بيانات الحركات'!E:E,MATCH(1989,'بيانات الحركات'!$G:$G,0)),""))</f>
        <v/>
      </c>
      <c r="F1990" s="3" t="str">
        <f>IFERROR(INDEX('بيانات الحركات'!F:F,MATCH(1989,'بيانات الحركات'!$G:$G,0)),"")</f>
        <v/>
      </c>
    </row>
    <row r="1991" spans="1:6" ht="21.95" customHeight="1">
      <c r="A1991" s="8" t="str">
        <f>IFERROR(INDEX('بيانات الحركات'!A:A,MATCH(1990,'بيانات الحركات'!$G:$G,0)),"")</f>
        <v/>
      </c>
      <c r="B1991" s="5" t="str">
        <f>IFERROR(INDEX('بيانات الحركات'!B:B,MATCH(1990,'بيانات الحركات'!$G:$G,0)),"")</f>
        <v/>
      </c>
      <c r="C1991" s="3" t="str">
        <f>IFERROR(INDEX('بيانات الحركات'!C:C,MATCH(1990,'بيانات الحركات'!$G:$G,0)),"")</f>
        <v/>
      </c>
      <c r="D1991" s="3" t="str">
        <f>IFERROR(INDEX('بيانات الحركات'!D:D,MATCH(1990,'بيانات الحركات'!$G:$G,0)),"")</f>
        <v/>
      </c>
      <c r="E1991" s="21" t="str">
        <f>IF($B1991="إنتاج طبخة","",IFERROR(INDEX('بيانات الحركات'!E:E,MATCH(1990,'بيانات الحركات'!$G:$G,0)),""))</f>
        <v/>
      </c>
      <c r="F1991" s="3" t="str">
        <f>IFERROR(INDEX('بيانات الحركات'!F:F,MATCH(1990,'بيانات الحركات'!$G:$G,0)),"")</f>
        <v/>
      </c>
    </row>
    <row r="1992" spans="1:6" ht="21.95" customHeight="1">
      <c r="A1992" s="8" t="str">
        <f>IFERROR(INDEX('بيانات الحركات'!A:A,MATCH(1991,'بيانات الحركات'!$G:$G,0)),"")</f>
        <v/>
      </c>
      <c r="B1992" s="5" t="str">
        <f>IFERROR(INDEX('بيانات الحركات'!B:B,MATCH(1991,'بيانات الحركات'!$G:$G,0)),"")</f>
        <v/>
      </c>
      <c r="C1992" s="3" t="str">
        <f>IFERROR(INDEX('بيانات الحركات'!C:C,MATCH(1991,'بيانات الحركات'!$G:$G,0)),"")</f>
        <v/>
      </c>
      <c r="D1992" s="3" t="str">
        <f>IFERROR(INDEX('بيانات الحركات'!D:D,MATCH(1991,'بيانات الحركات'!$G:$G,0)),"")</f>
        <v/>
      </c>
      <c r="E1992" s="21" t="str">
        <f>IF($B1992="إنتاج طبخة","",IFERROR(INDEX('بيانات الحركات'!E:E,MATCH(1991,'بيانات الحركات'!$G:$G,0)),""))</f>
        <v/>
      </c>
      <c r="F1992" s="3" t="str">
        <f>IFERROR(INDEX('بيانات الحركات'!F:F,MATCH(1991,'بيانات الحركات'!$G:$G,0)),"")</f>
        <v/>
      </c>
    </row>
    <row r="1993" spans="1:6" ht="21.95" customHeight="1">
      <c r="A1993" s="8" t="str">
        <f>IFERROR(INDEX('بيانات الحركات'!A:A,MATCH(1992,'بيانات الحركات'!$G:$G,0)),"")</f>
        <v/>
      </c>
      <c r="B1993" s="5" t="str">
        <f>IFERROR(INDEX('بيانات الحركات'!B:B,MATCH(1992,'بيانات الحركات'!$G:$G,0)),"")</f>
        <v/>
      </c>
      <c r="C1993" s="3" t="str">
        <f>IFERROR(INDEX('بيانات الحركات'!C:C,MATCH(1992,'بيانات الحركات'!$G:$G,0)),"")</f>
        <v/>
      </c>
      <c r="D1993" s="3" t="str">
        <f>IFERROR(INDEX('بيانات الحركات'!D:D,MATCH(1992,'بيانات الحركات'!$G:$G,0)),"")</f>
        <v/>
      </c>
      <c r="E1993" s="21" t="str">
        <f>IF($B1993="إنتاج طبخة","",IFERROR(INDEX('بيانات الحركات'!E:E,MATCH(1992,'بيانات الحركات'!$G:$G,0)),""))</f>
        <v/>
      </c>
      <c r="F1993" s="3" t="str">
        <f>IFERROR(INDEX('بيانات الحركات'!F:F,MATCH(1992,'بيانات الحركات'!$G:$G,0)),"")</f>
        <v/>
      </c>
    </row>
    <row r="1994" spans="1:6" ht="21.95" customHeight="1">
      <c r="A1994" s="8" t="str">
        <f>IFERROR(INDEX('بيانات الحركات'!A:A,MATCH(1993,'بيانات الحركات'!$G:$G,0)),"")</f>
        <v/>
      </c>
      <c r="B1994" s="5" t="str">
        <f>IFERROR(INDEX('بيانات الحركات'!B:B,MATCH(1993,'بيانات الحركات'!$G:$G,0)),"")</f>
        <v/>
      </c>
      <c r="C1994" s="3" t="str">
        <f>IFERROR(INDEX('بيانات الحركات'!C:C,MATCH(1993,'بيانات الحركات'!$G:$G,0)),"")</f>
        <v/>
      </c>
      <c r="D1994" s="3" t="str">
        <f>IFERROR(INDEX('بيانات الحركات'!D:D,MATCH(1993,'بيانات الحركات'!$G:$G,0)),"")</f>
        <v/>
      </c>
      <c r="E1994" s="21" t="str">
        <f>IF($B1994="إنتاج طبخة","",IFERROR(INDEX('بيانات الحركات'!E:E,MATCH(1993,'بيانات الحركات'!$G:$G,0)),""))</f>
        <v/>
      </c>
      <c r="F1994" s="3" t="str">
        <f>IFERROR(INDEX('بيانات الحركات'!F:F,MATCH(1993,'بيانات الحركات'!$G:$G,0)),"")</f>
        <v/>
      </c>
    </row>
    <row r="1995" spans="1:6" ht="21.95" customHeight="1">
      <c r="A1995" s="8" t="str">
        <f>IFERROR(INDEX('بيانات الحركات'!A:A,MATCH(1994,'بيانات الحركات'!$G:$G,0)),"")</f>
        <v/>
      </c>
      <c r="B1995" s="5" t="str">
        <f>IFERROR(INDEX('بيانات الحركات'!B:B,MATCH(1994,'بيانات الحركات'!$G:$G,0)),"")</f>
        <v/>
      </c>
      <c r="C1995" s="3" t="str">
        <f>IFERROR(INDEX('بيانات الحركات'!C:C,MATCH(1994,'بيانات الحركات'!$G:$G,0)),"")</f>
        <v/>
      </c>
      <c r="D1995" s="3" t="str">
        <f>IFERROR(INDEX('بيانات الحركات'!D:D,MATCH(1994,'بيانات الحركات'!$G:$G,0)),"")</f>
        <v/>
      </c>
      <c r="E1995" s="21" t="str">
        <f>IF($B1995="إنتاج طبخة","",IFERROR(INDEX('بيانات الحركات'!E:E,MATCH(1994,'بيانات الحركات'!$G:$G,0)),""))</f>
        <v/>
      </c>
      <c r="F1995" s="3" t="str">
        <f>IFERROR(INDEX('بيانات الحركات'!F:F,MATCH(1994,'بيانات الحركات'!$G:$G,0)),"")</f>
        <v/>
      </c>
    </row>
    <row r="1996" spans="1:6" ht="21.95" customHeight="1">
      <c r="A1996" s="8" t="str">
        <f>IFERROR(INDEX('بيانات الحركات'!A:A,MATCH(1995,'بيانات الحركات'!$G:$G,0)),"")</f>
        <v/>
      </c>
      <c r="B1996" s="5" t="str">
        <f>IFERROR(INDEX('بيانات الحركات'!B:B,MATCH(1995,'بيانات الحركات'!$G:$G,0)),"")</f>
        <v/>
      </c>
      <c r="C1996" s="3" t="str">
        <f>IFERROR(INDEX('بيانات الحركات'!C:C,MATCH(1995,'بيانات الحركات'!$G:$G,0)),"")</f>
        <v/>
      </c>
      <c r="D1996" s="3" t="str">
        <f>IFERROR(INDEX('بيانات الحركات'!D:D,MATCH(1995,'بيانات الحركات'!$G:$G,0)),"")</f>
        <v/>
      </c>
      <c r="E1996" s="21" t="str">
        <f>IF($B1996="إنتاج طبخة","",IFERROR(INDEX('بيانات الحركات'!E:E,MATCH(1995,'بيانات الحركات'!$G:$G,0)),""))</f>
        <v/>
      </c>
      <c r="F1996" s="3" t="str">
        <f>IFERROR(INDEX('بيانات الحركات'!F:F,MATCH(1995,'بيانات الحركات'!$G:$G,0)),"")</f>
        <v/>
      </c>
    </row>
    <row r="1997" spans="1:6" ht="21.95" customHeight="1">
      <c r="A1997" s="8" t="str">
        <f>IFERROR(INDEX('بيانات الحركات'!A:A,MATCH(1996,'بيانات الحركات'!$G:$G,0)),"")</f>
        <v/>
      </c>
      <c r="B1997" s="5" t="str">
        <f>IFERROR(INDEX('بيانات الحركات'!B:B,MATCH(1996,'بيانات الحركات'!$G:$G,0)),"")</f>
        <v/>
      </c>
      <c r="C1997" s="3" t="str">
        <f>IFERROR(INDEX('بيانات الحركات'!C:C,MATCH(1996,'بيانات الحركات'!$G:$G,0)),"")</f>
        <v/>
      </c>
      <c r="D1997" s="3" t="str">
        <f>IFERROR(INDEX('بيانات الحركات'!D:D,MATCH(1996,'بيانات الحركات'!$G:$G,0)),"")</f>
        <v/>
      </c>
      <c r="E1997" s="21" t="str">
        <f>IF($B1997="إنتاج طبخة","",IFERROR(INDEX('بيانات الحركات'!E:E,MATCH(1996,'بيانات الحركات'!$G:$G,0)),""))</f>
        <v/>
      </c>
      <c r="F1997" s="3" t="str">
        <f>IFERROR(INDEX('بيانات الحركات'!F:F,MATCH(1996,'بيانات الحركات'!$G:$G,0)),"")</f>
        <v/>
      </c>
    </row>
    <row r="1998" spans="1:6" ht="21.95" customHeight="1">
      <c r="A1998" s="8" t="str">
        <f>IFERROR(INDEX('بيانات الحركات'!A:A,MATCH(1997,'بيانات الحركات'!$G:$G,0)),"")</f>
        <v/>
      </c>
      <c r="B1998" s="5" t="str">
        <f>IFERROR(INDEX('بيانات الحركات'!B:B,MATCH(1997,'بيانات الحركات'!$G:$G,0)),"")</f>
        <v/>
      </c>
      <c r="C1998" s="3" t="str">
        <f>IFERROR(INDEX('بيانات الحركات'!C:C,MATCH(1997,'بيانات الحركات'!$G:$G,0)),"")</f>
        <v/>
      </c>
      <c r="D1998" s="3" t="str">
        <f>IFERROR(INDEX('بيانات الحركات'!D:D,MATCH(1997,'بيانات الحركات'!$G:$G,0)),"")</f>
        <v/>
      </c>
      <c r="E1998" s="21" t="str">
        <f>IF($B1998="إنتاج طبخة","",IFERROR(INDEX('بيانات الحركات'!E:E,MATCH(1997,'بيانات الحركات'!$G:$G,0)),""))</f>
        <v/>
      </c>
      <c r="F1998" s="3" t="str">
        <f>IFERROR(INDEX('بيانات الحركات'!F:F,MATCH(1997,'بيانات الحركات'!$G:$G,0)),"")</f>
        <v/>
      </c>
    </row>
    <row r="1999" spans="1:6" ht="21.95" customHeight="1">
      <c r="A1999" s="8" t="str">
        <f>IFERROR(INDEX('بيانات الحركات'!A:A,MATCH(1998,'بيانات الحركات'!$G:$G,0)),"")</f>
        <v/>
      </c>
      <c r="B1999" s="5" t="str">
        <f>IFERROR(INDEX('بيانات الحركات'!B:B,MATCH(1998,'بيانات الحركات'!$G:$G,0)),"")</f>
        <v/>
      </c>
      <c r="C1999" s="3" t="str">
        <f>IFERROR(INDEX('بيانات الحركات'!C:C,MATCH(1998,'بيانات الحركات'!$G:$G,0)),"")</f>
        <v/>
      </c>
      <c r="D1999" s="3" t="str">
        <f>IFERROR(INDEX('بيانات الحركات'!D:D,MATCH(1998,'بيانات الحركات'!$G:$G,0)),"")</f>
        <v/>
      </c>
      <c r="E1999" s="21" t="str">
        <f>IF($B1999="إنتاج طبخة","",IFERROR(INDEX('بيانات الحركات'!E:E,MATCH(1998,'بيانات الحركات'!$G:$G,0)),""))</f>
        <v/>
      </c>
      <c r="F1999" s="3" t="str">
        <f>IFERROR(INDEX('بيانات الحركات'!F:F,MATCH(1998,'بيانات الحركات'!$G:$G,0)),"")</f>
        <v/>
      </c>
    </row>
    <row r="2000" spans="1:6" ht="21.95" customHeight="1">
      <c r="A2000" s="8" t="str">
        <f>IFERROR(INDEX('بيانات الحركات'!A:A,MATCH(1999,'بيانات الحركات'!$G:$G,0)),"")</f>
        <v/>
      </c>
      <c r="B2000" s="5" t="str">
        <f>IFERROR(INDEX('بيانات الحركات'!B:B,MATCH(1999,'بيانات الحركات'!$G:$G,0)),"")</f>
        <v/>
      </c>
      <c r="C2000" s="3" t="str">
        <f>IFERROR(INDEX('بيانات الحركات'!C:C,MATCH(1999,'بيانات الحركات'!$G:$G,0)),"")</f>
        <v/>
      </c>
      <c r="D2000" s="3" t="str">
        <f>IFERROR(INDEX('بيانات الحركات'!D:D,MATCH(1999,'بيانات الحركات'!$G:$G,0)),"")</f>
        <v/>
      </c>
      <c r="E2000" s="21" t="str">
        <f>IF($B2000="إنتاج طبخة","",IFERROR(INDEX('بيانات الحركات'!E:E,MATCH(1999,'بيانات الحركات'!$G:$G,0)),""))</f>
        <v/>
      </c>
      <c r="F2000" s="3" t="str">
        <f>IFERROR(INDEX('بيانات الحركات'!F:F,MATCH(1999,'بيانات الحركات'!$G:$G,0)),"")</f>
        <v/>
      </c>
    </row>
    <row r="2001" spans="1:6" ht="21.95" customHeight="1">
      <c r="A2001" s="8" t="str">
        <f>IFERROR(INDEX('بيانات الحركات'!A:A,MATCH(2000,'بيانات الحركات'!$G:$G,0)),"")</f>
        <v/>
      </c>
      <c r="B2001" s="5" t="str">
        <f>IFERROR(INDEX('بيانات الحركات'!B:B,MATCH(2000,'بيانات الحركات'!$G:$G,0)),"")</f>
        <v/>
      </c>
      <c r="C2001" s="3" t="str">
        <f>IFERROR(INDEX('بيانات الحركات'!C:C,MATCH(2000,'بيانات الحركات'!$G:$G,0)),"")</f>
        <v/>
      </c>
      <c r="D2001" s="3" t="str">
        <f>IFERROR(INDEX('بيانات الحركات'!D:D,MATCH(2000,'بيانات الحركات'!$G:$G,0)),"")</f>
        <v/>
      </c>
      <c r="E2001" s="21" t="str">
        <f>IF($B2001="إنتاج طبخة","",IFERROR(INDEX('بيانات الحركات'!E:E,MATCH(2000,'بيانات الحركات'!$G:$G,0)),""))</f>
        <v/>
      </c>
      <c r="F2001" s="3" t="str">
        <f>IFERROR(INDEX('بيانات الحركات'!F:F,MATCH(2000,'بيانات الحركات'!$G:$G,0)),"")</f>
        <v/>
      </c>
    </row>
  </sheetData>
  <sheetProtection sheet="1" formatCells="0" formatColumns="0" formatRows="0" insertColumns="0" insertRows="0" deleteColumns="0" deleteRows="0" autoFilter="0"/>
  <autoFilter ref="A1:F2001" xr:uid="{00000000-0009-0000-0000-000008000000}"/>
  <conditionalFormatting sqref="A2:F2001">
    <cfRule type="expression" dxfId="7" priority="1">
      <formula>$B2="شراء"</formula>
    </cfRule>
    <cfRule type="expression" dxfId="6" priority="2">
      <formula>$B2="صرف مباشر"</formula>
    </cfRule>
    <cfRule type="expression" dxfId="5" priority="3">
      <formula>$B2="إنتاج طبخة"</formula>
    </cfRule>
    <cfRule type="expression" dxfId="4" priority="4">
      <formula>$B2="تعديل جرد"</formula>
    </cfRule>
  </conditionalFormatting>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5395"/>
  </sheetPr>
  <dimension ref="A1:D360"/>
  <sheetViews>
    <sheetView rightToLeft="1" tabSelected="1" workbookViewId="0">
      <pane ySplit="1" topLeftCell="A2" activePane="bottomLeft" state="frozen"/>
      <selection activeCell="B3" sqref="B3"/>
      <selection pane="bottomLeft" activeCell="A78" sqref="A78:A179"/>
    </sheetView>
  </sheetViews>
  <sheetFormatPr defaultRowHeight="14.25"/>
  <cols>
    <col min="1" max="1" width="38.5" customWidth="1"/>
    <col min="2" max="2" width="19.625" customWidth="1"/>
    <col min="3" max="3" width="16" customWidth="1"/>
    <col min="4" max="4" width="40" customWidth="1"/>
  </cols>
  <sheetData>
    <row r="1" spans="1:4" ht="26.1" customHeight="1">
      <c r="A1" s="2" t="s">
        <v>9</v>
      </c>
      <c r="B1" s="2" t="s">
        <v>25</v>
      </c>
      <c r="C1" s="2" t="s">
        <v>10</v>
      </c>
      <c r="D1" s="2" t="s">
        <v>26</v>
      </c>
    </row>
    <row r="2" spans="1:4" ht="24" customHeight="1">
      <c r="A2" s="9" t="s">
        <v>87</v>
      </c>
      <c r="B2" s="7" t="s">
        <v>28</v>
      </c>
      <c r="C2" s="10">
        <f>IF(A2="","",ROUND(SUMIFS(الإدخالات!$D$2:$D$501,الإدخالات!$C$2:$C$501,A2)+SUMIFS('تعديل الجرد'!$F$2:$F$501,'تعديل الجرد'!$C$2:$C$501,A2)-SUMIFS('الصرف المباشر'!$D$2:$D$501,'الصرف المباشر'!$C$2:$C$501,A2)-SUMPRODUCT((الطبخات!$B$2:$B$900=A2)*الطبخات!$C$2:$C$900*COUNTIF('سجل الإنتاج'!$C$2:$C$501,الطبخات!$A$2:$A$900)),3))</f>
        <v>128.04</v>
      </c>
      <c r="D2" s="9"/>
    </row>
    <row r="3" spans="1:4" ht="24" customHeight="1">
      <c r="A3" s="9" t="s">
        <v>86</v>
      </c>
      <c r="B3" s="7" t="s">
        <v>28</v>
      </c>
      <c r="C3" s="10">
        <f>IF(A3="","",ROUND(SUMIFS(الإدخالات!$D$2:$D$501,الإدخالات!$C$2:$C$501,A3)+SUMIFS('تعديل الجرد'!$F$2:$F$501,'تعديل الجرد'!$C$2:$C$501,A3)-SUMIFS('الصرف المباشر'!$D$2:$D$501,'الصرف المباشر'!$C$2:$C$501,A3)-SUMPRODUCT((الطبخات!$B$2:$B$900=A3)*الطبخات!$C$2:$C$900*COUNTIF('سجل الإنتاج'!$C$2:$C$501,الطبخات!$A$2:$A$900)),3))</f>
        <v>2</v>
      </c>
      <c r="D3" s="9"/>
    </row>
    <row r="4" spans="1:4" ht="24" customHeight="1">
      <c r="A4" s="9" t="s">
        <v>85</v>
      </c>
      <c r="B4" s="7" t="s">
        <v>28</v>
      </c>
      <c r="C4" s="10">
        <f>IF(A4="","",ROUND(SUMIFS(الإدخالات!$D$2:$D$501,الإدخالات!$C$2:$C$501,A4)+SUMIFS('تعديل الجرد'!$F$2:$F$501,'تعديل الجرد'!$C$2:$C$501,A4)-SUMIFS('الصرف المباشر'!$D$2:$D$501,'الصرف المباشر'!$C$2:$C$501,A4)-SUMPRODUCT((الطبخات!$B$2:$B$900=A4)*الطبخات!$C$2:$C$900*COUNTIF('سجل الإنتاج'!$C$2:$C$501,الطبخات!$A$2:$A$900)),3))</f>
        <v>63.5</v>
      </c>
      <c r="D4" s="9"/>
    </row>
    <row r="5" spans="1:4" ht="24" customHeight="1">
      <c r="A5" s="9" t="s">
        <v>84</v>
      </c>
      <c r="B5" s="7" t="s">
        <v>28</v>
      </c>
      <c r="C5" s="10">
        <f>IF(A5="","",ROUND(SUMIFS(الإدخالات!$D$2:$D$501,الإدخالات!$C$2:$C$501,A5)+SUMIFS('تعديل الجرد'!$F$2:$F$501,'تعديل الجرد'!$C$2:$C$501,A5)-SUMIFS('الصرف المباشر'!$D$2:$D$501,'الصرف المباشر'!$C$2:$C$501,A5)-SUMPRODUCT((الطبخات!$B$2:$B$900=A5)*الطبخات!$C$2:$C$900*COUNTIF('سجل الإنتاج'!$C$2:$C$501,الطبخات!$A$2:$A$900)),3))</f>
        <v>0</v>
      </c>
      <c r="D5" s="9"/>
    </row>
    <row r="6" spans="1:4" ht="24" customHeight="1">
      <c r="A6" s="9" t="s">
        <v>83</v>
      </c>
      <c r="B6" s="7" t="s">
        <v>28</v>
      </c>
      <c r="C6" s="10">
        <f>IF(A6="","",ROUND(SUMIFS(الإدخالات!$D$2:$D$501,الإدخالات!$C$2:$C$501,A6)+SUMIFS('تعديل الجرد'!$F$2:$F$501,'تعديل الجرد'!$C$2:$C$501,A6)-SUMIFS('الصرف المباشر'!$D$2:$D$501,'الصرف المباشر'!$C$2:$C$501,A6)-SUMPRODUCT((الطبخات!$B$2:$B$900=A6)*الطبخات!$C$2:$C$900*COUNTIF('سجل الإنتاج'!$C$2:$C$501,الطبخات!$A$2:$A$900)),3))</f>
        <v>0</v>
      </c>
      <c r="D6" s="9"/>
    </row>
    <row r="7" spans="1:4" ht="24" customHeight="1">
      <c r="A7" s="9" t="s">
        <v>82</v>
      </c>
      <c r="B7" s="7" t="s">
        <v>28</v>
      </c>
      <c r="C7" s="10">
        <f>IF(A7="","",ROUND(SUMIFS(الإدخالات!$D$2:$D$501,الإدخالات!$C$2:$C$501,A7)+SUMIFS('تعديل الجرد'!$F$2:$F$501,'تعديل الجرد'!$C$2:$C$501,A7)-SUMIFS('الصرف المباشر'!$D$2:$D$501,'الصرف المباشر'!$C$2:$C$501,A7)-SUMPRODUCT((الطبخات!$B$2:$B$900=A7)*الطبخات!$C$2:$C$900*COUNTIF('سجل الإنتاج'!$C$2:$C$501,الطبخات!$A$2:$A$900)),3))</f>
        <v>27947</v>
      </c>
      <c r="D7" s="9"/>
    </row>
    <row r="8" spans="1:4" ht="24" customHeight="1">
      <c r="A8" s="9" t="s">
        <v>234</v>
      </c>
      <c r="B8" s="7" t="s">
        <v>28</v>
      </c>
      <c r="C8" s="10">
        <f>IF(A8="","",ROUND(SUMIFS(الإدخالات!$D$2:$D$501,الإدخالات!$C$2:$C$501,A8)+SUMIFS('تعديل الجرد'!$F$2:$F$501,'تعديل الجرد'!$C$2:$C$501,A8)-SUMIFS('الصرف المباشر'!$D$2:$D$501,'الصرف المباشر'!$C$2:$C$501,A8)-SUMPRODUCT((الطبخات!$B$2:$B$900=A8)*الطبخات!$C$2:$C$900*COUNTIF('سجل الإنتاج'!$C$2:$C$501,الطبخات!$A$2:$A$900)),3))</f>
        <v>0</v>
      </c>
      <c r="D8" s="9"/>
    </row>
    <row r="9" spans="1:4" ht="24" customHeight="1">
      <c r="A9" s="9" t="s">
        <v>81</v>
      </c>
      <c r="B9" s="7" t="s">
        <v>28</v>
      </c>
      <c r="C9" s="10">
        <f>IF(A9="","",ROUND(SUMIFS(الإدخالات!$D$2:$D$501,الإدخالات!$C$2:$C$501,A9)+SUMIFS('تعديل الجرد'!$F$2:$F$501,'تعديل الجرد'!$C$2:$C$501,A9)-SUMIFS('الصرف المباشر'!$D$2:$D$501,'الصرف المباشر'!$C$2:$C$501,A9)-SUMPRODUCT((الطبخات!$B$2:$B$900=A9)*الطبخات!$C$2:$C$900*COUNTIF('سجل الإنتاج'!$C$2:$C$501,الطبخات!$A$2:$A$900)),3))</f>
        <v>0</v>
      </c>
      <c r="D9" s="9"/>
    </row>
    <row r="10" spans="1:4" ht="24" customHeight="1">
      <c r="A10" s="9" t="s">
        <v>80</v>
      </c>
      <c r="B10" s="7" t="s">
        <v>28</v>
      </c>
      <c r="C10" s="10">
        <f>IF(A10="","",ROUND(SUMIFS(الإدخالات!$D$2:$D$501,الإدخالات!$C$2:$C$501,A10)+SUMIFS('تعديل الجرد'!$F$2:$F$501,'تعديل الجرد'!$C$2:$C$501,A10)-SUMIFS('الصرف المباشر'!$D$2:$D$501,'الصرف المباشر'!$C$2:$C$501,A10)-SUMPRODUCT((الطبخات!$B$2:$B$900=A10)*الطبخات!$C$2:$C$900*COUNTIF('سجل الإنتاج'!$C$2:$C$501,الطبخات!$A$2:$A$900)),3))</f>
        <v>8.7100000000000009</v>
      </c>
      <c r="D10" s="9"/>
    </row>
    <row r="11" spans="1:4" ht="24" customHeight="1">
      <c r="A11" s="9" t="s">
        <v>79</v>
      </c>
      <c r="B11" s="7" t="s">
        <v>28</v>
      </c>
      <c r="C11" s="10">
        <f>IF(A11="","",ROUND(SUMIFS(الإدخالات!$D$2:$D$501,الإدخالات!$C$2:$C$501,A11)+SUMIFS('تعديل الجرد'!$F$2:$F$501,'تعديل الجرد'!$C$2:$C$501,A11)-SUMIFS('الصرف المباشر'!$D$2:$D$501,'الصرف المباشر'!$C$2:$C$501,A11)-SUMPRODUCT((الطبخات!$B$2:$B$900=A11)*الطبخات!$C$2:$C$900*COUNTIF('سجل الإنتاج'!$C$2:$C$501,الطبخات!$A$2:$A$900)),3))</f>
        <v>0</v>
      </c>
      <c r="D11" s="9"/>
    </row>
    <row r="12" spans="1:4" ht="24" customHeight="1">
      <c r="A12" s="9" t="s">
        <v>78</v>
      </c>
      <c r="B12" s="7" t="s">
        <v>28</v>
      </c>
      <c r="C12" s="10">
        <f>IF(A12="","",ROUND(SUMIFS(الإدخالات!$D$2:$D$501,الإدخالات!$C$2:$C$501,A12)+SUMIFS('تعديل الجرد'!$F$2:$F$501,'تعديل الجرد'!$C$2:$C$501,A12)-SUMIFS('الصرف المباشر'!$D$2:$D$501,'الصرف المباشر'!$C$2:$C$501,A12)-SUMPRODUCT((الطبخات!$B$2:$B$900=A12)*الطبخات!$C$2:$C$900*COUNTIF('سجل الإنتاج'!$C$2:$C$501,الطبخات!$A$2:$A$900)),3))</f>
        <v>0</v>
      </c>
      <c r="D12" s="9"/>
    </row>
    <row r="13" spans="1:4" ht="24" customHeight="1">
      <c r="A13" s="9" t="s">
        <v>77</v>
      </c>
      <c r="B13" s="7" t="s">
        <v>28</v>
      </c>
      <c r="C13" s="10">
        <f>IF(A13="","",ROUND(SUMIFS(الإدخالات!$D$2:$D$501,الإدخالات!$C$2:$C$501,A13)+SUMIFS('تعديل الجرد'!$F$2:$F$501,'تعديل الجرد'!$C$2:$C$501,A13)-SUMIFS('الصرف المباشر'!$D$2:$D$501,'الصرف المباشر'!$C$2:$C$501,A13)-SUMPRODUCT((الطبخات!$B$2:$B$900=A13)*الطبخات!$C$2:$C$900*COUNTIF('سجل الإنتاج'!$C$2:$C$501,الطبخات!$A$2:$A$900)),3))</f>
        <v>272</v>
      </c>
      <c r="D13" s="9"/>
    </row>
    <row r="14" spans="1:4" ht="24" customHeight="1">
      <c r="A14" s="9" t="s">
        <v>76</v>
      </c>
      <c r="B14" s="7" t="s">
        <v>28</v>
      </c>
      <c r="C14" s="10">
        <f>IF(A14="","",ROUND(SUMIFS(الإدخالات!$D$2:$D$501,الإدخالات!$C$2:$C$501,A14)+SUMIFS('تعديل الجرد'!$F$2:$F$501,'تعديل الجرد'!$C$2:$C$501,A14)-SUMIFS('الصرف المباشر'!$D$2:$D$501,'الصرف المباشر'!$C$2:$C$501,A14)-SUMPRODUCT((الطبخات!$B$2:$B$900=A14)*الطبخات!$C$2:$C$900*COUNTIF('سجل الإنتاج'!$C$2:$C$501,الطبخات!$A$2:$A$900)),3))</f>
        <v>25</v>
      </c>
      <c r="D14" s="9"/>
    </row>
    <row r="15" spans="1:4" ht="24" customHeight="1">
      <c r="A15" s="9" t="s">
        <v>212</v>
      </c>
      <c r="B15" s="7" t="s">
        <v>28</v>
      </c>
      <c r="C15" s="10">
        <f>IF(A15="","",ROUND(SUMIFS(الإدخالات!$D$2:$D$501,الإدخالات!$C$2:$C$501,A15)+SUMIFS('تعديل الجرد'!$F$2:$F$501,'تعديل الجرد'!$C$2:$C$501,A15)-SUMIFS('الصرف المباشر'!$D$2:$D$501,'الصرف المباشر'!$C$2:$C$501,A15)-SUMPRODUCT((الطبخات!$B$2:$B$900=A15)*الطبخات!$C$2:$C$900*COUNTIF('سجل الإنتاج'!$C$2:$C$501,الطبخات!$A$2:$A$900)),3))</f>
        <v>0.14000000000000001</v>
      </c>
      <c r="D15" s="9"/>
    </row>
    <row r="16" spans="1:4" ht="24" customHeight="1">
      <c r="A16" s="9" t="s">
        <v>75</v>
      </c>
      <c r="B16" s="7" t="s">
        <v>28</v>
      </c>
      <c r="C16" s="10">
        <f>IF(A16="","",ROUND(SUMIFS(الإدخالات!$D$2:$D$501,الإدخالات!$C$2:$C$501,A16)+SUMIFS('تعديل الجرد'!$F$2:$F$501,'تعديل الجرد'!$C$2:$C$501,A16)-SUMIFS('الصرف المباشر'!$D$2:$D$501,'الصرف المباشر'!$C$2:$C$501,A16)-SUMPRODUCT((الطبخات!$B$2:$B$900=A16)*الطبخات!$C$2:$C$900*COUNTIF('سجل الإنتاج'!$C$2:$C$501,الطبخات!$A$2:$A$900)),3))</f>
        <v>251.4</v>
      </c>
      <c r="D16" s="9"/>
    </row>
    <row r="17" spans="1:4" ht="24" customHeight="1">
      <c r="A17" s="9" t="s">
        <v>74</v>
      </c>
      <c r="B17" s="7" t="s">
        <v>28</v>
      </c>
      <c r="C17" s="10">
        <f>IF(A17="","",ROUND(SUMIFS(الإدخالات!$D$2:$D$501,الإدخالات!$C$2:$C$501,A17)+SUMIFS('تعديل الجرد'!$F$2:$F$501,'تعديل الجرد'!$C$2:$C$501,A17)-SUMIFS('الصرف المباشر'!$D$2:$D$501,'الصرف المباشر'!$C$2:$C$501,A17)-SUMPRODUCT((الطبخات!$B$2:$B$900=A17)*الطبخات!$C$2:$C$900*COUNTIF('سجل الإنتاج'!$C$2:$C$501,الطبخات!$A$2:$A$900)),3))</f>
        <v>-5</v>
      </c>
      <c r="D17" s="9"/>
    </row>
    <row r="18" spans="1:4" ht="24" customHeight="1">
      <c r="A18" s="9" t="s">
        <v>213</v>
      </c>
      <c r="B18" s="7" t="s">
        <v>28</v>
      </c>
      <c r="C18" s="10">
        <f>IF(A18="","",ROUND(SUMIFS(الإدخالات!$D$2:$D$501,الإدخالات!$C$2:$C$501,A18)+SUMIFS('تعديل الجرد'!$F$2:$F$501,'تعديل الجرد'!$C$2:$C$501,A18)-SUMIFS('الصرف المباشر'!$D$2:$D$501,'الصرف المباشر'!$C$2:$C$501,A18)-SUMPRODUCT((الطبخات!$B$2:$B$900=A18)*الطبخات!$C$2:$C$900*COUNTIF('سجل الإنتاج'!$C$2:$C$501,الطبخات!$A$2:$A$900)),3))</f>
        <v>0.59</v>
      </c>
      <c r="D18" s="9"/>
    </row>
    <row r="19" spans="1:4" ht="24" customHeight="1">
      <c r="A19" s="9" t="s">
        <v>73</v>
      </c>
      <c r="B19" s="7" t="s">
        <v>28</v>
      </c>
      <c r="C19" s="10">
        <f>IF(A19="","",ROUND(SUMIFS(الإدخالات!$D$2:$D$501,الإدخالات!$C$2:$C$501,A19)+SUMIFS('تعديل الجرد'!$F$2:$F$501,'تعديل الجرد'!$C$2:$C$501,A19)-SUMIFS('الصرف المباشر'!$D$2:$D$501,'الصرف المباشر'!$C$2:$C$501,A19)-SUMPRODUCT((الطبخات!$B$2:$B$900=A19)*الطبخات!$C$2:$C$900*COUNTIF('سجل الإنتاج'!$C$2:$C$501,الطبخات!$A$2:$A$900)),3))</f>
        <v>0.52</v>
      </c>
      <c r="D19" s="9"/>
    </row>
    <row r="20" spans="1:4" ht="24" customHeight="1">
      <c r="A20" s="9" t="s">
        <v>72</v>
      </c>
      <c r="B20" s="7" t="s">
        <v>28</v>
      </c>
      <c r="C20" s="10">
        <f>IF(A20="","",ROUND(SUMIFS(الإدخالات!$D$2:$D$501,الإدخالات!$C$2:$C$501,A20)+SUMIFS('تعديل الجرد'!$F$2:$F$501,'تعديل الجرد'!$C$2:$C$501,A20)-SUMIFS('الصرف المباشر'!$D$2:$D$501,'الصرف المباشر'!$C$2:$C$501,A20)-SUMPRODUCT((الطبخات!$B$2:$B$900=A20)*الطبخات!$C$2:$C$900*COUNTIF('سجل الإنتاج'!$C$2:$C$501,الطبخات!$A$2:$A$900)),3))</f>
        <v>0.36</v>
      </c>
      <c r="D20" s="9"/>
    </row>
    <row r="21" spans="1:4" ht="24" customHeight="1">
      <c r="A21" s="9" t="s">
        <v>71</v>
      </c>
      <c r="B21" s="7" t="s">
        <v>28</v>
      </c>
      <c r="C21" s="10">
        <f>IF(A21="","",ROUND(SUMIFS(الإدخالات!$D$2:$D$501,الإدخالات!$C$2:$C$501,A21)+SUMIFS('تعديل الجرد'!$F$2:$F$501,'تعديل الجرد'!$C$2:$C$501,A21)-SUMIFS('الصرف المباشر'!$D$2:$D$501,'الصرف المباشر'!$C$2:$C$501,A21)-SUMPRODUCT((الطبخات!$B$2:$B$900=A21)*الطبخات!$C$2:$C$900*COUNTIF('سجل الإنتاج'!$C$2:$C$501,الطبخات!$A$2:$A$900)),3))</f>
        <v>0.74</v>
      </c>
      <c r="D21" s="9"/>
    </row>
    <row r="22" spans="1:4" ht="24" customHeight="1">
      <c r="A22" s="9" t="s">
        <v>214</v>
      </c>
      <c r="B22" s="7" t="s">
        <v>28</v>
      </c>
      <c r="C22" s="10">
        <f>IF(A22="","",ROUND(SUMIFS(الإدخالات!$D$2:$D$501,الإدخالات!$C$2:$C$501,A22)+SUMIFS('تعديل الجرد'!$F$2:$F$501,'تعديل الجرد'!$C$2:$C$501,A22)-SUMIFS('الصرف المباشر'!$D$2:$D$501,'الصرف المباشر'!$C$2:$C$501,A22)-SUMPRODUCT((الطبخات!$B$2:$B$900=A22)*الطبخات!$C$2:$C$900*COUNTIF('سجل الإنتاج'!$C$2:$C$501,الطبخات!$A$2:$A$900)),3))</f>
        <v>2.59</v>
      </c>
      <c r="D22" s="9"/>
    </row>
    <row r="23" spans="1:4" ht="24" customHeight="1">
      <c r="A23" s="9" t="s">
        <v>70</v>
      </c>
      <c r="B23" s="7" t="s">
        <v>28</v>
      </c>
      <c r="C23" s="10">
        <f>IF(A23="","",ROUND(SUMIFS(الإدخالات!$D$2:$D$501,الإدخالات!$C$2:$C$501,A23)+SUMIFS('تعديل الجرد'!$F$2:$F$501,'تعديل الجرد'!$C$2:$C$501,A23)-SUMIFS('الصرف المباشر'!$D$2:$D$501,'الصرف المباشر'!$C$2:$C$501,A23)-SUMPRODUCT((الطبخات!$B$2:$B$900=A23)*الطبخات!$C$2:$C$900*COUNTIF('سجل الإنتاج'!$C$2:$C$501,الطبخات!$A$2:$A$900)),3))</f>
        <v>0.53</v>
      </c>
      <c r="D23" s="9"/>
    </row>
    <row r="24" spans="1:4" ht="24" customHeight="1">
      <c r="A24" s="9" t="s">
        <v>69</v>
      </c>
      <c r="B24" s="7" t="s">
        <v>28</v>
      </c>
      <c r="C24" s="10">
        <f>IF(A24="","",ROUND(SUMIFS(الإدخالات!$D$2:$D$501,الإدخالات!$C$2:$C$501,A24)+SUMIFS('تعديل الجرد'!$F$2:$F$501,'تعديل الجرد'!$C$2:$C$501,A24)-SUMIFS('الصرف المباشر'!$D$2:$D$501,'الصرف المباشر'!$C$2:$C$501,A24)-SUMPRODUCT((الطبخات!$B$2:$B$900=A24)*الطبخات!$C$2:$C$900*COUNTIF('سجل الإنتاج'!$C$2:$C$501,الطبخات!$A$2:$A$900)),3))</f>
        <v>-1.34</v>
      </c>
      <c r="D24" s="9"/>
    </row>
    <row r="25" spans="1:4" ht="24" customHeight="1">
      <c r="A25" s="9" t="s">
        <v>68</v>
      </c>
      <c r="B25" s="7" t="s">
        <v>28</v>
      </c>
      <c r="C25" s="10">
        <f>IF(A25="","",ROUND(SUMIFS(الإدخالات!$D$2:$D$501,الإدخالات!$C$2:$C$501,A25)+SUMIFS('تعديل الجرد'!$F$2:$F$501,'تعديل الجرد'!$C$2:$C$501,A25)-SUMIFS('الصرف المباشر'!$D$2:$D$501,'الصرف المباشر'!$C$2:$C$501,A25)-SUMPRODUCT((الطبخات!$B$2:$B$900=A25)*الطبخات!$C$2:$C$900*COUNTIF('سجل الإنتاج'!$C$2:$C$501,الطبخات!$A$2:$A$900)),3))</f>
        <v>0.6</v>
      </c>
      <c r="D25" s="9"/>
    </row>
    <row r="26" spans="1:4" ht="24" customHeight="1">
      <c r="A26" s="9" t="s">
        <v>215</v>
      </c>
      <c r="B26" s="7" t="s">
        <v>28</v>
      </c>
      <c r="C26" s="10">
        <f>IF(A26="","",ROUND(SUMIFS(الإدخالات!$D$2:$D$501,الإدخالات!$C$2:$C$501,A26)+SUMIFS('تعديل الجرد'!$F$2:$F$501,'تعديل الجرد'!$C$2:$C$501,A26)-SUMIFS('الصرف المباشر'!$D$2:$D$501,'الصرف المباشر'!$C$2:$C$501,A26)-SUMPRODUCT((الطبخات!$B$2:$B$900=A26)*الطبخات!$C$2:$C$900*COUNTIF('سجل الإنتاج'!$C$2:$C$501,الطبخات!$A$2:$A$900)),3))</f>
        <v>0.47</v>
      </c>
      <c r="D26" s="9"/>
    </row>
    <row r="27" spans="1:4" ht="24" customHeight="1">
      <c r="A27" s="9" t="s">
        <v>67</v>
      </c>
      <c r="B27" s="7" t="s">
        <v>28</v>
      </c>
      <c r="C27" s="10">
        <f>IF(A27="","",ROUND(SUMIFS(الإدخالات!$D$2:$D$501,الإدخالات!$C$2:$C$501,A27)+SUMIFS('تعديل الجرد'!$F$2:$F$501,'تعديل الجرد'!$C$2:$C$501,A27)-SUMIFS('الصرف المباشر'!$D$2:$D$501,'الصرف المباشر'!$C$2:$C$501,A27)-SUMPRODUCT((الطبخات!$B$2:$B$900=A27)*الطبخات!$C$2:$C$900*COUNTIF('سجل الإنتاج'!$C$2:$C$501,الطبخات!$A$2:$A$900)),3))</f>
        <v>0</v>
      </c>
      <c r="D27" s="9"/>
    </row>
    <row r="28" spans="1:4" ht="24" customHeight="1">
      <c r="A28" s="9" t="s">
        <v>66</v>
      </c>
      <c r="B28" s="7" t="s">
        <v>28</v>
      </c>
      <c r="C28" s="10">
        <f>IF(A28="","",ROUND(SUMIFS(الإدخالات!$D$2:$D$501,الإدخالات!$C$2:$C$501,A28)+SUMIFS('تعديل الجرد'!$F$2:$F$501,'تعديل الجرد'!$C$2:$C$501,A28)-SUMIFS('الصرف المباشر'!$D$2:$D$501,'الصرف المباشر'!$C$2:$C$501,A28)-SUMPRODUCT((الطبخات!$B$2:$B$900=A28)*الطبخات!$C$2:$C$900*COUNTIF('سجل الإنتاج'!$C$2:$C$501,الطبخات!$A$2:$A$900)),3))</f>
        <v>20</v>
      </c>
      <c r="D28" s="9"/>
    </row>
    <row r="29" spans="1:4" ht="24" customHeight="1">
      <c r="A29" s="9" t="s">
        <v>65</v>
      </c>
      <c r="B29" s="7" t="s">
        <v>28</v>
      </c>
      <c r="C29" s="10">
        <f>IF(A29="","",ROUND(SUMIFS(الإدخالات!$D$2:$D$501,الإدخالات!$C$2:$C$501,A29)+SUMIFS('تعديل الجرد'!$F$2:$F$501,'تعديل الجرد'!$C$2:$C$501,A29)-SUMIFS('الصرف المباشر'!$D$2:$D$501,'الصرف المباشر'!$C$2:$C$501,A29)-SUMPRODUCT((الطبخات!$B$2:$B$900=A29)*الطبخات!$C$2:$C$900*COUNTIF('سجل الإنتاج'!$C$2:$C$501,الطبخات!$A$2:$A$900)),3))</f>
        <v>21.4</v>
      </c>
      <c r="D29" s="9"/>
    </row>
    <row r="30" spans="1:4" ht="24" customHeight="1">
      <c r="A30" s="9" t="s">
        <v>64</v>
      </c>
      <c r="B30" s="7" t="s">
        <v>28</v>
      </c>
      <c r="C30" s="10">
        <f>IF(A30="","",ROUND(SUMIFS(الإدخالات!$D$2:$D$501,الإدخالات!$C$2:$C$501,A30)+SUMIFS('تعديل الجرد'!$F$2:$F$501,'تعديل الجرد'!$C$2:$C$501,A30)-SUMIFS('الصرف المباشر'!$D$2:$D$501,'الصرف المباشر'!$C$2:$C$501,A30)-SUMPRODUCT((الطبخات!$B$2:$B$900=A30)*الطبخات!$C$2:$C$900*COUNTIF('سجل الإنتاج'!$C$2:$C$501,الطبخات!$A$2:$A$900)),3))</f>
        <v>0</v>
      </c>
      <c r="D30" s="9"/>
    </row>
    <row r="31" spans="1:4" ht="24" customHeight="1">
      <c r="A31" s="9" t="s">
        <v>63</v>
      </c>
      <c r="B31" s="7" t="s">
        <v>28</v>
      </c>
      <c r="C31" s="10">
        <f>IF(A31="","",ROUND(SUMIFS(الإدخالات!$D$2:$D$501,الإدخالات!$C$2:$C$501,A31)+SUMIFS('تعديل الجرد'!$F$2:$F$501,'تعديل الجرد'!$C$2:$C$501,A31)-SUMIFS('الصرف المباشر'!$D$2:$D$501,'الصرف المباشر'!$C$2:$C$501,A31)-SUMPRODUCT((الطبخات!$B$2:$B$900=A31)*الطبخات!$C$2:$C$900*COUNTIF('سجل الإنتاج'!$C$2:$C$501,الطبخات!$A$2:$A$900)),3))</f>
        <v>2</v>
      </c>
      <c r="D31" s="9"/>
    </row>
    <row r="32" spans="1:4" ht="24" customHeight="1">
      <c r="A32" s="9" t="s">
        <v>62</v>
      </c>
      <c r="B32" s="7" t="s">
        <v>28</v>
      </c>
      <c r="C32" s="10">
        <f>IF(A32="","",ROUND(SUMIFS(الإدخالات!$D$2:$D$501,الإدخالات!$C$2:$C$501,A32)+SUMIFS('تعديل الجرد'!$F$2:$F$501,'تعديل الجرد'!$C$2:$C$501,A32)-SUMIFS('الصرف المباشر'!$D$2:$D$501,'الصرف المباشر'!$C$2:$C$501,A32)-SUMPRODUCT((الطبخات!$B$2:$B$900=A32)*الطبخات!$C$2:$C$900*COUNTIF('سجل الإنتاج'!$C$2:$C$501,الطبخات!$A$2:$A$900)),3))</f>
        <v>3</v>
      </c>
      <c r="D32" s="9"/>
    </row>
    <row r="33" spans="1:4" ht="24" customHeight="1">
      <c r="A33" s="9" t="s">
        <v>61</v>
      </c>
      <c r="B33" s="7" t="s">
        <v>28</v>
      </c>
      <c r="C33" s="10">
        <f>IF(A33="","",ROUND(SUMIFS(الإدخالات!$D$2:$D$501,الإدخالات!$C$2:$C$501,A33)+SUMIFS('تعديل الجرد'!$F$2:$F$501,'تعديل الجرد'!$C$2:$C$501,A33)-SUMIFS('الصرف المباشر'!$D$2:$D$501,'الصرف المباشر'!$C$2:$C$501,A33)-SUMPRODUCT((الطبخات!$B$2:$B$900=A33)*الطبخات!$C$2:$C$900*COUNTIF('سجل الإنتاج'!$C$2:$C$501,الطبخات!$A$2:$A$900)),3))</f>
        <v>0.42</v>
      </c>
      <c r="D33" s="9"/>
    </row>
    <row r="34" spans="1:4" ht="24" customHeight="1">
      <c r="A34" s="9" t="s">
        <v>59</v>
      </c>
      <c r="B34" s="7" t="s">
        <v>28</v>
      </c>
      <c r="C34" s="10">
        <f>IF(A34="","",ROUND(SUMIFS(الإدخالات!$D$2:$D$501,الإدخالات!$C$2:$C$501,A34)+SUMIFS('تعديل الجرد'!$F$2:$F$501,'تعديل الجرد'!$C$2:$C$501,A34)-SUMIFS('الصرف المباشر'!$D$2:$D$501,'الصرف المباشر'!$C$2:$C$501,A34)-SUMPRODUCT((الطبخات!$B$2:$B$900=A34)*الطبخات!$C$2:$C$900*COUNTIF('سجل الإنتاج'!$C$2:$C$501,الطبخات!$A$2:$A$900)),3))</f>
        <v>1</v>
      </c>
      <c r="D34" s="9"/>
    </row>
    <row r="35" spans="1:4" ht="24" customHeight="1">
      <c r="A35" s="9" t="s">
        <v>58</v>
      </c>
      <c r="B35" s="7" t="s">
        <v>28</v>
      </c>
      <c r="C35" s="10">
        <f>IF(A35="","",ROUND(SUMIFS(الإدخالات!$D$2:$D$501,الإدخالات!$C$2:$C$501,A35)+SUMIFS('تعديل الجرد'!$F$2:$F$501,'تعديل الجرد'!$C$2:$C$501,A35)-SUMIFS('الصرف المباشر'!$D$2:$D$501,'الصرف المباشر'!$C$2:$C$501,A35)-SUMPRODUCT((الطبخات!$B$2:$B$900=A35)*الطبخات!$C$2:$C$900*COUNTIF('سجل الإنتاج'!$C$2:$C$501,الطبخات!$A$2:$A$900)),3))</f>
        <v>0</v>
      </c>
      <c r="D35" s="9"/>
    </row>
    <row r="36" spans="1:4" ht="24" customHeight="1">
      <c r="A36" s="9" t="s">
        <v>57</v>
      </c>
      <c r="B36" s="7" t="s">
        <v>28</v>
      </c>
      <c r="C36" s="10">
        <f>IF(A36="","",ROUND(SUMIFS(الإدخالات!$D$2:$D$501,الإدخالات!$C$2:$C$501,A36)+SUMIFS('تعديل الجرد'!$F$2:$F$501,'تعديل الجرد'!$C$2:$C$501,A36)-SUMIFS('الصرف المباشر'!$D$2:$D$501,'الصرف المباشر'!$C$2:$C$501,A36)-SUMPRODUCT((الطبخات!$B$2:$B$900=A36)*الطبخات!$C$2:$C$900*COUNTIF('سجل الإنتاج'!$C$2:$C$501,الطبخات!$A$2:$A$900)),3))</f>
        <v>0</v>
      </c>
      <c r="D36" s="9"/>
    </row>
    <row r="37" spans="1:4" ht="24" customHeight="1">
      <c r="A37" s="9" t="s">
        <v>56</v>
      </c>
      <c r="B37" s="7" t="s">
        <v>28</v>
      </c>
      <c r="C37" s="10">
        <f>IF(A37="","",ROUND(SUMIFS(الإدخالات!$D$2:$D$501,الإدخالات!$C$2:$C$501,A37)+SUMIFS('تعديل الجرد'!$F$2:$F$501,'تعديل الجرد'!$C$2:$C$501,A37)-SUMIFS('الصرف المباشر'!$D$2:$D$501,'الصرف المباشر'!$C$2:$C$501,A37)-SUMPRODUCT((الطبخات!$B$2:$B$900=A37)*الطبخات!$C$2:$C$900*COUNTIF('سجل الإنتاج'!$C$2:$C$501,الطبخات!$A$2:$A$900)),3))</f>
        <v>0</v>
      </c>
      <c r="D37" s="9"/>
    </row>
    <row r="38" spans="1:4" ht="24" customHeight="1">
      <c r="A38" s="9" t="s">
        <v>54</v>
      </c>
      <c r="B38" s="7" t="s">
        <v>28</v>
      </c>
      <c r="C38" s="10">
        <f>IF(A38="","",ROUND(SUMIFS(الإدخالات!$D$2:$D$501,الإدخالات!$C$2:$C$501,A38)+SUMIFS('تعديل الجرد'!$F$2:$F$501,'تعديل الجرد'!$C$2:$C$501,A38)-SUMIFS('الصرف المباشر'!$D$2:$D$501,'الصرف المباشر'!$C$2:$C$501,A38)-SUMPRODUCT((الطبخات!$B$2:$B$900=A38)*الطبخات!$C$2:$C$900*COUNTIF('سجل الإنتاج'!$C$2:$C$501,الطبخات!$A$2:$A$900)),3))</f>
        <v>2</v>
      </c>
      <c r="D38" s="9"/>
    </row>
    <row r="39" spans="1:4" ht="24" customHeight="1">
      <c r="A39" s="9" t="s">
        <v>53</v>
      </c>
      <c r="B39" s="7" t="s">
        <v>28</v>
      </c>
      <c r="C39" s="10">
        <f>IF(A39="","",ROUND(SUMIFS(الإدخالات!$D$2:$D$501,الإدخالات!$C$2:$C$501,A39)+SUMIFS('تعديل الجرد'!$F$2:$F$501,'تعديل الجرد'!$C$2:$C$501,A39)-SUMIFS('الصرف المباشر'!$D$2:$D$501,'الصرف المباشر'!$C$2:$C$501,A39)-SUMPRODUCT((الطبخات!$B$2:$B$900=A39)*الطبخات!$C$2:$C$900*COUNTIF('سجل الإنتاج'!$C$2:$C$501,الطبخات!$A$2:$A$900)),3))</f>
        <v>50</v>
      </c>
      <c r="D39" s="9"/>
    </row>
    <row r="40" spans="1:4" ht="24" customHeight="1">
      <c r="A40" s="9" t="s">
        <v>52</v>
      </c>
      <c r="B40" s="7" t="s">
        <v>28</v>
      </c>
      <c r="C40" s="10">
        <f>IF(A40="","",ROUND(SUMIFS(الإدخالات!$D$2:$D$501,الإدخالات!$C$2:$C$501,A40)+SUMIFS('تعديل الجرد'!$F$2:$F$501,'تعديل الجرد'!$C$2:$C$501,A40)-SUMIFS('الصرف المباشر'!$D$2:$D$501,'الصرف المباشر'!$C$2:$C$501,A40)-SUMPRODUCT((الطبخات!$B$2:$B$900=A40)*الطبخات!$C$2:$C$900*COUNTIF('سجل الإنتاج'!$C$2:$C$501,الطبخات!$A$2:$A$900)),3))</f>
        <v>4</v>
      </c>
      <c r="D40" s="9"/>
    </row>
    <row r="41" spans="1:4" ht="24" customHeight="1">
      <c r="A41" s="9" t="s">
        <v>51</v>
      </c>
      <c r="B41" s="7" t="s">
        <v>28</v>
      </c>
      <c r="C41" s="10">
        <f>IF(A41="","",ROUND(SUMIFS(الإدخالات!$D$2:$D$501,الإدخالات!$C$2:$C$501,A41)+SUMIFS('تعديل الجرد'!$F$2:$F$501,'تعديل الجرد'!$C$2:$C$501,A41)-SUMIFS('الصرف المباشر'!$D$2:$D$501,'الصرف المباشر'!$C$2:$C$501,A41)-SUMPRODUCT((الطبخات!$B$2:$B$900=A41)*الطبخات!$C$2:$C$900*COUNTIF('سجل الإنتاج'!$C$2:$C$501,الطبخات!$A$2:$A$900)),3))</f>
        <v>1.44</v>
      </c>
      <c r="D41" s="9"/>
    </row>
    <row r="42" spans="1:4" ht="24" customHeight="1">
      <c r="A42" s="9" t="s">
        <v>48</v>
      </c>
      <c r="B42" s="7" t="s">
        <v>28</v>
      </c>
      <c r="C42" s="10">
        <f>IF(A42="","",ROUND(SUMIFS(الإدخالات!$D$2:$D$501,الإدخالات!$C$2:$C$501,A42)+SUMIFS('تعديل الجرد'!$F$2:$F$501,'تعديل الجرد'!$C$2:$C$501,A42)-SUMIFS('الصرف المباشر'!$D$2:$D$501,'الصرف المباشر'!$C$2:$C$501,A42)-SUMPRODUCT((الطبخات!$B$2:$B$900=A42)*الطبخات!$C$2:$C$900*COUNTIF('سجل الإنتاج'!$C$2:$C$501,الطبخات!$A$2:$A$900)),3))</f>
        <v>105</v>
      </c>
      <c r="D42" s="9"/>
    </row>
    <row r="43" spans="1:4" ht="24" customHeight="1">
      <c r="A43" s="9" t="s">
        <v>50</v>
      </c>
      <c r="B43" s="7" t="s">
        <v>28</v>
      </c>
      <c r="C43" s="10">
        <f>IF(A43="","",ROUND(SUMIFS(الإدخالات!$D$2:$D$501,الإدخالات!$C$2:$C$501,A43)+SUMIFS('تعديل الجرد'!$F$2:$F$501,'تعديل الجرد'!$C$2:$C$501,A43)-SUMIFS('الصرف المباشر'!$D$2:$D$501,'الصرف المباشر'!$C$2:$C$501,A43)-SUMPRODUCT((الطبخات!$B$2:$B$900=A43)*الطبخات!$C$2:$C$900*COUNTIF('سجل الإنتاج'!$C$2:$C$501,الطبخات!$A$2:$A$900)),3))</f>
        <v>4</v>
      </c>
      <c r="D43" s="9"/>
    </row>
    <row r="44" spans="1:4" ht="24" customHeight="1">
      <c r="A44" s="9" t="s">
        <v>49</v>
      </c>
      <c r="B44" s="7" t="s">
        <v>28</v>
      </c>
      <c r="C44" s="10">
        <f>IF(A44="","",ROUND(SUMIFS(الإدخالات!$D$2:$D$501,الإدخالات!$C$2:$C$501,A44)+SUMIFS('تعديل الجرد'!$F$2:$F$501,'تعديل الجرد'!$C$2:$C$501,A44)-SUMIFS('الصرف المباشر'!$D$2:$D$501,'الصرف المباشر'!$C$2:$C$501,A44)-SUMPRODUCT((الطبخات!$B$2:$B$900=A44)*الطبخات!$C$2:$C$900*COUNTIF('سجل الإنتاج'!$C$2:$C$501,الطبخات!$A$2:$A$900)),3))</f>
        <v>2</v>
      </c>
      <c r="D44" s="9"/>
    </row>
    <row r="45" spans="1:4" ht="24" customHeight="1">
      <c r="A45" s="9" t="s">
        <v>216</v>
      </c>
      <c r="B45" s="7" t="s">
        <v>230</v>
      </c>
      <c r="C45" s="10">
        <f>IF(A45="","",ROUND(SUMIFS(الإدخالات!$D$2:$D$501,الإدخالات!$C$2:$C$501,A45)+SUMIFS('تعديل الجرد'!$F$2:$F$501,'تعديل الجرد'!$C$2:$C$501,A45)-SUMIFS('الصرف المباشر'!$D$2:$D$501,'الصرف المباشر'!$C$2:$C$501,A45)-SUMPRODUCT((الطبخات!$B$2:$B$900=A45)*الطبخات!$C$2:$C$900*COUNTIF('سجل الإنتاج'!$C$2:$C$501,الطبخات!$A$2:$A$900)),3))</f>
        <v>0</v>
      </c>
      <c r="D45" s="9"/>
    </row>
    <row r="46" spans="1:4" ht="24" customHeight="1">
      <c r="A46" s="9" t="s">
        <v>46</v>
      </c>
      <c r="B46" s="7" t="s">
        <v>28</v>
      </c>
      <c r="C46" s="10">
        <f>IF(A46="","",ROUND(SUMIFS(الإدخالات!$D$2:$D$501,الإدخالات!$C$2:$C$501,A46)+SUMIFS('تعديل الجرد'!$F$2:$F$501,'تعديل الجرد'!$C$2:$C$501,A46)-SUMIFS('الصرف المباشر'!$D$2:$D$501,'الصرف المباشر'!$C$2:$C$501,A46)-SUMPRODUCT((الطبخات!$B$2:$B$900=A46)*الطبخات!$C$2:$C$900*COUNTIF('سجل الإنتاج'!$C$2:$C$501,الطبخات!$A$2:$A$900)),3))</f>
        <v>17</v>
      </c>
      <c r="D46" s="9"/>
    </row>
    <row r="47" spans="1:4" ht="24" customHeight="1">
      <c r="A47" s="9" t="s">
        <v>217</v>
      </c>
      <c r="B47" s="7" t="s">
        <v>28</v>
      </c>
      <c r="C47" s="10">
        <f>IF(A47="","",ROUND(SUMIFS(الإدخالات!$D$2:$D$501,الإدخالات!$C$2:$C$501,A47)+SUMIFS('تعديل الجرد'!$F$2:$F$501,'تعديل الجرد'!$C$2:$C$501,A47)-SUMIFS('الصرف المباشر'!$D$2:$D$501,'الصرف المباشر'!$C$2:$C$501,A47)-SUMPRODUCT((الطبخات!$B$2:$B$900=A47)*الطبخات!$C$2:$C$900*COUNTIF('سجل الإنتاج'!$C$2:$C$501,الطبخات!$A$2:$A$900)),3))</f>
        <v>0</v>
      </c>
      <c r="D47" s="9"/>
    </row>
    <row r="48" spans="1:4" ht="24" customHeight="1">
      <c r="A48" s="9" t="s">
        <v>45</v>
      </c>
      <c r="B48" s="7" t="s">
        <v>28</v>
      </c>
      <c r="C48" s="10">
        <f>IF(A48="","",ROUND(SUMIFS(الإدخالات!$D$2:$D$501,الإدخالات!$C$2:$C$501,A48)+SUMIFS('تعديل الجرد'!$F$2:$F$501,'تعديل الجرد'!$C$2:$C$501,A48)-SUMIFS('الصرف المباشر'!$D$2:$D$501,'الصرف المباشر'!$C$2:$C$501,A48)-SUMPRODUCT((الطبخات!$B$2:$B$900=A48)*الطبخات!$C$2:$C$900*COUNTIF('سجل الإنتاج'!$C$2:$C$501,الطبخات!$A$2:$A$900)),3))</f>
        <v>-25</v>
      </c>
      <c r="D48" s="9"/>
    </row>
    <row r="49" spans="1:4" ht="24" customHeight="1">
      <c r="A49" s="9" t="s">
        <v>219</v>
      </c>
      <c r="B49" s="7" t="s">
        <v>28</v>
      </c>
      <c r="C49" s="10">
        <f>IF(A49="","",ROUND(SUMIFS(الإدخالات!$D$2:$D$501,الإدخالات!$C$2:$C$501,A49)+SUMIFS('تعديل الجرد'!$F$2:$F$501,'تعديل الجرد'!$C$2:$C$501,A49)-SUMIFS('الصرف المباشر'!$D$2:$D$501,'الصرف المباشر'!$C$2:$C$501,A49)-SUMPRODUCT((الطبخات!$B$2:$B$900=A49)*الطبخات!$C$2:$C$900*COUNTIF('سجل الإنتاج'!$C$2:$C$501,الطبخات!$A$2:$A$900)),3))</f>
        <v>0</v>
      </c>
      <c r="D49" s="9"/>
    </row>
    <row r="50" spans="1:4" ht="24" customHeight="1">
      <c r="A50" s="9" t="s">
        <v>44</v>
      </c>
      <c r="B50" s="7" t="s">
        <v>28</v>
      </c>
      <c r="C50" s="10">
        <f>IF(A50="","",ROUND(SUMIFS(الإدخالات!$D$2:$D$501,الإدخالات!$C$2:$C$501,A50)+SUMIFS('تعديل الجرد'!$F$2:$F$501,'تعديل الجرد'!$C$2:$C$501,A50)-SUMIFS('الصرف المباشر'!$D$2:$D$501,'الصرف المباشر'!$C$2:$C$501,A50)-SUMPRODUCT((الطبخات!$B$2:$B$900=A50)*الطبخات!$C$2:$C$900*COUNTIF('سجل الإنتاج'!$C$2:$C$501,الطبخات!$A$2:$A$900)),3))</f>
        <v>24</v>
      </c>
      <c r="D50" s="9"/>
    </row>
    <row r="51" spans="1:4" ht="24" customHeight="1">
      <c r="A51" s="9" t="s">
        <v>43</v>
      </c>
      <c r="B51" s="7" t="s">
        <v>28</v>
      </c>
      <c r="C51" s="10">
        <f>IF(A51="","",ROUND(SUMIFS(الإدخالات!$D$2:$D$501,الإدخالات!$C$2:$C$501,A51)+SUMIFS('تعديل الجرد'!$F$2:$F$501,'تعديل الجرد'!$C$2:$C$501,A51)-SUMIFS('الصرف المباشر'!$D$2:$D$501,'الصرف المباشر'!$C$2:$C$501,A51)-SUMPRODUCT((الطبخات!$B$2:$B$900=A51)*الطبخات!$C$2:$C$900*COUNTIF('سجل الإنتاج'!$C$2:$C$501,الطبخات!$A$2:$A$900)),3))</f>
        <v>386</v>
      </c>
      <c r="D51" s="9"/>
    </row>
    <row r="52" spans="1:4" ht="24" customHeight="1">
      <c r="A52" s="9" t="s">
        <v>42</v>
      </c>
      <c r="B52" s="7" t="s">
        <v>28</v>
      </c>
      <c r="C52" s="10">
        <f>IF(A52="","",ROUND(SUMIFS(الإدخالات!$D$2:$D$501,الإدخالات!$C$2:$C$501,A52)+SUMIFS('تعديل الجرد'!$F$2:$F$501,'تعديل الجرد'!$C$2:$C$501,A52)-SUMIFS('الصرف المباشر'!$D$2:$D$501,'الصرف المباشر'!$C$2:$C$501,A52)-SUMPRODUCT((الطبخات!$B$2:$B$900=A52)*الطبخات!$C$2:$C$900*COUNTIF('سجل الإنتاج'!$C$2:$C$501,الطبخات!$A$2:$A$900)),3))</f>
        <v>0</v>
      </c>
      <c r="D52" s="9"/>
    </row>
    <row r="53" spans="1:4" ht="24" customHeight="1">
      <c r="A53" s="9" t="s">
        <v>41</v>
      </c>
      <c r="B53" s="7" t="s">
        <v>28</v>
      </c>
      <c r="C53" s="10">
        <f>IF(A53="","",ROUND(SUMIFS(الإدخالات!$D$2:$D$501,الإدخالات!$C$2:$C$501,A53)+SUMIFS('تعديل الجرد'!$F$2:$F$501,'تعديل الجرد'!$C$2:$C$501,A53)-SUMIFS('الصرف المباشر'!$D$2:$D$501,'الصرف المباشر'!$C$2:$C$501,A53)-SUMPRODUCT((الطبخات!$B$2:$B$900=A53)*الطبخات!$C$2:$C$900*COUNTIF('سجل الإنتاج'!$C$2:$C$501,الطبخات!$A$2:$A$900)),3))</f>
        <v>34</v>
      </c>
      <c r="D53" s="9"/>
    </row>
    <row r="54" spans="1:4" ht="24" customHeight="1">
      <c r="A54" s="9" t="s">
        <v>40</v>
      </c>
      <c r="B54" s="7" t="s">
        <v>28</v>
      </c>
      <c r="C54" s="10">
        <f>IF(A54="","",ROUND(SUMIFS(الإدخالات!$D$2:$D$501,الإدخالات!$C$2:$C$501,A54)+SUMIFS('تعديل الجرد'!$F$2:$F$501,'تعديل الجرد'!$C$2:$C$501,A54)-SUMIFS('الصرف المباشر'!$D$2:$D$501,'الصرف المباشر'!$C$2:$C$501,A54)-SUMPRODUCT((الطبخات!$B$2:$B$900=A54)*الطبخات!$C$2:$C$900*COUNTIF('سجل الإنتاج'!$C$2:$C$501,الطبخات!$A$2:$A$900)),3))</f>
        <v>1</v>
      </c>
      <c r="D54" s="9"/>
    </row>
    <row r="55" spans="1:4" ht="24" customHeight="1">
      <c r="A55" s="9" t="s">
        <v>39</v>
      </c>
      <c r="B55" s="7" t="s">
        <v>28</v>
      </c>
      <c r="C55" s="10">
        <f>IF(A55="","",ROUND(SUMIFS(الإدخالات!$D$2:$D$501,الإدخالات!$C$2:$C$501,A55)+SUMIFS('تعديل الجرد'!$F$2:$F$501,'تعديل الجرد'!$C$2:$C$501,A55)-SUMIFS('الصرف المباشر'!$D$2:$D$501,'الصرف المباشر'!$C$2:$C$501,A55)-SUMPRODUCT((الطبخات!$B$2:$B$900=A55)*الطبخات!$C$2:$C$900*COUNTIF('سجل الإنتاج'!$C$2:$C$501,الطبخات!$A$2:$A$900)),3))</f>
        <v>0</v>
      </c>
      <c r="D55" s="9"/>
    </row>
    <row r="56" spans="1:4" ht="24" customHeight="1">
      <c r="A56" s="9" t="s">
        <v>38</v>
      </c>
      <c r="B56" s="7" t="s">
        <v>28</v>
      </c>
      <c r="C56" s="10">
        <f>IF(A56="","",ROUND(SUMIFS(الإدخالات!$D$2:$D$501,الإدخالات!$C$2:$C$501,A56)+SUMIFS('تعديل الجرد'!$F$2:$F$501,'تعديل الجرد'!$C$2:$C$501,A56)-SUMIFS('الصرف المباشر'!$D$2:$D$501,'الصرف المباشر'!$C$2:$C$501,A56)-SUMPRODUCT((الطبخات!$B$2:$B$900=A56)*الطبخات!$C$2:$C$900*COUNTIF('سجل الإنتاج'!$C$2:$C$501,الطبخات!$A$2:$A$900)),3))</f>
        <v>1</v>
      </c>
      <c r="D56" s="9"/>
    </row>
    <row r="57" spans="1:4" ht="24" customHeight="1">
      <c r="A57" s="9" t="s">
        <v>37</v>
      </c>
      <c r="B57" s="7" t="s">
        <v>28</v>
      </c>
      <c r="C57" s="10">
        <f>IF(A57="","",ROUND(SUMIFS(الإدخالات!$D$2:$D$501,الإدخالات!$C$2:$C$501,A57)+SUMIFS('تعديل الجرد'!$F$2:$F$501,'تعديل الجرد'!$C$2:$C$501,A57)-SUMIFS('الصرف المباشر'!$D$2:$D$501,'الصرف المباشر'!$C$2:$C$501,A57)-SUMPRODUCT((الطبخات!$B$2:$B$900=A57)*الطبخات!$C$2:$C$900*COUNTIF('سجل الإنتاج'!$C$2:$C$501,الطبخات!$A$2:$A$900)),3))</f>
        <v>0.83</v>
      </c>
      <c r="D57" s="9"/>
    </row>
    <row r="58" spans="1:4" ht="24" customHeight="1">
      <c r="A58" s="9" t="s">
        <v>97</v>
      </c>
      <c r="B58" s="7" t="s">
        <v>28</v>
      </c>
      <c r="C58" s="10">
        <f>IF(A58="","",ROUND(SUMIFS(الإدخالات!$D$2:$D$501,الإدخالات!$C$2:$C$501,A58)+SUMIFS('تعديل الجرد'!$F$2:$F$501,'تعديل الجرد'!$C$2:$C$501,A58)-SUMIFS('الصرف المباشر'!$D$2:$D$501,'الصرف المباشر'!$C$2:$C$501,A58)-SUMPRODUCT((الطبخات!$B$2:$B$900=A58)*الطبخات!$C$2:$C$900*COUNTIF('سجل الإنتاج'!$C$2:$C$501,الطبخات!$A$2:$A$900)),3))</f>
        <v>0</v>
      </c>
      <c r="D58" s="9"/>
    </row>
    <row r="59" spans="1:4" ht="24" customHeight="1">
      <c r="A59" s="9" t="s">
        <v>35</v>
      </c>
      <c r="B59" s="7" t="s">
        <v>28</v>
      </c>
      <c r="C59" s="10">
        <f>IF(A59="","",ROUND(SUMIFS(الإدخالات!$D$2:$D$501,الإدخالات!$C$2:$C$501,A59)+SUMIFS('تعديل الجرد'!$F$2:$F$501,'تعديل الجرد'!$C$2:$C$501,A59)-SUMIFS('الصرف المباشر'!$D$2:$D$501,'الصرف المباشر'!$C$2:$C$501,A59)-SUMPRODUCT((الطبخات!$B$2:$B$900=A59)*الطبخات!$C$2:$C$900*COUNTIF('سجل الإنتاج'!$C$2:$C$501,الطبخات!$A$2:$A$900)),3))</f>
        <v>368</v>
      </c>
      <c r="D59" s="9"/>
    </row>
    <row r="60" spans="1:4" ht="24" customHeight="1">
      <c r="A60" s="9" t="s">
        <v>220</v>
      </c>
      <c r="B60" s="7" t="s">
        <v>339</v>
      </c>
      <c r="C60" s="10">
        <f>IF(A60="","",ROUND(SUMIFS(الإدخالات!$D$2:$D$501,الإدخالات!$C$2:$C$501,A60)+SUMIFS('تعديل الجرد'!$F$2:$F$501,'تعديل الجرد'!$C$2:$C$501,A60)-SUMIFS('الصرف المباشر'!$D$2:$D$501,'الصرف المباشر'!$C$2:$C$501,A60)-SUMPRODUCT((الطبخات!$B$2:$B$900=A60)*الطبخات!$C$2:$C$900*COUNTIF('سجل الإنتاج'!$C$2:$C$501,الطبخات!$A$2:$A$900)),3))</f>
        <v>12</v>
      </c>
      <c r="D60" s="9"/>
    </row>
    <row r="61" spans="1:4" ht="24" customHeight="1">
      <c r="A61" s="9" t="s">
        <v>34</v>
      </c>
      <c r="B61" s="7" t="s">
        <v>28</v>
      </c>
      <c r="C61" s="10">
        <f>IF(A61="","",ROUND(SUMIFS(الإدخالات!$D$2:$D$501,الإدخالات!$C$2:$C$501,A61)+SUMIFS('تعديل الجرد'!$F$2:$F$501,'تعديل الجرد'!$C$2:$C$501,A61)-SUMIFS('الصرف المباشر'!$D$2:$D$501,'الصرف المباشر'!$C$2:$C$501,A61)-SUMPRODUCT((الطبخات!$B$2:$B$900=A61)*الطبخات!$C$2:$C$900*COUNTIF('سجل الإنتاج'!$C$2:$C$501,الطبخات!$A$2:$A$900)),3))</f>
        <v>257.5</v>
      </c>
      <c r="D61" s="9"/>
    </row>
    <row r="62" spans="1:4" ht="24" customHeight="1">
      <c r="A62" s="9" t="s">
        <v>33</v>
      </c>
      <c r="B62" s="7" t="s">
        <v>28</v>
      </c>
      <c r="C62" s="10">
        <f>IF(A62="","",ROUND(SUMIFS(الإدخالات!$D$2:$D$501,الإدخالات!$C$2:$C$501,A62)+SUMIFS('تعديل الجرد'!$F$2:$F$501,'تعديل الجرد'!$C$2:$C$501,A62)-SUMIFS('الصرف المباشر'!$D$2:$D$501,'الصرف المباشر'!$C$2:$C$501,A62)-SUMPRODUCT((الطبخات!$B$2:$B$900=A62)*الطبخات!$C$2:$C$900*COUNTIF('سجل الإنتاج'!$C$2:$C$501,الطبخات!$A$2:$A$900)),3))</f>
        <v>0</v>
      </c>
      <c r="D62" s="9"/>
    </row>
    <row r="63" spans="1:4" ht="24" customHeight="1">
      <c r="A63" s="9" t="s">
        <v>32</v>
      </c>
      <c r="B63" s="7" t="s">
        <v>28</v>
      </c>
      <c r="C63" s="10">
        <f>IF(A63="","",ROUND(SUMIFS(الإدخالات!$D$2:$D$501,الإدخالات!$C$2:$C$501,A63)+SUMIFS('تعديل الجرد'!$F$2:$F$501,'تعديل الجرد'!$C$2:$C$501,A63)-SUMIFS('الصرف المباشر'!$D$2:$D$501,'الصرف المباشر'!$C$2:$C$501,A63)-SUMPRODUCT((الطبخات!$B$2:$B$900=A63)*الطبخات!$C$2:$C$900*COUNTIF('سجل الإنتاج'!$C$2:$C$501,الطبخات!$A$2:$A$900)),3))</f>
        <v>3</v>
      </c>
      <c r="D63" s="9"/>
    </row>
    <row r="64" spans="1:4" ht="24" customHeight="1">
      <c r="A64" s="9" t="s">
        <v>31</v>
      </c>
      <c r="B64" s="7" t="s">
        <v>28</v>
      </c>
      <c r="C64" s="10">
        <f>IF(A64="","",ROUND(SUMIFS(الإدخالات!$D$2:$D$501,الإدخالات!$C$2:$C$501,A64)+SUMIFS('تعديل الجرد'!$F$2:$F$501,'تعديل الجرد'!$C$2:$C$501,A64)-SUMIFS('الصرف المباشر'!$D$2:$D$501,'الصرف المباشر'!$C$2:$C$501,A64)-SUMPRODUCT((الطبخات!$B$2:$B$900=A64)*الطبخات!$C$2:$C$900*COUNTIF('سجل الإنتاج'!$C$2:$C$501,الطبخات!$A$2:$A$900)),3))</f>
        <v>0</v>
      </c>
      <c r="D64" s="9"/>
    </row>
    <row r="65" spans="1:4" ht="24" customHeight="1">
      <c r="A65" s="9" t="s">
        <v>29</v>
      </c>
      <c r="B65" s="7" t="s">
        <v>28</v>
      </c>
      <c r="C65" s="10">
        <f>IF(A65="","",ROUND(SUMIFS(الإدخالات!$D$2:$D$501,الإدخالات!$C$2:$C$501,A65)+SUMIFS('تعديل الجرد'!$F$2:$F$501,'تعديل الجرد'!$C$2:$C$501,A65)-SUMIFS('الصرف المباشر'!$D$2:$D$501,'الصرف المباشر'!$C$2:$C$501,A65)-SUMPRODUCT((الطبخات!$B$2:$B$900=A65)*الطبخات!$C$2:$C$900*COUNTIF('سجل الإنتاج'!$C$2:$C$501,الطبخات!$A$2:$A$900)),3))</f>
        <v>6</v>
      </c>
      <c r="D65" s="9"/>
    </row>
    <row r="66" spans="1:4" ht="24" customHeight="1">
      <c r="A66" s="9" t="s">
        <v>27</v>
      </c>
      <c r="B66" s="7" t="s">
        <v>28</v>
      </c>
      <c r="C66" s="10">
        <f>IF(A66="","",ROUND(SUMIFS(الإدخالات!$D$2:$D$501,الإدخالات!$C$2:$C$501,A66)+SUMIFS('تعديل الجرد'!$F$2:$F$501,'تعديل الجرد'!$C$2:$C$501,A66)-SUMIFS('الصرف المباشر'!$D$2:$D$501,'الصرف المباشر'!$C$2:$C$501,A66)-SUMPRODUCT((الطبخات!$B$2:$B$900=A66)*الطبخات!$C$2:$C$900*COUNTIF('سجل الإنتاج'!$C$2:$C$501,الطبخات!$A$2:$A$900)),3))</f>
        <v>16.5</v>
      </c>
      <c r="D66" s="9"/>
    </row>
    <row r="67" spans="1:4" ht="24" customHeight="1">
      <c r="A67" s="9" t="s">
        <v>221</v>
      </c>
      <c r="B67" s="7" t="s">
        <v>28</v>
      </c>
      <c r="C67" s="10">
        <f>IF(A67="","",ROUND(SUMIFS(الإدخالات!$D$2:$D$501,الإدخالات!$C$2:$C$501,A67)+SUMIFS('تعديل الجرد'!$F$2:$F$501,'تعديل الجرد'!$C$2:$C$501,A67)-SUMIFS('الصرف المباشر'!$D$2:$D$501,'الصرف المباشر'!$C$2:$C$501,A67)-SUMPRODUCT((الطبخات!$B$2:$B$900=A67)*الطبخات!$C$2:$C$900*COUNTIF('سجل الإنتاج'!$C$2:$C$501,الطبخات!$A$2:$A$900)),3))</f>
        <v>57</v>
      </c>
      <c r="D67" s="9"/>
    </row>
    <row r="68" spans="1:4" ht="24" customHeight="1">
      <c r="A68" s="9" t="s">
        <v>222</v>
      </c>
      <c r="B68" s="7" t="s">
        <v>28</v>
      </c>
      <c r="C68" s="10">
        <f>IF(A68="","",ROUND(SUMIFS(الإدخالات!$D$2:$D$501,الإدخالات!$C$2:$C$501,A68)+SUMIFS('تعديل الجرد'!$F$2:$F$501,'تعديل الجرد'!$C$2:$C$501,A68)-SUMIFS('الصرف المباشر'!$D$2:$D$501,'الصرف المباشر'!$C$2:$C$501,A68)-SUMPRODUCT((الطبخات!$B$2:$B$900=A68)*الطبخات!$C$2:$C$900*COUNTIF('سجل الإنتاج'!$C$2:$C$501,الطبخات!$A$2:$A$900)),3))</f>
        <v>207.5</v>
      </c>
      <c r="D68" s="9"/>
    </row>
    <row r="69" spans="1:4" ht="24" customHeight="1">
      <c r="A69" s="9" t="s">
        <v>223</v>
      </c>
      <c r="B69" s="7" t="s">
        <v>28</v>
      </c>
      <c r="C69" s="10">
        <f>IF(A69="","",ROUND(SUMIFS(الإدخالات!$D$2:$D$501,الإدخالات!$C$2:$C$501,A69)+SUMIFS('تعديل الجرد'!$F$2:$F$501,'تعديل الجرد'!$C$2:$C$501,A69)-SUMIFS('الصرف المباشر'!$D$2:$D$501,'الصرف المباشر'!$C$2:$C$501,A69)-SUMPRODUCT((الطبخات!$B$2:$B$900=A69)*الطبخات!$C$2:$C$900*COUNTIF('سجل الإنتاج'!$C$2:$C$501,الطبخات!$A$2:$A$900)),3))</f>
        <v>0</v>
      </c>
      <c r="D69" s="9"/>
    </row>
    <row r="70" spans="1:4" ht="24" customHeight="1">
      <c r="A70" s="9" t="s">
        <v>224</v>
      </c>
      <c r="B70" s="7" t="s">
        <v>28</v>
      </c>
      <c r="C70" s="10">
        <f>IF(A70="","",ROUND(SUMIFS(الإدخالات!$D$2:$D$501,الإدخالات!$C$2:$C$501,A70)+SUMIFS('تعديل الجرد'!$F$2:$F$501,'تعديل الجرد'!$C$2:$C$501,A70)-SUMIFS('الصرف المباشر'!$D$2:$D$501,'الصرف المباشر'!$C$2:$C$501,A70)-SUMPRODUCT((الطبخات!$B$2:$B$900=A70)*الطبخات!$C$2:$C$900*COUNTIF('سجل الإنتاج'!$C$2:$C$501,الطبخات!$A$2:$A$900)),3))</f>
        <v>1</v>
      </c>
      <c r="D70" s="9"/>
    </row>
    <row r="71" spans="1:4" ht="24" customHeight="1">
      <c r="A71" s="9" t="s">
        <v>225</v>
      </c>
      <c r="B71" s="7" t="s">
        <v>28</v>
      </c>
      <c r="C71" s="10">
        <f>IF(A71="","",ROUND(SUMIFS(الإدخالات!$D$2:$D$501,الإدخالات!$C$2:$C$501,A71)+SUMIFS('تعديل الجرد'!$F$2:$F$501,'تعديل الجرد'!$C$2:$C$501,A71)-SUMIFS('الصرف المباشر'!$D$2:$D$501,'الصرف المباشر'!$C$2:$C$501,A71)-SUMPRODUCT((الطبخات!$B$2:$B$900=A71)*الطبخات!$C$2:$C$900*COUNTIF('سجل الإنتاج'!$C$2:$C$501,الطبخات!$A$2:$A$900)),3))</f>
        <v>0</v>
      </c>
      <c r="D71" s="9"/>
    </row>
    <row r="72" spans="1:4" ht="24" customHeight="1">
      <c r="A72" s="9" t="s">
        <v>226</v>
      </c>
      <c r="B72" s="7" t="s">
        <v>339</v>
      </c>
      <c r="C72" s="10">
        <f>IF(A72="","",ROUND(SUMIFS(الإدخالات!$D$2:$D$501,الإدخالات!$C$2:$C$501,A72)+SUMIFS('تعديل الجرد'!$F$2:$F$501,'تعديل الجرد'!$C$2:$C$501,A72)-SUMIFS('الصرف المباشر'!$D$2:$D$501,'الصرف المباشر'!$C$2:$C$501,A72)-SUMPRODUCT((الطبخات!$B$2:$B$900=A72)*الطبخات!$C$2:$C$900*COUNTIF('سجل الإنتاج'!$C$2:$C$501,الطبخات!$A$2:$A$900)),3))</f>
        <v>19.829999999999998</v>
      </c>
      <c r="D72" s="9"/>
    </row>
    <row r="73" spans="1:4" ht="24" customHeight="1">
      <c r="A73" s="9" t="s">
        <v>227</v>
      </c>
      <c r="B73" s="7" t="s">
        <v>339</v>
      </c>
      <c r="C73" s="10">
        <f>IF(A73="","",ROUND(SUMIFS(الإدخالات!$D$2:$D$501,الإدخالات!$C$2:$C$501,A73)+SUMIFS('تعديل الجرد'!$F$2:$F$501,'تعديل الجرد'!$C$2:$C$501,A73)-SUMIFS('الصرف المباشر'!$D$2:$D$501,'الصرف المباشر'!$C$2:$C$501,A73)-SUMPRODUCT((الطبخات!$B$2:$B$900=A73)*الطبخات!$C$2:$C$900*COUNTIF('سجل الإنتاج'!$C$2:$C$501,الطبخات!$A$2:$A$900)),3))</f>
        <v>11.16</v>
      </c>
      <c r="D73" s="9"/>
    </row>
    <row r="74" spans="1:4" ht="24" customHeight="1">
      <c r="A74" s="9" t="s">
        <v>228</v>
      </c>
      <c r="B74" s="7" t="s">
        <v>339</v>
      </c>
      <c r="C74" s="10">
        <f>IF(A74="","",ROUND(SUMIFS(الإدخالات!$D$2:$D$501,الإدخالات!$C$2:$C$501,A74)+SUMIFS('تعديل الجرد'!$F$2:$F$501,'تعديل الجرد'!$C$2:$C$501,A74)-SUMIFS('الصرف المباشر'!$D$2:$D$501,'الصرف المباشر'!$C$2:$C$501,A74)-SUMPRODUCT((الطبخات!$B$2:$B$900=A74)*الطبخات!$C$2:$C$900*COUNTIF('سجل الإنتاج'!$C$2:$C$501,الطبخات!$A$2:$A$900)),3))</f>
        <v>93.75</v>
      </c>
      <c r="D74" s="9"/>
    </row>
    <row r="75" spans="1:4" ht="24" customHeight="1">
      <c r="A75" s="9" t="s">
        <v>60</v>
      </c>
      <c r="B75" s="7" t="s">
        <v>28</v>
      </c>
      <c r="C75" s="10">
        <f>IF(A75="","",ROUND(SUMIFS(الإدخالات!$D$2:$D$501,الإدخالات!$C$2:$C$501,A75)+SUMIFS('تعديل الجرد'!$F$2:$F$501,'تعديل الجرد'!$C$2:$C$501,A75)-SUMIFS('الصرف المباشر'!$D$2:$D$501,'الصرف المباشر'!$C$2:$C$501,A75)-SUMPRODUCT((الطبخات!$B$2:$B$900=A75)*الطبخات!$C$2:$C$900*COUNTIF('سجل الإنتاج'!$C$2:$C$501,الطبخات!$A$2:$A$900)),3))</f>
        <v>0</v>
      </c>
      <c r="D75" s="9"/>
    </row>
    <row r="76" spans="1:4" ht="24" customHeight="1">
      <c r="A76" s="9" t="s">
        <v>30</v>
      </c>
      <c r="B76" s="7" t="s">
        <v>28</v>
      </c>
      <c r="C76" s="10">
        <f>IF(A76="","",ROUND(SUMIFS(الإدخالات!$D$2:$D$501,الإدخالات!$C$2:$C$501,A76)+SUMIFS('تعديل الجرد'!$F$2:$F$501,'تعديل الجرد'!$C$2:$C$501,A76)-SUMIFS('الصرف المباشر'!$D$2:$D$501,'الصرف المباشر'!$C$2:$C$501,A76)-SUMPRODUCT((الطبخات!$B$2:$B$900=A76)*الطبخات!$C$2:$C$900*COUNTIF('سجل الإنتاج'!$C$2:$C$501,الطبخات!$A$2:$A$900)),3))</f>
        <v>0</v>
      </c>
      <c r="D76" s="9"/>
    </row>
    <row r="77" spans="1:4" ht="24" customHeight="1">
      <c r="A77" s="9" t="s">
        <v>36</v>
      </c>
      <c r="B77" s="7" t="s">
        <v>28</v>
      </c>
      <c r="C77" s="10">
        <f>IF(A77="","",ROUND(SUMIFS(الإدخالات!$D$2:$D$501,الإدخالات!$C$2:$C$501,A77)+SUMIFS('تعديل الجرد'!$F$2:$F$501,'تعديل الجرد'!$C$2:$C$501,A77)-SUMIFS('الصرف المباشر'!$D$2:$D$501,'الصرف المباشر'!$C$2:$C$501,A77)-SUMPRODUCT((الطبخات!$B$2:$B$900=A77)*الطبخات!$C$2:$C$900*COUNTIF('سجل الإنتاج'!$C$2:$C$501,الطبخات!$A$2:$A$900)),3))</f>
        <v>0</v>
      </c>
      <c r="D77" s="9"/>
    </row>
    <row r="78" spans="1:4" ht="24" customHeight="1">
      <c r="A78" s="9" t="s">
        <v>235</v>
      </c>
      <c r="B78" s="7" t="s">
        <v>339</v>
      </c>
      <c r="C78" s="10">
        <f>IF(A78="","",ROUND(SUMIFS(الإدخالات!$D$2:$D$501,الإدخالات!$C$2:$C$501,A78)+SUMIFS('تعديل الجرد'!$F$2:$F$501,'تعديل الجرد'!$C$2:$C$501,A78)-SUMIFS('الصرف المباشر'!$D$2:$D$501,'الصرف المباشر'!$C$2:$C$501,A78)-SUMPRODUCT((الطبخات!$B$2:$B$900=A78)*الطبخات!$C$2:$C$900*COUNTIF('سجل الإنتاج'!$C$2:$C$501,الطبخات!$A$2:$A$900)),3))</f>
        <v>0</v>
      </c>
      <c r="D78" s="9"/>
    </row>
    <row r="79" spans="1:4" ht="24" customHeight="1">
      <c r="A79" s="9" t="s">
        <v>236</v>
      </c>
      <c r="B79" s="7" t="s">
        <v>337</v>
      </c>
      <c r="C79" s="10">
        <f>IF(A79="","",ROUND(SUMIFS(الإدخالات!$D$2:$D$501,الإدخالات!$C$2:$C$501,A79)+SUMIFS('تعديل الجرد'!$F$2:$F$501,'تعديل الجرد'!$C$2:$C$501,A79)-SUMIFS('الصرف المباشر'!$D$2:$D$501,'الصرف المباشر'!$C$2:$C$501,A79)-SUMPRODUCT((الطبخات!$B$2:$B$900=A79)*الطبخات!$C$2:$C$900*COUNTIF('سجل الإنتاج'!$C$2:$C$501,الطبخات!$A$2:$A$900)),3))</f>
        <v>0</v>
      </c>
      <c r="D79" s="9"/>
    </row>
    <row r="80" spans="1:4" ht="24" customHeight="1">
      <c r="A80" s="9" t="s">
        <v>237</v>
      </c>
      <c r="B80" s="7" t="s">
        <v>337</v>
      </c>
      <c r="C80" s="10">
        <f>IF(A80="","",ROUND(SUMIFS(الإدخالات!$D$2:$D$501,الإدخالات!$C$2:$C$501,A80)+SUMIFS('تعديل الجرد'!$F$2:$F$501,'تعديل الجرد'!$C$2:$C$501,A80)-SUMIFS('الصرف المباشر'!$D$2:$D$501,'الصرف المباشر'!$C$2:$C$501,A80)-SUMPRODUCT((الطبخات!$B$2:$B$900=A80)*الطبخات!$C$2:$C$900*COUNTIF('سجل الإنتاج'!$C$2:$C$501,الطبخات!$A$2:$A$900)),3))</f>
        <v>0</v>
      </c>
      <c r="D80" s="9"/>
    </row>
    <row r="81" spans="1:4" ht="24" customHeight="1">
      <c r="A81" s="9" t="s">
        <v>238</v>
      </c>
      <c r="B81" s="7" t="s">
        <v>28</v>
      </c>
      <c r="C81" s="10">
        <f>IF(A81="","",ROUND(SUMIFS(الإدخالات!$D$2:$D$501,الإدخالات!$C$2:$C$501,A81)+SUMIFS('تعديل الجرد'!$F$2:$F$501,'تعديل الجرد'!$C$2:$C$501,A81)-SUMIFS('الصرف المباشر'!$D$2:$D$501,'الصرف المباشر'!$C$2:$C$501,A81)-SUMPRODUCT((الطبخات!$B$2:$B$900=A81)*الطبخات!$C$2:$C$900*COUNTIF('سجل الإنتاج'!$C$2:$C$501,الطبخات!$A$2:$A$900)),3))</f>
        <v>0</v>
      </c>
      <c r="D81" s="9"/>
    </row>
    <row r="82" spans="1:4" ht="24" customHeight="1">
      <c r="A82" s="9" t="s">
        <v>239</v>
      </c>
      <c r="B82" s="7" t="s">
        <v>338</v>
      </c>
      <c r="C82" s="10">
        <f>IF(A82="","",ROUND(SUMIFS(الإدخالات!$D$2:$D$501,الإدخالات!$C$2:$C$501,A82)+SUMIFS('تعديل الجرد'!$F$2:$F$501,'تعديل الجرد'!$C$2:$C$501,A82)-SUMIFS('الصرف المباشر'!$D$2:$D$501,'الصرف المباشر'!$C$2:$C$501,A82)-SUMPRODUCT((الطبخات!$B$2:$B$900=A82)*الطبخات!$C$2:$C$900*COUNTIF('سجل الإنتاج'!$C$2:$C$501,الطبخات!$A$2:$A$900)),3))</f>
        <v>0</v>
      </c>
      <c r="D82" s="9"/>
    </row>
    <row r="83" spans="1:4" ht="24" customHeight="1">
      <c r="A83" s="9" t="s">
        <v>240</v>
      </c>
      <c r="B83" s="7" t="s">
        <v>338</v>
      </c>
      <c r="C83" s="10">
        <f>IF(A83="","",ROUND(SUMIFS(الإدخالات!$D$2:$D$501,الإدخالات!$C$2:$C$501,A83)+SUMIFS('تعديل الجرد'!$F$2:$F$501,'تعديل الجرد'!$C$2:$C$501,A83)-SUMIFS('الصرف المباشر'!$D$2:$D$501,'الصرف المباشر'!$C$2:$C$501,A83)-SUMPRODUCT((الطبخات!$B$2:$B$900=A83)*الطبخات!$C$2:$C$900*COUNTIF('سجل الإنتاج'!$C$2:$C$501,الطبخات!$A$2:$A$900)),3))</f>
        <v>0</v>
      </c>
      <c r="D83" s="9"/>
    </row>
    <row r="84" spans="1:4" ht="24" customHeight="1">
      <c r="A84" s="9" t="s">
        <v>241</v>
      </c>
      <c r="B84" s="7" t="s">
        <v>338</v>
      </c>
      <c r="C84" s="10">
        <f>IF(A84="","",ROUND(SUMIFS(الإدخالات!$D$2:$D$501,الإدخالات!$C$2:$C$501,A84)+SUMIFS('تعديل الجرد'!$F$2:$F$501,'تعديل الجرد'!$C$2:$C$501,A84)-SUMIFS('الصرف المباشر'!$D$2:$D$501,'الصرف المباشر'!$C$2:$C$501,A84)-SUMPRODUCT((الطبخات!$B$2:$B$900=A84)*الطبخات!$C$2:$C$900*COUNTIF('سجل الإنتاج'!$C$2:$C$501,الطبخات!$A$2:$A$900)),3))</f>
        <v>0</v>
      </c>
      <c r="D84" s="9"/>
    </row>
    <row r="85" spans="1:4" ht="24" customHeight="1">
      <c r="A85" s="9" t="s">
        <v>242</v>
      </c>
      <c r="B85" s="7" t="s">
        <v>338</v>
      </c>
      <c r="C85" s="10">
        <f>IF(A85="","",ROUND(SUMIFS(الإدخالات!$D$2:$D$501,الإدخالات!$C$2:$C$501,A85)+SUMIFS('تعديل الجرد'!$F$2:$F$501,'تعديل الجرد'!$C$2:$C$501,A85)-SUMIFS('الصرف المباشر'!$D$2:$D$501,'الصرف المباشر'!$C$2:$C$501,A85)-SUMPRODUCT((الطبخات!$B$2:$B$900=A85)*الطبخات!$C$2:$C$900*COUNTIF('سجل الإنتاج'!$C$2:$C$501,الطبخات!$A$2:$A$900)),3))</f>
        <v>0</v>
      </c>
      <c r="D85" s="9"/>
    </row>
    <row r="86" spans="1:4" ht="24" customHeight="1">
      <c r="A86" s="9" t="s">
        <v>243</v>
      </c>
      <c r="B86" s="7" t="s">
        <v>337</v>
      </c>
      <c r="C86" s="10">
        <f>IF(A86="","",ROUND(SUMIFS(الإدخالات!$D$2:$D$501,الإدخالات!$C$2:$C$501,A86)+SUMIFS('تعديل الجرد'!$F$2:$F$501,'تعديل الجرد'!$C$2:$C$501,A86)-SUMIFS('الصرف المباشر'!$D$2:$D$501,'الصرف المباشر'!$C$2:$C$501,A86)-SUMPRODUCT((الطبخات!$B$2:$B$900=A86)*الطبخات!$C$2:$C$900*COUNTIF('سجل الإنتاج'!$C$2:$C$501,الطبخات!$A$2:$A$900)),3))</f>
        <v>0</v>
      </c>
      <c r="D86" s="9"/>
    </row>
    <row r="87" spans="1:4" ht="24" customHeight="1">
      <c r="A87" s="9" t="s">
        <v>244</v>
      </c>
      <c r="B87" s="7" t="s">
        <v>28</v>
      </c>
      <c r="C87" s="10">
        <f>IF(A87="","",ROUND(SUMIFS(الإدخالات!$D$2:$D$501,الإدخالات!$C$2:$C$501,A87)+SUMIFS('تعديل الجرد'!$F$2:$F$501,'تعديل الجرد'!$C$2:$C$501,A87)-SUMIFS('الصرف المباشر'!$D$2:$D$501,'الصرف المباشر'!$C$2:$C$501,A87)-SUMPRODUCT((الطبخات!$B$2:$B$900=A87)*الطبخات!$C$2:$C$900*COUNTIF('سجل الإنتاج'!$C$2:$C$501,الطبخات!$A$2:$A$900)),3))</f>
        <v>0</v>
      </c>
      <c r="D87" s="9"/>
    </row>
    <row r="88" spans="1:4" ht="24" customHeight="1">
      <c r="A88" s="9" t="s">
        <v>245</v>
      </c>
      <c r="B88" s="7" t="s">
        <v>337</v>
      </c>
      <c r="C88" s="10">
        <f>IF(A88="","",ROUND(SUMIFS(الإدخالات!$D$2:$D$501,الإدخالات!$C$2:$C$501,A88)+SUMIFS('تعديل الجرد'!$F$2:$F$501,'تعديل الجرد'!$C$2:$C$501,A88)-SUMIFS('الصرف المباشر'!$D$2:$D$501,'الصرف المباشر'!$C$2:$C$501,A88)-SUMPRODUCT((الطبخات!$B$2:$B$900=A88)*الطبخات!$C$2:$C$900*COUNTIF('سجل الإنتاج'!$C$2:$C$501,الطبخات!$A$2:$A$900)),3))</f>
        <v>0</v>
      </c>
      <c r="D88" s="9"/>
    </row>
    <row r="89" spans="1:4" ht="24" customHeight="1">
      <c r="A89" s="9" t="s">
        <v>246</v>
      </c>
      <c r="B89" s="7" t="s">
        <v>337</v>
      </c>
      <c r="C89" s="10">
        <f>IF(A89="","",ROUND(SUMIFS(الإدخالات!$D$2:$D$501,الإدخالات!$C$2:$C$501,A89)+SUMIFS('تعديل الجرد'!$F$2:$F$501,'تعديل الجرد'!$C$2:$C$501,A89)-SUMIFS('الصرف المباشر'!$D$2:$D$501,'الصرف المباشر'!$C$2:$C$501,A89)-SUMPRODUCT((الطبخات!$B$2:$B$900=A89)*الطبخات!$C$2:$C$900*COUNTIF('سجل الإنتاج'!$C$2:$C$501,الطبخات!$A$2:$A$900)),3))</f>
        <v>0</v>
      </c>
      <c r="D89" s="9"/>
    </row>
    <row r="90" spans="1:4" ht="24" customHeight="1">
      <c r="A90" s="9" t="s">
        <v>247</v>
      </c>
      <c r="B90" s="7" t="s">
        <v>28</v>
      </c>
      <c r="C90" s="10">
        <f>IF(A90="","",ROUND(SUMIFS(الإدخالات!$D$2:$D$501,الإدخالات!$C$2:$C$501,A90)+SUMIFS('تعديل الجرد'!$F$2:$F$501,'تعديل الجرد'!$C$2:$C$501,A90)-SUMIFS('الصرف المباشر'!$D$2:$D$501,'الصرف المباشر'!$C$2:$C$501,A90)-SUMPRODUCT((الطبخات!$B$2:$B$900=A90)*الطبخات!$C$2:$C$900*COUNTIF('سجل الإنتاج'!$C$2:$C$501,الطبخات!$A$2:$A$900)),3))</f>
        <v>0</v>
      </c>
      <c r="D90" s="9"/>
    </row>
    <row r="91" spans="1:4" ht="24" customHeight="1">
      <c r="A91" s="9" t="s">
        <v>248</v>
      </c>
      <c r="B91" s="7" t="s">
        <v>337</v>
      </c>
      <c r="C91" s="10">
        <f>IF(A91="","",ROUND(SUMIFS(الإدخالات!$D$2:$D$501,الإدخالات!$C$2:$C$501,A91)+SUMIFS('تعديل الجرد'!$F$2:$F$501,'تعديل الجرد'!$C$2:$C$501,A91)-SUMIFS('الصرف المباشر'!$D$2:$D$501,'الصرف المباشر'!$C$2:$C$501,A91)-SUMPRODUCT((الطبخات!$B$2:$B$900=A91)*الطبخات!$C$2:$C$900*COUNTIF('سجل الإنتاج'!$C$2:$C$501,الطبخات!$A$2:$A$900)),3))</f>
        <v>0</v>
      </c>
      <c r="D91" s="9"/>
    </row>
    <row r="92" spans="1:4" ht="24" customHeight="1">
      <c r="A92" s="9" t="s">
        <v>249</v>
      </c>
      <c r="B92" s="7" t="s">
        <v>337</v>
      </c>
      <c r="C92" s="10">
        <f>IF(A92="","",ROUND(SUMIFS(الإدخالات!$D$2:$D$501,الإدخالات!$C$2:$C$501,A92)+SUMIFS('تعديل الجرد'!$F$2:$F$501,'تعديل الجرد'!$C$2:$C$501,A92)-SUMIFS('الصرف المباشر'!$D$2:$D$501,'الصرف المباشر'!$C$2:$C$501,A92)-SUMPRODUCT((الطبخات!$B$2:$B$900=A92)*الطبخات!$C$2:$C$900*COUNTIF('سجل الإنتاج'!$C$2:$C$501,الطبخات!$A$2:$A$900)),3))</f>
        <v>0</v>
      </c>
      <c r="D92" s="9"/>
    </row>
    <row r="93" spans="1:4" ht="24" customHeight="1">
      <c r="A93" s="9" t="s">
        <v>250</v>
      </c>
      <c r="B93" s="7" t="s">
        <v>339</v>
      </c>
      <c r="C93" s="10">
        <f>IF(A93="","",ROUND(SUMIFS(الإدخالات!$D$2:$D$501,الإدخالات!$C$2:$C$501,A93)+SUMIFS('تعديل الجرد'!$F$2:$F$501,'تعديل الجرد'!$C$2:$C$501,A93)-SUMIFS('الصرف المباشر'!$D$2:$D$501,'الصرف المباشر'!$C$2:$C$501,A93)-SUMPRODUCT((الطبخات!$B$2:$B$900=A93)*الطبخات!$C$2:$C$900*COUNTIF('سجل الإنتاج'!$C$2:$C$501,الطبخات!$A$2:$A$900)),3))</f>
        <v>0</v>
      </c>
      <c r="D93" s="9"/>
    </row>
    <row r="94" spans="1:4" ht="24" customHeight="1">
      <c r="A94" s="9" t="s">
        <v>251</v>
      </c>
      <c r="B94" s="7" t="s">
        <v>339</v>
      </c>
      <c r="C94" s="10">
        <f>IF(A94="","",ROUND(SUMIFS(الإدخالات!$D$2:$D$501,الإدخالات!$C$2:$C$501,A94)+SUMIFS('تعديل الجرد'!$F$2:$F$501,'تعديل الجرد'!$C$2:$C$501,A94)-SUMIFS('الصرف المباشر'!$D$2:$D$501,'الصرف المباشر'!$C$2:$C$501,A94)-SUMPRODUCT((الطبخات!$B$2:$B$900=A94)*الطبخات!$C$2:$C$900*COUNTIF('سجل الإنتاج'!$C$2:$C$501,الطبخات!$A$2:$A$900)),3))</f>
        <v>0</v>
      </c>
      <c r="D94" s="9"/>
    </row>
    <row r="95" spans="1:4" ht="24" customHeight="1">
      <c r="A95" s="11" t="s">
        <v>252</v>
      </c>
      <c r="B95" s="12" t="s">
        <v>337</v>
      </c>
      <c r="C95" s="13">
        <f>IF(A95="","",ROUND(SUMIFS(الإدخالات!$D$2:$D$501,الإدخالات!$C$2:$C$501,A95)+SUMIFS('تعديل الجرد'!$F$2:$F$501,'تعديل الجرد'!$C$2:$C$501,A95)-SUMIFS('الصرف المباشر'!$D$2:$D$501,'الصرف المباشر'!$C$2:$C$501,A95)-SUMPRODUCT((الطبخات!$B$2:$B$900=A95)*الطبخات!$C$2:$C$900*COUNTIF('سجل الإنتاج'!$C$2:$C$501,الطبخات!$A$2:$A$900)),3))</f>
        <v>0</v>
      </c>
      <c r="D95" s="11"/>
    </row>
    <row r="96" spans="1:4" ht="24" customHeight="1">
      <c r="A96" s="11" t="s">
        <v>253</v>
      </c>
      <c r="B96" s="12" t="s">
        <v>337</v>
      </c>
      <c r="C96" s="13">
        <f>IF(A96="","",ROUND(SUMIFS(الإدخالات!$D$2:$D$501,الإدخالات!$C$2:$C$501,A96)+SUMIFS('تعديل الجرد'!$F$2:$F$501,'تعديل الجرد'!$C$2:$C$501,A96)-SUMIFS('الصرف المباشر'!$D$2:$D$501,'الصرف المباشر'!$C$2:$C$501,A96)-SUMPRODUCT((الطبخات!$B$2:$B$900=A96)*الطبخات!$C$2:$C$900*COUNTIF('سجل الإنتاج'!$C$2:$C$501,الطبخات!$A$2:$A$900)),3))</f>
        <v>0</v>
      </c>
      <c r="D96" s="11"/>
    </row>
    <row r="97" spans="1:4" ht="24" customHeight="1">
      <c r="A97" s="11" t="s">
        <v>254</v>
      </c>
      <c r="B97" s="12" t="s">
        <v>28</v>
      </c>
      <c r="C97" s="13">
        <f>IF(A97="","",ROUND(SUMIFS(الإدخالات!$D$2:$D$501,الإدخالات!$C$2:$C$501,A97)+SUMIFS('تعديل الجرد'!$F$2:$F$501,'تعديل الجرد'!$C$2:$C$501,A97)-SUMIFS('الصرف المباشر'!$D$2:$D$501,'الصرف المباشر'!$C$2:$C$501,A97)-SUMPRODUCT((الطبخات!$B$2:$B$900=A97)*الطبخات!$C$2:$C$900*COUNTIF('سجل الإنتاج'!$C$2:$C$501,الطبخات!$A$2:$A$900)),3))</f>
        <v>0</v>
      </c>
      <c r="D97" s="11"/>
    </row>
    <row r="98" spans="1:4" ht="24" customHeight="1">
      <c r="A98" s="11" t="s">
        <v>255</v>
      </c>
      <c r="B98" s="12" t="s">
        <v>337</v>
      </c>
      <c r="C98" s="13">
        <f>IF(A98="","",ROUND(SUMIFS(الإدخالات!$D$2:$D$501,الإدخالات!$C$2:$C$501,A98)+SUMIFS('تعديل الجرد'!$F$2:$F$501,'تعديل الجرد'!$C$2:$C$501,A98)-SUMIFS('الصرف المباشر'!$D$2:$D$501,'الصرف المباشر'!$C$2:$C$501,A98)-SUMPRODUCT((الطبخات!$B$2:$B$900=A98)*الطبخات!$C$2:$C$900*COUNTIF('سجل الإنتاج'!$C$2:$C$501,الطبخات!$A$2:$A$900)),3))</f>
        <v>0</v>
      </c>
      <c r="D98" s="11"/>
    </row>
    <row r="99" spans="1:4" ht="24" customHeight="1">
      <c r="A99" s="11" t="s">
        <v>256</v>
      </c>
      <c r="B99" s="12" t="s">
        <v>339</v>
      </c>
      <c r="C99" s="13">
        <f>IF(A99="","",ROUND(SUMIFS(الإدخالات!$D$2:$D$501,الإدخالات!$C$2:$C$501,A99)+SUMIFS('تعديل الجرد'!$F$2:$F$501,'تعديل الجرد'!$C$2:$C$501,A99)-SUMIFS('الصرف المباشر'!$D$2:$D$501,'الصرف المباشر'!$C$2:$C$501,A99)-SUMPRODUCT((الطبخات!$B$2:$B$900=A99)*الطبخات!$C$2:$C$900*COUNTIF('سجل الإنتاج'!$C$2:$C$501,الطبخات!$A$2:$A$900)),3))</f>
        <v>0</v>
      </c>
      <c r="D99" s="11"/>
    </row>
    <row r="100" spans="1:4" ht="24" customHeight="1">
      <c r="A100" s="11" t="s">
        <v>257</v>
      </c>
      <c r="B100" s="12" t="s">
        <v>339</v>
      </c>
      <c r="C100" s="13">
        <f>IF(A100="","",ROUND(SUMIFS(الإدخالات!$D$2:$D$501,الإدخالات!$C$2:$C$501,A100)+SUMIFS('تعديل الجرد'!$F$2:$F$501,'تعديل الجرد'!$C$2:$C$501,A100)-SUMIFS('الصرف المباشر'!$D$2:$D$501,'الصرف المباشر'!$C$2:$C$501,A100)-SUMPRODUCT((الطبخات!$B$2:$B$900=A100)*الطبخات!$C$2:$C$900*COUNTIF('سجل الإنتاج'!$C$2:$C$501,الطبخات!$A$2:$A$900)),3))</f>
        <v>0</v>
      </c>
      <c r="D100" s="11"/>
    </row>
    <row r="101" spans="1:4" ht="24" customHeight="1">
      <c r="A101" s="11" t="s">
        <v>258</v>
      </c>
      <c r="B101" s="12" t="s">
        <v>339</v>
      </c>
      <c r="C101" s="13">
        <f>IF(A101="","",ROUND(SUMIFS(الإدخالات!$D$2:$D$501,الإدخالات!$C$2:$C$501,A101)+SUMIFS('تعديل الجرد'!$F$2:$F$501,'تعديل الجرد'!$C$2:$C$501,A101)-SUMIFS('الصرف المباشر'!$D$2:$D$501,'الصرف المباشر'!$C$2:$C$501,A101)-SUMPRODUCT((الطبخات!$B$2:$B$900=A101)*الطبخات!$C$2:$C$900*COUNTIF('سجل الإنتاج'!$C$2:$C$501,الطبخات!$A$2:$A$900)),3))</f>
        <v>0</v>
      </c>
      <c r="D101" s="11"/>
    </row>
    <row r="102" spans="1:4" ht="24" customHeight="1">
      <c r="A102" s="11" t="s">
        <v>259</v>
      </c>
      <c r="B102" s="12" t="s">
        <v>339</v>
      </c>
      <c r="C102" s="13">
        <f>IF(A102="","",ROUND(SUMIFS(الإدخالات!$D$2:$D$501,الإدخالات!$C$2:$C$501,A102)+SUMIFS('تعديل الجرد'!$F$2:$F$501,'تعديل الجرد'!$C$2:$C$501,A102)-SUMIFS('الصرف المباشر'!$D$2:$D$501,'الصرف المباشر'!$C$2:$C$501,A102)-SUMPRODUCT((الطبخات!$B$2:$B$900=A102)*الطبخات!$C$2:$C$900*COUNTIF('سجل الإنتاج'!$C$2:$C$501,الطبخات!$A$2:$A$900)),3))</f>
        <v>0</v>
      </c>
      <c r="D102" s="11"/>
    </row>
    <row r="103" spans="1:4" ht="24" customHeight="1">
      <c r="A103" s="11" t="s">
        <v>260</v>
      </c>
      <c r="B103" s="12" t="s">
        <v>339</v>
      </c>
      <c r="C103" s="13">
        <f>IF(A103="","",ROUND(SUMIFS(الإدخالات!$D$2:$D$501,الإدخالات!$C$2:$C$501,A103)+SUMIFS('تعديل الجرد'!$F$2:$F$501,'تعديل الجرد'!$C$2:$C$501,A103)-SUMIFS('الصرف المباشر'!$D$2:$D$501,'الصرف المباشر'!$C$2:$C$501,A103)-SUMPRODUCT((الطبخات!$B$2:$B$900=A103)*الطبخات!$C$2:$C$900*COUNTIF('سجل الإنتاج'!$C$2:$C$501,الطبخات!$A$2:$A$900)),3))</f>
        <v>0</v>
      </c>
      <c r="D103" s="11"/>
    </row>
    <row r="104" spans="1:4" ht="24" customHeight="1">
      <c r="A104" s="11" t="s">
        <v>261</v>
      </c>
      <c r="B104" s="12" t="s">
        <v>339</v>
      </c>
      <c r="C104" s="13">
        <f>IF(A104="","",ROUND(SUMIFS(الإدخالات!$D$2:$D$501,الإدخالات!$C$2:$C$501,A104)+SUMIFS('تعديل الجرد'!$F$2:$F$501,'تعديل الجرد'!$C$2:$C$501,A104)-SUMIFS('الصرف المباشر'!$D$2:$D$501,'الصرف المباشر'!$C$2:$C$501,A104)-SUMPRODUCT((الطبخات!$B$2:$B$900=A104)*الطبخات!$C$2:$C$900*COUNTIF('سجل الإنتاج'!$C$2:$C$501,الطبخات!$A$2:$A$900)),3))</f>
        <v>0</v>
      </c>
      <c r="D104" s="11"/>
    </row>
    <row r="105" spans="1:4" ht="24" customHeight="1">
      <c r="A105" s="11" t="s">
        <v>262</v>
      </c>
      <c r="B105" s="12" t="s">
        <v>338</v>
      </c>
      <c r="C105" s="13">
        <f>IF(A105="","",ROUND(SUMIFS(الإدخالات!$D$2:$D$501,الإدخالات!$C$2:$C$501,A105)+SUMIFS('تعديل الجرد'!$F$2:$F$501,'تعديل الجرد'!$C$2:$C$501,A105)-SUMIFS('الصرف المباشر'!$D$2:$D$501,'الصرف المباشر'!$C$2:$C$501,A105)-SUMPRODUCT((الطبخات!$B$2:$B$900=A105)*الطبخات!$C$2:$C$900*COUNTIF('سجل الإنتاج'!$C$2:$C$501,الطبخات!$A$2:$A$900)),3))</f>
        <v>0</v>
      </c>
      <c r="D105" s="11"/>
    </row>
    <row r="106" spans="1:4" ht="24" customHeight="1">
      <c r="A106" s="11" t="s">
        <v>263</v>
      </c>
      <c r="B106" s="12" t="s">
        <v>339</v>
      </c>
      <c r="C106" s="13">
        <f>IF(A106="","",ROUND(SUMIFS(الإدخالات!$D$2:$D$501,الإدخالات!$C$2:$C$501,A106)+SUMIFS('تعديل الجرد'!$F$2:$F$501,'تعديل الجرد'!$C$2:$C$501,A106)-SUMIFS('الصرف المباشر'!$D$2:$D$501,'الصرف المباشر'!$C$2:$C$501,A106)-SUMPRODUCT((الطبخات!$B$2:$B$900=A106)*الطبخات!$C$2:$C$900*COUNTIF('سجل الإنتاج'!$C$2:$C$501,الطبخات!$A$2:$A$900)),3))</f>
        <v>0</v>
      </c>
      <c r="D106" s="11"/>
    </row>
    <row r="107" spans="1:4" ht="24" customHeight="1">
      <c r="A107" s="11" t="s">
        <v>264</v>
      </c>
      <c r="B107" s="12" t="s">
        <v>339</v>
      </c>
      <c r="C107" s="13">
        <f>IF(A107="","",ROUND(SUMIFS(الإدخالات!$D$2:$D$501,الإدخالات!$C$2:$C$501,A107)+SUMIFS('تعديل الجرد'!$F$2:$F$501,'تعديل الجرد'!$C$2:$C$501,A107)-SUMIFS('الصرف المباشر'!$D$2:$D$501,'الصرف المباشر'!$C$2:$C$501,A107)-SUMPRODUCT((الطبخات!$B$2:$B$900=A107)*الطبخات!$C$2:$C$900*COUNTIF('سجل الإنتاج'!$C$2:$C$501,الطبخات!$A$2:$A$900)),3))</f>
        <v>0</v>
      </c>
      <c r="D107" s="11"/>
    </row>
    <row r="108" spans="1:4" ht="24" customHeight="1">
      <c r="A108" s="11" t="s">
        <v>265</v>
      </c>
      <c r="B108" s="12" t="s">
        <v>28</v>
      </c>
      <c r="C108" s="13">
        <f>IF(A108="","",ROUND(SUMIFS(الإدخالات!$D$2:$D$501,الإدخالات!$C$2:$C$501,A108)+SUMIFS('تعديل الجرد'!$F$2:$F$501,'تعديل الجرد'!$C$2:$C$501,A108)-SUMIFS('الصرف المباشر'!$D$2:$D$501,'الصرف المباشر'!$C$2:$C$501,A108)-SUMPRODUCT((الطبخات!$B$2:$B$900=A108)*الطبخات!$C$2:$C$900*COUNTIF('سجل الإنتاج'!$C$2:$C$501,الطبخات!$A$2:$A$900)),3))</f>
        <v>0</v>
      </c>
      <c r="D108" s="11"/>
    </row>
    <row r="109" spans="1:4" ht="24" customHeight="1">
      <c r="A109" s="11" t="s">
        <v>266</v>
      </c>
      <c r="B109" s="12" t="s">
        <v>338</v>
      </c>
      <c r="C109" s="13">
        <f>IF(A109="","",ROUND(SUMIFS(الإدخالات!$D$2:$D$501,الإدخالات!$C$2:$C$501,A109)+SUMIFS('تعديل الجرد'!$F$2:$F$501,'تعديل الجرد'!$C$2:$C$501,A109)-SUMIFS('الصرف المباشر'!$D$2:$D$501,'الصرف المباشر'!$C$2:$C$501,A109)-SUMPRODUCT((الطبخات!$B$2:$B$900=A109)*الطبخات!$C$2:$C$900*COUNTIF('سجل الإنتاج'!$C$2:$C$501,الطبخات!$A$2:$A$900)),3))</f>
        <v>0</v>
      </c>
      <c r="D109" s="11"/>
    </row>
    <row r="110" spans="1:4" ht="24" customHeight="1">
      <c r="A110" s="11" t="s">
        <v>267</v>
      </c>
      <c r="B110" s="12" t="s">
        <v>338</v>
      </c>
      <c r="C110" s="13">
        <f>IF(A110="","",ROUND(SUMIFS(الإدخالات!$D$2:$D$501,الإدخالات!$C$2:$C$501,A110)+SUMIFS('تعديل الجرد'!$F$2:$F$501,'تعديل الجرد'!$C$2:$C$501,A110)-SUMIFS('الصرف المباشر'!$D$2:$D$501,'الصرف المباشر'!$C$2:$C$501,A110)-SUMPRODUCT((الطبخات!$B$2:$B$900=A110)*الطبخات!$C$2:$C$900*COUNTIF('سجل الإنتاج'!$C$2:$C$501,الطبخات!$A$2:$A$900)),3))</f>
        <v>0</v>
      </c>
      <c r="D110" s="11"/>
    </row>
    <row r="111" spans="1:4" ht="24" customHeight="1">
      <c r="A111" s="11" t="s">
        <v>268</v>
      </c>
      <c r="B111" s="12" t="s">
        <v>337</v>
      </c>
      <c r="C111" s="13">
        <f>IF(A111="","",ROUND(SUMIFS(الإدخالات!$D$2:$D$501,الإدخالات!$C$2:$C$501,A111)+SUMIFS('تعديل الجرد'!$F$2:$F$501,'تعديل الجرد'!$C$2:$C$501,A111)-SUMIFS('الصرف المباشر'!$D$2:$D$501,'الصرف المباشر'!$C$2:$C$501,A111)-SUMPRODUCT((الطبخات!$B$2:$B$900=A111)*الطبخات!$C$2:$C$900*COUNTIF('سجل الإنتاج'!$C$2:$C$501,الطبخات!$A$2:$A$900)),3))</f>
        <v>0</v>
      </c>
      <c r="D111" s="11"/>
    </row>
    <row r="112" spans="1:4" ht="24" customHeight="1">
      <c r="A112" s="11" t="s">
        <v>269</v>
      </c>
      <c r="B112" s="12" t="s">
        <v>337</v>
      </c>
      <c r="C112" s="13">
        <f>IF(A112="","",ROUND(SUMIFS(الإدخالات!$D$2:$D$501,الإدخالات!$C$2:$C$501,A112)+SUMIFS('تعديل الجرد'!$F$2:$F$501,'تعديل الجرد'!$C$2:$C$501,A112)-SUMIFS('الصرف المباشر'!$D$2:$D$501,'الصرف المباشر'!$C$2:$C$501,A112)-SUMPRODUCT((الطبخات!$B$2:$B$900=A112)*الطبخات!$C$2:$C$900*COUNTIF('سجل الإنتاج'!$C$2:$C$501,الطبخات!$A$2:$A$900)),3))</f>
        <v>0</v>
      </c>
      <c r="D112" s="11"/>
    </row>
    <row r="113" spans="1:4" ht="24" customHeight="1">
      <c r="A113" s="11" t="s">
        <v>270</v>
      </c>
      <c r="B113" s="12" t="s">
        <v>28</v>
      </c>
      <c r="C113" s="13">
        <f>IF(A113="","",ROUND(SUMIFS(الإدخالات!$D$2:$D$501,الإدخالات!$C$2:$C$501,A113)+SUMIFS('تعديل الجرد'!$F$2:$F$501,'تعديل الجرد'!$C$2:$C$501,A113)-SUMIFS('الصرف المباشر'!$D$2:$D$501,'الصرف المباشر'!$C$2:$C$501,A113)-SUMPRODUCT((الطبخات!$B$2:$B$900=A113)*الطبخات!$C$2:$C$900*COUNTIF('سجل الإنتاج'!$C$2:$C$501,الطبخات!$A$2:$A$900)),3))</f>
        <v>0</v>
      </c>
      <c r="D113" s="11"/>
    </row>
    <row r="114" spans="1:4" ht="24" customHeight="1">
      <c r="A114" s="11" t="s">
        <v>271</v>
      </c>
      <c r="B114" s="12" t="s">
        <v>339</v>
      </c>
      <c r="C114" s="13">
        <f>IF(A114="","",ROUND(SUMIFS(الإدخالات!$D$2:$D$501,الإدخالات!$C$2:$C$501,A114)+SUMIFS('تعديل الجرد'!$F$2:$F$501,'تعديل الجرد'!$C$2:$C$501,A114)-SUMIFS('الصرف المباشر'!$D$2:$D$501,'الصرف المباشر'!$C$2:$C$501,A114)-SUMPRODUCT((الطبخات!$B$2:$B$900=A114)*الطبخات!$C$2:$C$900*COUNTIF('سجل الإنتاج'!$C$2:$C$501,الطبخات!$A$2:$A$900)),3))</f>
        <v>0</v>
      </c>
      <c r="D114" s="11"/>
    </row>
    <row r="115" spans="1:4" ht="24" customHeight="1">
      <c r="A115" s="11" t="s">
        <v>272</v>
      </c>
      <c r="B115" s="12" t="s">
        <v>339</v>
      </c>
      <c r="C115" s="13">
        <f>IF(A115="","",ROUND(SUMIFS(الإدخالات!$D$2:$D$501,الإدخالات!$C$2:$C$501,A115)+SUMIFS('تعديل الجرد'!$F$2:$F$501,'تعديل الجرد'!$C$2:$C$501,A115)-SUMIFS('الصرف المباشر'!$D$2:$D$501,'الصرف المباشر'!$C$2:$C$501,A115)-SUMPRODUCT((الطبخات!$B$2:$B$900=A115)*الطبخات!$C$2:$C$900*COUNTIF('سجل الإنتاج'!$C$2:$C$501,الطبخات!$A$2:$A$900)),3))</f>
        <v>0</v>
      </c>
      <c r="D115" s="11"/>
    </row>
    <row r="116" spans="1:4" ht="24" customHeight="1">
      <c r="A116" s="11" t="s">
        <v>273</v>
      </c>
      <c r="B116" s="12" t="s">
        <v>339</v>
      </c>
      <c r="C116" s="13">
        <f>IF(A116="","",ROUND(SUMIFS(الإدخالات!$D$2:$D$501,الإدخالات!$C$2:$C$501,A116)+SUMIFS('تعديل الجرد'!$F$2:$F$501,'تعديل الجرد'!$C$2:$C$501,A116)-SUMIFS('الصرف المباشر'!$D$2:$D$501,'الصرف المباشر'!$C$2:$C$501,A116)-SUMPRODUCT((الطبخات!$B$2:$B$900=A116)*الطبخات!$C$2:$C$900*COUNTIF('سجل الإنتاج'!$C$2:$C$501,الطبخات!$A$2:$A$900)),3))</f>
        <v>0</v>
      </c>
      <c r="D116" s="11"/>
    </row>
    <row r="117" spans="1:4" ht="24" customHeight="1">
      <c r="A117" s="11" t="s">
        <v>274</v>
      </c>
      <c r="B117" s="12" t="s">
        <v>339</v>
      </c>
      <c r="C117" s="13">
        <f>IF(A117="","",ROUND(SUMIFS(الإدخالات!$D$2:$D$501,الإدخالات!$C$2:$C$501,A117)+SUMIFS('تعديل الجرد'!$F$2:$F$501,'تعديل الجرد'!$C$2:$C$501,A117)-SUMIFS('الصرف المباشر'!$D$2:$D$501,'الصرف المباشر'!$C$2:$C$501,A117)-SUMPRODUCT((الطبخات!$B$2:$B$900=A117)*الطبخات!$C$2:$C$900*COUNTIF('سجل الإنتاج'!$C$2:$C$501,الطبخات!$A$2:$A$900)),3))</f>
        <v>0</v>
      </c>
      <c r="D117" s="11"/>
    </row>
    <row r="118" spans="1:4" ht="24" customHeight="1">
      <c r="A118" s="11" t="s">
        <v>275</v>
      </c>
      <c r="B118" s="12" t="s">
        <v>339</v>
      </c>
      <c r="C118" s="13">
        <f>IF(A118="","",ROUND(SUMIFS(الإدخالات!$D$2:$D$501,الإدخالات!$C$2:$C$501,A118)+SUMIFS('تعديل الجرد'!$F$2:$F$501,'تعديل الجرد'!$C$2:$C$501,A118)-SUMIFS('الصرف المباشر'!$D$2:$D$501,'الصرف المباشر'!$C$2:$C$501,A118)-SUMPRODUCT((الطبخات!$B$2:$B$900=A118)*الطبخات!$C$2:$C$900*COUNTIF('سجل الإنتاج'!$C$2:$C$501,الطبخات!$A$2:$A$900)),3))</f>
        <v>0</v>
      </c>
      <c r="D118" s="11"/>
    </row>
    <row r="119" spans="1:4" ht="24" customHeight="1">
      <c r="A119" s="11" t="s">
        <v>276</v>
      </c>
      <c r="B119" s="12" t="s">
        <v>28</v>
      </c>
      <c r="C119" s="13">
        <f>IF(A119="","",ROUND(SUMIFS(الإدخالات!$D$2:$D$501,الإدخالات!$C$2:$C$501,A119)+SUMIFS('تعديل الجرد'!$F$2:$F$501,'تعديل الجرد'!$C$2:$C$501,A119)-SUMIFS('الصرف المباشر'!$D$2:$D$501,'الصرف المباشر'!$C$2:$C$501,A119)-SUMPRODUCT((الطبخات!$B$2:$B$900=A119)*الطبخات!$C$2:$C$900*COUNTIF('سجل الإنتاج'!$C$2:$C$501,الطبخات!$A$2:$A$900)),3))</f>
        <v>0</v>
      </c>
      <c r="D119" s="11"/>
    </row>
    <row r="120" spans="1:4" ht="24" customHeight="1">
      <c r="A120" s="11" t="s">
        <v>277</v>
      </c>
      <c r="B120" s="12" t="s">
        <v>28</v>
      </c>
      <c r="C120" s="13">
        <f>IF(A120="","",ROUND(SUMIFS(الإدخالات!$D$2:$D$501,الإدخالات!$C$2:$C$501,A120)+SUMIFS('تعديل الجرد'!$F$2:$F$501,'تعديل الجرد'!$C$2:$C$501,A120)-SUMIFS('الصرف المباشر'!$D$2:$D$501,'الصرف المباشر'!$C$2:$C$501,A120)-SUMPRODUCT((الطبخات!$B$2:$B$900=A120)*الطبخات!$C$2:$C$900*COUNTIF('سجل الإنتاج'!$C$2:$C$501,الطبخات!$A$2:$A$900)),3))</f>
        <v>0</v>
      </c>
      <c r="D120" s="11"/>
    </row>
    <row r="121" spans="1:4" ht="24" customHeight="1">
      <c r="A121" s="11" t="s">
        <v>278</v>
      </c>
      <c r="B121" s="12" t="s">
        <v>337</v>
      </c>
      <c r="C121" s="13">
        <f>IF(A121="","",ROUND(SUMIFS(الإدخالات!$D$2:$D$501,الإدخالات!$C$2:$C$501,A121)+SUMIFS('تعديل الجرد'!$F$2:$F$501,'تعديل الجرد'!$C$2:$C$501,A121)-SUMIFS('الصرف المباشر'!$D$2:$D$501,'الصرف المباشر'!$C$2:$C$501,A121)-SUMPRODUCT((الطبخات!$B$2:$B$900=A121)*الطبخات!$C$2:$C$900*COUNTIF('سجل الإنتاج'!$C$2:$C$501,الطبخات!$A$2:$A$900)),3))</f>
        <v>0</v>
      </c>
      <c r="D121" s="11"/>
    </row>
    <row r="122" spans="1:4" ht="24" customHeight="1">
      <c r="A122" s="11" t="s">
        <v>279</v>
      </c>
      <c r="B122" s="12" t="s">
        <v>337</v>
      </c>
      <c r="C122" s="13">
        <f>IF(A122="","",ROUND(SUMIFS(الإدخالات!$D$2:$D$501,الإدخالات!$C$2:$C$501,A122)+SUMIFS('تعديل الجرد'!$F$2:$F$501,'تعديل الجرد'!$C$2:$C$501,A122)-SUMIFS('الصرف المباشر'!$D$2:$D$501,'الصرف المباشر'!$C$2:$C$501,A122)-SUMPRODUCT((الطبخات!$B$2:$B$900=A122)*الطبخات!$C$2:$C$900*COUNTIF('سجل الإنتاج'!$C$2:$C$501,الطبخات!$A$2:$A$900)),3))</f>
        <v>0</v>
      </c>
      <c r="D122" s="11"/>
    </row>
    <row r="123" spans="1:4" ht="24" customHeight="1">
      <c r="A123" s="11" t="s">
        <v>280</v>
      </c>
      <c r="B123" s="12" t="s">
        <v>28</v>
      </c>
      <c r="C123" s="13">
        <f>IF(A123="","",ROUND(SUMIFS(الإدخالات!$D$2:$D$501,الإدخالات!$C$2:$C$501,A123)+SUMIFS('تعديل الجرد'!$F$2:$F$501,'تعديل الجرد'!$C$2:$C$501,A123)-SUMIFS('الصرف المباشر'!$D$2:$D$501,'الصرف المباشر'!$C$2:$C$501,A123)-SUMPRODUCT((الطبخات!$B$2:$B$900=A123)*الطبخات!$C$2:$C$900*COUNTIF('سجل الإنتاج'!$C$2:$C$501,الطبخات!$A$2:$A$900)),3))</f>
        <v>0</v>
      </c>
      <c r="D123" s="11"/>
    </row>
    <row r="124" spans="1:4" ht="24" customHeight="1">
      <c r="A124" s="11" t="s">
        <v>281</v>
      </c>
      <c r="B124" s="12" t="s">
        <v>339</v>
      </c>
      <c r="C124" s="13">
        <f>IF(A124="","",ROUND(SUMIFS(الإدخالات!$D$2:$D$501,الإدخالات!$C$2:$C$501,A124)+SUMIFS('تعديل الجرد'!$F$2:$F$501,'تعديل الجرد'!$C$2:$C$501,A124)-SUMIFS('الصرف المباشر'!$D$2:$D$501,'الصرف المباشر'!$C$2:$C$501,A124)-SUMPRODUCT((الطبخات!$B$2:$B$900=A124)*الطبخات!$C$2:$C$900*COUNTIF('سجل الإنتاج'!$C$2:$C$501,الطبخات!$A$2:$A$900)),3))</f>
        <v>0</v>
      </c>
      <c r="D124" s="11"/>
    </row>
    <row r="125" spans="1:4" ht="24" customHeight="1">
      <c r="A125" s="11" t="s">
        <v>282</v>
      </c>
      <c r="B125" s="12" t="s">
        <v>339</v>
      </c>
      <c r="C125" s="13">
        <f>IF(A125="","",ROUND(SUMIFS(الإدخالات!$D$2:$D$501,الإدخالات!$C$2:$C$501,A125)+SUMIFS('تعديل الجرد'!$F$2:$F$501,'تعديل الجرد'!$C$2:$C$501,A125)-SUMIFS('الصرف المباشر'!$D$2:$D$501,'الصرف المباشر'!$C$2:$C$501,A125)-SUMPRODUCT((الطبخات!$B$2:$B$900=A125)*الطبخات!$C$2:$C$900*COUNTIF('سجل الإنتاج'!$C$2:$C$501,الطبخات!$A$2:$A$900)),3))</f>
        <v>0</v>
      </c>
      <c r="D125" s="11"/>
    </row>
    <row r="126" spans="1:4" ht="24" customHeight="1">
      <c r="A126" s="11" t="s">
        <v>283</v>
      </c>
      <c r="B126" s="12" t="s">
        <v>339</v>
      </c>
      <c r="C126" s="13">
        <f>IF(A126="","",ROUND(SUMIFS(الإدخالات!$D$2:$D$501,الإدخالات!$C$2:$C$501,A126)+SUMIFS('تعديل الجرد'!$F$2:$F$501,'تعديل الجرد'!$C$2:$C$501,A126)-SUMIFS('الصرف المباشر'!$D$2:$D$501,'الصرف المباشر'!$C$2:$C$501,A126)-SUMPRODUCT((الطبخات!$B$2:$B$900=A126)*الطبخات!$C$2:$C$900*COUNTIF('سجل الإنتاج'!$C$2:$C$501,الطبخات!$A$2:$A$900)),3))</f>
        <v>0</v>
      </c>
      <c r="D126" s="11"/>
    </row>
    <row r="127" spans="1:4" ht="24" customHeight="1">
      <c r="A127" s="11" t="s">
        <v>284</v>
      </c>
      <c r="B127" s="12" t="s">
        <v>337</v>
      </c>
      <c r="C127" s="13">
        <f>IF(A127="","",ROUND(SUMIFS(الإدخالات!$D$2:$D$501,الإدخالات!$C$2:$C$501,A127)+SUMIFS('تعديل الجرد'!$F$2:$F$501,'تعديل الجرد'!$C$2:$C$501,A127)-SUMIFS('الصرف المباشر'!$D$2:$D$501,'الصرف المباشر'!$C$2:$C$501,A127)-SUMPRODUCT((الطبخات!$B$2:$B$900=A127)*الطبخات!$C$2:$C$900*COUNTIF('سجل الإنتاج'!$C$2:$C$501,الطبخات!$A$2:$A$900)),3))</f>
        <v>0</v>
      </c>
      <c r="D127" s="11"/>
    </row>
    <row r="128" spans="1:4" ht="24" customHeight="1">
      <c r="A128" s="11" t="s">
        <v>285</v>
      </c>
      <c r="B128" s="12" t="s">
        <v>28</v>
      </c>
      <c r="C128" s="13">
        <f>IF(A128="","",ROUND(SUMIFS(الإدخالات!$D$2:$D$501,الإدخالات!$C$2:$C$501,A128)+SUMIFS('تعديل الجرد'!$F$2:$F$501,'تعديل الجرد'!$C$2:$C$501,A128)-SUMIFS('الصرف المباشر'!$D$2:$D$501,'الصرف المباشر'!$C$2:$C$501,A128)-SUMPRODUCT((الطبخات!$B$2:$B$900=A128)*الطبخات!$C$2:$C$900*COUNTIF('سجل الإنتاج'!$C$2:$C$501,الطبخات!$A$2:$A$900)),3))</f>
        <v>0</v>
      </c>
      <c r="D128" s="11"/>
    </row>
    <row r="129" spans="1:4" ht="24" customHeight="1">
      <c r="A129" s="11" t="s">
        <v>286</v>
      </c>
      <c r="B129" s="12" t="s">
        <v>339</v>
      </c>
      <c r="C129" s="13">
        <f>IF(A129="","",ROUND(SUMIFS(الإدخالات!$D$2:$D$501,الإدخالات!$C$2:$C$501,A129)+SUMIFS('تعديل الجرد'!$F$2:$F$501,'تعديل الجرد'!$C$2:$C$501,A129)-SUMIFS('الصرف المباشر'!$D$2:$D$501,'الصرف المباشر'!$C$2:$C$501,A129)-SUMPRODUCT((الطبخات!$B$2:$B$900=A129)*الطبخات!$C$2:$C$900*COUNTIF('سجل الإنتاج'!$C$2:$C$501,الطبخات!$A$2:$A$900)),3))</f>
        <v>0</v>
      </c>
      <c r="D129" s="11"/>
    </row>
    <row r="130" spans="1:4" ht="24" customHeight="1">
      <c r="A130" s="11" t="s">
        <v>287</v>
      </c>
      <c r="B130" s="12" t="s">
        <v>339</v>
      </c>
      <c r="C130" s="13">
        <f>IF(A130="","",ROUND(SUMIFS(الإدخالات!$D$2:$D$501,الإدخالات!$C$2:$C$501,A130)+SUMIFS('تعديل الجرد'!$F$2:$F$501,'تعديل الجرد'!$C$2:$C$501,A130)-SUMIFS('الصرف المباشر'!$D$2:$D$501,'الصرف المباشر'!$C$2:$C$501,A130)-SUMPRODUCT((الطبخات!$B$2:$B$900=A130)*الطبخات!$C$2:$C$900*COUNTIF('سجل الإنتاج'!$C$2:$C$501,الطبخات!$A$2:$A$900)),3))</f>
        <v>0</v>
      </c>
      <c r="D130" s="11"/>
    </row>
    <row r="131" spans="1:4" ht="24" customHeight="1">
      <c r="A131" s="11" t="s">
        <v>288</v>
      </c>
      <c r="B131" s="12" t="s">
        <v>339</v>
      </c>
      <c r="C131" s="13">
        <f>IF(A131="","",ROUND(SUMIFS(الإدخالات!$D$2:$D$501,الإدخالات!$C$2:$C$501,A131)+SUMIFS('تعديل الجرد'!$F$2:$F$501,'تعديل الجرد'!$C$2:$C$501,A131)-SUMIFS('الصرف المباشر'!$D$2:$D$501,'الصرف المباشر'!$C$2:$C$501,A131)-SUMPRODUCT((الطبخات!$B$2:$B$900=A131)*الطبخات!$C$2:$C$900*COUNTIF('سجل الإنتاج'!$C$2:$C$501,الطبخات!$A$2:$A$900)),3))</f>
        <v>0</v>
      </c>
      <c r="D131" s="11"/>
    </row>
    <row r="132" spans="1:4" ht="24" customHeight="1">
      <c r="A132" s="11" t="s">
        <v>289</v>
      </c>
      <c r="B132" s="12" t="s">
        <v>28</v>
      </c>
      <c r="C132" s="13">
        <f>IF(A132="","",ROUND(SUMIFS(الإدخالات!$D$2:$D$501,الإدخالات!$C$2:$C$501,A132)+SUMIFS('تعديل الجرد'!$F$2:$F$501,'تعديل الجرد'!$C$2:$C$501,A132)-SUMIFS('الصرف المباشر'!$D$2:$D$501,'الصرف المباشر'!$C$2:$C$501,A132)-SUMPRODUCT((الطبخات!$B$2:$B$900=A132)*الطبخات!$C$2:$C$900*COUNTIF('سجل الإنتاج'!$C$2:$C$501,الطبخات!$A$2:$A$900)),3))</f>
        <v>0</v>
      </c>
      <c r="D132" s="11"/>
    </row>
    <row r="133" spans="1:4" ht="24" customHeight="1">
      <c r="A133" s="11" t="s">
        <v>290</v>
      </c>
      <c r="B133" s="12" t="s">
        <v>337</v>
      </c>
      <c r="C133" s="13">
        <f>IF(A133="","",ROUND(SUMIFS(الإدخالات!$D$2:$D$501,الإدخالات!$C$2:$C$501,A133)+SUMIFS('تعديل الجرد'!$F$2:$F$501,'تعديل الجرد'!$C$2:$C$501,A133)-SUMIFS('الصرف المباشر'!$D$2:$D$501,'الصرف المباشر'!$C$2:$C$501,A133)-SUMPRODUCT((الطبخات!$B$2:$B$900=A133)*الطبخات!$C$2:$C$900*COUNTIF('سجل الإنتاج'!$C$2:$C$501,الطبخات!$A$2:$A$900)),3))</f>
        <v>0</v>
      </c>
      <c r="D133" s="11"/>
    </row>
    <row r="134" spans="1:4" ht="24" customHeight="1">
      <c r="A134" s="11" t="s">
        <v>291</v>
      </c>
      <c r="B134" s="12" t="s">
        <v>28</v>
      </c>
      <c r="C134" s="13">
        <f>IF(A134="","",ROUND(SUMIFS(الإدخالات!$D$2:$D$501,الإدخالات!$C$2:$C$501,A134)+SUMIFS('تعديل الجرد'!$F$2:$F$501,'تعديل الجرد'!$C$2:$C$501,A134)-SUMIFS('الصرف المباشر'!$D$2:$D$501,'الصرف المباشر'!$C$2:$C$501,A134)-SUMPRODUCT((الطبخات!$B$2:$B$900=A134)*الطبخات!$C$2:$C$900*COUNTIF('سجل الإنتاج'!$C$2:$C$501,الطبخات!$A$2:$A$900)),3))</f>
        <v>0</v>
      </c>
      <c r="D134" s="11"/>
    </row>
    <row r="135" spans="1:4" ht="24" customHeight="1">
      <c r="A135" s="11" t="s">
        <v>292</v>
      </c>
      <c r="B135" s="12" t="s">
        <v>337</v>
      </c>
      <c r="C135" s="13">
        <f>IF(A135="","",ROUND(SUMIFS(الإدخالات!$D$2:$D$501,الإدخالات!$C$2:$C$501,A135)+SUMIFS('تعديل الجرد'!$F$2:$F$501,'تعديل الجرد'!$C$2:$C$501,A135)-SUMIFS('الصرف المباشر'!$D$2:$D$501,'الصرف المباشر'!$C$2:$C$501,A135)-SUMPRODUCT((الطبخات!$B$2:$B$900=A135)*الطبخات!$C$2:$C$900*COUNTIF('سجل الإنتاج'!$C$2:$C$501,الطبخات!$A$2:$A$900)),3))</f>
        <v>0</v>
      </c>
      <c r="D135" s="11"/>
    </row>
    <row r="136" spans="1:4" ht="24" customHeight="1">
      <c r="A136" s="11" t="s">
        <v>293</v>
      </c>
      <c r="B136" s="12" t="s">
        <v>28</v>
      </c>
      <c r="C136" s="13">
        <f>IF(A136="","",ROUND(SUMIFS(الإدخالات!$D$2:$D$501,الإدخالات!$C$2:$C$501,A136)+SUMIFS('تعديل الجرد'!$F$2:$F$501,'تعديل الجرد'!$C$2:$C$501,A136)-SUMIFS('الصرف المباشر'!$D$2:$D$501,'الصرف المباشر'!$C$2:$C$501,A136)-SUMPRODUCT((الطبخات!$B$2:$B$900=A136)*الطبخات!$C$2:$C$900*COUNTIF('سجل الإنتاج'!$C$2:$C$501,الطبخات!$A$2:$A$900)),3))</f>
        <v>0</v>
      </c>
      <c r="D136" s="11"/>
    </row>
    <row r="137" spans="1:4" ht="24" customHeight="1">
      <c r="A137" s="11" t="s">
        <v>294</v>
      </c>
      <c r="B137" s="12" t="s">
        <v>339</v>
      </c>
      <c r="C137" s="13">
        <f>IF(A137="","",ROUND(SUMIFS(الإدخالات!$D$2:$D$501,الإدخالات!$C$2:$C$501,A137)+SUMIFS('تعديل الجرد'!$F$2:$F$501,'تعديل الجرد'!$C$2:$C$501,A137)-SUMIFS('الصرف المباشر'!$D$2:$D$501,'الصرف المباشر'!$C$2:$C$501,A137)-SUMPRODUCT((الطبخات!$B$2:$B$900=A137)*الطبخات!$C$2:$C$900*COUNTIF('سجل الإنتاج'!$C$2:$C$501,الطبخات!$A$2:$A$900)),3))</f>
        <v>0</v>
      </c>
      <c r="D137" s="11"/>
    </row>
    <row r="138" spans="1:4" ht="24" customHeight="1">
      <c r="A138" s="11" t="s">
        <v>295</v>
      </c>
      <c r="B138" s="12" t="s">
        <v>339</v>
      </c>
      <c r="C138" s="13">
        <f>IF(A138="","",ROUND(SUMIFS(الإدخالات!$D$2:$D$501,الإدخالات!$C$2:$C$501,A138)+SUMIFS('تعديل الجرد'!$F$2:$F$501,'تعديل الجرد'!$C$2:$C$501,A138)-SUMIFS('الصرف المباشر'!$D$2:$D$501,'الصرف المباشر'!$C$2:$C$501,A138)-SUMPRODUCT((الطبخات!$B$2:$B$900=A138)*الطبخات!$C$2:$C$900*COUNTIF('سجل الإنتاج'!$C$2:$C$501,الطبخات!$A$2:$A$900)),3))</f>
        <v>0</v>
      </c>
      <c r="D138" s="11"/>
    </row>
    <row r="139" spans="1:4" ht="24" customHeight="1">
      <c r="A139" s="11" t="s">
        <v>296</v>
      </c>
      <c r="B139" s="12" t="s">
        <v>339</v>
      </c>
      <c r="C139" s="13">
        <f>IF(A139="","",ROUND(SUMIFS(الإدخالات!$D$2:$D$501,الإدخالات!$C$2:$C$501,A139)+SUMIFS('تعديل الجرد'!$F$2:$F$501,'تعديل الجرد'!$C$2:$C$501,A139)-SUMIFS('الصرف المباشر'!$D$2:$D$501,'الصرف المباشر'!$C$2:$C$501,A139)-SUMPRODUCT((الطبخات!$B$2:$B$900=A139)*الطبخات!$C$2:$C$900*COUNTIF('سجل الإنتاج'!$C$2:$C$501,الطبخات!$A$2:$A$900)),3))</f>
        <v>0</v>
      </c>
      <c r="D139" s="11"/>
    </row>
    <row r="140" spans="1:4" ht="24" customHeight="1">
      <c r="A140" s="11" t="s">
        <v>297</v>
      </c>
      <c r="B140" s="12" t="s">
        <v>339</v>
      </c>
      <c r="C140" s="13">
        <f>IF(A140="","",ROUND(SUMIFS(الإدخالات!$D$2:$D$501,الإدخالات!$C$2:$C$501,A140)+SUMIFS('تعديل الجرد'!$F$2:$F$501,'تعديل الجرد'!$C$2:$C$501,A140)-SUMIFS('الصرف المباشر'!$D$2:$D$501,'الصرف المباشر'!$C$2:$C$501,A140)-SUMPRODUCT((الطبخات!$B$2:$B$900=A140)*الطبخات!$C$2:$C$900*COUNTIF('سجل الإنتاج'!$C$2:$C$501,الطبخات!$A$2:$A$900)),3))</f>
        <v>0</v>
      </c>
      <c r="D140" s="11"/>
    </row>
    <row r="141" spans="1:4" ht="24" customHeight="1">
      <c r="A141" s="11" t="s">
        <v>298</v>
      </c>
      <c r="B141" s="12" t="s">
        <v>339</v>
      </c>
      <c r="C141" s="13">
        <f>IF(A141="","",ROUND(SUMIFS(الإدخالات!$D$2:$D$501,الإدخالات!$C$2:$C$501,A141)+SUMIFS('تعديل الجرد'!$F$2:$F$501,'تعديل الجرد'!$C$2:$C$501,A141)-SUMIFS('الصرف المباشر'!$D$2:$D$501,'الصرف المباشر'!$C$2:$C$501,A141)-SUMPRODUCT((الطبخات!$B$2:$B$900=A141)*الطبخات!$C$2:$C$900*COUNTIF('سجل الإنتاج'!$C$2:$C$501,الطبخات!$A$2:$A$900)),3))</f>
        <v>0</v>
      </c>
      <c r="D141" s="11"/>
    </row>
    <row r="142" spans="1:4" ht="24" customHeight="1">
      <c r="A142" s="11" t="s">
        <v>299</v>
      </c>
      <c r="B142" s="12" t="s">
        <v>339</v>
      </c>
      <c r="C142" s="13">
        <f>IF(A142="","",ROUND(SUMIFS(الإدخالات!$D$2:$D$501,الإدخالات!$C$2:$C$501,A142)+SUMIFS('تعديل الجرد'!$F$2:$F$501,'تعديل الجرد'!$C$2:$C$501,A142)-SUMIFS('الصرف المباشر'!$D$2:$D$501,'الصرف المباشر'!$C$2:$C$501,A142)-SUMPRODUCT((الطبخات!$B$2:$B$900=A142)*الطبخات!$C$2:$C$900*COUNTIF('سجل الإنتاج'!$C$2:$C$501,الطبخات!$A$2:$A$900)),3))</f>
        <v>0</v>
      </c>
      <c r="D142" s="11"/>
    </row>
    <row r="143" spans="1:4" ht="24" customHeight="1">
      <c r="A143" s="11" t="s">
        <v>300</v>
      </c>
      <c r="B143" s="12" t="s">
        <v>28</v>
      </c>
      <c r="C143" s="13">
        <f>IF(A143="","",ROUND(SUMIFS(الإدخالات!$D$2:$D$501,الإدخالات!$C$2:$C$501,A143)+SUMIFS('تعديل الجرد'!$F$2:$F$501,'تعديل الجرد'!$C$2:$C$501,A143)-SUMIFS('الصرف المباشر'!$D$2:$D$501,'الصرف المباشر'!$C$2:$C$501,A143)-SUMPRODUCT((الطبخات!$B$2:$B$900=A143)*الطبخات!$C$2:$C$900*COUNTIF('سجل الإنتاج'!$C$2:$C$501,الطبخات!$A$2:$A$900)),3))</f>
        <v>0</v>
      </c>
      <c r="D143" s="11"/>
    </row>
    <row r="144" spans="1:4" ht="24" customHeight="1">
      <c r="A144" s="11" t="s">
        <v>301</v>
      </c>
      <c r="B144" s="12" t="s">
        <v>28</v>
      </c>
      <c r="C144" s="13">
        <f>IF(A144="","",ROUND(SUMIFS(الإدخالات!$D$2:$D$501,الإدخالات!$C$2:$C$501,A144)+SUMIFS('تعديل الجرد'!$F$2:$F$501,'تعديل الجرد'!$C$2:$C$501,A144)-SUMIFS('الصرف المباشر'!$D$2:$D$501,'الصرف المباشر'!$C$2:$C$501,A144)-SUMPRODUCT((الطبخات!$B$2:$B$900=A144)*الطبخات!$C$2:$C$900*COUNTIF('سجل الإنتاج'!$C$2:$C$501,الطبخات!$A$2:$A$900)),3))</f>
        <v>0</v>
      </c>
      <c r="D144" s="11"/>
    </row>
    <row r="145" spans="1:4" ht="24" customHeight="1">
      <c r="A145" s="11" t="s">
        <v>302</v>
      </c>
      <c r="B145" s="12" t="s">
        <v>337</v>
      </c>
      <c r="C145" s="13">
        <f>IF(A145="","",ROUND(SUMIFS(الإدخالات!$D$2:$D$501,الإدخالات!$C$2:$C$501,A145)+SUMIFS('تعديل الجرد'!$F$2:$F$501,'تعديل الجرد'!$C$2:$C$501,A145)-SUMIFS('الصرف المباشر'!$D$2:$D$501,'الصرف المباشر'!$C$2:$C$501,A145)-SUMPRODUCT((الطبخات!$B$2:$B$900=A145)*الطبخات!$C$2:$C$900*COUNTIF('سجل الإنتاج'!$C$2:$C$501,الطبخات!$A$2:$A$900)),3))</f>
        <v>0</v>
      </c>
      <c r="D145" s="11"/>
    </row>
    <row r="146" spans="1:4" ht="24" customHeight="1">
      <c r="A146" s="11" t="s">
        <v>303</v>
      </c>
      <c r="B146" s="12" t="s">
        <v>28</v>
      </c>
      <c r="C146" s="13">
        <f>IF(A146="","",ROUND(SUMIFS(الإدخالات!$D$2:$D$501,الإدخالات!$C$2:$C$501,A146)+SUMIFS('تعديل الجرد'!$F$2:$F$501,'تعديل الجرد'!$C$2:$C$501,A146)-SUMIFS('الصرف المباشر'!$D$2:$D$501,'الصرف المباشر'!$C$2:$C$501,A146)-SUMPRODUCT((الطبخات!$B$2:$B$900=A146)*الطبخات!$C$2:$C$900*COUNTIF('سجل الإنتاج'!$C$2:$C$501,الطبخات!$A$2:$A$900)),3))</f>
        <v>0</v>
      </c>
      <c r="D146" s="11"/>
    </row>
    <row r="147" spans="1:4" ht="24" customHeight="1">
      <c r="A147" s="11" t="s">
        <v>304</v>
      </c>
      <c r="B147" s="12" t="s">
        <v>337</v>
      </c>
      <c r="C147" s="13">
        <f>IF(A147="","",ROUND(SUMIFS(الإدخالات!$D$2:$D$501,الإدخالات!$C$2:$C$501,A147)+SUMIFS('تعديل الجرد'!$F$2:$F$501,'تعديل الجرد'!$C$2:$C$501,A147)-SUMIFS('الصرف المباشر'!$D$2:$D$501,'الصرف المباشر'!$C$2:$C$501,A147)-SUMPRODUCT((الطبخات!$B$2:$B$900=A147)*الطبخات!$C$2:$C$900*COUNTIF('سجل الإنتاج'!$C$2:$C$501,الطبخات!$A$2:$A$900)),3))</f>
        <v>0</v>
      </c>
      <c r="D147" s="11"/>
    </row>
    <row r="148" spans="1:4" ht="24" customHeight="1">
      <c r="A148" s="11" t="s">
        <v>305</v>
      </c>
      <c r="B148" s="12" t="s">
        <v>337</v>
      </c>
      <c r="C148" s="13">
        <f>IF(A148="","",ROUND(SUMIFS(الإدخالات!$D$2:$D$501,الإدخالات!$C$2:$C$501,A148)+SUMIFS('تعديل الجرد'!$F$2:$F$501,'تعديل الجرد'!$C$2:$C$501,A148)-SUMIFS('الصرف المباشر'!$D$2:$D$501,'الصرف المباشر'!$C$2:$C$501,A148)-SUMPRODUCT((الطبخات!$B$2:$B$900=A148)*الطبخات!$C$2:$C$900*COUNTIF('سجل الإنتاج'!$C$2:$C$501,الطبخات!$A$2:$A$900)),3))</f>
        <v>0</v>
      </c>
      <c r="D148" s="11"/>
    </row>
    <row r="149" spans="1:4" ht="24" customHeight="1">
      <c r="A149" s="11" t="s">
        <v>306</v>
      </c>
      <c r="B149" s="12" t="s">
        <v>28</v>
      </c>
      <c r="C149" s="13">
        <f>IF(A149="","",ROUND(SUMIFS(الإدخالات!$D$2:$D$501,الإدخالات!$C$2:$C$501,A149)+SUMIFS('تعديل الجرد'!$F$2:$F$501,'تعديل الجرد'!$C$2:$C$501,A149)-SUMIFS('الصرف المباشر'!$D$2:$D$501,'الصرف المباشر'!$C$2:$C$501,A149)-SUMPRODUCT((الطبخات!$B$2:$B$900=A149)*الطبخات!$C$2:$C$900*COUNTIF('سجل الإنتاج'!$C$2:$C$501,الطبخات!$A$2:$A$900)),3))</f>
        <v>0</v>
      </c>
      <c r="D149" s="11"/>
    </row>
    <row r="150" spans="1:4" ht="24" customHeight="1">
      <c r="A150" s="11" t="s">
        <v>307</v>
      </c>
      <c r="B150" s="12" t="s">
        <v>28</v>
      </c>
      <c r="C150" s="13">
        <f>IF(A150="","",ROUND(SUMIFS(الإدخالات!$D$2:$D$501,الإدخالات!$C$2:$C$501,A150)+SUMIFS('تعديل الجرد'!$F$2:$F$501,'تعديل الجرد'!$C$2:$C$501,A150)-SUMIFS('الصرف المباشر'!$D$2:$D$501,'الصرف المباشر'!$C$2:$C$501,A150)-SUMPRODUCT((الطبخات!$B$2:$B$900=A150)*الطبخات!$C$2:$C$900*COUNTIF('سجل الإنتاج'!$C$2:$C$501,الطبخات!$A$2:$A$900)),3))</f>
        <v>0</v>
      </c>
      <c r="D150" s="11"/>
    </row>
    <row r="151" spans="1:4" ht="24" customHeight="1">
      <c r="A151" s="11" t="s">
        <v>308</v>
      </c>
      <c r="B151" s="12" t="s">
        <v>28</v>
      </c>
      <c r="C151" s="13">
        <f>IF(A151="","",ROUND(SUMIFS(الإدخالات!$D$2:$D$501,الإدخالات!$C$2:$C$501,A151)+SUMIFS('تعديل الجرد'!$F$2:$F$501,'تعديل الجرد'!$C$2:$C$501,A151)-SUMIFS('الصرف المباشر'!$D$2:$D$501,'الصرف المباشر'!$C$2:$C$501,A151)-SUMPRODUCT((الطبخات!$B$2:$B$900=A151)*الطبخات!$C$2:$C$900*COUNTIF('سجل الإنتاج'!$C$2:$C$501,الطبخات!$A$2:$A$900)),3))</f>
        <v>0</v>
      </c>
      <c r="D151" s="11"/>
    </row>
    <row r="152" spans="1:4" ht="24" customHeight="1">
      <c r="A152" s="11" t="s">
        <v>309</v>
      </c>
      <c r="B152" s="12" t="s">
        <v>28</v>
      </c>
      <c r="C152" s="13">
        <f>IF(A152="","",ROUND(SUMIFS(الإدخالات!$D$2:$D$501,الإدخالات!$C$2:$C$501,A152)+SUMIFS('تعديل الجرد'!$F$2:$F$501,'تعديل الجرد'!$C$2:$C$501,A152)-SUMIFS('الصرف المباشر'!$D$2:$D$501,'الصرف المباشر'!$C$2:$C$501,A152)-SUMPRODUCT((الطبخات!$B$2:$B$900=A152)*الطبخات!$C$2:$C$900*COUNTIF('سجل الإنتاج'!$C$2:$C$501,الطبخات!$A$2:$A$900)),3))</f>
        <v>0</v>
      </c>
      <c r="D152" s="11"/>
    </row>
    <row r="153" spans="1:4" ht="24" customHeight="1">
      <c r="A153" s="11" t="s">
        <v>310</v>
      </c>
      <c r="B153" s="12" t="s">
        <v>28</v>
      </c>
      <c r="C153" s="13">
        <f>IF(A153="","",ROUND(SUMIFS(الإدخالات!$D$2:$D$501,الإدخالات!$C$2:$C$501,A153)+SUMIFS('تعديل الجرد'!$F$2:$F$501,'تعديل الجرد'!$C$2:$C$501,A153)-SUMIFS('الصرف المباشر'!$D$2:$D$501,'الصرف المباشر'!$C$2:$C$501,A153)-SUMPRODUCT((الطبخات!$B$2:$B$900=A153)*الطبخات!$C$2:$C$900*COUNTIF('سجل الإنتاج'!$C$2:$C$501,الطبخات!$A$2:$A$900)),3))</f>
        <v>0</v>
      </c>
      <c r="D153" s="11"/>
    </row>
    <row r="154" spans="1:4" ht="24" customHeight="1">
      <c r="A154" s="11" t="s">
        <v>311</v>
      </c>
      <c r="B154" s="12" t="s">
        <v>337</v>
      </c>
      <c r="C154" s="13">
        <f>IF(A154="","",ROUND(SUMIFS(الإدخالات!$D$2:$D$501,الإدخالات!$C$2:$C$501,A154)+SUMIFS('تعديل الجرد'!$F$2:$F$501,'تعديل الجرد'!$C$2:$C$501,A154)-SUMIFS('الصرف المباشر'!$D$2:$D$501,'الصرف المباشر'!$C$2:$C$501,A154)-SUMPRODUCT((الطبخات!$B$2:$B$900=A154)*الطبخات!$C$2:$C$900*COUNTIF('سجل الإنتاج'!$C$2:$C$501,الطبخات!$A$2:$A$900)),3))</f>
        <v>0</v>
      </c>
      <c r="D154" s="11"/>
    </row>
    <row r="155" spans="1:4" ht="24" customHeight="1">
      <c r="A155" s="11" t="s">
        <v>312</v>
      </c>
      <c r="B155" s="12" t="s">
        <v>337</v>
      </c>
      <c r="C155" s="13">
        <f>IF(A155="","",ROUND(SUMIFS(الإدخالات!$D$2:$D$501,الإدخالات!$C$2:$C$501,A155)+SUMIFS('تعديل الجرد'!$F$2:$F$501,'تعديل الجرد'!$C$2:$C$501,A155)-SUMIFS('الصرف المباشر'!$D$2:$D$501,'الصرف المباشر'!$C$2:$C$501,A155)-SUMPRODUCT((الطبخات!$B$2:$B$900=A155)*الطبخات!$C$2:$C$900*COUNTIF('سجل الإنتاج'!$C$2:$C$501,الطبخات!$A$2:$A$900)),3))</f>
        <v>0</v>
      </c>
      <c r="D155" s="11"/>
    </row>
    <row r="156" spans="1:4" ht="24" customHeight="1">
      <c r="A156" s="11" t="s">
        <v>313</v>
      </c>
      <c r="B156" s="12" t="s">
        <v>337</v>
      </c>
      <c r="C156" s="13">
        <f>IF(A156="","",ROUND(SUMIFS(الإدخالات!$D$2:$D$501,الإدخالات!$C$2:$C$501,A156)+SUMIFS('تعديل الجرد'!$F$2:$F$501,'تعديل الجرد'!$C$2:$C$501,A156)-SUMIFS('الصرف المباشر'!$D$2:$D$501,'الصرف المباشر'!$C$2:$C$501,A156)-SUMPRODUCT((الطبخات!$B$2:$B$900=A156)*الطبخات!$C$2:$C$900*COUNTIF('سجل الإنتاج'!$C$2:$C$501,الطبخات!$A$2:$A$900)),3))</f>
        <v>0</v>
      </c>
      <c r="D156" s="11"/>
    </row>
    <row r="157" spans="1:4" ht="24" customHeight="1">
      <c r="A157" s="11" t="s">
        <v>314</v>
      </c>
      <c r="B157" s="12" t="s">
        <v>337</v>
      </c>
      <c r="C157" s="13">
        <f>IF(A157="","",ROUND(SUMIFS(الإدخالات!$D$2:$D$501,الإدخالات!$C$2:$C$501,A157)+SUMIFS('تعديل الجرد'!$F$2:$F$501,'تعديل الجرد'!$C$2:$C$501,A157)-SUMIFS('الصرف المباشر'!$D$2:$D$501,'الصرف المباشر'!$C$2:$C$501,A157)-SUMPRODUCT((الطبخات!$B$2:$B$900=A157)*الطبخات!$C$2:$C$900*COUNTIF('سجل الإنتاج'!$C$2:$C$501,الطبخات!$A$2:$A$900)),3))</f>
        <v>0</v>
      </c>
      <c r="D157" s="11"/>
    </row>
    <row r="158" spans="1:4" ht="24" customHeight="1">
      <c r="A158" s="11" t="s">
        <v>315</v>
      </c>
      <c r="B158" s="12" t="s">
        <v>337</v>
      </c>
      <c r="C158" s="13">
        <f>IF(A158="","",ROUND(SUMIFS(الإدخالات!$D$2:$D$501,الإدخالات!$C$2:$C$501,A158)+SUMIFS('تعديل الجرد'!$F$2:$F$501,'تعديل الجرد'!$C$2:$C$501,A158)-SUMIFS('الصرف المباشر'!$D$2:$D$501,'الصرف المباشر'!$C$2:$C$501,A158)-SUMPRODUCT((الطبخات!$B$2:$B$900=A158)*الطبخات!$C$2:$C$900*COUNTIF('سجل الإنتاج'!$C$2:$C$501,الطبخات!$A$2:$A$900)),3))</f>
        <v>0</v>
      </c>
      <c r="D158" s="11"/>
    </row>
    <row r="159" spans="1:4" ht="24" customHeight="1">
      <c r="A159" s="11" t="s">
        <v>316</v>
      </c>
      <c r="B159" s="12" t="s">
        <v>337</v>
      </c>
      <c r="C159" s="13">
        <f>IF(A159="","",ROUND(SUMIFS(الإدخالات!$D$2:$D$501,الإدخالات!$C$2:$C$501,A159)+SUMIFS('تعديل الجرد'!$F$2:$F$501,'تعديل الجرد'!$C$2:$C$501,A159)-SUMIFS('الصرف المباشر'!$D$2:$D$501,'الصرف المباشر'!$C$2:$C$501,A159)-SUMPRODUCT((الطبخات!$B$2:$B$900=A159)*الطبخات!$C$2:$C$900*COUNTIF('سجل الإنتاج'!$C$2:$C$501,الطبخات!$A$2:$A$900)),3))</f>
        <v>0</v>
      </c>
      <c r="D159" s="11"/>
    </row>
    <row r="160" spans="1:4" ht="24" customHeight="1">
      <c r="A160" s="11" t="s">
        <v>317</v>
      </c>
      <c r="B160" s="12" t="s">
        <v>28</v>
      </c>
      <c r="C160" s="13">
        <f>IF(A160="","",ROUND(SUMIFS(الإدخالات!$D$2:$D$501,الإدخالات!$C$2:$C$501,A160)+SUMIFS('تعديل الجرد'!$F$2:$F$501,'تعديل الجرد'!$C$2:$C$501,A160)-SUMIFS('الصرف المباشر'!$D$2:$D$501,'الصرف المباشر'!$C$2:$C$501,A160)-SUMPRODUCT((الطبخات!$B$2:$B$900=A160)*الطبخات!$C$2:$C$900*COUNTIF('سجل الإنتاج'!$C$2:$C$501,الطبخات!$A$2:$A$900)),3))</f>
        <v>0</v>
      </c>
      <c r="D160" s="11"/>
    </row>
    <row r="161" spans="1:4" ht="24" customHeight="1">
      <c r="A161" s="11" t="s">
        <v>318</v>
      </c>
      <c r="B161" s="12" t="s">
        <v>28</v>
      </c>
      <c r="C161" s="13">
        <f>IF(A161="","",ROUND(SUMIFS(الإدخالات!$D$2:$D$501,الإدخالات!$C$2:$C$501,A161)+SUMIFS('تعديل الجرد'!$F$2:$F$501,'تعديل الجرد'!$C$2:$C$501,A161)-SUMIFS('الصرف المباشر'!$D$2:$D$501,'الصرف المباشر'!$C$2:$C$501,A161)-SUMPRODUCT((الطبخات!$B$2:$B$900=A161)*الطبخات!$C$2:$C$900*COUNTIF('سجل الإنتاج'!$C$2:$C$501,الطبخات!$A$2:$A$900)),3))</f>
        <v>0</v>
      </c>
      <c r="D161" s="11"/>
    </row>
    <row r="162" spans="1:4" ht="24" customHeight="1">
      <c r="A162" s="11" t="s">
        <v>319</v>
      </c>
      <c r="B162" s="12" t="s">
        <v>28</v>
      </c>
      <c r="C162" s="13">
        <f>IF(A162="","",ROUND(SUMIFS(الإدخالات!$D$2:$D$501,الإدخالات!$C$2:$C$501,A162)+SUMIFS('تعديل الجرد'!$F$2:$F$501,'تعديل الجرد'!$C$2:$C$501,A162)-SUMIFS('الصرف المباشر'!$D$2:$D$501,'الصرف المباشر'!$C$2:$C$501,A162)-SUMPRODUCT((الطبخات!$B$2:$B$900=A162)*الطبخات!$C$2:$C$900*COUNTIF('سجل الإنتاج'!$C$2:$C$501,الطبخات!$A$2:$A$900)),3))</f>
        <v>0</v>
      </c>
      <c r="D162" s="11"/>
    </row>
    <row r="163" spans="1:4" ht="24" customHeight="1">
      <c r="A163" s="11" t="s">
        <v>320</v>
      </c>
      <c r="B163" s="12" t="s">
        <v>339</v>
      </c>
      <c r="C163" s="13">
        <f>IF(A163="","",ROUND(SUMIFS(الإدخالات!$D$2:$D$501,الإدخالات!$C$2:$C$501,A163)+SUMIFS('تعديل الجرد'!$F$2:$F$501,'تعديل الجرد'!$C$2:$C$501,A163)-SUMIFS('الصرف المباشر'!$D$2:$D$501,'الصرف المباشر'!$C$2:$C$501,A163)-SUMPRODUCT((الطبخات!$B$2:$B$900=A163)*الطبخات!$C$2:$C$900*COUNTIF('سجل الإنتاج'!$C$2:$C$501,الطبخات!$A$2:$A$900)),3))</f>
        <v>0</v>
      </c>
      <c r="D163" s="11"/>
    </row>
    <row r="164" spans="1:4" ht="24" customHeight="1">
      <c r="A164" s="11" t="s">
        <v>321</v>
      </c>
      <c r="B164" s="12" t="s">
        <v>28</v>
      </c>
      <c r="C164" s="13">
        <f>IF(A164="","",ROUND(SUMIFS(الإدخالات!$D$2:$D$501,الإدخالات!$C$2:$C$501,A164)+SUMIFS('تعديل الجرد'!$F$2:$F$501,'تعديل الجرد'!$C$2:$C$501,A164)-SUMIFS('الصرف المباشر'!$D$2:$D$501,'الصرف المباشر'!$C$2:$C$501,A164)-SUMPRODUCT((الطبخات!$B$2:$B$900=A164)*الطبخات!$C$2:$C$900*COUNTIF('سجل الإنتاج'!$C$2:$C$501,الطبخات!$A$2:$A$900)),3))</f>
        <v>0</v>
      </c>
      <c r="D164" s="11"/>
    </row>
    <row r="165" spans="1:4" ht="24" customHeight="1">
      <c r="A165" s="11" t="s">
        <v>322</v>
      </c>
      <c r="B165" s="12" t="s">
        <v>339</v>
      </c>
      <c r="C165" s="13">
        <f>IF(A165="","",ROUND(SUMIFS(الإدخالات!$D$2:$D$501,الإدخالات!$C$2:$C$501,A165)+SUMIFS('تعديل الجرد'!$F$2:$F$501,'تعديل الجرد'!$C$2:$C$501,A165)-SUMIFS('الصرف المباشر'!$D$2:$D$501,'الصرف المباشر'!$C$2:$C$501,A165)-SUMPRODUCT((الطبخات!$B$2:$B$900=A165)*الطبخات!$C$2:$C$900*COUNTIF('سجل الإنتاج'!$C$2:$C$501,الطبخات!$A$2:$A$900)),3))</f>
        <v>0</v>
      </c>
      <c r="D165" s="11"/>
    </row>
    <row r="166" spans="1:4" ht="24" customHeight="1">
      <c r="A166" s="11" t="s">
        <v>323</v>
      </c>
      <c r="B166" s="12" t="s">
        <v>339</v>
      </c>
      <c r="C166" s="13">
        <f>IF(A166="","",ROUND(SUMIFS(الإدخالات!$D$2:$D$501,الإدخالات!$C$2:$C$501,A166)+SUMIFS('تعديل الجرد'!$F$2:$F$501,'تعديل الجرد'!$C$2:$C$501,A166)-SUMIFS('الصرف المباشر'!$D$2:$D$501,'الصرف المباشر'!$C$2:$C$501,A166)-SUMPRODUCT((الطبخات!$B$2:$B$900=A166)*الطبخات!$C$2:$C$900*COUNTIF('سجل الإنتاج'!$C$2:$C$501,الطبخات!$A$2:$A$900)),3))</f>
        <v>0</v>
      </c>
      <c r="D166" s="11"/>
    </row>
    <row r="167" spans="1:4" ht="24" customHeight="1">
      <c r="A167" s="11" t="s">
        <v>324</v>
      </c>
      <c r="B167" s="12" t="s">
        <v>339</v>
      </c>
      <c r="C167" s="13">
        <f>IF(A167="","",ROUND(SUMIFS(الإدخالات!$D$2:$D$501,الإدخالات!$C$2:$C$501,A167)+SUMIFS('تعديل الجرد'!$F$2:$F$501,'تعديل الجرد'!$C$2:$C$501,A167)-SUMIFS('الصرف المباشر'!$D$2:$D$501,'الصرف المباشر'!$C$2:$C$501,A167)-SUMPRODUCT((الطبخات!$B$2:$B$900=A167)*الطبخات!$C$2:$C$900*COUNTIF('سجل الإنتاج'!$C$2:$C$501,الطبخات!$A$2:$A$900)),3))</f>
        <v>0</v>
      </c>
      <c r="D167" s="11"/>
    </row>
    <row r="168" spans="1:4" ht="24" customHeight="1">
      <c r="A168" s="11" t="s">
        <v>325</v>
      </c>
      <c r="B168" s="12" t="s">
        <v>339</v>
      </c>
      <c r="C168" s="13">
        <f>IF(A168="","",ROUND(SUMIFS(الإدخالات!$D$2:$D$501,الإدخالات!$C$2:$C$501,A168)+SUMIFS('تعديل الجرد'!$F$2:$F$501,'تعديل الجرد'!$C$2:$C$501,A168)-SUMIFS('الصرف المباشر'!$D$2:$D$501,'الصرف المباشر'!$C$2:$C$501,A168)-SUMPRODUCT((الطبخات!$B$2:$B$900=A168)*الطبخات!$C$2:$C$900*COUNTIF('سجل الإنتاج'!$C$2:$C$501,الطبخات!$A$2:$A$900)),3))</f>
        <v>0</v>
      </c>
      <c r="D168" s="11"/>
    </row>
    <row r="169" spans="1:4" ht="24" customHeight="1">
      <c r="A169" s="11" t="s">
        <v>326</v>
      </c>
      <c r="B169" s="12" t="s">
        <v>339</v>
      </c>
      <c r="C169" s="13">
        <f>IF(A169="","",ROUND(SUMIFS(الإدخالات!$D$2:$D$501,الإدخالات!$C$2:$C$501,A169)+SUMIFS('تعديل الجرد'!$F$2:$F$501,'تعديل الجرد'!$C$2:$C$501,A169)-SUMIFS('الصرف المباشر'!$D$2:$D$501,'الصرف المباشر'!$C$2:$C$501,A169)-SUMPRODUCT((الطبخات!$B$2:$B$900=A169)*الطبخات!$C$2:$C$900*COUNTIF('سجل الإنتاج'!$C$2:$C$501,الطبخات!$A$2:$A$900)),3))</f>
        <v>0</v>
      </c>
      <c r="D169" s="11"/>
    </row>
    <row r="170" spans="1:4" ht="24" customHeight="1">
      <c r="A170" s="11" t="s">
        <v>327</v>
      </c>
      <c r="B170" s="12" t="s">
        <v>28</v>
      </c>
      <c r="C170" s="13">
        <f>IF(A170="","",ROUND(SUMIFS(الإدخالات!$D$2:$D$501,الإدخالات!$C$2:$C$501,A170)+SUMIFS('تعديل الجرد'!$F$2:$F$501,'تعديل الجرد'!$C$2:$C$501,A170)-SUMIFS('الصرف المباشر'!$D$2:$D$501,'الصرف المباشر'!$C$2:$C$501,A170)-SUMPRODUCT((الطبخات!$B$2:$B$900=A170)*الطبخات!$C$2:$C$900*COUNTIF('سجل الإنتاج'!$C$2:$C$501,الطبخات!$A$2:$A$900)),3))</f>
        <v>0</v>
      </c>
      <c r="D170" s="11"/>
    </row>
    <row r="171" spans="1:4" ht="24" customHeight="1">
      <c r="A171" s="11" t="s">
        <v>328</v>
      </c>
      <c r="B171" s="12" t="s">
        <v>339</v>
      </c>
      <c r="C171" s="13">
        <f>IF(A171="","",ROUND(SUMIFS(الإدخالات!$D$2:$D$501,الإدخالات!$C$2:$C$501,A171)+SUMIFS('تعديل الجرد'!$F$2:$F$501,'تعديل الجرد'!$C$2:$C$501,A171)-SUMIFS('الصرف المباشر'!$D$2:$D$501,'الصرف المباشر'!$C$2:$C$501,A171)-SUMPRODUCT((الطبخات!$B$2:$B$900=A171)*الطبخات!$C$2:$C$900*COUNTIF('سجل الإنتاج'!$C$2:$C$501,الطبخات!$A$2:$A$900)),3))</f>
        <v>0</v>
      </c>
      <c r="D171" s="11"/>
    </row>
    <row r="172" spans="1:4" ht="24" customHeight="1">
      <c r="A172" s="11" t="s">
        <v>329</v>
      </c>
      <c r="B172" s="12" t="s">
        <v>337</v>
      </c>
      <c r="C172" s="13">
        <f>IF(A172="","",ROUND(SUMIFS(الإدخالات!$D$2:$D$501,الإدخالات!$C$2:$C$501,A172)+SUMIFS('تعديل الجرد'!$F$2:$F$501,'تعديل الجرد'!$C$2:$C$501,A172)-SUMIFS('الصرف المباشر'!$D$2:$D$501,'الصرف المباشر'!$C$2:$C$501,A172)-SUMPRODUCT((الطبخات!$B$2:$B$900=A172)*الطبخات!$C$2:$C$900*COUNTIF('سجل الإنتاج'!$C$2:$C$501,الطبخات!$A$2:$A$900)),3))</f>
        <v>0</v>
      </c>
      <c r="D172" s="11"/>
    </row>
    <row r="173" spans="1:4" ht="24" customHeight="1">
      <c r="A173" s="11" t="s">
        <v>330</v>
      </c>
      <c r="B173" s="12" t="s">
        <v>28</v>
      </c>
      <c r="C173" s="13">
        <f>IF(A173="","",ROUND(SUMIFS(الإدخالات!$D$2:$D$501,الإدخالات!$C$2:$C$501,A173)+SUMIFS('تعديل الجرد'!$F$2:$F$501,'تعديل الجرد'!$C$2:$C$501,A173)-SUMIFS('الصرف المباشر'!$D$2:$D$501,'الصرف المباشر'!$C$2:$C$501,A173)-SUMPRODUCT((الطبخات!$B$2:$B$900=A173)*الطبخات!$C$2:$C$900*COUNTIF('سجل الإنتاج'!$C$2:$C$501,الطبخات!$A$2:$A$900)),3))</f>
        <v>0</v>
      </c>
      <c r="D173" s="11"/>
    </row>
    <row r="174" spans="1:4" ht="24" customHeight="1">
      <c r="A174" s="11" t="s">
        <v>331</v>
      </c>
      <c r="B174" s="12" t="s">
        <v>337</v>
      </c>
      <c r="C174" s="13">
        <f>IF(A174="","",ROUND(SUMIFS(الإدخالات!$D$2:$D$501,الإدخالات!$C$2:$C$501,A174)+SUMIFS('تعديل الجرد'!$F$2:$F$501,'تعديل الجرد'!$C$2:$C$501,A174)-SUMIFS('الصرف المباشر'!$D$2:$D$501,'الصرف المباشر'!$C$2:$C$501,A174)-SUMPRODUCT((الطبخات!$B$2:$B$900=A174)*الطبخات!$C$2:$C$900*COUNTIF('سجل الإنتاج'!$C$2:$C$501,الطبخات!$A$2:$A$900)),3))</f>
        <v>0</v>
      </c>
      <c r="D174" s="11"/>
    </row>
    <row r="175" spans="1:4" ht="24" customHeight="1">
      <c r="A175" s="11" t="s">
        <v>332</v>
      </c>
      <c r="B175" s="12" t="s">
        <v>339</v>
      </c>
      <c r="C175" s="13">
        <f>IF(A175="","",ROUND(SUMIFS(الإدخالات!$D$2:$D$501,الإدخالات!$C$2:$C$501,A175)+SUMIFS('تعديل الجرد'!$F$2:$F$501,'تعديل الجرد'!$C$2:$C$501,A175)-SUMIFS('الصرف المباشر'!$D$2:$D$501,'الصرف المباشر'!$C$2:$C$501,A175)-SUMPRODUCT((الطبخات!$B$2:$B$900=A175)*الطبخات!$C$2:$C$900*COUNTIF('سجل الإنتاج'!$C$2:$C$501,الطبخات!$A$2:$A$900)),3))</f>
        <v>0</v>
      </c>
      <c r="D175" s="11"/>
    </row>
    <row r="176" spans="1:4" ht="24" customHeight="1">
      <c r="A176" s="11" t="s">
        <v>333</v>
      </c>
      <c r="B176" s="12" t="s">
        <v>339</v>
      </c>
      <c r="C176" s="13">
        <f>IF(A176="","",ROUND(SUMIFS(الإدخالات!$D$2:$D$501,الإدخالات!$C$2:$C$501,A176)+SUMIFS('تعديل الجرد'!$F$2:$F$501,'تعديل الجرد'!$C$2:$C$501,A176)-SUMIFS('الصرف المباشر'!$D$2:$D$501,'الصرف المباشر'!$C$2:$C$501,A176)-SUMPRODUCT((الطبخات!$B$2:$B$900=A176)*الطبخات!$C$2:$C$900*COUNTIF('سجل الإنتاج'!$C$2:$C$501,الطبخات!$A$2:$A$900)),3))</f>
        <v>0</v>
      </c>
      <c r="D176" s="11"/>
    </row>
    <row r="177" spans="1:4" ht="24" customHeight="1">
      <c r="A177" s="11" t="s">
        <v>334</v>
      </c>
      <c r="B177" s="12" t="s">
        <v>339</v>
      </c>
      <c r="C177" s="13">
        <f>IF(A177="","",ROUND(SUMIFS(الإدخالات!$D$2:$D$501,الإدخالات!$C$2:$C$501,A177)+SUMIFS('تعديل الجرد'!$F$2:$F$501,'تعديل الجرد'!$C$2:$C$501,A177)-SUMIFS('الصرف المباشر'!$D$2:$D$501,'الصرف المباشر'!$C$2:$C$501,A177)-SUMPRODUCT((الطبخات!$B$2:$B$900=A177)*الطبخات!$C$2:$C$900*COUNTIF('سجل الإنتاج'!$C$2:$C$501,الطبخات!$A$2:$A$900)),3))</f>
        <v>0</v>
      </c>
      <c r="D177" s="11"/>
    </row>
    <row r="178" spans="1:4" ht="24" customHeight="1">
      <c r="A178" s="11" t="s">
        <v>335</v>
      </c>
      <c r="B178" s="12" t="s">
        <v>339</v>
      </c>
      <c r="C178" s="13">
        <f>IF(A178="","",ROUND(SUMIFS(الإدخالات!$D$2:$D$501,الإدخالات!$C$2:$C$501,A178)+SUMIFS('تعديل الجرد'!$F$2:$F$501,'تعديل الجرد'!$C$2:$C$501,A178)-SUMIFS('الصرف المباشر'!$D$2:$D$501,'الصرف المباشر'!$C$2:$C$501,A178)-SUMPRODUCT((الطبخات!$B$2:$B$900=A178)*الطبخات!$C$2:$C$900*COUNTIF('سجل الإنتاج'!$C$2:$C$501,الطبخات!$A$2:$A$900)),3))</f>
        <v>0</v>
      </c>
      <c r="D178" s="11"/>
    </row>
    <row r="179" spans="1:4" ht="24" customHeight="1">
      <c r="A179" s="11" t="s">
        <v>336</v>
      </c>
      <c r="B179" s="12" t="s">
        <v>339</v>
      </c>
      <c r="C179" s="13">
        <f>IF(A179="","",ROUND(SUMIFS(الإدخالات!$D$2:$D$501,الإدخالات!$C$2:$C$501,A179)+SUMIFS('تعديل الجرد'!$F$2:$F$501,'تعديل الجرد'!$C$2:$C$501,A179)-SUMIFS('الصرف المباشر'!$D$2:$D$501,'الصرف المباشر'!$C$2:$C$501,A179)-SUMPRODUCT((الطبخات!$B$2:$B$900=A179)*الطبخات!$C$2:$C$900*COUNTIF('سجل الإنتاج'!$C$2:$C$501,الطبخات!$A$2:$A$900)),3))</f>
        <v>0</v>
      </c>
      <c r="D179" s="11"/>
    </row>
    <row r="180" spans="1:4" ht="24" customHeight="1">
      <c r="A180" s="11"/>
      <c r="B180" s="12"/>
      <c r="C180" s="13" t="str">
        <f>IF(A180="","",ROUND(SUMIFS(الإدخالات!$D$2:$D$501,الإدخالات!$C$2:$C$501,A180)+SUMIFS('تعديل الجرد'!$F$2:$F$501,'تعديل الجرد'!$C$2:$C$501,A180)-SUMIFS('الصرف المباشر'!$D$2:$D$501,'الصرف المباشر'!$C$2:$C$501,A180)-SUMPRODUCT((الطبخات!$B$2:$B$900=A180)*الطبخات!$C$2:$C$900*COUNTIF('سجل الإنتاج'!$C$2:$C$501,الطبخات!$A$2:$A$900)),3))</f>
        <v/>
      </c>
      <c r="D180" s="11"/>
    </row>
    <row r="181" spans="1:4" ht="24" customHeight="1">
      <c r="A181" s="11"/>
      <c r="B181" s="12"/>
      <c r="C181" s="13" t="str">
        <f>IF(A181="","",ROUND(SUMIFS(الإدخالات!$D$2:$D$501,الإدخالات!$C$2:$C$501,A181)+SUMIFS('تعديل الجرد'!$F$2:$F$501,'تعديل الجرد'!$C$2:$C$501,A181)-SUMIFS('الصرف المباشر'!$D$2:$D$501,'الصرف المباشر'!$C$2:$C$501,A181)-SUMPRODUCT((الطبخات!$B$2:$B$900=A181)*الطبخات!$C$2:$C$900*COUNTIF('سجل الإنتاج'!$C$2:$C$501,الطبخات!$A$2:$A$900)),3))</f>
        <v/>
      </c>
      <c r="D181" s="11"/>
    </row>
    <row r="182" spans="1:4" ht="24" customHeight="1">
      <c r="A182" s="11"/>
      <c r="B182" s="12"/>
      <c r="C182" s="13" t="str">
        <f>IF(A182="","",ROUND(SUMIFS(الإدخالات!$D$2:$D$501,الإدخالات!$C$2:$C$501,A182)+SUMIFS('تعديل الجرد'!$F$2:$F$501,'تعديل الجرد'!$C$2:$C$501,A182)-SUMIFS('الصرف المباشر'!$D$2:$D$501,'الصرف المباشر'!$C$2:$C$501,A182)-SUMPRODUCT((الطبخات!$B$2:$B$900=A182)*الطبخات!$C$2:$C$900*COUNTIF('سجل الإنتاج'!$C$2:$C$501,الطبخات!$A$2:$A$900)),3))</f>
        <v/>
      </c>
      <c r="D182" s="11"/>
    </row>
    <row r="183" spans="1:4" ht="24" customHeight="1">
      <c r="A183" s="11"/>
      <c r="B183" s="12"/>
      <c r="C183" s="13" t="str">
        <f>IF(A183="","",ROUND(SUMIFS(الإدخالات!$D$2:$D$501,الإدخالات!$C$2:$C$501,A183)+SUMIFS('تعديل الجرد'!$F$2:$F$501,'تعديل الجرد'!$C$2:$C$501,A183)-SUMIFS('الصرف المباشر'!$D$2:$D$501,'الصرف المباشر'!$C$2:$C$501,A183)-SUMPRODUCT((الطبخات!$B$2:$B$900=A183)*الطبخات!$C$2:$C$900*COUNTIF('سجل الإنتاج'!$C$2:$C$501,الطبخات!$A$2:$A$900)),3))</f>
        <v/>
      </c>
      <c r="D183" s="11"/>
    </row>
    <row r="184" spans="1:4" ht="24" customHeight="1">
      <c r="A184" s="11"/>
      <c r="B184" s="12"/>
      <c r="C184" s="13" t="str">
        <f>IF(A184="","",ROUND(SUMIFS(الإدخالات!$D$2:$D$501,الإدخالات!$C$2:$C$501,A184)+SUMIFS('تعديل الجرد'!$F$2:$F$501,'تعديل الجرد'!$C$2:$C$501,A184)-SUMIFS('الصرف المباشر'!$D$2:$D$501,'الصرف المباشر'!$C$2:$C$501,A184)-SUMPRODUCT((الطبخات!$B$2:$B$900=A184)*الطبخات!$C$2:$C$900*COUNTIF('سجل الإنتاج'!$C$2:$C$501,الطبخات!$A$2:$A$900)),3))</f>
        <v/>
      </c>
      <c r="D184" s="11"/>
    </row>
    <row r="185" spans="1:4" ht="24" customHeight="1">
      <c r="A185" s="11"/>
      <c r="B185" s="12"/>
      <c r="C185" s="13" t="str">
        <f>IF(A185="","",ROUND(SUMIFS(الإدخالات!$D$2:$D$501,الإدخالات!$C$2:$C$501,A185)+SUMIFS('تعديل الجرد'!$F$2:$F$501,'تعديل الجرد'!$C$2:$C$501,A185)-SUMIFS('الصرف المباشر'!$D$2:$D$501,'الصرف المباشر'!$C$2:$C$501,A185)-SUMPRODUCT((الطبخات!$B$2:$B$900=A185)*الطبخات!$C$2:$C$900*COUNTIF('سجل الإنتاج'!$C$2:$C$501,الطبخات!$A$2:$A$900)),3))</f>
        <v/>
      </c>
      <c r="D185" s="11"/>
    </row>
    <row r="186" spans="1:4" ht="24" customHeight="1">
      <c r="A186" s="11"/>
      <c r="B186" s="12"/>
      <c r="C186" s="13" t="str">
        <f>IF(A186="","",ROUND(SUMIFS(الإدخالات!$D$2:$D$501,الإدخالات!$C$2:$C$501,A186)+SUMIFS('تعديل الجرد'!$F$2:$F$501,'تعديل الجرد'!$C$2:$C$501,A186)-SUMIFS('الصرف المباشر'!$D$2:$D$501,'الصرف المباشر'!$C$2:$C$501,A186)-SUMPRODUCT((الطبخات!$B$2:$B$900=A186)*الطبخات!$C$2:$C$900*COUNTIF('سجل الإنتاج'!$C$2:$C$501,الطبخات!$A$2:$A$900)),3))</f>
        <v/>
      </c>
      <c r="D186" s="11"/>
    </row>
    <row r="187" spans="1:4" ht="24" customHeight="1">
      <c r="A187" s="11"/>
      <c r="B187" s="12"/>
      <c r="C187" s="13" t="str">
        <f>IF(A187="","",ROUND(SUMIFS(الإدخالات!$D$2:$D$501,الإدخالات!$C$2:$C$501,A187)+SUMIFS('تعديل الجرد'!$F$2:$F$501,'تعديل الجرد'!$C$2:$C$501,A187)-SUMIFS('الصرف المباشر'!$D$2:$D$501,'الصرف المباشر'!$C$2:$C$501,A187)-SUMPRODUCT((الطبخات!$B$2:$B$900=A187)*الطبخات!$C$2:$C$900*COUNTIF('سجل الإنتاج'!$C$2:$C$501,الطبخات!$A$2:$A$900)),3))</f>
        <v/>
      </c>
      <c r="D187" s="11"/>
    </row>
    <row r="188" spans="1:4" ht="24" customHeight="1">
      <c r="A188" s="11"/>
      <c r="B188" s="12"/>
      <c r="C188" s="13" t="str">
        <f>IF(A188="","",ROUND(SUMIFS(الإدخالات!$D$2:$D$501,الإدخالات!$C$2:$C$501,A188)+SUMIFS('تعديل الجرد'!$F$2:$F$501,'تعديل الجرد'!$C$2:$C$501,A188)-SUMIFS('الصرف المباشر'!$D$2:$D$501,'الصرف المباشر'!$C$2:$C$501,A188)-SUMPRODUCT((الطبخات!$B$2:$B$900=A188)*الطبخات!$C$2:$C$900*COUNTIF('سجل الإنتاج'!$C$2:$C$501,الطبخات!$A$2:$A$900)),3))</f>
        <v/>
      </c>
      <c r="D188" s="11"/>
    </row>
    <row r="189" spans="1:4" ht="24" customHeight="1">
      <c r="A189" s="11"/>
      <c r="B189" s="12" t="s">
        <v>80</v>
      </c>
      <c r="C189" s="13" t="str">
        <f>IF(A189="","",ROUND(SUMIFS(الإدخالات!$D$2:$D$501,الإدخالات!$C$2:$C$501,A189)+SUMIFS('تعديل الجرد'!$F$2:$F$501,'تعديل الجرد'!$C$2:$C$501,A189)-SUMIFS('الصرف المباشر'!$D$2:$D$501,'الصرف المباشر'!$C$2:$C$501,A189)-SUMPRODUCT((الطبخات!$B$2:$B$900=A189)*الطبخات!$C$2:$C$900*COUNTIF('سجل الإنتاج'!$C$2:$C$501,الطبخات!$A$2:$A$900)),3))</f>
        <v/>
      </c>
      <c r="D189" s="11"/>
    </row>
    <row r="190" spans="1:4" ht="24" customHeight="1">
      <c r="A190" s="11"/>
      <c r="B190" s="12"/>
      <c r="C190" s="13" t="str">
        <f>IF(A190="","",ROUND(SUMIFS(الإدخالات!$D$2:$D$501,الإدخالات!$C$2:$C$501,A190)+SUMIFS('تعديل الجرد'!$F$2:$F$501,'تعديل الجرد'!$C$2:$C$501,A190)-SUMIFS('الصرف المباشر'!$D$2:$D$501,'الصرف المباشر'!$C$2:$C$501,A190)-SUMPRODUCT((الطبخات!$B$2:$B$900=A190)*الطبخات!$C$2:$C$900*COUNTIF('سجل الإنتاج'!$C$2:$C$501,الطبخات!$A$2:$A$900)),3))</f>
        <v/>
      </c>
      <c r="D190" s="11"/>
    </row>
    <row r="191" spans="1:4" ht="24" customHeight="1">
      <c r="A191" s="11"/>
      <c r="B191" s="12"/>
      <c r="C191" s="13" t="str">
        <f>IF(A191="","",ROUND(SUMIFS(الإدخالات!$D$2:$D$501,الإدخالات!$C$2:$C$501,A191)+SUMIFS('تعديل الجرد'!$F$2:$F$501,'تعديل الجرد'!$C$2:$C$501,A191)-SUMIFS('الصرف المباشر'!$D$2:$D$501,'الصرف المباشر'!$C$2:$C$501,A191)-SUMPRODUCT((الطبخات!$B$2:$B$900=A191)*الطبخات!$C$2:$C$900*COUNTIF('سجل الإنتاج'!$C$2:$C$501,الطبخات!$A$2:$A$900)),3))</f>
        <v/>
      </c>
      <c r="D191" s="11"/>
    </row>
    <row r="192" spans="1:4" ht="24" customHeight="1">
      <c r="A192" s="11"/>
      <c r="B192" s="12"/>
      <c r="C192" s="13" t="str">
        <f>IF(A192="","",ROUND(SUMIFS(الإدخالات!$D$2:$D$501,الإدخالات!$C$2:$C$501,A192)+SUMIFS('تعديل الجرد'!$F$2:$F$501,'تعديل الجرد'!$C$2:$C$501,A192)-SUMIFS('الصرف المباشر'!$D$2:$D$501,'الصرف المباشر'!$C$2:$C$501,A192)-SUMPRODUCT((الطبخات!$B$2:$B$900=A192)*الطبخات!$C$2:$C$900*COUNTIF('سجل الإنتاج'!$C$2:$C$501,الطبخات!$A$2:$A$900)),3))</f>
        <v/>
      </c>
      <c r="D192" s="11"/>
    </row>
    <row r="193" spans="1:4" ht="24" customHeight="1">
      <c r="A193" s="11"/>
      <c r="B193" s="12"/>
      <c r="C193" s="13" t="str">
        <f>IF(A193="","",ROUND(SUMIFS(الإدخالات!$D$2:$D$501,الإدخالات!$C$2:$C$501,A193)+SUMIFS('تعديل الجرد'!$F$2:$F$501,'تعديل الجرد'!$C$2:$C$501,A193)-SUMIFS('الصرف المباشر'!$D$2:$D$501,'الصرف المباشر'!$C$2:$C$501,A193)-SUMPRODUCT((الطبخات!$B$2:$B$900=A193)*الطبخات!$C$2:$C$900*COUNTIF('سجل الإنتاج'!$C$2:$C$501,الطبخات!$A$2:$A$900)),3))</f>
        <v/>
      </c>
      <c r="D193" s="11"/>
    </row>
    <row r="194" spans="1:4" ht="24" customHeight="1">
      <c r="A194" s="11"/>
      <c r="B194" s="12"/>
      <c r="C194" s="13" t="str">
        <f>IF(A194="","",ROUND(SUMIFS(الإدخالات!$D$2:$D$501,الإدخالات!$C$2:$C$501,A194)+SUMIFS('تعديل الجرد'!$F$2:$F$501,'تعديل الجرد'!$C$2:$C$501,A194)-SUMIFS('الصرف المباشر'!$D$2:$D$501,'الصرف المباشر'!$C$2:$C$501,A194)-SUMPRODUCT((الطبخات!$B$2:$B$900=A194)*الطبخات!$C$2:$C$900*COUNTIF('سجل الإنتاج'!$C$2:$C$501,الطبخات!$A$2:$A$900)),3))</f>
        <v/>
      </c>
      <c r="D194" s="11"/>
    </row>
    <row r="195" spans="1:4" ht="24" customHeight="1">
      <c r="A195" s="11"/>
      <c r="B195" s="12"/>
      <c r="C195" s="13" t="str">
        <f>IF(A195="","",ROUND(SUMIFS(الإدخالات!$D$2:$D$501,الإدخالات!$C$2:$C$501,A195)+SUMIFS('تعديل الجرد'!$F$2:$F$501,'تعديل الجرد'!$C$2:$C$501,A195)-SUMIFS('الصرف المباشر'!$D$2:$D$501,'الصرف المباشر'!$C$2:$C$501,A195)-SUMPRODUCT((الطبخات!$B$2:$B$900=A195)*الطبخات!$C$2:$C$900*COUNTIF('سجل الإنتاج'!$C$2:$C$501,الطبخات!$A$2:$A$900)),3))</f>
        <v/>
      </c>
      <c r="D195" s="11"/>
    </row>
    <row r="196" spans="1:4" ht="24" customHeight="1">
      <c r="A196" s="11"/>
      <c r="B196" s="12"/>
      <c r="C196" s="13" t="str">
        <f>IF(A196="","",ROUND(SUMIFS(الإدخالات!$D$2:$D$501,الإدخالات!$C$2:$C$501,A196)+SUMIFS('تعديل الجرد'!$F$2:$F$501,'تعديل الجرد'!$C$2:$C$501,A196)-SUMIFS('الصرف المباشر'!$D$2:$D$501,'الصرف المباشر'!$C$2:$C$501,A196)-SUMPRODUCT((الطبخات!$B$2:$B$900=A196)*الطبخات!$C$2:$C$900*COUNTIF('سجل الإنتاج'!$C$2:$C$501,الطبخات!$A$2:$A$900)),3))</f>
        <v/>
      </c>
      <c r="D196" s="11"/>
    </row>
    <row r="197" spans="1:4" ht="24" customHeight="1">
      <c r="A197" s="11"/>
      <c r="B197" s="12"/>
      <c r="C197" s="13" t="str">
        <f>IF(A197="","",ROUND(SUMIFS(الإدخالات!$D$2:$D$501,الإدخالات!$C$2:$C$501,A197)+SUMIFS('تعديل الجرد'!$F$2:$F$501,'تعديل الجرد'!$C$2:$C$501,A197)-SUMIFS('الصرف المباشر'!$D$2:$D$501,'الصرف المباشر'!$C$2:$C$501,A197)-SUMPRODUCT((الطبخات!$B$2:$B$900=A197)*الطبخات!$C$2:$C$900*COUNTIF('سجل الإنتاج'!$C$2:$C$501,الطبخات!$A$2:$A$900)),3))</f>
        <v/>
      </c>
      <c r="D197" s="11"/>
    </row>
    <row r="198" spans="1:4" ht="24" customHeight="1">
      <c r="A198" s="11"/>
      <c r="B198" s="12"/>
      <c r="C198" s="13" t="str">
        <f>IF(A198="","",ROUND(SUMIFS(الإدخالات!$D$2:$D$501,الإدخالات!$C$2:$C$501,A198)+SUMIFS('تعديل الجرد'!$F$2:$F$501,'تعديل الجرد'!$C$2:$C$501,A198)-SUMIFS('الصرف المباشر'!$D$2:$D$501,'الصرف المباشر'!$C$2:$C$501,A198)-SUMPRODUCT((الطبخات!$B$2:$B$900=A198)*الطبخات!$C$2:$C$900*COUNTIF('سجل الإنتاج'!$C$2:$C$501,الطبخات!$A$2:$A$900)),3))</f>
        <v/>
      </c>
      <c r="D198" s="11"/>
    </row>
    <row r="199" spans="1:4" ht="24" customHeight="1">
      <c r="A199" s="11"/>
      <c r="B199" s="12"/>
      <c r="C199" s="13" t="str">
        <f>IF(A199="","",ROUND(SUMIFS(الإدخالات!$D$2:$D$501,الإدخالات!$C$2:$C$501,A199)+SUMIFS('تعديل الجرد'!$F$2:$F$501,'تعديل الجرد'!$C$2:$C$501,A199)-SUMIFS('الصرف المباشر'!$D$2:$D$501,'الصرف المباشر'!$C$2:$C$501,A199)-SUMPRODUCT((الطبخات!$B$2:$B$900=A199)*الطبخات!$C$2:$C$900*COUNTIF('سجل الإنتاج'!$C$2:$C$501,الطبخات!$A$2:$A$900)),3))</f>
        <v/>
      </c>
      <c r="D199" s="11"/>
    </row>
    <row r="200" spans="1:4" ht="24" customHeight="1">
      <c r="A200" s="11"/>
      <c r="B200" s="12"/>
      <c r="C200" s="13" t="str">
        <f>IF(A200="","",ROUND(SUMIFS(الإدخالات!$D$2:$D$501,الإدخالات!$C$2:$C$501,A200)+SUMIFS('تعديل الجرد'!$F$2:$F$501,'تعديل الجرد'!$C$2:$C$501,A200)-SUMIFS('الصرف المباشر'!$D$2:$D$501,'الصرف المباشر'!$C$2:$C$501,A200)-SUMPRODUCT((الطبخات!$B$2:$B$900=A200)*الطبخات!$C$2:$C$900*COUNTIF('سجل الإنتاج'!$C$2:$C$501,الطبخات!$A$2:$A$900)),3))</f>
        <v/>
      </c>
      <c r="D200" s="11"/>
    </row>
    <row r="201" spans="1:4" ht="24" customHeight="1">
      <c r="A201" s="11"/>
      <c r="B201" s="12"/>
      <c r="C201" s="13" t="str">
        <f>IF(A201="","",ROUND(SUMIFS(الإدخالات!$D$2:$D$501,الإدخالات!$C$2:$C$501,A201)+SUMIFS('تعديل الجرد'!$F$2:$F$501,'تعديل الجرد'!$C$2:$C$501,A201)-SUMIFS('الصرف المباشر'!$D$2:$D$501,'الصرف المباشر'!$C$2:$C$501,A201)-SUMPRODUCT((الطبخات!$B$2:$B$900=A201)*الطبخات!$C$2:$C$900*COUNTIF('سجل الإنتاج'!$C$2:$C$501,الطبخات!$A$2:$A$900)),3))</f>
        <v/>
      </c>
      <c r="D201" s="11"/>
    </row>
    <row r="202" spans="1:4" ht="24" customHeight="1">
      <c r="A202" s="11"/>
      <c r="B202" s="12"/>
      <c r="C202" s="13" t="str">
        <f>IF(A202="","",ROUND(SUMIFS(الإدخالات!$D$2:$D$501,الإدخالات!$C$2:$C$501,A202)+SUMIFS('تعديل الجرد'!$F$2:$F$501,'تعديل الجرد'!$C$2:$C$501,A202)-SUMIFS('الصرف المباشر'!$D$2:$D$501,'الصرف المباشر'!$C$2:$C$501,A202)-SUMPRODUCT((الطبخات!$B$2:$B$900=A202)*الطبخات!$C$2:$C$900*COUNTIF('سجل الإنتاج'!$C$2:$C$501,الطبخات!$A$2:$A$900)),3))</f>
        <v/>
      </c>
      <c r="D202" s="11"/>
    </row>
    <row r="203" spans="1:4" ht="24" customHeight="1">
      <c r="A203" s="11"/>
      <c r="B203" s="12"/>
      <c r="C203" s="13" t="str">
        <f>IF(A203="","",ROUND(SUMIFS(الإدخالات!$D$2:$D$501,الإدخالات!$C$2:$C$501,A203)+SUMIFS('تعديل الجرد'!$F$2:$F$501,'تعديل الجرد'!$C$2:$C$501,A203)-SUMIFS('الصرف المباشر'!$D$2:$D$501,'الصرف المباشر'!$C$2:$C$501,A203)-SUMPRODUCT((الطبخات!$B$2:$B$900=A203)*الطبخات!$C$2:$C$900*COUNTIF('سجل الإنتاج'!$C$2:$C$501,الطبخات!$A$2:$A$900)),3))</f>
        <v/>
      </c>
      <c r="D203" s="11"/>
    </row>
    <row r="204" spans="1:4" ht="24" customHeight="1">
      <c r="A204" s="11"/>
      <c r="B204" s="12"/>
      <c r="C204" s="13" t="str">
        <f>IF(A204="","",ROUND(SUMIFS(الإدخالات!$D$2:$D$501,الإدخالات!$C$2:$C$501,A204)+SUMIFS('تعديل الجرد'!$F$2:$F$501,'تعديل الجرد'!$C$2:$C$501,A204)-SUMIFS('الصرف المباشر'!$D$2:$D$501,'الصرف المباشر'!$C$2:$C$501,A204)-SUMPRODUCT((الطبخات!$B$2:$B$900=A204)*الطبخات!$C$2:$C$900*COUNTIF('سجل الإنتاج'!$C$2:$C$501,الطبخات!$A$2:$A$900)),3))</f>
        <v/>
      </c>
      <c r="D204" s="11"/>
    </row>
    <row r="205" spans="1:4" ht="24" customHeight="1">
      <c r="A205" s="11"/>
      <c r="B205" s="12"/>
      <c r="C205" s="13" t="str">
        <f>IF(A205="","",ROUND(SUMIFS(الإدخالات!$D$2:$D$501,الإدخالات!$C$2:$C$501,A205)+SUMIFS('تعديل الجرد'!$F$2:$F$501,'تعديل الجرد'!$C$2:$C$501,A205)-SUMIFS('الصرف المباشر'!$D$2:$D$501,'الصرف المباشر'!$C$2:$C$501,A205)-SUMPRODUCT((الطبخات!$B$2:$B$900=A205)*الطبخات!$C$2:$C$900*COUNTIF('سجل الإنتاج'!$C$2:$C$501,الطبخات!$A$2:$A$900)),3))</f>
        <v/>
      </c>
      <c r="D205" s="11"/>
    </row>
    <row r="206" spans="1:4" ht="24" customHeight="1">
      <c r="A206" s="11"/>
      <c r="B206" s="12"/>
      <c r="C206" s="13" t="str">
        <f>IF(A206="","",ROUND(SUMIFS(الإدخالات!$D$2:$D$501,الإدخالات!$C$2:$C$501,A206)+SUMIFS('تعديل الجرد'!$F$2:$F$501,'تعديل الجرد'!$C$2:$C$501,A206)-SUMIFS('الصرف المباشر'!$D$2:$D$501,'الصرف المباشر'!$C$2:$C$501,A206)-SUMPRODUCT((الطبخات!$B$2:$B$900=A206)*الطبخات!$C$2:$C$900*COUNTIF('سجل الإنتاج'!$C$2:$C$501,الطبخات!$A$2:$A$900)),3))</f>
        <v/>
      </c>
      <c r="D206" s="11"/>
    </row>
    <row r="207" spans="1:4" ht="24" customHeight="1">
      <c r="A207" s="11"/>
      <c r="B207" s="12"/>
      <c r="C207" s="13" t="str">
        <f>IF(A207="","",ROUND(SUMIFS(الإدخالات!$D$2:$D$501,الإدخالات!$C$2:$C$501,A207)+SUMIFS('تعديل الجرد'!$F$2:$F$501,'تعديل الجرد'!$C$2:$C$501,A207)-SUMIFS('الصرف المباشر'!$D$2:$D$501,'الصرف المباشر'!$C$2:$C$501,A207)-SUMPRODUCT((الطبخات!$B$2:$B$900=A207)*الطبخات!$C$2:$C$900*COUNTIF('سجل الإنتاج'!$C$2:$C$501,الطبخات!$A$2:$A$900)),3))</f>
        <v/>
      </c>
      <c r="D207" s="11"/>
    </row>
    <row r="208" spans="1:4" ht="24" customHeight="1">
      <c r="A208" s="11"/>
      <c r="B208" s="12"/>
      <c r="C208" s="13" t="str">
        <f>IF(A208="","",ROUND(SUMIFS(الإدخالات!$D$2:$D$501,الإدخالات!$C$2:$C$501,A208)+SUMIFS('تعديل الجرد'!$F$2:$F$501,'تعديل الجرد'!$C$2:$C$501,A208)-SUMIFS('الصرف المباشر'!$D$2:$D$501,'الصرف المباشر'!$C$2:$C$501,A208)-SUMPRODUCT((الطبخات!$B$2:$B$900=A208)*الطبخات!$C$2:$C$900*COUNTIF('سجل الإنتاج'!$C$2:$C$501,الطبخات!$A$2:$A$900)),3))</f>
        <v/>
      </c>
      <c r="D208" s="11"/>
    </row>
    <row r="209" spans="1:4" ht="24" customHeight="1">
      <c r="A209" s="11"/>
      <c r="B209" s="12"/>
      <c r="C209" s="13" t="str">
        <f>IF(A209="","",ROUND(SUMIFS(الإدخالات!$D$2:$D$501,الإدخالات!$C$2:$C$501,A209)+SUMIFS('تعديل الجرد'!$F$2:$F$501,'تعديل الجرد'!$C$2:$C$501,A209)-SUMIFS('الصرف المباشر'!$D$2:$D$501,'الصرف المباشر'!$C$2:$C$501,A209)-SUMPRODUCT((الطبخات!$B$2:$B$900=A209)*الطبخات!$C$2:$C$900*COUNTIF('سجل الإنتاج'!$C$2:$C$501,الطبخات!$A$2:$A$900)),3))</f>
        <v/>
      </c>
      <c r="D209" s="11"/>
    </row>
    <row r="210" spans="1:4" ht="24" customHeight="1">
      <c r="A210" s="11"/>
      <c r="B210" s="12"/>
      <c r="C210" s="13" t="str">
        <f>IF(A210="","",ROUND(SUMIFS(الإدخالات!$D$2:$D$501,الإدخالات!$C$2:$C$501,A210)+SUMIFS('تعديل الجرد'!$F$2:$F$501,'تعديل الجرد'!$C$2:$C$501,A210)-SUMIFS('الصرف المباشر'!$D$2:$D$501,'الصرف المباشر'!$C$2:$C$501,A210)-SUMPRODUCT((الطبخات!$B$2:$B$900=A210)*الطبخات!$C$2:$C$900*COUNTIF('سجل الإنتاج'!$C$2:$C$501,الطبخات!$A$2:$A$900)),3))</f>
        <v/>
      </c>
      <c r="D210" s="11"/>
    </row>
    <row r="211" spans="1:4" ht="24" customHeight="1">
      <c r="A211" s="11"/>
      <c r="B211" s="12"/>
      <c r="C211" s="13" t="str">
        <f>IF(A211="","",ROUND(SUMIFS(الإدخالات!$D$2:$D$501,الإدخالات!$C$2:$C$501,A211)+SUMIFS('تعديل الجرد'!$F$2:$F$501,'تعديل الجرد'!$C$2:$C$501,A211)-SUMIFS('الصرف المباشر'!$D$2:$D$501,'الصرف المباشر'!$C$2:$C$501,A211)-SUMPRODUCT((الطبخات!$B$2:$B$900=A211)*الطبخات!$C$2:$C$900*COUNTIF('سجل الإنتاج'!$C$2:$C$501,الطبخات!$A$2:$A$900)),3))</f>
        <v/>
      </c>
      <c r="D211" s="11"/>
    </row>
    <row r="212" spans="1:4" ht="24" customHeight="1">
      <c r="A212" s="11"/>
      <c r="B212" s="12"/>
      <c r="C212" s="13" t="str">
        <f>IF(A212="","",ROUND(SUMIFS(الإدخالات!$D$2:$D$501,الإدخالات!$C$2:$C$501,A212)+SUMIFS('تعديل الجرد'!$F$2:$F$501,'تعديل الجرد'!$C$2:$C$501,A212)-SUMIFS('الصرف المباشر'!$D$2:$D$501,'الصرف المباشر'!$C$2:$C$501,A212)-SUMPRODUCT((الطبخات!$B$2:$B$900=A212)*الطبخات!$C$2:$C$900*COUNTIF('سجل الإنتاج'!$C$2:$C$501,الطبخات!$A$2:$A$900)),3))</f>
        <v/>
      </c>
      <c r="D212" s="11"/>
    </row>
    <row r="213" spans="1:4" ht="24" customHeight="1">
      <c r="A213" s="11"/>
      <c r="B213" s="12"/>
      <c r="C213" s="13" t="str">
        <f>IF(A213="","",ROUND(SUMIFS(الإدخالات!$D$2:$D$501,الإدخالات!$C$2:$C$501,A213)+SUMIFS('تعديل الجرد'!$F$2:$F$501,'تعديل الجرد'!$C$2:$C$501,A213)-SUMIFS('الصرف المباشر'!$D$2:$D$501,'الصرف المباشر'!$C$2:$C$501,A213)-SUMPRODUCT((الطبخات!$B$2:$B$900=A213)*الطبخات!$C$2:$C$900*COUNTIF('سجل الإنتاج'!$C$2:$C$501,الطبخات!$A$2:$A$900)),3))</f>
        <v/>
      </c>
      <c r="D213" s="11"/>
    </row>
    <row r="214" spans="1:4" ht="24" customHeight="1">
      <c r="A214" s="11"/>
      <c r="B214" s="12"/>
      <c r="C214" s="13" t="str">
        <f>IF(A214="","",ROUND(SUMIFS(الإدخالات!$D$2:$D$501,الإدخالات!$C$2:$C$501,A214)+SUMIFS('تعديل الجرد'!$F$2:$F$501,'تعديل الجرد'!$C$2:$C$501,A214)-SUMIFS('الصرف المباشر'!$D$2:$D$501,'الصرف المباشر'!$C$2:$C$501,A214)-SUMPRODUCT((الطبخات!$B$2:$B$900=A214)*الطبخات!$C$2:$C$900*COUNTIF('سجل الإنتاج'!$C$2:$C$501,الطبخات!$A$2:$A$900)),3))</f>
        <v/>
      </c>
      <c r="D214" s="11"/>
    </row>
    <row r="215" spans="1:4" ht="24" customHeight="1">
      <c r="A215" s="11"/>
      <c r="B215" s="12"/>
      <c r="C215" s="13" t="str">
        <f>IF(A215="","",ROUND(SUMIFS(الإدخالات!$D$2:$D$501,الإدخالات!$C$2:$C$501,A215)+SUMIFS('تعديل الجرد'!$F$2:$F$501,'تعديل الجرد'!$C$2:$C$501,A215)-SUMIFS('الصرف المباشر'!$D$2:$D$501,'الصرف المباشر'!$C$2:$C$501,A215)-SUMPRODUCT((الطبخات!$B$2:$B$900=A215)*الطبخات!$C$2:$C$900*COUNTIF('سجل الإنتاج'!$C$2:$C$501,الطبخات!$A$2:$A$900)),3))</f>
        <v/>
      </c>
      <c r="D215" s="11"/>
    </row>
    <row r="216" spans="1:4" ht="24" customHeight="1">
      <c r="A216" s="11"/>
      <c r="B216" s="12"/>
      <c r="C216" s="13" t="str">
        <f>IF(A216="","",ROUND(SUMIFS(الإدخالات!$D$2:$D$501,الإدخالات!$C$2:$C$501,A216)+SUMIFS('تعديل الجرد'!$F$2:$F$501,'تعديل الجرد'!$C$2:$C$501,A216)-SUMIFS('الصرف المباشر'!$D$2:$D$501,'الصرف المباشر'!$C$2:$C$501,A216)-SUMPRODUCT((الطبخات!$B$2:$B$900=A216)*الطبخات!$C$2:$C$900*COUNTIF('سجل الإنتاج'!$C$2:$C$501,الطبخات!$A$2:$A$900)),3))</f>
        <v/>
      </c>
      <c r="D216" s="11"/>
    </row>
    <row r="217" spans="1:4" ht="24" customHeight="1">
      <c r="A217" s="11"/>
      <c r="B217" s="12"/>
      <c r="C217" s="13" t="str">
        <f>IF(A217="","",ROUND(SUMIFS(الإدخالات!$D$2:$D$501,الإدخالات!$C$2:$C$501,A217)+SUMIFS('تعديل الجرد'!$F$2:$F$501,'تعديل الجرد'!$C$2:$C$501,A217)-SUMIFS('الصرف المباشر'!$D$2:$D$501,'الصرف المباشر'!$C$2:$C$501,A217)-SUMPRODUCT((الطبخات!$B$2:$B$900=A217)*الطبخات!$C$2:$C$900*COUNTIF('سجل الإنتاج'!$C$2:$C$501,الطبخات!$A$2:$A$900)),3))</f>
        <v/>
      </c>
      <c r="D217" s="11"/>
    </row>
    <row r="218" spans="1:4" ht="24" customHeight="1">
      <c r="A218" s="11"/>
      <c r="B218" s="12"/>
      <c r="C218" s="13" t="str">
        <f>IF(A218="","",ROUND(SUMIFS(الإدخالات!$D$2:$D$501,الإدخالات!$C$2:$C$501,A218)+SUMIFS('تعديل الجرد'!$F$2:$F$501,'تعديل الجرد'!$C$2:$C$501,A218)-SUMIFS('الصرف المباشر'!$D$2:$D$501,'الصرف المباشر'!$C$2:$C$501,A218)-SUMPRODUCT((الطبخات!$B$2:$B$900=A218)*الطبخات!$C$2:$C$900*COUNTIF('سجل الإنتاج'!$C$2:$C$501,الطبخات!$A$2:$A$900)),3))</f>
        <v/>
      </c>
      <c r="D218" s="11"/>
    </row>
    <row r="219" spans="1:4" ht="24" customHeight="1">
      <c r="A219" s="11"/>
      <c r="B219" s="12"/>
      <c r="C219" s="13" t="str">
        <f>IF(A219="","",ROUND(SUMIFS(الإدخالات!$D$2:$D$501,الإدخالات!$C$2:$C$501,A219)+SUMIFS('تعديل الجرد'!$F$2:$F$501,'تعديل الجرد'!$C$2:$C$501,A219)-SUMIFS('الصرف المباشر'!$D$2:$D$501,'الصرف المباشر'!$C$2:$C$501,A219)-SUMPRODUCT((الطبخات!$B$2:$B$900=A219)*الطبخات!$C$2:$C$900*COUNTIF('سجل الإنتاج'!$C$2:$C$501,الطبخات!$A$2:$A$900)),3))</f>
        <v/>
      </c>
      <c r="D219" s="11"/>
    </row>
    <row r="220" spans="1:4" ht="24" customHeight="1">
      <c r="A220" s="11"/>
      <c r="B220" s="12"/>
      <c r="C220" s="13" t="str">
        <f>IF(A220="","",ROUND(SUMIFS(الإدخالات!$D$2:$D$501,الإدخالات!$C$2:$C$501,A220)+SUMIFS('تعديل الجرد'!$F$2:$F$501,'تعديل الجرد'!$C$2:$C$501,A220)-SUMIFS('الصرف المباشر'!$D$2:$D$501,'الصرف المباشر'!$C$2:$C$501,A220)-SUMPRODUCT((الطبخات!$B$2:$B$900=A220)*الطبخات!$C$2:$C$900*COUNTIF('سجل الإنتاج'!$C$2:$C$501,الطبخات!$A$2:$A$900)),3))</f>
        <v/>
      </c>
      <c r="D220" s="11"/>
    </row>
    <row r="221" spans="1:4" ht="24" customHeight="1">
      <c r="A221" s="11"/>
      <c r="B221" s="12" t="s">
        <v>80</v>
      </c>
      <c r="C221" s="13" t="str">
        <f>IF(A221="","",ROUND(SUMIFS(الإدخالات!$D$2:$D$501,الإدخالات!$C$2:$C$501,A221)+SUMIFS('تعديل الجرد'!$F$2:$F$501,'تعديل الجرد'!$C$2:$C$501,A221)-SUMIFS('الصرف المباشر'!$D$2:$D$501,'الصرف المباشر'!$C$2:$C$501,A221)-SUMPRODUCT((الطبخات!$B$2:$B$900=A221)*الطبخات!$C$2:$C$900*COUNTIF('سجل الإنتاج'!$C$2:$C$501,الطبخات!$A$2:$A$900)),3))</f>
        <v/>
      </c>
      <c r="D221" s="11"/>
    </row>
    <row r="222" spans="1:4" ht="24" customHeight="1">
      <c r="A222" s="11"/>
      <c r="B222" s="12"/>
      <c r="C222" s="13" t="str">
        <f>IF(A222="","",ROUND(SUMIFS(الإدخالات!$D$2:$D$501,الإدخالات!$C$2:$C$501,A222)+SUMIFS('تعديل الجرد'!$F$2:$F$501,'تعديل الجرد'!$C$2:$C$501,A222)-SUMIFS('الصرف المباشر'!$D$2:$D$501,'الصرف المباشر'!$C$2:$C$501,A222)-SUMPRODUCT((الطبخات!$B$2:$B$900=A222)*الطبخات!$C$2:$C$900*COUNTIF('سجل الإنتاج'!$C$2:$C$501,الطبخات!$A$2:$A$900)),3))</f>
        <v/>
      </c>
      <c r="D222" s="11"/>
    </row>
    <row r="223" spans="1:4" ht="24" customHeight="1">
      <c r="A223" s="11"/>
      <c r="B223" s="12"/>
      <c r="C223" s="13" t="str">
        <f>IF(A223="","",ROUND(SUMIFS(الإدخالات!$D$2:$D$501,الإدخالات!$C$2:$C$501,A223)+SUMIFS('تعديل الجرد'!$F$2:$F$501,'تعديل الجرد'!$C$2:$C$501,A223)-SUMIFS('الصرف المباشر'!$D$2:$D$501,'الصرف المباشر'!$C$2:$C$501,A223)-SUMPRODUCT((الطبخات!$B$2:$B$900=A223)*الطبخات!$C$2:$C$900*COUNTIF('سجل الإنتاج'!$C$2:$C$501,الطبخات!$A$2:$A$900)),3))</f>
        <v/>
      </c>
      <c r="D223" s="11"/>
    </row>
    <row r="224" spans="1:4" ht="24" customHeight="1">
      <c r="A224" s="11"/>
      <c r="B224" s="12"/>
      <c r="C224" s="13" t="str">
        <f>IF(A224="","",ROUND(SUMIFS(الإدخالات!$D$2:$D$501,الإدخالات!$C$2:$C$501,A224)+SUMIFS('تعديل الجرد'!$F$2:$F$501,'تعديل الجرد'!$C$2:$C$501,A224)-SUMIFS('الصرف المباشر'!$D$2:$D$501,'الصرف المباشر'!$C$2:$C$501,A224)-SUMPRODUCT((الطبخات!$B$2:$B$900=A224)*الطبخات!$C$2:$C$900*COUNTIF('سجل الإنتاج'!$C$2:$C$501,الطبخات!$A$2:$A$900)),3))</f>
        <v/>
      </c>
      <c r="D224" s="11"/>
    </row>
    <row r="225" spans="1:4" ht="24" customHeight="1">
      <c r="A225" s="11"/>
      <c r="B225" s="12"/>
      <c r="C225" s="13" t="str">
        <f>IF(A225="","",ROUND(SUMIFS(الإدخالات!$D$2:$D$501,الإدخالات!$C$2:$C$501,A225)+SUMIFS('تعديل الجرد'!$F$2:$F$501,'تعديل الجرد'!$C$2:$C$501,A225)-SUMIFS('الصرف المباشر'!$D$2:$D$501,'الصرف المباشر'!$C$2:$C$501,A225)-SUMPRODUCT((الطبخات!$B$2:$B$900=A225)*الطبخات!$C$2:$C$900*COUNTIF('سجل الإنتاج'!$C$2:$C$501,الطبخات!$A$2:$A$900)),3))</f>
        <v/>
      </c>
      <c r="D225" s="11"/>
    </row>
    <row r="226" spans="1:4" ht="24" customHeight="1">
      <c r="A226" s="11"/>
      <c r="B226" s="12"/>
      <c r="C226" s="13" t="str">
        <f>IF(A226="","",ROUND(SUMIFS(الإدخالات!$D$2:$D$501,الإدخالات!$C$2:$C$501,A226)+SUMIFS('تعديل الجرد'!$F$2:$F$501,'تعديل الجرد'!$C$2:$C$501,A226)-SUMIFS('الصرف المباشر'!$D$2:$D$501,'الصرف المباشر'!$C$2:$C$501,A226)-SUMPRODUCT((الطبخات!$B$2:$B$900=A226)*الطبخات!$C$2:$C$900*COUNTIF('سجل الإنتاج'!$C$2:$C$501,الطبخات!$A$2:$A$900)),3))</f>
        <v/>
      </c>
      <c r="D226" s="11"/>
    </row>
    <row r="227" spans="1:4" ht="24" customHeight="1">
      <c r="A227" s="11"/>
      <c r="B227" s="12"/>
      <c r="C227" s="13" t="str">
        <f>IF(A227="","",ROUND(SUMIFS(الإدخالات!$D$2:$D$501,الإدخالات!$C$2:$C$501,A227)+SUMIFS('تعديل الجرد'!$F$2:$F$501,'تعديل الجرد'!$C$2:$C$501,A227)-SUMIFS('الصرف المباشر'!$D$2:$D$501,'الصرف المباشر'!$C$2:$C$501,A227)-SUMPRODUCT((الطبخات!$B$2:$B$900=A227)*الطبخات!$C$2:$C$900*COUNTIF('سجل الإنتاج'!$C$2:$C$501,الطبخات!$A$2:$A$900)),3))</f>
        <v/>
      </c>
      <c r="D227" s="11"/>
    </row>
    <row r="228" spans="1:4" ht="24" customHeight="1">
      <c r="A228" s="11"/>
      <c r="B228" s="12"/>
      <c r="C228" s="13" t="str">
        <f>IF(A228="","",ROUND(SUMIFS(الإدخالات!$D$2:$D$501,الإدخالات!$C$2:$C$501,A228)+SUMIFS('تعديل الجرد'!$F$2:$F$501,'تعديل الجرد'!$C$2:$C$501,A228)-SUMIFS('الصرف المباشر'!$D$2:$D$501,'الصرف المباشر'!$C$2:$C$501,A228)-SUMPRODUCT((الطبخات!$B$2:$B$900=A228)*الطبخات!$C$2:$C$900*COUNTIF('سجل الإنتاج'!$C$2:$C$501,الطبخات!$A$2:$A$900)),3))</f>
        <v/>
      </c>
      <c r="D228" s="11"/>
    </row>
    <row r="229" spans="1:4" ht="24" customHeight="1">
      <c r="A229" s="11"/>
      <c r="B229" s="12"/>
      <c r="C229" s="13" t="str">
        <f>IF(A229="","",ROUND(SUMIFS(الإدخالات!$D$2:$D$501,الإدخالات!$C$2:$C$501,A229)+SUMIFS('تعديل الجرد'!$F$2:$F$501,'تعديل الجرد'!$C$2:$C$501,A229)-SUMIFS('الصرف المباشر'!$D$2:$D$501,'الصرف المباشر'!$C$2:$C$501,A229)-SUMPRODUCT((الطبخات!$B$2:$B$900=A229)*الطبخات!$C$2:$C$900*COUNTIF('سجل الإنتاج'!$C$2:$C$501,الطبخات!$A$2:$A$900)),3))</f>
        <v/>
      </c>
      <c r="D229" s="11"/>
    </row>
    <row r="230" spans="1:4" ht="24" customHeight="1">
      <c r="A230" s="11"/>
      <c r="B230" s="12"/>
      <c r="C230" s="13" t="str">
        <f>IF(A230="","",ROUND(SUMIFS(الإدخالات!$D$2:$D$501,الإدخالات!$C$2:$C$501,A230)+SUMIFS('تعديل الجرد'!$F$2:$F$501,'تعديل الجرد'!$C$2:$C$501,A230)-SUMIFS('الصرف المباشر'!$D$2:$D$501,'الصرف المباشر'!$C$2:$C$501,A230)-SUMPRODUCT((الطبخات!$B$2:$B$900=A230)*الطبخات!$C$2:$C$900*COUNTIF('سجل الإنتاج'!$C$2:$C$501,الطبخات!$A$2:$A$900)),3))</f>
        <v/>
      </c>
      <c r="D230" s="11"/>
    </row>
    <row r="231" spans="1:4" ht="24" customHeight="1">
      <c r="A231" s="11"/>
      <c r="B231" s="12"/>
      <c r="C231" s="13" t="str">
        <f>IF(A231="","",ROUND(SUMIFS(الإدخالات!$D$2:$D$501,الإدخالات!$C$2:$C$501,A231)+SUMIFS('تعديل الجرد'!$F$2:$F$501,'تعديل الجرد'!$C$2:$C$501,A231)-SUMIFS('الصرف المباشر'!$D$2:$D$501,'الصرف المباشر'!$C$2:$C$501,A231)-SUMPRODUCT((الطبخات!$B$2:$B$900=A231)*الطبخات!$C$2:$C$900*COUNTIF('سجل الإنتاج'!$C$2:$C$501,الطبخات!$A$2:$A$900)),3))</f>
        <v/>
      </c>
      <c r="D231" s="11"/>
    </row>
    <row r="232" spans="1:4" ht="24" customHeight="1">
      <c r="A232" s="11"/>
      <c r="B232" s="12" t="s">
        <v>80</v>
      </c>
      <c r="C232" s="13" t="str">
        <f>IF(A232="","",ROUND(SUMIFS(الإدخالات!$D$2:$D$501,الإدخالات!$C$2:$C$501,A232)+SUMIFS('تعديل الجرد'!$F$2:$F$501,'تعديل الجرد'!$C$2:$C$501,A232)-SUMIFS('الصرف المباشر'!$D$2:$D$501,'الصرف المباشر'!$C$2:$C$501,A232)-SUMPRODUCT((الطبخات!$B$2:$B$900=A232)*الطبخات!$C$2:$C$900*COUNTIF('سجل الإنتاج'!$C$2:$C$501,الطبخات!$A$2:$A$900)),3))</f>
        <v/>
      </c>
      <c r="D232" s="11"/>
    </row>
    <row r="233" spans="1:4" ht="24" customHeight="1">
      <c r="A233" s="11"/>
      <c r="B233" s="12"/>
      <c r="C233" s="13" t="str">
        <f>IF(A233="","",ROUND(SUMIFS(الإدخالات!$D$2:$D$501,الإدخالات!$C$2:$C$501,A233)+SUMIFS('تعديل الجرد'!$F$2:$F$501,'تعديل الجرد'!$C$2:$C$501,A233)-SUMIFS('الصرف المباشر'!$D$2:$D$501,'الصرف المباشر'!$C$2:$C$501,A233)-SUMPRODUCT((الطبخات!$B$2:$B$900=A233)*الطبخات!$C$2:$C$900*COUNTIF('سجل الإنتاج'!$C$2:$C$501,الطبخات!$A$2:$A$900)),3))</f>
        <v/>
      </c>
      <c r="D233" s="11"/>
    </row>
    <row r="234" spans="1:4" ht="24" customHeight="1">
      <c r="A234" s="11"/>
      <c r="B234" s="12"/>
      <c r="C234" s="13" t="str">
        <f>IF(A234="","",ROUND(SUMIFS(الإدخالات!$D$2:$D$501,الإدخالات!$C$2:$C$501,A234)+SUMIFS('تعديل الجرد'!$F$2:$F$501,'تعديل الجرد'!$C$2:$C$501,A234)-SUMIFS('الصرف المباشر'!$D$2:$D$501,'الصرف المباشر'!$C$2:$C$501,A234)-SUMPRODUCT((الطبخات!$B$2:$B$900=A234)*الطبخات!$C$2:$C$900*COUNTIF('سجل الإنتاج'!$C$2:$C$501,الطبخات!$A$2:$A$900)),3))</f>
        <v/>
      </c>
      <c r="D234" s="11"/>
    </row>
    <row r="235" spans="1:4" ht="24" customHeight="1">
      <c r="A235" s="11"/>
      <c r="B235" s="12"/>
      <c r="C235" s="13" t="str">
        <f>IF(A235="","",ROUND(SUMIFS(الإدخالات!$D$2:$D$501,الإدخالات!$C$2:$C$501,A235)+SUMIFS('تعديل الجرد'!$F$2:$F$501,'تعديل الجرد'!$C$2:$C$501,A235)-SUMIFS('الصرف المباشر'!$D$2:$D$501,'الصرف المباشر'!$C$2:$C$501,A235)-SUMPRODUCT((الطبخات!$B$2:$B$900=A235)*الطبخات!$C$2:$C$900*COUNTIF('سجل الإنتاج'!$C$2:$C$501,الطبخات!$A$2:$A$900)),3))</f>
        <v/>
      </c>
      <c r="D235" s="11"/>
    </row>
    <row r="236" spans="1:4" ht="24" customHeight="1">
      <c r="A236" s="11"/>
      <c r="B236" s="12"/>
      <c r="C236" s="13" t="str">
        <f>IF(A236="","",ROUND(SUMIFS(الإدخالات!$D$2:$D$501,الإدخالات!$C$2:$C$501,A236)+SUMIFS('تعديل الجرد'!$F$2:$F$501,'تعديل الجرد'!$C$2:$C$501,A236)-SUMIFS('الصرف المباشر'!$D$2:$D$501,'الصرف المباشر'!$C$2:$C$501,A236)-SUMPRODUCT((الطبخات!$B$2:$B$900=A236)*الطبخات!$C$2:$C$900*COUNTIF('سجل الإنتاج'!$C$2:$C$501,الطبخات!$A$2:$A$900)),3))</f>
        <v/>
      </c>
      <c r="D236" s="11"/>
    </row>
    <row r="237" spans="1:4" ht="24" customHeight="1">
      <c r="A237" s="11"/>
      <c r="B237" s="12"/>
      <c r="C237" s="13" t="str">
        <f>IF(A237="","",ROUND(SUMIFS(الإدخالات!$D$2:$D$501,الإدخالات!$C$2:$C$501,A237)+SUMIFS('تعديل الجرد'!$F$2:$F$501,'تعديل الجرد'!$C$2:$C$501,A237)-SUMIFS('الصرف المباشر'!$D$2:$D$501,'الصرف المباشر'!$C$2:$C$501,A237)-SUMPRODUCT((الطبخات!$B$2:$B$900=A237)*الطبخات!$C$2:$C$900*COUNTIF('سجل الإنتاج'!$C$2:$C$501,الطبخات!$A$2:$A$900)),3))</f>
        <v/>
      </c>
      <c r="D237" s="11"/>
    </row>
    <row r="238" spans="1:4" ht="24" customHeight="1">
      <c r="A238" s="11"/>
      <c r="B238" s="12"/>
      <c r="C238" s="13" t="str">
        <f>IF(A238="","",ROUND(SUMIFS(الإدخالات!$D$2:$D$501,الإدخالات!$C$2:$C$501,A238)+SUMIFS('تعديل الجرد'!$F$2:$F$501,'تعديل الجرد'!$C$2:$C$501,A238)-SUMIFS('الصرف المباشر'!$D$2:$D$501,'الصرف المباشر'!$C$2:$C$501,A238)-SUMPRODUCT((الطبخات!$B$2:$B$900=A238)*الطبخات!$C$2:$C$900*COUNTIF('سجل الإنتاج'!$C$2:$C$501,الطبخات!$A$2:$A$900)),3))</f>
        <v/>
      </c>
      <c r="D238" s="11"/>
    </row>
    <row r="239" spans="1:4" ht="24" customHeight="1">
      <c r="A239" s="11"/>
      <c r="B239" s="12"/>
      <c r="C239" s="13" t="str">
        <f>IF(A239="","",ROUND(SUMIFS(الإدخالات!$D$2:$D$501,الإدخالات!$C$2:$C$501,A239)+SUMIFS('تعديل الجرد'!$F$2:$F$501,'تعديل الجرد'!$C$2:$C$501,A239)-SUMIFS('الصرف المباشر'!$D$2:$D$501,'الصرف المباشر'!$C$2:$C$501,A239)-SUMPRODUCT((الطبخات!$B$2:$B$900=A239)*الطبخات!$C$2:$C$900*COUNTIF('سجل الإنتاج'!$C$2:$C$501,الطبخات!$A$2:$A$900)),3))</f>
        <v/>
      </c>
      <c r="D239" s="11"/>
    </row>
    <row r="240" spans="1:4" ht="24" customHeight="1">
      <c r="A240" s="11"/>
      <c r="B240" s="12"/>
      <c r="C240" s="13" t="str">
        <f>IF(A240="","",ROUND(SUMIFS(الإدخالات!$D$2:$D$501,الإدخالات!$C$2:$C$501,A240)+SUMIFS('تعديل الجرد'!$F$2:$F$501,'تعديل الجرد'!$C$2:$C$501,A240)-SUMIFS('الصرف المباشر'!$D$2:$D$501,'الصرف المباشر'!$C$2:$C$501,A240)-SUMPRODUCT((الطبخات!$B$2:$B$900=A240)*الطبخات!$C$2:$C$900*COUNTIF('سجل الإنتاج'!$C$2:$C$501,الطبخات!$A$2:$A$900)),3))</f>
        <v/>
      </c>
      <c r="D240" s="11"/>
    </row>
    <row r="241" spans="1:4" ht="24" customHeight="1">
      <c r="A241" s="11"/>
      <c r="B241" s="12"/>
      <c r="C241" s="13" t="str">
        <f>IF(A241="","",ROUND(SUMIFS(الإدخالات!$D$2:$D$501,الإدخالات!$C$2:$C$501,A241)+SUMIFS('تعديل الجرد'!$F$2:$F$501,'تعديل الجرد'!$C$2:$C$501,A241)-SUMIFS('الصرف المباشر'!$D$2:$D$501,'الصرف المباشر'!$C$2:$C$501,A241)-SUMPRODUCT((الطبخات!$B$2:$B$900=A241)*الطبخات!$C$2:$C$900*COUNTIF('سجل الإنتاج'!$C$2:$C$501,الطبخات!$A$2:$A$900)),3))</f>
        <v/>
      </c>
      <c r="D241" s="11"/>
    </row>
    <row r="242" spans="1:4" ht="24" customHeight="1">
      <c r="A242" s="11"/>
      <c r="B242" s="12"/>
      <c r="C242" s="13" t="str">
        <f>IF(A242="","",ROUND(SUMIFS(الإدخالات!$D$2:$D$501,الإدخالات!$C$2:$C$501,A242)+SUMIFS('تعديل الجرد'!$F$2:$F$501,'تعديل الجرد'!$C$2:$C$501,A242)-SUMIFS('الصرف المباشر'!$D$2:$D$501,'الصرف المباشر'!$C$2:$C$501,A242)-SUMPRODUCT((الطبخات!$B$2:$B$900=A242)*الطبخات!$C$2:$C$900*COUNTIF('سجل الإنتاج'!$C$2:$C$501,الطبخات!$A$2:$A$900)),3))</f>
        <v/>
      </c>
      <c r="D242" s="11"/>
    </row>
    <row r="243" spans="1:4" ht="24" customHeight="1">
      <c r="A243" s="11"/>
      <c r="B243" s="12"/>
      <c r="C243" s="13" t="str">
        <f>IF(A243="","",ROUND(SUMIFS(الإدخالات!$D$2:$D$501,الإدخالات!$C$2:$C$501,A243)+SUMIFS('تعديل الجرد'!$F$2:$F$501,'تعديل الجرد'!$C$2:$C$501,A243)-SUMIFS('الصرف المباشر'!$D$2:$D$501,'الصرف المباشر'!$C$2:$C$501,A243)-SUMPRODUCT((الطبخات!$B$2:$B$900=A243)*الطبخات!$C$2:$C$900*COUNTIF('سجل الإنتاج'!$C$2:$C$501,الطبخات!$A$2:$A$900)),3))</f>
        <v/>
      </c>
      <c r="D243" s="11"/>
    </row>
    <row r="244" spans="1:4" ht="24" customHeight="1">
      <c r="A244" s="11"/>
      <c r="B244" s="12"/>
      <c r="C244" s="13" t="str">
        <f>IF(A244="","",ROUND(SUMIFS(الإدخالات!$D$2:$D$501,الإدخالات!$C$2:$C$501,A244)+SUMIFS('تعديل الجرد'!$F$2:$F$501,'تعديل الجرد'!$C$2:$C$501,A244)-SUMIFS('الصرف المباشر'!$D$2:$D$501,'الصرف المباشر'!$C$2:$C$501,A244)-SUMPRODUCT((الطبخات!$B$2:$B$900=A244)*الطبخات!$C$2:$C$900*COUNTIF('سجل الإنتاج'!$C$2:$C$501,الطبخات!$A$2:$A$900)),3))</f>
        <v/>
      </c>
      <c r="D244" s="11"/>
    </row>
    <row r="245" spans="1:4" ht="24" customHeight="1">
      <c r="A245" s="11"/>
      <c r="B245" s="12"/>
      <c r="C245" s="13" t="str">
        <f>IF(A245="","",ROUND(SUMIFS(الإدخالات!$D$2:$D$501,الإدخالات!$C$2:$C$501,A245)+SUMIFS('تعديل الجرد'!$F$2:$F$501,'تعديل الجرد'!$C$2:$C$501,A245)-SUMIFS('الصرف المباشر'!$D$2:$D$501,'الصرف المباشر'!$C$2:$C$501,A245)-SUMPRODUCT((الطبخات!$B$2:$B$900=A245)*الطبخات!$C$2:$C$900*COUNTIF('سجل الإنتاج'!$C$2:$C$501,الطبخات!$A$2:$A$900)),3))</f>
        <v/>
      </c>
      <c r="D245" s="11"/>
    </row>
    <row r="246" spans="1:4" ht="24" customHeight="1">
      <c r="A246" s="11"/>
      <c r="B246" s="12"/>
      <c r="C246" s="13" t="str">
        <f>IF(A246="","",ROUND(SUMIFS(الإدخالات!$D$2:$D$501,الإدخالات!$C$2:$C$501,A246)+SUMIFS('تعديل الجرد'!$F$2:$F$501,'تعديل الجرد'!$C$2:$C$501,A246)-SUMIFS('الصرف المباشر'!$D$2:$D$501,'الصرف المباشر'!$C$2:$C$501,A246)-SUMPRODUCT((الطبخات!$B$2:$B$900=A246)*الطبخات!$C$2:$C$900*COUNTIF('سجل الإنتاج'!$C$2:$C$501,الطبخات!$A$2:$A$900)),3))</f>
        <v/>
      </c>
      <c r="D246" s="11"/>
    </row>
    <row r="247" spans="1:4" ht="24" customHeight="1">
      <c r="A247" s="11"/>
      <c r="B247" s="12"/>
      <c r="C247" s="13" t="str">
        <f>IF(A247="","",ROUND(SUMIFS(الإدخالات!$D$2:$D$501,الإدخالات!$C$2:$C$501,A247)+SUMIFS('تعديل الجرد'!$F$2:$F$501,'تعديل الجرد'!$C$2:$C$501,A247)-SUMIFS('الصرف المباشر'!$D$2:$D$501,'الصرف المباشر'!$C$2:$C$501,A247)-SUMPRODUCT((الطبخات!$B$2:$B$900=A247)*الطبخات!$C$2:$C$900*COUNTIF('سجل الإنتاج'!$C$2:$C$501,الطبخات!$A$2:$A$900)),3))</f>
        <v/>
      </c>
      <c r="D247" s="11"/>
    </row>
    <row r="248" spans="1:4" ht="24" customHeight="1">
      <c r="A248" s="11"/>
      <c r="B248" s="12"/>
      <c r="C248" s="13" t="str">
        <f>IF(A248="","",ROUND(SUMIFS(الإدخالات!$D$2:$D$501,الإدخالات!$C$2:$C$501,A248)+SUMIFS('تعديل الجرد'!$F$2:$F$501,'تعديل الجرد'!$C$2:$C$501,A248)-SUMIFS('الصرف المباشر'!$D$2:$D$501,'الصرف المباشر'!$C$2:$C$501,A248)-SUMPRODUCT((الطبخات!$B$2:$B$900=A248)*الطبخات!$C$2:$C$900*COUNTIF('سجل الإنتاج'!$C$2:$C$501,الطبخات!$A$2:$A$900)),3))</f>
        <v/>
      </c>
      <c r="D248" s="11"/>
    </row>
    <row r="249" spans="1:4" ht="24" customHeight="1">
      <c r="A249" s="11"/>
      <c r="B249" s="12"/>
      <c r="C249" s="13" t="str">
        <f>IF(A249="","",ROUND(SUMIFS(الإدخالات!$D$2:$D$501,الإدخالات!$C$2:$C$501,A249)+SUMIFS('تعديل الجرد'!$F$2:$F$501,'تعديل الجرد'!$C$2:$C$501,A249)-SUMIFS('الصرف المباشر'!$D$2:$D$501,'الصرف المباشر'!$C$2:$C$501,A249)-SUMPRODUCT((الطبخات!$B$2:$B$900=A249)*الطبخات!$C$2:$C$900*COUNTIF('سجل الإنتاج'!$C$2:$C$501,الطبخات!$A$2:$A$900)),3))</f>
        <v/>
      </c>
      <c r="D249" s="11"/>
    </row>
    <row r="250" spans="1:4" ht="24" customHeight="1">
      <c r="A250" s="11"/>
      <c r="B250" s="12"/>
      <c r="C250" s="13" t="str">
        <f>IF(A250="","",ROUND(SUMIFS(الإدخالات!$D$2:$D$501,الإدخالات!$C$2:$C$501,A250)+SUMIFS('تعديل الجرد'!$F$2:$F$501,'تعديل الجرد'!$C$2:$C$501,A250)-SUMIFS('الصرف المباشر'!$D$2:$D$501,'الصرف المباشر'!$C$2:$C$501,A250)-SUMPRODUCT((الطبخات!$B$2:$B$900=A250)*الطبخات!$C$2:$C$900*COUNTIF('سجل الإنتاج'!$C$2:$C$501,الطبخات!$A$2:$A$900)),3))</f>
        <v/>
      </c>
      <c r="D250" s="11"/>
    </row>
    <row r="251" spans="1:4" ht="24" customHeight="1">
      <c r="A251" s="11"/>
      <c r="B251" s="12"/>
      <c r="C251" s="13" t="str">
        <f>IF(A251="","",ROUND(SUMIFS(الإدخالات!$D$2:$D$501,الإدخالات!$C$2:$C$501,A251)+SUMIFS('تعديل الجرد'!$F$2:$F$501,'تعديل الجرد'!$C$2:$C$501,A251)-SUMIFS('الصرف المباشر'!$D$2:$D$501,'الصرف المباشر'!$C$2:$C$501,A251)-SUMPRODUCT((الطبخات!$B$2:$B$900=A251)*الطبخات!$C$2:$C$900*COUNTIF('سجل الإنتاج'!$C$2:$C$501,الطبخات!$A$2:$A$900)),3))</f>
        <v/>
      </c>
      <c r="D251" s="11"/>
    </row>
    <row r="252" spans="1:4" ht="24" customHeight="1">
      <c r="A252" s="11"/>
      <c r="B252" s="12"/>
      <c r="C252" s="13" t="str">
        <f>IF(A252="","",ROUND(SUMIFS(الإدخالات!$D$2:$D$501,الإدخالات!$C$2:$C$501,A252)+SUMIFS('تعديل الجرد'!$F$2:$F$501,'تعديل الجرد'!$C$2:$C$501,A252)-SUMIFS('الصرف المباشر'!$D$2:$D$501,'الصرف المباشر'!$C$2:$C$501,A252)-SUMPRODUCT((الطبخات!$B$2:$B$900=A252)*الطبخات!$C$2:$C$900*COUNTIF('سجل الإنتاج'!$C$2:$C$501,الطبخات!$A$2:$A$900)),3))</f>
        <v/>
      </c>
      <c r="D252" s="11"/>
    </row>
    <row r="253" spans="1:4" ht="24" customHeight="1">
      <c r="A253" s="11"/>
      <c r="B253" s="12"/>
      <c r="C253" s="13" t="str">
        <f>IF(A253="","",ROUND(SUMIFS(الإدخالات!$D$2:$D$501,الإدخالات!$C$2:$C$501,A253)+SUMIFS('تعديل الجرد'!$F$2:$F$501,'تعديل الجرد'!$C$2:$C$501,A253)-SUMIFS('الصرف المباشر'!$D$2:$D$501,'الصرف المباشر'!$C$2:$C$501,A253)-SUMPRODUCT((الطبخات!$B$2:$B$900=A253)*الطبخات!$C$2:$C$900*COUNTIF('سجل الإنتاج'!$C$2:$C$501,الطبخات!$A$2:$A$900)),3))</f>
        <v/>
      </c>
      <c r="D253" s="11"/>
    </row>
    <row r="254" spans="1:4" ht="24" customHeight="1">
      <c r="A254" s="11"/>
      <c r="B254" s="12"/>
      <c r="C254" s="13" t="str">
        <f>IF(A254="","",ROUND(SUMIFS(الإدخالات!$D$2:$D$501,الإدخالات!$C$2:$C$501,A254)+SUMIFS('تعديل الجرد'!$F$2:$F$501,'تعديل الجرد'!$C$2:$C$501,A254)-SUMIFS('الصرف المباشر'!$D$2:$D$501,'الصرف المباشر'!$C$2:$C$501,A254)-SUMPRODUCT((الطبخات!$B$2:$B$900=A254)*الطبخات!$C$2:$C$900*COUNTIF('سجل الإنتاج'!$C$2:$C$501,الطبخات!$A$2:$A$900)),3))</f>
        <v/>
      </c>
      <c r="D254" s="11"/>
    </row>
    <row r="255" spans="1:4" ht="24" customHeight="1">
      <c r="A255" s="11"/>
      <c r="B255" s="12"/>
      <c r="C255" s="13" t="str">
        <f>IF(A255="","",ROUND(SUMIFS(الإدخالات!$D$2:$D$501,الإدخالات!$C$2:$C$501,A255)+SUMIFS('تعديل الجرد'!$F$2:$F$501,'تعديل الجرد'!$C$2:$C$501,A255)-SUMIFS('الصرف المباشر'!$D$2:$D$501,'الصرف المباشر'!$C$2:$C$501,A255)-SUMPRODUCT((الطبخات!$B$2:$B$900=A255)*الطبخات!$C$2:$C$900*COUNTIF('سجل الإنتاج'!$C$2:$C$501,الطبخات!$A$2:$A$900)),3))</f>
        <v/>
      </c>
      <c r="D255" s="11"/>
    </row>
    <row r="256" spans="1:4" ht="24" customHeight="1">
      <c r="A256" s="11"/>
      <c r="B256" s="12"/>
      <c r="C256" s="13" t="str">
        <f>IF(A256="","",ROUND(SUMIFS(الإدخالات!$D$2:$D$501,الإدخالات!$C$2:$C$501,A256)+SUMIFS('تعديل الجرد'!$F$2:$F$501,'تعديل الجرد'!$C$2:$C$501,A256)-SUMIFS('الصرف المباشر'!$D$2:$D$501,'الصرف المباشر'!$C$2:$C$501,A256)-SUMPRODUCT((الطبخات!$B$2:$B$900=A256)*الطبخات!$C$2:$C$900*COUNTIF('سجل الإنتاج'!$C$2:$C$501,الطبخات!$A$2:$A$900)),3))</f>
        <v/>
      </c>
      <c r="D256" s="11"/>
    </row>
    <row r="257" spans="1:4" ht="24" customHeight="1">
      <c r="A257" s="11"/>
      <c r="B257" s="12"/>
      <c r="C257" s="13" t="str">
        <f>IF(A257="","",ROUND(SUMIFS(الإدخالات!$D$2:$D$501,الإدخالات!$C$2:$C$501,A257)+SUMIFS('تعديل الجرد'!$F$2:$F$501,'تعديل الجرد'!$C$2:$C$501,A257)-SUMIFS('الصرف المباشر'!$D$2:$D$501,'الصرف المباشر'!$C$2:$C$501,A257)-SUMPRODUCT((الطبخات!$B$2:$B$900=A257)*الطبخات!$C$2:$C$900*COUNTIF('سجل الإنتاج'!$C$2:$C$501,الطبخات!$A$2:$A$900)),3))</f>
        <v/>
      </c>
      <c r="D257" s="11"/>
    </row>
    <row r="258" spans="1:4" ht="24" customHeight="1">
      <c r="A258" s="11"/>
      <c r="B258" s="12"/>
      <c r="C258" s="13" t="str">
        <f>IF(A258="","",ROUND(SUMIFS(الإدخالات!$D$2:$D$501,الإدخالات!$C$2:$C$501,A258)+SUMIFS('تعديل الجرد'!$F$2:$F$501,'تعديل الجرد'!$C$2:$C$501,A258)-SUMIFS('الصرف المباشر'!$D$2:$D$501,'الصرف المباشر'!$C$2:$C$501,A258)-SUMPRODUCT((الطبخات!$B$2:$B$900=A258)*الطبخات!$C$2:$C$900*COUNTIF('سجل الإنتاج'!$C$2:$C$501,الطبخات!$A$2:$A$900)),3))</f>
        <v/>
      </c>
      <c r="D258" s="11"/>
    </row>
    <row r="259" spans="1:4" ht="24" customHeight="1">
      <c r="A259" s="11"/>
      <c r="B259" s="12"/>
      <c r="C259" s="13" t="str">
        <f>IF(A259="","",ROUND(SUMIFS(الإدخالات!$D$2:$D$501,الإدخالات!$C$2:$C$501,A259)+SUMIFS('تعديل الجرد'!$F$2:$F$501,'تعديل الجرد'!$C$2:$C$501,A259)-SUMIFS('الصرف المباشر'!$D$2:$D$501,'الصرف المباشر'!$C$2:$C$501,A259)-SUMPRODUCT((الطبخات!$B$2:$B$900=A259)*الطبخات!$C$2:$C$900*COUNTIF('سجل الإنتاج'!$C$2:$C$501,الطبخات!$A$2:$A$900)),3))</f>
        <v/>
      </c>
      <c r="D259" s="11"/>
    </row>
    <row r="260" spans="1:4" ht="24" customHeight="1">
      <c r="A260" s="11"/>
      <c r="B260" s="12"/>
      <c r="C260" s="13" t="str">
        <f>IF(A260="","",ROUND(SUMIFS(الإدخالات!$D$2:$D$501,الإدخالات!$C$2:$C$501,A260)+SUMIFS('تعديل الجرد'!$F$2:$F$501,'تعديل الجرد'!$C$2:$C$501,A260)-SUMIFS('الصرف المباشر'!$D$2:$D$501,'الصرف المباشر'!$C$2:$C$501,A260)-SUMPRODUCT((الطبخات!$B$2:$B$900=A260)*الطبخات!$C$2:$C$900*COUNTIF('سجل الإنتاج'!$C$2:$C$501,الطبخات!$A$2:$A$900)),3))</f>
        <v/>
      </c>
      <c r="D260" s="11"/>
    </row>
    <row r="261" spans="1:4" ht="24" customHeight="1">
      <c r="A261" s="11"/>
      <c r="B261" s="12"/>
      <c r="C261" s="13" t="str">
        <f>IF(A261="","",ROUND(SUMIFS(الإدخالات!$D$2:$D$501,الإدخالات!$C$2:$C$501,A261)+SUMIFS('تعديل الجرد'!$F$2:$F$501,'تعديل الجرد'!$C$2:$C$501,A261)-SUMIFS('الصرف المباشر'!$D$2:$D$501,'الصرف المباشر'!$C$2:$C$501,A261)-SUMPRODUCT((الطبخات!$B$2:$B$900=A261)*الطبخات!$C$2:$C$900*COUNTIF('سجل الإنتاج'!$C$2:$C$501,الطبخات!$A$2:$A$900)),3))</f>
        <v/>
      </c>
      <c r="D261" s="11"/>
    </row>
    <row r="262" spans="1:4" ht="24" customHeight="1">
      <c r="A262" s="11"/>
      <c r="B262" s="12"/>
      <c r="C262" s="13" t="str">
        <f>IF(A262="","",ROUND(SUMIFS(الإدخالات!$D$2:$D$501,الإدخالات!$C$2:$C$501,A262)+SUMIFS('تعديل الجرد'!$F$2:$F$501,'تعديل الجرد'!$C$2:$C$501,A262)-SUMIFS('الصرف المباشر'!$D$2:$D$501,'الصرف المباشر'!$C$2:$C$501,A262)-SUMPRODUCT((الطبخات!$B$2:$B$900=A262)*الطبخات!$C$2:$C$900*COUNTIF('سجل الإنتاج'!$C$2:$C$501,الطبخات!$A$2:$A$900)),3))</f>
        <v/>
      </c>
      <c r="D262" s="11"/>
    </row>
    <row r="263" spans="1:4" ht="24" customHeight="1">
      <c r="A263" s="11"/>
      <c r="B263" s="12"/>
      <c r="C263" s="13" t="str">
        <f>IF(A263="","",ROUND(SUMIFS(الإدخالات!$D$2:$D$501,الإدخالات!$C$2:$C$501,A263)+SUMIFS('تعديل الجرد'!$F$2:$F$501,'تعديل الجرد'!$C$2:$C$501,A263)-SUMIFS('الصرف المباشر'!$D$2:$D$501,'الصرف المباشر'!$C$2:$C$501,A263)-SUMPRODUCT((الطبخات!$B$2:$B$900=A263)*الطبخات!$C$2:$C$900*COUNTIF('سجل الإنتاج'!$C$2:$C$501,الطبخات!$A$2:$A$900)),3))</f>
        <v/>
      </c>
      <c r="D263" s="11"/>
    </row>
    <row r="264" spans="1:4" ht="24" customHeight="1">
      <c r="A264" s="11"/>
      <c r="B264" s="12"/>
      <c r="C264" s="13" t="str">
        <f>IF(A264="","",ROUND(SUMIFS(الإدخالات!$D$2:$D$501,الإدخالات!$C$2:$C$501,A264)+SUMIFS('تعديل الجرد'!$F$2:$F$501,'تعديل الجرد'!$C$2:$C$501,A264)-SUMIFS('الصرف المباشر'!$D$2:$D$501,'الصرف المباشر'!$C$2:$C$501,A264)-SUMPRODUCT((الطبخات!$B$2:$B$900=A264)*الطبخات!$C$2:$C$900*COUNTIF('سجل الإنتاج'!$C$2:$C$501,الطبخات!$A$2:$A$900)),3))</f>
        <v/>
      </c>
      <c r="D264" s="11"/>
    </row>
    <row r="265" spans="1:4" ht="24" customHeight="1">
      <c r="A265" s="11"/>
      <c r="B265" s="12"/>
      <c r="C265" s="13" t="str">
        <f>IF(A265="","",ROUND(SUMIFS(الإدخالات!$D$2:$D$501,الإدخالات!$C$2:$C$501,A265)+SUMIFS('تعديل الجرد'!$F$2:$F$501,'تعديل الجرد'!$C$2:$C$501,A265)-SUMIFS('الصرف المباشر'!$D$2:$D$501,'الصرف المباشر'!$C$2:$C$501,A265)-SUMPRODUCT((الطبخات!$B$2:$B$900=A265)*الطبخات!$C$2:$C$900*COUNTIF('سجل الإنتاج'!$C$2:$C$501,الطبخات!$A$2:$A$900)),3))</f>
        <v/>
      </c>
      <c r="D265" s="11"/>
    </row>
    <row r="266" spans="1:4" ht="24" customHeight="1">
      <c r="A266" s="11"/>
      <c r="B266" s="12"/>
      <c r="C266" s="13" t="str">
        <f>IF(A266="","",ROUND(SUMIFS(الإدخالات!$D$2:$D$501,الإدخالات!$C$2:$C$501,A266)+SUMIFS('تعديل الجرد'!$F$2:$F$501,'تعديل الجرد'!$C$2:$C$501,A266)-SUMIFS('الصرف المباشر'!$D$2:$D$501,'الصرف المباشر'!$C$2:$C$501,A266)-SUMPRODUCT((الطبخات!$B$2:$B$900=A266)*الطبخات!$C$2:$C$900*COUNTIF('سجل الإنتاج'!$C$2:$C$501,الطبخات!$A$2:$A$900)),3))</f>
        <v/>
      </c>
      <c r="D266" s="11"/>
    </row>
    <row r="267" spans="1:4" ht="24" customHeight="1">
      <c r="A267" s="11"/>
      <c r="B267" s="12"/>
      <c r="C267" s="13" t="str">
        <f>IF(A267="","",ROUND(SUMIFS(الإدخالات!$D$2:$D$501,الإدخالات!$C$2:$C$501,A267)+SUMIFS('تعديل الجرد'!$F$2:$F$501,'تعديل الجرد'!$C$2:$C$501,A267)-SUMIFS('الصرف المباشر'!$D$2:$D$501,'الصرف المباشر'!$C$2:$C$501,A267)-SUMPRODUCT((الطبخات!$B$2:$B$900=A267)*الطبخات!$C$2:$C$900*COUNTIF('سجل الإنتاج'!$C$2:$C$501,الطبخات!$A$2:$A$900)),3))</f>
        <v/>
      </c>
      <c r="D267" s="11"/>
    </row>
    <row r="268" spans="1:4" ht="24" customHeight="1">
      <c r="A268" s="11"/>
      <c r="B268" s="12"/>
      <c r="C268" s="13" t="str">
        <f>IF(A268="","",ROUND(SUMIFS(الإدخالات!$D$2:$D$501,الإدخالات!$C$2:$C$501,A268)+SUMIFS('تعديل الجرد'!$F$2:$F$501,'تعديل الجرد'!$C$2:$C$501,A268)-SUMIFS('الصرف المباشر'!$D$2:$D$501,'الصرف المباشر'!$C$2:$C$501,A268)-SUMPRODUCT((الطبخات!$B$2:$B$900=A268)*الطبخات!$C$2:$C$900*COUNTIF('سجل الإنتاج'!$C$2:$C$501,الطبخات!$A$2:$A$900)),3))</f>
        <v/>
      </c>
      <c r="D268" s="11"/>
    </row>
    <row r="269" spans="1:4" ht="24" customHeight="1">
      <c r="A269" s="11"/>
      <c r="B269" s="12"/>
      <c r="C269" s="13" t="str">
        <f>IF(A269="","",ROUND(SUMIFS(الإدخالات!$D$2:$D$501,الإدخالات!$C$2:$C$501,A269)+SUMIFS('تعديل الجرد'!$F$2:$F$501,'تعديل الجرد'!$C$2:$C$501,A269)-SUMIFS('الصرف المباشر'!$D$2:$D$501,'الصرف المباشر'!$C$2:$C$501,A269)-SUMPRODUCT((الطبخات!$B$2:$B$900=A269)*الطبخات!$C$2:$C$900*COUNTIF('سجل الإنتاج'!$C$2:$C$501,الطبخات!$A$2:$A$900)),3))</f>
        <v/>
      </c>
      <c r="D269" s="11"/>
    </row>
    <row r="270" spans="1:4" ht="24" customHeight="1">
      <c r="A270" s="11"/>
      <c r="B270" s="12"/>
      <c r="C270" s="13" t="str">
        <f>IF(A270="","",ROUND(SUMIFS(الإدخالات!$D$2:$D$501,الإدخالات!$C$2:$C$501,A270)+SUMIFS('تعديل الجرد'!$F$2:$F$501,'تعديل الجرد'!$C$2:$C$501,A270)-SUMIFS('الصرف المباشر'!$D$2:$D$501,'الصرف المباشر'!$C$2:$C$501,A270)-SUMPRODUCT((الطبخات!$B$2:$B$900=A270)*الطبخات!$C$2:$C$900*COUNTIF('سجل الإنتاج'!$C$2:$C$501,الطبخات!$A$2:$A$900)),3))</f>
        <v/>
      </c>
      <c r="D270" s="11"/>
    </row>
    <row r="271" spans="1:4" ht="24" customHeight="1">
      <c r="A271" s="11"/>
      <c r="B271" s="12"/>
      <c r="C271" s="13" t="str">
        <f>IF(A271="","",ROUND(SUMIFS(الإدخالات!$D$2:$D$501,الإدخالات!$C$2:$C$501,A271)+SUMIFS('تعديل الجرد'!$F$2:$F$501,'تعديل الجرد'!$C$2:$C$501,A271)-SUMIFS('الصرف المباشر'!$D$2:$D$501,'الصرف المباشر'!$C$2:$C$501,A271)-SUMPRODUCT((الطبخات!$B$2:$B$900=A271)*الطبخات!$C$2:$C$900*COUNTIF('سجل الإنتاج'!$C$2:$C$501,الطبخات!$A$2:$A$900)),3))</f>
        <v/>
      </c>
      <c r="D271" s="11"/>
    </row>
    <row r="272" spans="1:4" ht="24" customHeight="1">
      <c r="A272" s="11"/>
      <c r="B272" s="12"/>
      <c r="C272" s="13" t="str">
        <f>IF(A272="","",ROUND(SUMIFS(الإدخالات!$D$2:$D$501,الإدخالات!$C$2:$C$501,A272)+SUMIFS('تعديل الجرد'!$F$2:$F$501,'تعديل الجرد'!$C$2:$C$501,A272)-SUMIFS('الصرف المباشر'!$D$2:$D$501,'الصرف المباشر'!$C$2:$C$501,A272)-SUMPRODUCT((الطبخات!$B$2:$B$900=A272)*الطبخات!$C$2:$C$900*COUNTIF('سجل الإنتاج'!$C$2:$C$501,الطبخات!$A$2:$A$900)),3))</f>
        <v/>
      </c>
      <c r="D272" s="11"/>
    </row>
    <row r="273" spans="1:4" ht="24" customHeight="1">
      <c r="A273" s="11"/>
      <c r="B273" s="12"/>
      <c r="C273" s="13" t="str">
        <f>IF(A273="","",ROUND(SUMIFS(الإدخالات!$D$2:$D$501,الإدخالات!$C$2:$C$501,A273)+SUMIFS('تعديل الجرد'!$F$2:$F$501,'تعديل الجرد'!$C$2:$C$501,A273)-SUMIFS('الصرف المباشر'!$D$2:$D$501,'الصرف المباشر'!$C$2:$C$501,A273)-SUMPRODUCT((الطبخات!$B$2:$B$900=A273)*الطبخات!$C$2:$C$900*COUNTIF('سجل الإنتاج'!$C$2:$C$501,الطبخات!$A$2:$A$900)),3))</f>
        <v/>
      </c>
      <c r="D273" s="11"/>
    </row>
    <row r="274" spans="1:4" ht="24" customHeight="1">
      <c r="A274" s="11"/>
      <c r="B274" s="12"/>
      <c r="C274" s="13" t="str">
        <f>IF(A274="","",ROUND(SUMIFS(الإدخالات!$D$2:$D$501,الإدخالات!$C$2:$C$501,A274)+SUMIFS('تعديل الجرد'!$F$2:$F$501,'تعديل الجرد'!$C$2:$C$501,A274)-SUMIFS('الصرف المباشر'!$D$2:$D$501,'الصرف المباشر'!$C$2:$C$501,A274)-SUMPRODUCT((الطبخات!$B$2:$B$900=A274)*الطبخات!$C$2:$C$900*COUNTIF('سجل الإنتاج'!$C$2:$C$501,الطبخات!$A$2:$A$900)),3))</f>
        <v/>
      </c>
      <c r="D274" s="11"/>
    </row>
    <row r="275" spans="1:4" ht="24" customHeight="1">
      <c r="A275" s="11"/>
      <c r="B275" s="12"/>
      <c r="C275" s="13" t="str">
        <f>IF(A275="","",ROUND(SUMIFS(الإدخالات!$D$2:$D$501,الإدخالات!$C$2:$C$501,A275)+SUMIFS('تعديل الجرد'!$F$2:$F$501,'تعديل الجرد'!$C$2:$C$501,A275)-SUMIFS('الصرف المباشر'!$D$2:$D$501,'الصرف المباشر'!$C$2:$C$501,A275)-SUMPRODUCT((الطبخات!$B$2:$B$900=A275)*الطبخات!$C$2:$C$900*COUNTIF('سجل الإنتاج'!$C$2:$C$501,الطبخات!$A$2:$A$900)),3))</f>
        <v/>
      </c>
      <c r="D275" s="11"/>
    </row>
    <row r="276" spans="1:4" ht="24" customHeight="1">
      <c r="A276" s="11"/>
      <c r="B276" s="12"/>
      <c r="C276" s="13" t="str">
        <f>IF(A276="","",ROUND(SUMIFS(الإدخالات!$D$2:$D$501,الإدخالات!$C$2:$C$501,A276)+SUMIFS('تعديل الجرد'!$F$2:$F$501,'تعديل الجرد'!$C$2:$C$501,A276)-SUMIFS('الصرف المباشر'!$D$2:$D$501,'الصرف المباشر'!$C$2:$C$501,A276)-SUMPRODUCT((الطبخات!$B$2:$B$900=A276)*الطبخات!$C$2:$C$900*COUNTIF('سجل الإنتاج'!$C$2:$C$501,الطبخات!$A$2:$A$900)),3))</f>
        <v/>
      </c>
      <c r="D276" s="11"/>
    </row>
    <row r="277" spans="1:4" ht="24" customHeight="1">
      <c r="A277" s="11"/>
      <c r="B277" s="12"/>
      <c r="C277" s="13" t="str">
        <f>IF(A277="","",ROUND(SUMIFS(الإدخالات!$D$2:$D$501,الإدخالات!$C$2:$C$501,A277)+SUMIFS('تعديل الجرد'!$F$2:$F$501,'تعديل الجرد'!$C$2:$C$501,A277)-SUMIFS('الصرف المباشر'!$D$2:$D$501,'الصرف المباشر'!$C$2:$C$501,A277)-SUMPRODUCT((الطبخات!$B$2:$B$900=A277)*الطبخات!$C$2:$C$900*COUNTIF('سجل الإنتاج'!$C$2:$C$501,الطبخات!$A$2:$A$900)),3))</f>
        <v/>
      </c>
      <c r="D277" s="11"/>
    </row>
    <row r="278" spans="1:4" ht="24" customHeight="1">
      <c r="A278" s="11"/>
      <c r="B278" s="12"/>
      <c r="C278" s="13" t="str">
        <f>IF(A278="","",ROUND(SUMIFS(الإدخالات!$D$2:$D$501,الإدخالات!$C$2:$C$501,A278)+SUMIFS('تعديل الجرد'!$F$2:$F$501,'تعديل الجرد'!$C$2:$C$501,A278)-SUMIFS('الصرف المباشر'!$D$2:$D$501,'الصرف المباشر'!$C$2:$C$501,A278)-SUMPRODUCT((الطبخات!$B$2:$B$900=A278)*الطبخات!$C$2:$C$900*COUNTIF('سجل الإنتاج'!$C$2:$C$501,الطبخات!$A$2:$A$900)),3))</f>
        <v/>
      </c>
      <c r="D278" s="11"/>
    </row>
    <row r="279" spans="1:4" ht="24" customHeight="1">
      <c r="A279" s="11"/>
      <c r="B279" s="12"/>
      <c r="C279" s="13" t="str">
        <f>IF(A279="","",ROUND(SUMIFS(الإدخالات!$D$2:$D$501,الإدخالات!$C$2:$C$501,A279)+SUMIFS('تعديل الجرد'!$F$2:$F$501,'تعديل الجرد'!$C$2:$C$501,A279)-SUMIFS('الصرف المباشر'!$D$2:$D$501,'الصرف المباشر'!$C$2:$C$501,A279)-SUMPRODUCT((الطبخات!$B$2:$B$900=A279)*الطبخات!$C$2:$C$900*COUNTIF('سجل الإنتاج'!$C$2:$C$501,الطبخات!$A$2:$A$900)),3))</f>
        <v/>
      </c>
      <c r="D279" s="11"/>
    </row>
    <row r="280" spans="1:4" ht="24" customHeight="1">
      <c r="A280" s="11"/>
      <c r="B280" s="12"/>
      <c r="C280" s="13" t="str">
        <f>IF(A280="","",ROUND(SUMIFS(الإدخالات!$D$2:$D$501,الإدخالات!$C$2:$C$501,A280)+SUMIFS('تعديل الجرد'!$F$2:$F$501,'تعديل الجرد'!$C$2:$C$501,A280)-SUMIFS('الصرف المباشر'!$D$2:$D$501,'الصرف المباشر'!$C$2:$C$501,A280)-SUMPRODUCT((الطبخات!$B$2:$B$900=A280)*الطبخات!$C$2:$C$900*COUNTIF('سجل الإنتاج'!$C$2:$C$501,الطبخات!$A$2:$A$900)),3))</f>
        <v/>
      </c>
      <c r="D280" s="11"/>
    </row>
    <row r="281" spans="1:4" ht="24" customHeight="1">
      <c r="A281" s="11"/>
      <c r="B281" s="12"/>
      <c r="C281" s="13" t="str">
        <f>IF(A281="","",ROUND(SUMIFS(الإدخالات!$D$2:$D$501,الإدخالات!$C$2:$C$501,A281)+SUMIFS('تعديل الجرد'!$F$2:$F$501,'تعديل الجرد'!$C$2:$C$501,A281)-SUMIFS('الصرف المباشر'!$D$2:$D$501,'الصرف المباشر'!$C$2:$C$501,A281)-SUMPRODUCT((الطبخات!$B$2:$B$900=A281)*الطبخات!$C$2:$C$900*COUNTIF('سجل الإنتاج'!$C$2:$C$501,الطبخات!$A$2:$A$900)),3))</f>
        <v/>
      </c>
      <c r="D281" s="11"/>
    </row>
    <row r="282" spans="1:4" ht="24" customHeight="1">
      <c r="A282" s="11"/>
      <c r="B282" s="12"/>
      <c r="C282" s="13" t="str">
        <f>IF(A282="","",ROUND(SUMIFS(الإدخالات!$D$2:$D$501,الإدخالات!$C$2:$C$501,A282)+SUMIFS('تعديل الجرد'!$F$2:$F$501,'تعديل الجرد'!$C$2:$C$501,A282)-SUMIFS('الصرف المباشر'!$D$2:$D$501,'الصرف المباشر'!$C$2:$C$501,A282)-SUMPRODUCT((الطبخات!$B$2:$B$900=A282)*الطبخات!$C$2:$C$900*COUNTIF('سجل الإنتاج'!$C$2:$C$501,الطبخات!$A$2:$A$900)),3))</f>
        <v/>
      </c>
      <c r="D282" s="11"/>
    </row>
    <row r="283" spans="1:4" ht="24" customHeight="1">
      <c r="A283" s="11"/>
      <c r="B283" s="12"/>
      <c r="C283" s="13" t="str">
        <f>IF(A283="","",ROUND(SUMIFS(الإدخالات!$D$2:$D$501,الإدخالات!$C$2:$C$501,A283)+SUMIFS('تعديل الجرد'!$F$2:$F$501,'تعديل الجرد'!$C$2:$C$501,A283)-SUMIFS('الصرف المباشر'!$D$2:$D$501,'الصرف المباشر'!$C$2:$C$501,A283)-SUMPRODUCT((الطبخات!$B$2:$B$900=A283)*الطبخات!$C$2:$C$900*COUNTIF('سجل الإنتاج'!$C$2:$C$501,الطبخات!$A$2:$A$900)),3))</f>
        <v/>
      </c>
      <c r="D283" s="11"/>
    </row>
    <row r="284" spans="1:4" ht="24" customHeight="1">
      <c r="A284" s="11"/>
      <c r="B284" s="12"/>
      <c r="C284" s="13" t="str">
        <f>IF(A284="","",ROUND(SUMIFS(الإدخالات!$D$2:$D$501,الإدخالات!$C$2:$C$501,A284)+SUMIFS('تعديل الجرد'!$F$2:$F$501,'تعديل الجرد'!$C$2:$C$501,A284)-SUMIFS('الصرف المباشر'!$D$2:$D$501,'الصرف المباشر'!$C$2:$C$501,A284)-SUMPRODUCT((الطبخات!$B$2:$B$900=A284)*الطبخات!$C$2:$C$900*COUNTIF('سجل الإنتاج'!$C$2:$C$501,الطبخات!$A$2:$A$900)),3))</f>
        <v/>
      </c>
      <c r="D284" s="11"/>
    </row>
    <row r="285" spans="1:4" ht="24" customHeight="1">
      <c r="A285" s="11"/>
      <c r="B285" s="12"/>
      <c r="C285" s="13" t="str">
        <f>IF(A285="","",ROUND(SUMIFS(الإدخالات!$D$2:$D$501,الإدخالات!$C$2:$C$501,A285)+SUMIFS('تعديل الجرد'!$F$2:$F$501,'تعديل الجرد'!$C$2:$C$501,A285)-SUMIFS('الصرف المباشر'!$D$2:$D$501,'الصرف المباشر'!$C$2:$C$501,A285)-SUMPRODUCT((الطبخات!$B$2:$B$900=A285)*الطبخات!$C$2:$C$900*COUNTIF('سجل الإنتاج'!$C$2:$C$501,الطبخات!$A$2:$A$900)),3))</f>
        <v/>
      </c>
      <c r="D285" s="11"/>
    </row>
    <row r="286" spans="1:4" ht="24" customHeight="1">
      <c r="A286" s="11"/>
      <c r="B286" s="12"/>
      <c r="C286" s="13" t="str">
        <f>IF(A286="","",ROUND(SUMIFS(الإدخالات!$D$2:$D$501,الإدخالات!$C$2:$C$501,A286)+SUMIFS('تعديل الجرد'!$F$2:$F$501,'تعديل الجرد'!$C$2:$C$501,A286)-SUMIFS('الصرف المباشر'!$D$2:$D$501,'الصرف المباشر'!$C$2:$C$501,A286)-SUMPRODUCT((الطبخات!$B$2:$B$900=A286)*الطبخات!$C$2:$C$900*COUNTIF('سجل الإنتاج'!$C$2:$C$501,الطبخات!$A$2:$A$900)),3))</f>
        <v/>
      </c>
      <c r="D286" s="11"/>
    </row>
    <row r="287" spans="1:4" ht="24" customHeight="1">
      <c r="A287" s="11"/>
      <c r="B287" s="12"/>
      <c r="C287" s="13" t="str">
        <f>IF(A287="","",ROUND(SUMIFS(الإدخالات!$D$2:$D$501,الإدخالات!$C$2:$C$501,A287)+SUMIFS('تعديل الجرد'!$F$2:$F$501,'تعديل الجرد'!$C$2:$C$501,A287)-SUMIFS('الصرف المباشر'!$D$2:$D$501,'الصرف المباشر'!$C$2:$C$501,A287)-SUMPRODUCT((الطبخات!$B$2:$B$900=A287)*الطبخات!$C$2:$C$900*COUNTIF('سجل الإنتاج'!$C$2:$C$501,الطبخات!$A$2:$A$900)),3))</f>
        <v/>
      </c>
      <c r="D287" s="11"/>
    </row>
    <row r="288" spans="1:4" ht="24" customHeight="1">
      <c r="A288" s="11"/>
      <c r="B288" s="12"/>
      <c r="C288" s="13" t="str">
        <f>IF(A288="","",ROUND(SUMIFS(الإدخالات!$D$2:$D$501,الإدخالات!$C$2:$C$501,A288)+SUMIFS('تعديل الجرد'!$F$2:$F$501,'تعديل الجرد'!$C$2:$C$501,A288)-SUMIFS('الصرف المباشر'!$D$2:$D$501,'الصرف المباشر'!$C$2:$C$501,A288)-SUMPRODUCT((الطبخات!$B$2:$B$900=A288)*الطبخات!$C$2:$C$900*COUNTIF('سجل الإنتاج'!$C$2:$C$501,الطبخات!$A$2:$A$900)),3))</f>
        <v/>
      </c>
      <c r="D288" s="11"/>
    </row>
    <row r="289" spans="1:4" ht="24" customHeight="1">
      <c r="A289" s="11"/>
      <c r="B289" s="12"/>
      <c r="C289" s="13" t="str">
        <f>IF(A289="","",ROUND(SUMIFS(الإدخالات!$D$2:$D$501,الإدخالات!$C$2:$C$501,A289)+SUMIFS('تعديل الجرد'!$F$2:$F$501,'تعديل الجرد'!$C$2:$C$501,A289)-SUMIFS('الصرف المباشر'!$D$2:$D$501,'الصرف المباشر'!$C$2:$C$501,A289)-SUMPRODUCT((الطبخات!$B$2:$B$900=A289)*الطبخات!$C$2:$C$900*COUNTIF('سجل الإنتاج'!$C$2:$C$501,الطبخات!$A$2:$A$900)),3))</f>
        <v/>
      </c>
      <c r="D289" s="11"/>
    </row>
    <row r="290" spans="1:4" ht="24" customHeight="1">
      <c r="A290" s="11"/>
      <c r="B290" s="12"/>
      <c r="C290" s="13" t="str">
        <f>IF(A290="","",ROUND(SUMIFS(الإدخالات!$D$2:$D$501,الإدخالات!$C$2:$C$501,A290)+SUMIFS('تعديل الجرد'!$F$2:$F$501,'تعديل الجرد'!$C$2:$C$501,A290)-SUMIFS('الصرف المباشر'!$D$2:$D$501,'الصرف المباشر'!$C$2:$C$501,A290)-SUMPRODUCT((الطبخات!$B$2:$B$900=A290)*الطبخات!$C$2:$C$900*COUNTIF('سجل الإنتاج'!$C$2:$C$501,الطبخات!$A$2:$A$900)),3))</f>
        <v/>
      </c>
      <c r="D290" s="11"/>
    </row>
    <row r="291" spans="1:4" ht="24" customHeight="1">
      <c r="A291" s="11"/>
      <c r="B291" s="12"/>
      <c r="C291" s="13" t="str">
        <f>IF(A291="","",ROUND(SUMIFS(الإدخالات!$D$2:$D$501,الإدخالات!$C$2:$C$501,A291)+SUMIFS('تعديل الجرد'!$F$2:$F$501,'تعديل الجرد'!$C$2:$C$501,A291)-SUMIFS('الصرف المباشر'!$D$2:$D$501,'الصرف المباشر'!$C$2:$C$501,A291)-SUMPRODUCT((الطبخات!$B$2:$B$900=A291)*الطبخات!$C$2:$C$900*COUNTIF('سجل الإنتاج'!$C$2:$C$501,الطبخات!$A$2:$A$900)),3))</f>
        <v/>
      </c>
      <c r="D291" s="11"/>
    </row>
    <row r="292" spans="1:4" ht="24" customHeight="1">
      <c r="A292" s="11"/>
      <c r="B292" s="12"/>
      <c r="C292" s="13" t="str">
        <f>IF(A292="","",ROUND(SUMIFS(الإدخالات!$D$2:$D$501,الإدخالات!$C$2:$C$501,A292)+SUMIFS('تعديل الجرد'!$F$2:$F$501,'تعديل الجرد'!$C$2:$C$501,A292)-SUMIFS('الصرف المباشر'!$D$2:$D$501,'الصرف المباشر'!$C$2:$C$501,A292)-SUMPRODUCT((الطبخات!$B$2:$B$900=A292)*الطبخات!$C$2:$C$900*COUNTIF('سجل الإنتاج'!$C$2:$C$501,الطبخات!$A$2:$A$900)),3))</f>
        <v/>
      </c>
      <c r="D292" s="11"/>
    </row>
    <row r="293" spans="1:4" ht="24" customHeight="1">
      <c r="A293" s="11"/>
      <c r="B293" s="12"/>
      <c r="C293" s="13" t="str">
        <f>IF(A293="","",ROUND(SUMIFS(الإدخالات!$D$2:$D$501,الإدخالات!$C$2:$C$501,A293)+SUMIFS('تعديل الجرد'!$F$2:$F$501,'تعديل الجرد'!$C$2:$C$501,A293)-SUMIFS('الصرف المباشر'!$D$2:$D$501,'الصرف المباشر'!$C$2:$C$501,A293)-SUMPRODUCT((الطبخات!$B$2:$B$900=A293)*الطبخات!$C$2:$C$900*COUNTIF('سجل الإنتاج'!$C$2:$C$501,الطبخات!$A$2:$A$900)),3))</f>
        <v/>
      </c>
      <c r="D293" s="11"/>
    </row>
    <row r="294" spans="1:4" ht="24" customHeight="1">
      <c r="A294" s="11"/>
      <c r="B294" s="12"/>
      <c r="C294" s="13" t="str">
        <f>IF(A294="","",ROUND(SUMIFS(الإدخالات!$D$2:$D$501,الإدخالات!$C$2:$C$501,A294)+SUMIFS('تعديل الجرد'!$F$2:$F$501,'تعديل الجرد'!$C$2:$C$501,A294)-SUMIFS('الصرف المباشر'!$D$2:$D$501,'الصرف المباشر'!$C$2:$C$501,A294)-SUMPRODUCT((الطبخات!$B$2:$B$900=A294)*الطبخات!$C$2:$C$900*COUNTIF('سجل الإنتاج'!$C$2:$C$501,الطبخات!$A$2:$A$900)),3))</f>
        <v/>
      </c>
      <c r="D294" s="11"/>
    </row>
    <row r="295" spans="1:4" ht="24" customHeight="1">
      <c r="A295" s="11"/>
      <c r="B295" s="12"/>
      <c r="C295" s="13" t="str">
        <f>IF(A295="","",ROUND(SUMIFS(الإدخالات!$D$2:$D$501,الإدخالات!$C$2:$C$501,A295)+SUMIFS('تعديل الجرد'!$F$2:$F$501,'تعديل الجرد'!$C$2:$C$501,A295)-SUMIFS('الصرف المباشر'!$D$2:$D$501,'الصرف المباشر'!$C$2:$C$501,A295)-SUMPRODUCT((الطبخات!$B$2:$B$900=A295)*الطبخات!$C$2:$C$900*COUNTIF('سجل الإنتاج'!$C$2:$C$501,الطبخات!$A$2:$A$900)),3))</f>
        <v/>
      </c>
      <c r="D295" s="11"/>
    </row>
    <row r="296" spans="1:4" ht="24" customHeight="1">
      <c r="A296" s="11"/>
      <c r="B296" s="12"/>
      <c r="C296" s="13" t="str">
        <f>IF(A296="","",ROUND(SUMIFS(الإدخالات!$D$2:$D$501,الإدخالات!$C$2:$C$501,A296)+SUMIFS('تعديل الجرد'!$F$2:$F$501,'تعديل الجرد'!$C$2:$C$501,A296)-SUMIFS('الصرف المباشر'!$D$2:$D$501,'الصرف المباشر'!$C$2:$C$501,A296)-SUMPRODUCT((الطبخات!$B$2:$B$900=A296)*الطبخات!$C$2:$C$900*COUNTIF('سجل الإنتاج'!$C$2:$C$501,الطبخات!$A$2:$A$900)),3))</f>
        <v/>
      </c>
      <c r="D296" s="11"/>
    </row>
    <row r="297" spans="1:4" ht="24" customHeight="1">
      <c r="A297" s="11"/>
      <c r="B297" s="12"/>
      <c r="C297" s="13" t="str">
        <f>IF(A297="","",ROUND(SUMIFS(الإدخالات!$D$2:$D$501,الإدخالات!$C$2:$C$501,A297)+SUMIFS('تعديل الجرد'!$F$2:$F$501,'تعديل الجرد'!$C$2:$C$501,A297)-SUMIFS('الصرف المباشر'!$D$2:$D$501,'الصرف المباشر'!$C$2:$C$501,A297)-SUMPRODUCT((الطبخات!$B$2:$B$900=A297)*الطبخات!$C$2:$C$900*COUNTIF('سجل الإنتاج'!$C$2:$C$501,الطبخات!$A$2:$A$900)),3))</f>
        <v/>
      </c>
      <c r="D297" s="11"/>
    </row>
    <row r="298" spans="1:4" ht="24" customHeight="1">
      <c r="A298" s="11"/>
      <c r="B298" s="12"/>
      <c r="C298" s="13" t="str">
        <f>IF(A298="","",ROUND(SUMIFS(الإدخالات!$D$2:$D$501,الإدخالات!$C$2:$C$501,A298)+SUMIFS('تعديل الجرد'!$F$2:$F$501,'تعديل الجرد'!$C$2:$C$501,A298)-SUMIFS('الصرف المباشر'!$D$2:$D$501,'الصرف المباشر'!$C$2:$C$501,A298)-SUMPRODUCT((الطبخات!$B$2:$B$900=A298)*الطبخات!$C$2:$C$900*COUNTIF('سجل الإنتاج'!$C$2:$C$501,الطبخات!$A$2:$A$900)),3))</f>
        <v/>
      </c>
      <c r="D298" s="11"/>
    </row>
    <row r="299" spans="1:4" ht="24" customHeight="1">
      <c r="A299" s="11"/>
      <c r="B299" s="12"/>
      <c r="C299" s="13" t="str">
        <f>IF(A299="","",ROUND(SUMIFS(الإدخالات!$D$2:$D$501,الإدخالات!$C$2:$C$501,A299)+SUMIFS('تعديل الجرد'!$F$2:$F$501,'تعديل الجرد'!$C$2:$C$501,A299)-SUMIFS('الصرف المباشر'!$D$2:$D$501,'الصرف المباشر'!$C$2:$C$501,A299)-SUMPRODUCT((الطبخات!$B$2:$B$900=A299)*الطبخات!$C$2:$C$900*COUNTIF('سجل الإنتاج'!$C$2:$C$501,الطبخات!$A$2:$A$900)),3))</f>
        <v/>
      </c>
      <c r="D299" s="11"/>
    </row>
    <row r="300" spans="1:4" ht="24" customHeight="1">
      <c r="A300" s="11"/>
      <c r="B300" s="12"/>
      <c r="C300" s="13" t="str">
        <f>IF(A300="","",ROUND(SUMIFS(الإدخالات!$D$2:$D$501,الإدخالات!$C$2:$C$501,A300)+SUMIFS('تعديل الجرد'!$F$2:$F$501,'تعديل الجرد'!$C$2:$C$501,A300)-SUMIFS('الصرف المباشر'!$D$2:$D$501,'الصرف المباشر'!$C$2:$C$501,A300)-SUMPRODUCT((الطبخات!$B$2:$B$900=A300)*الطبخات!$C$2:$C$900*COUNTIF('سجل الإنتاج'!$C$2:$C$501,الطبخات!$A$2:$A$900)),3))</f>
        <v/>
      </c>
      <c r="D300" s="11"/>
    </row>
    <row r="301" spans="1:4" ht="24" customHeight="1">
      <c r="A301" s="11"/>
      <c r="B301" s="12"/>
      <c r="C301" s="13" t="str">
        <f>IF(A301="","",ROUND(SUMIFS(الإدخالات!$D$2:$D$501,الإدخالات!$C$2:$C$501,A301)+SUMIFS('تعديل الجرد'!$F$2:$F$501,'تعديل الجرد'!$C$2:$C$501,A301)-SUMIFS('الصرف المباشر'!$D$2:$D$501,'الصرف المباشر'!$C$2:$C$501,A301)-SUMPRODUCT((الطبخات!$B$2:$B$900=A301)*الطبخات!$C$2:$C$900*COUNTIF('سجل الإنتاج'!$C$2:$C$501,الطبخات!$A$2:$A$900)),3))</f>
        <v/>
      </c>
      <c r="D301" s="11"/>
    </row>
    <row r="302" spans="1:4" ht="24" customHeight="1">
      <c r="A302" s="11"/>
      <c r="B302" s="12"/>
      <c r="C302" s="13" t="str">
        <f>IF(A302="","",ROUND(SUMIFS(الإدخالات!$D$2:$D$501,الإدخالات!$C$2:$C$501,A302)+SUMIFS('تعديل الجرد'!$F$2:$F$501,'تعديل الجرد'!$C$2:$C$501,A302)-SUMIFS('الصرف المباشر'!$D$2:$D$501,'الصرف المباشر'!$C$2:$C$501,A302)-SUMPRODUCT((الطبخات!$B$2:$B$900=A302)*الطبخات!$C$2:$C$900*COUNTIF('سجل الإنتاج'!$C$2:$C$501,الطبخات!$A$2:$A$900)),3))</f>
        <v/>
      </c>
      <c r="D302" s="11"/>
    </row>
    <row r="303" spans="1:4" ht="24" customHeight="1">
      <c r="A303" s="11"/>
      <c r="B303" s="12"/>
      <c r="C303" s="13" t="str">
        <f>IF(A303="","",ROUND(SUMIFS(الإدخالات!$D$2:$D$501,الإدخالات!$C$2:$C$501,A303)+SUMIFS('تعديل الجرد'!$F$2:$F$501,'تعديل الجرد'!$C$2:$C$501,A303)-SUMIFS('الصرف المباشر'!$D$2:$D$501,'الصرف المباشر'!$C$2:$C$501,A303)-SUMPRODUCT((الطبخات!$B$2:$B$900=A303)*الطبخات!$C$2:$C$900*COUNTIF('سجل الإنتاج'!$C$2:$C$501,الطبخات!$A$2:$A$900)),3))</f>
        <v/>
      </c>
      <c r="D303" s="11"/>
    </row>
    <row r="304" spans="1:4" ht="24" customHeight="1">
      <c r="A304" s="11"/>
      <c r="B304" s="12"/>
      <c r="C304" s="13" t="str">
        <f>IF(A304="","",ROUND(SUMIFS(الإدخالات!$D$2:$D$501,الإدخالات!$C$2:$C$501,A304)+SUMIFS('تعديل الجرد'!$F$2:$F$501,'تعديل الجرد'!$C$2:$C$501,A304)-SUMIFS('الصرف المباشر'!$D$2:$D$501,'الصرف المباشر'!$C$2:$C$501,A304)-SUMPRODUCT((الطبخات!$B$2:$B$900=A304)*الطبخات!$C$2:$C$900*COUNTIF('سجل الإنتاج'!$C$2:$C$501,الطبخات!$A$2:$A$900)),3))</f>
        <v/>
      </c>
      <c r="D304" s="11"/>
    </row>
    <row r="305" spans="1:4" ht="24" customHeight="1">
      <c r="A305" s="11"/>
      <c r="B305" s="12"/>
      <c r="C305" s="13" t="str">
        <f>IF(A305="","",ROUND(SUMIFS(الإدخالات!$D$2:$D$501,الإدخالات!$C$2:$C$501,A305)+SUMIFS('تعديل الجرد'!$F$2:$F$501,'تعديل الجرد'!$C$2:$C$501,A305)-SUMIFS('الصرف المباشر'!$D$2:$D$501,'الصرف المباشر'!$C$2:$C$501,A305)-SUMPRODUCT((الطبخات!$B$2:$B$900=A305)*الطبخات!$C$2:$C$900*COUNTIF('سجل الإنتاج'!$C$2:$C$501,الطبخات!$A$2:$A$900)),3))</f>
        <v/>
      </c>
      <c r="D305" s="11"/>
    </row>
    <row r="306" spans="1:4" ht="24" customHeight="1">
      <c r="A306" s="11"/>
      <c r="B306" s="12"/>
      <c r="C306" s="13" t="str">
        <f>IF(A306="","",ROUND(SUMIFS(الإدخالات!$D$2:$D$501,الإدخالات!$C$2:$C$501,A306)+SUMIFS('تعديل الجرد'!$F$2:$F$501,'تعديل الجرد'!$C$2:$C$501,A306)-SUMIFS('الصرف المباشر'!$D$2:$D$501,'الصرف المباشر'!$C$2:$C$501,A306)-SUMPRODUCT((الطبخات!$B$2:$B$900=A306)*الطبخات!$C$2:$C$900*COUNTIF('سجل الإنتاج'!$C$2:$C$501,الطبخات!$A$2:$A$900)),3))</f>
        <v/>
      </c>
      <c r="D306" s="11"/>
    </row>
    <row r="307" spans="1:4" ht="24" customHeight="1">
      <c r="A307" s="11"/>
      <c r="B307" s="12"/>
      <c r="C307" s="13" t="str">
        <f>IF(A307="","",ROUND(SUMIFS(الإدخالات!$D$2:$D$501,الإدخالات!$C$2:$C$501,A307)+SUMIFS('تعديل الجرد'!$F$2:$F$501,'تعديل الجرد'!$C$2:$C$501,A307)-SUMIFS('الصرف المباشر'!$D$2:$D$501,'الصرف المباشر'!$C$2:$C$501,A307)-SUMPRODUCT((الطبخات!$B$2:$B$900=A307)*الطبخات!$C$2:$C$900*COUNTIF('سجل الإنتاج'!$C$2:$C$501,الطبخات!$A$2:$A$900)),3))</f>
        <v/>
      </c>
      <c r="D307" s="11"/>
    </row>
    <row r="308" spans="1:4" ht="24" customHeight="1">
      <c r="A308" s="11"/>
      <c r="B308" s="12"/>
      <c r="C308" s="13" t="str">
        <f>IF(A308="","",ROUND(SUMIFS(الإدخالات!$D$2:$D$501,الإدخالات!$C$2:$C$501,A308)+SUMIFS('تعديل الجرد'!$F$2:$F$501,'تعديل الجرد'!$C$2:$C$501,A308)-SUMIFS('الصرف المباشر'!$D$2:$D$501,'الصرف المباشر'!$C$2:$C$501,A308)-SUMPRODUCT((الطبخات!$B$2:$B$900=A308)*الطبخات!$C$2:$C$900*COUNTIF('سجل الإنتاج'!$C$2:$C$501,الطبخات!$A$2:$A$900)),3))</f>
        <v/>
      </c>
      <c r="D308" s="11"/>
    </row>
    <row r="309" spans="1:4" ht="24" customHeight="1">
      <c r="A309" s="11"/>
      <c r="B309" s="12"/>
      <c r="C309" s="13" t="str">
        <f>IF(A309="","",ROUND(SUMIFS(الإدخالات!$D$2:$D$501,الإدخالات!$C$2:$C$501,A309)+SUMIFS('تعديل الجرد'!$F$2:$F$501,'تعديل الجرد'!$C$2:$C$501,A309)-SUMIFS('الصرف المباشر'!$D$2:$D$501,'الصرف المباشر'!$C$2:$C$501,A309)-SUMPRODUCT((الطبخات!$B$2:$B$900=A309)*الطبخات!$C$2:$C$900*COUNTIF('سجل الإنتاج'!$C$2:$C$501,الطبخات!$A$2:$A$900)),3))</f>
        <v/>
      </c>
      <c r="D309" s="11"/>
    </row>
    <row r="310" spans="1:4" ht="24" customHeight="1">
      <c r="A310" s="11"/>
      <c r="B310" s="12"/>
      <c r="C310" s="13" t="str">
        <f>IF(A310="","",ROUND(SUMIFS(الإدخالات!$D$2:$D$501,الإدخالات!$C$2:$C$501,A310)+SUMIFS('تعديل الجرد'!$F$2:$F$501,'تعديل الجرد'!$C$2:$C$501,A310)-SUMIFS('الصرف المباشر'!$D$2:$D$501,'الصرف المباشر'!$C$2:$C$501,A310)-SUMPRODUCT((الطبخات!$B$2:$B$900=A310)*الطبخات!$C$2:$C$900*COUNTIF('سجل الإنتاج'!$C$2:$C$501,الطبخات!$A$2:$A$900)),3))</f>
        <v/>
      </c>
      <c r="D310" s="11"/>
    </row>
    <row r="311" spans="1:4" ht="24" customHeight="1">
      <c r="A311" s="11"/>
      <c r="B311" s="12"/>
      <c r="C311" s="13" t="str">
        <f>IF(A311="","",ROUND(SUMIFS(الإدخالات!$D$2:$D$501,الإدخالات!$C$2:$C$501,A311)+SUMIFS('تعديل الجرد'!$F$2:$F$501,'تعديل الجرد'!$C$2:$C$501,A311)-SUMIFS('الصرف المباشر'!$D$2:$D$501,'الصرف المباشر'!$C$2:$C$501,A311)-SUMPRODUCT((الطبخات!$B$2:$B$900=A311)*الطبخات!$C$2:$C$900*COUNTIF('سجل الإنتاج'!$C$2:$C$501,الطبخات!$A$2:$A$900)),3))</f>
        <v/>
      </c>
      <c r="D311" s="11"/>
    </row>
    <row r="312" spans="1:4" ht="24" customHeight="1">
      <c r="A312" s="11"/>
      <c r="B312" s="12"/>
      <c r="C312" s="13" t="str">
        <f>IF(A312="","",ROUND(SUMIFS(الإدخالات!$D$2:$D$501,الإدخالات!$C$2:$C$501,A312)+SUMIFS('تعديل الجرد'!$F$2:$F$501,'تعديل الجرد'!$C$2:$C$501,A312)-SUMIFS('الصرف المباشر'!$D$2:$D$501,'الصرف المباشر'!$C$2:$C$501,A312)-SUMPRODUCT((الطبخات!$B$2:$B$900=A312)*الطبخات!$C$2:$C$900*COUNTIF('سجل الإنتاج'!$C$2:$C$501,الطبخات!$A$2:$A$900)),3))</f>
        <v/>
      </c>
      <c r="D312" s="11"/>
    </row>
    <row r="313" spans="1:4" ht="24" customHeight="1">
      <c r="A313" s="11"/>
      <c r="B313" s="12"/>
      <c r="C313" s="13" t="str">
        <f>IF(A313="","",ROUND(SUMIFS(الإدخالات!$D$2:$D$501,الإدخالات!$C$2:$C$501,A313)+SUMIFS('تعديل الجرد'!$F$2:$F$501,'تعديل الجرد'!$C$2:$C$501,A313)-SUMIFS('الصرف المباشر'!$D$2:$D$501,'الصرف المباشر'!$C$2:$C$501,A313)-SUMPRODUCT((الطبخات!$B$2:$B$900=A313)*الطبخات!$C$2:$C$900*COUNTIF('سجل الإنتاج'!$C$2:$C$501,الطبخات!$A$2:$A$900)),3))</f>
        <v/>
      </c>
      <c r="D313" s="11"/>
    </row>
    <row r="314" spans="1:4" ht="24" customHeight="1">
      <c r="A314" s="11"/>
      <c r="B314" s="12"/>
      <c r="C314" s="13" t="str">
        <f>IF(A314="","",ROUND(SUMIFS(الإدخالات!$D$2:$D$501,الإدخالات!$C$2:$C$501,A314)+SUMIFS('تعديل الجرد'!$F$2:$F$501,'تعديل الجرد'!$C$2:$C$501,A314)-SUMIFS('الصرف المباشر'!$D$2:$D$501,'الصرف المباشر'!$C$2:$C$501,A314)-SUMPRODUCT((الطبخات!$B$2:$B$900=A314)*الطبخات!$C$2:$C$900*COUNTIF('سجل الإنتاج'!$C$2:$C$501,الطبخات!$A$2:$A$900)),3))</f>
        <v/>
      </c>
      <c r="D314" s="11"/>
    </row>
    <row r="315" spans="1:4" ht="24" customHeight="1">
      <c r="A315" s="11"/>
      <c r="B315" s="12"/>
      <c r="C315" s="13" t="str">
        <f>IF(A315="","",ROUND(SUMIFS(الإدخالات!$D$2:$D$501,الإدخالات!$C$2:$C$501,A315)+SUMIFS('تعديل الجرد'!$F$2:$F$501,'تعديل الجرد'!$C$2:$C$501,A315)-SUMIFS('الصرف المباشر'!$D$2:$D$501,'الصرف المباشر'!$C$2:$C$501,A315)-SUMPRODUCT((الطبخات!$B$2:$B$900=A315)*الطبخات!$C$2:$C$900*COUNTIF('سجل الإنتاج'!$C$2:$C$501,الطبخات!$A$2:$A$900)),3))</f>
        <v/>
      </c>
      <c r="D315" s="11"/>
    </row>
    <row r="316" spans="1:4" ht="24" customHeight="1">
      <c r="A316" s="11"/>
      <c r="B316" s="12"/>
      <c r="C316" s="13" t="str">
        <f>IF(A316="","",ROUND(SUMIFS(الإدخالات!$D$2:$D$501,الإدخالات!$C$2:$C$501,A316)+SUMIFS('تعديل الجرد'!$F$2:$F$501,'تعديل الجرد'!$C$2:$C$501,A316)-SUMIFS('الصرف المباشر'!$D$2:$D$501,'الصرف المباشر'!$C$2:$C$501,A316)-SUMPRODUCT((الطبخات!$B$2:$B$900=A316)*الطبخات!$C$2:$C$900*COUNTIF('سجل الإنتاج'!$C$2:$C$501,الطبخات!$A$2:$A$900)),3))</f>
        <v/>
      </c>
      <c r="D316" s="11"/>
    </row>
    <row r="317" spans="1:4" ht="24" customHeight="1">
      <c r="A317" s="11"/>
      <c r="B317" s="12"/>
      <c r="C317" s="13" t="str">
        <f>IF(A317="","",ROUND(SUMIFS(الإدخالات!$D$2:$D$501,الإدخالات!$C$2:$C$501,A317)+SUMIFS('تعديل الجرد'!$F$2:$F$501,'تعديل الجرد'!$C$2:$C$501,A317)-SUMIFS('الصرف المباشر'!$D$2:$D$501,'الصرف المباشر'!$C$2:$C$501,A317)-SUMPRODUCT((الطبخات!$B$2:$B$900=A317)*الطبخات!$C$2:$C$900*COUNTIF('سجل الإنتاج'!$C$2:$C$501,الطبخات!$A$2:$A$900)),3))</f>
        <v/>
      </c>
      <c r="D317" s="11"/>
    </row>
    <row r="318" spans="1:4" ht="24" customHeight="1">
      <c r="A318" s="11"/>
      <c r="B318" s="12"/>
      <c r="C318" s="13" t="str">
        <f>IF(A318="","",ROUND(SUMIFS(الإدخالات!$D$2:$D$501,الإدخالات!$C$2:$C$501,A318)+SUMIFS('تعديل الجرد'!$F$2:$F$501,'تعديل الجرد'!$C$2:$C$501,A318)-SUMIFS('الصرف المباشر'!$D$2:$D$501,'الصرف المباشر'!$C$2:$C$501,A318)-SUMPRODUCT((الطبخات!$B$2:$B$900=A318)*الطبخات!$C$2:$C$900*COUNTIF('سجل الإنتاج'!$C$2:$C$501,الطبخات!$A$2:$A$900)),3))</f>
        <v/>
      </c>
      <c r="D318" s="11"/>
    </row>
    <row r="319" spans="1:4" ht="24" customHeight="1">
      <c r="A319" s="11"/>
      <c r="B319" s="12"/>
      <c r="C319" s="13" t="str">
        <f>IF(A319="","",ROUND(SUMIFS(الإدخالات!$D$2:$D$501,الإدخالات!$C$2:$C$501,A319)+SUMIFS('تعديل الجرد'!$F$2:$F$501,'تعديل الجرد'!$C$2:$C$501,A319)-SUMIFS('الصرف المباشر'!$D$2:$D$501,'الصرف المباشر'!$C$2:$C$501,A319)-SUMPRODUCT((الطبخات!$B$2:$B$900=A319)*الطبخات!$C$2:$C$900*COUNTIF('سجل الإنتاج'!$C$2:$C$501,الطبخات!$A$2:$A$900)),3))</f>
        <v/>
      </c>
      <c r="D319" s="11"/>
    </row>
    <row r="360" spans="2:2">
      <c r="B360" t="s">
        <v>38</v>
      </c>
    </row>
  </sheetData>
  <autoFilter ref="A1:D319" xr:uid="{00000000-0009-0000-0000-000001000000}"/>
  <conditionalFormatting sqref="A2:D319">
    <cfRule type="expression" dxfId="3" priority="5">
      <formula>AND($A2&lt;&gt;"",COUNTIF($A$2:$A$319,$A2)&gt;1)</formula>
    </cfRule>
    <cfRule type="expression" dxfId="2" priority="6">
      <formula>AND($C2&lt;&gt;"",$C2&lt;0)</formula>
    </cfRule>
  </conditionalFormatting>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E5395"/>
  </sheetPr>
  <dimension ref="A1:G900"/>
  <sheetViews>
    <sheetView rightToLeft="1" zoomScale="136" zoomScaleNormal="136" workbookViewId="0">
      <pane ySplit="1" topLeftCell="A74" activePane="bottomLeft" state="frozen"/>
      <selection activeCell="B3" sqref="B3"/>
      <selection pane="bottomLeft" activeCell="B76" sqref="A76:B80"/>
    </sheetView>
  </sheetViews>
  <sheetFormatPr defaultRowHeight="14.25"/>
  <cols>
    <col min="1" max="1" width="38.5" customWidth="1"/>
    <col min="2" max="2" width="41.125" customWidth="1"/>
    <col min="3" max="3" width="12" customWidth="1"/>
    <col min="4" max="4" width="10" customWidth="1"/>
    <col min="5" max="5" width="40" customWidth="1"/>
    <col min="6" max="6" width="27.25" customWidth="1"/>
    <col min="7" max="7" width="38.375" customWidth="1"/>
  </cols>
  <sheetData>
    <row r="1" spans="1:7" ht="26.1" customHeight="1">
      <c r="A1" s="2" t="s">
        <v>16</v>
      </c>
      <c r="B1" s="2" t="s">
        <v>21</v>
      </c>
      <c r="C1" s="2" t="s">
        <v>22</v>
      </c>
      <c r="D1" s="2" t="s">
        <v>11</v>
      </c>
      <c r="E1" s="2" t="s">
        <v>26</v>
      </c>
      <c r="F1" s="14" t="s">
        <v>88</v>
      </c>
      <c r="G1" s="14" t="s">
        <v>89</v>
      </c>
    </row>
    <row r="2" spans="1:7" ht="21.95" customHeight="1">
      <c r="A2" s="9" t="s">
        <v>90</v>
      </c>
      <c r="B2" s="9" t="s">
        <v>41</v>
      </c>
      <c r="C2" s="15">
        <v>105</v>
      </c>
      <c r="D2" s="16" t="s">
        <v>28</v>
      </c>
      <c r="E2" s="9"/>
      <c r="F2" t="str">
        <f>IF(AND($A2&lt;&gt;"",COUNTIF($A$2:A2,$A2)=1),$A2,"")</f>
        <v>دوا غسيل بودرا 157 كغ - ببوري</v>
      </c>
      <c r="G2">
        <f>IF($F2&lt;&gt;"",SUMPRODUCT(($F$2:F2&lt;&gt;"")*1),"")</f>
        <v>1</v>
      </c>
    </row>
    <row r="3" spans="1:7" ht="21.95" customHeight="1">
      <c r="A3" s="9" t="s">
        <v>90</v>
      </c>
      <c r="B3" s="9" t="s">
        <v>87</v>
      </c>
      <c r="C3" s="15">
        <v>40</v>
      </c>
      <c r="D3" s="16" t="s">
        <v>28</v>
      </c>
      <c r="E3" s="9"/>
      <c r="F3" t="str">
        <f>IF(AND($A3&lt;&gt;"",COUNTIF($A$2:A3,$A3)=1),$A3,"")</f>
        <v/>
      </c>
      <c r="G3" t="str">
        <f>IF($F3&lt;&gt;"",SUMPRODUCT(($F$2:F3&lt;&gt;"")*1),"")</f>
        <v/>
      </c>
    </row>
    <row r="4" spans="1:7" ht="21.95" customHeight="1">
      <c r="A4" s="9" t="s">
        <v>90</v>
      </c>
      <c r="B4" s="9" t="s">
        <v>66</v>
      </c>
      <c r="C4" s="15">
        <v>1</v>
      </c>
      <c r="D4" s="16" t="s">
        <v>28</v>
      </c>
      <c r="E4" s="9"/>
      <c r="F4" t="str">
        <f>IF(AND($A4&lt;&gt;"",COUNTIF($A$2:A4,$A4)=1),$A4,"")</f>
        <v/>
      </c>
      <c r="G4" t="str">
        <f>IF($F4&lt;&gt;"",SUMPRODUCT(($F$2:F4&lt;&gt;"")*1),"")</f>
        <v/>
      </c>
    </row>
    <row r="5" spans="1:7" ht="21.95" customHeight="1">
      <c r="A5" s="9" t="s">
        <v>90</v>
      </c>
      <c r="B5" s="9" t="s">
        <v>36</v>
      </c>
      <c r="C5" s="15">
        <v>11</v>
      </c>
      <c r="D5" s="16" t="str">
        <f>IFERROR(INDEX(المواد!$B$2:$B$319,MATCH(B5,المواد!$A$2:$A$319,0)),"")</f>
        <v>كغ</v>
      </c>
      <c r="E5" s="9"/>
      <c r="F5" t="str">
        <f>IF(AND($A5&lt;&gt;"",COUNTIF($A$2:A5,$A5)=1),$A5,"")</f>
        <v/>
      </c>
      <c r="G5" t="str">
        <f>IF($F5&lt;&gt;"",SUMPRODUCT(($F$2:F5&lt;&gt;"")*1),"")</f>
        <v/>
      </c>
    </row>
    <row r="6" spans="1:7" ht="21.95" customHeight="1">
      <c r="A6" s="9" t="s">
        <v>90</v>
      </c>
      <c r="B6" s="9" t="s">
        <v>83</v>
      </c>
      <c r="C6" s="15">
        <v>210</v>
      </c>
      <c r="D6" s="16" t="str">
        <f>IFERROR(INDEX(المواد!$B$2:$B$319,MATCH(B6,المواد!$A$2:$A$319,0)),"")</f>
        <v>كغ</v>
      </c>
      <c r="E6" s="9"/>
      <c r="F6" t="str">
        <f>IF(AND($A6&lt;&gt;"",COUNTIF($A$2:A6,$A6)=1),$A6,"")</f>
        <v/>
      </c>
      <c r="G6" t="str">
        <f>IF($F6&lt;&gt;"",SUMPRODUCT(($F$2:F6&lt;&gt;"")*1),"")</f>
        <v/>
      </c>
    </row>
    <row r="7" spans="1:7" ht="21.95" customHeight="1">
      <c r="A7" s="9" t="s">
        <v>91</v>
      </c>
      <c r="B7" s="9" t="s">
        <v>41</v>
      </c>
      <c r="C7" s="15">
        <v>45</v>
      </c>
      <c r="D7" s="16" t="str">
        <f>IFERROR(INDEX(المواد!$B$2:$B$319,MATCH(B7,المواد!$A$2:$A$319,0)),"")</f>
        <v>كغ</v>
      </c>
      <c r="E7" s="9"/>
      <c r="F7" t="str">
        <f>IF(AND($A7&lt;&gt;"",COUNTIF($A$2:A7,$A7)=1),$A7,"")</f>
        <v>دوا غسيل بودرا 45كغ مصنع</v>
      </c>
      <c r="G7">
        <f>IF($F7&lt;&gt;"",SUMPRODUCT(($F$2:F7&lt;&gt;"")*1),"")</f>
        <v>2</v>
      </c>
    </row>
    <row r="8" spans="1:7" ht="21.95" customHeight="1">
      <c r="A8" s="9" t="s">
        <v>91</v>
      </c>
      <c r="B8" s="9" t="s">
        <v>87</v>
      </c>
      <c r="C8" s="15">
        <v>18</v>
      </c>
      <c r="D8" s="16" t="str">
        <f>IFERROR(INDEX(المواد!$B$2:$B$319,MATCH(B8,المواد!$A$2:$A$319,0)),"")</f>
        <v>كغ</v>
      </c>
      <c r="E8" s="9"/>
      <c r="F8" t="str">
        <f>IF(AND($A8&lt;&gt;"",COUNTIF($A$2:A8,$A8)=1),$A8,"")</f>
        <v/>
      </c>
      <c r="G8" t="str">
        <f>IF($F8&lt;&gt;"",SUMPRODUCT(($F$2:F8&lt;&gt;"")*1),"")</f>
        <v/>
      </c>
    </row>
    <row r="9" spans="1:7" ht="21.95" customHeight="1">
      <c r="A9" s="9" t="s">
        <v>91</v>
      </c>
      <c r="B9" s="9" t="s">
        <v>66</v>
      </c>
      <c r="C9" s="15">
        <v>0.45</v>
      </c>
      <c r="D9" s="16" t="str">
        <f>IFERROR(INDEX(المواد!$B$2:$B$319,MATCH(B9,المواد!$A$2:$A$319,0)),"")</f>
        <v>كغ</v>
      </c>
      <c r="E9" s="9"/>
      <c r="F9" t="str">
        <f>IF(AND($A9&lt;&gt;"",COUNTIF($A$2:A9,$A9)=1),$A9,"")</f>
        <v/>
      </c>
      <c r="G9" t="str">
        <f>IF($F9&lt;&gt;"",SUMPRODUCT(($F$2:F9&lt;&gt;"")*1),"")</f>
        <v/>
      </c>
    </row>
    <row r="10" spans="1:7" ht="21.95" customHeight="1">
      <c r="A10" s="9" t="s">
        <v>91</v>
      </c>
      <c r="B10" s="9" t="s">
        <v>36</v>
      </c>
      <c r="C10" s="15">
        <v>5</v>
      </c>
      <c r="D10" s="16" t="str">
        <f>IFERROR(INDEX(المواد!$B$2:$B$319,MATCH(B10,المواد!$A$2:$A$319,0)),"")</f>
        <v>كغ</v>
      </c>
      <c r="E10" s="9"/>
      <c r="F10" t="str">
        <f>IF(AND($A10&lt;&gt;"",COUNTIF($A$2:A10,$A10)=1),$A10,"")</f>
        <v/>
      </c>
      <c r="G10" t="str">
        <f>IF($F10&lt;&gt;"",SUMPRODUCT(($F$2:F10&lt;&gt;"")*1),"")</f>
        <v/>
      </c>
    </row>
    <row r="11" spans="1:7" ht="21.95" customHeight="1">
      <c r="A11" s="9" t="s">
        <v>91</v>
      </c>
      <c r="B11" s="9" t="s">
        <v>83</v>
      </c>
      <c r="C11" s="15">
        <v>95</v>
      </c>
      <c r="D11" s="16" t="str">
        <f>IFERROR(INDEX(المواد!$B$2:$B$319,MATCH(B11,المواد!$A$2:$A$319,0)),"")</f>
        <v>كغ</v>
      </c>
      <c r="E11" s="9"/>
      <c r="F11" t="str">
        <f>IF(AND($A11&lt;&gt;"",COUNTIF($A$2:A11,$A11)=1),$A11,"")</f>
        <v/>
      </c>
      <c r="G11" t="str">
        <f>IF($F11&lt;&gt;"",SUMPRODUCT(($F$2:F11&lt;&gt;"")*1),"")</f>
        <v/>
      </c>
    </row>
    <row r="12" spans="1:7" ht="21.95" customHeight="1">
      <c r="A12" s="9" t="s">
        <v>92</v>
      </c>
      <c r="B12" s="9" t="s">
        <v>41</v>
      </c>
      <c r="C12" s="15">
        <v>60</v>
      </c>
      <c r="D12" s="16" t="str">
        <f>IFERROR(INDEX(المواد!$B$2:$B$319,MATCH(B12,المواد!$A$2:$A$319,0)),"")</f>
        <v>كغ</v>
      </c>
      <c r="E12" s="9"/>
      <c r="F12" t="str">
        <f>IF(AND($A12&lt;&gt;"",COUNTIF($A$2:A12,$A12)=1),$A12,"")</f>
        <v>دوا غسيل بودرا 60 كغ -عطر ببوري</v>
      </c>
      <c r="G12">
        <f>IF($F12&lt;&gt;"",SUMPRODUCT(($F$2:F12&lt;&gt;"")*1),"")</f>
        <v>3</v>
      </c>
    </row>
    <row r="13" spans="1:7" ht="21.95" customHeight="1">
      <c r="A13" s="9" t="s">
        <v>92</v>
      </c>
      <c r="B13" s="9" t="s">
        <v>87</v>
      </c>
      <c r="C13" s="15">
        <v>24</v>
      </c>
      <c r="D13" s="16" t="str">
        <f>IFERROR(INDEX(المواد!$B$2:$B$319,MATCH(B13,المواد!$A$2:$A$319,0)),"")</f>
        <v>كغ</v>
      </c>
      <c r="E13" s="9"/>
      <c r="F13" t="str">
        <f>IF(AND($A13&lt;&gt;"",COUNTIF($A$2:A13,$A13)=1),$A13,"")</f>
        <v/>
      </c>
      <c r="G13" t="str">
        <f>IF($F13&lt;&gt;"",SUMPRODUCT(($F$2:F13&lt;&gt;"")*1),"")</f>
        <v/>
      </c>
    </row>
    <row r="14" spans="1:7" ht="21.95" customHeight="1">
      <c r="A14" s="9" t="s">
        <v>92</v>
      </c>
      <c r="B14" s="9" t="s">
        <v>66</v>
      </c>
      <c r="C14" s="15">
        <v>0.6</v>
      </c>
      <c r="D14" s="16" t="str">
        <f>IFERROR(INDEX(المواد!$B$2:$B$319,MATCH(B14,المواد!$A$2:$A$319,0)),"")</f>
        <v>كغ</v>
      </c>
      <c r="E14" s="9"/>
      <c r="F14" t="str">
        <f>IF(AND($A14&lt;&gt;"",COUNTIF($A$2:A14,$A14)=1),$A14,"")</f>
        <v/>
      </c>
      <c r="G14" t="str">
        <f>IF($F14&lt;&gt;"",SUMPRODUCT(($F$2:F14&lt;&gt;"")*1),"")</f>
        <v/>
      </c>
    </row>
    <row r="15" spans="1:7" ht="21.95" customHeight="1">
      <c r="A15" s="9" t="s">
        <v>92</v>
      </c>
      <c r="B15" s="9" t="s">
        <v>36</v>
      </c>
      <c r="C15" s="15">
        <v>6.6</v>
      </c>
      <c r="D15" s="16" t="str">
        <f>IFERROR(INDEX(المواد!$B$2:$B$319,MATCH(B15,المواد!$A$2:$A$319,0)),"")</f>
        <v>كغ</v>
      </c>
      <c r="E15" s="9"/>
      <c r="F15" t="str">
        <f>IF(AND($A15&lt;&gt;"",COUNTIF($A$2:A15,$A15)=1),$A15,"")</f>
        <v/>
      </c>
      <c r="G15" t="str">
        <f>IF($F15&lt;&gt;"",SUMPRODUCT(($F$2:F15&lt;&gt;"")*1),"")</f>
        <v/>
      </c>
    </row>
    <row r="16" spans="1:7" ht="21.95" customHeight="1">
      <c r="A16" s="9" t="s">
        <v>92</v>
      </c>
      <c r="B16" s="9" t="s">
        <v>83</v>
      </c>
      <c r="C16" s="15">
        <v>126</v>
      </c>
      <c r="D16" s="16" t="str">
        <f>IFERROR(INDEX(المواد!$B$2:$B$319,MATCH(B16,المواد!$A$2:$A$319,0)),"")</f>
        <v>كغ</v>
      </c>
      <c r="E16" s="9"/>
      <c r="F16" t="str">
        <f>IF(AND($A16&lt;&gt;"",COUNTIF($A$2:A16,$A16)=1),$A16,"")</f>
        <v/>
      </c>
      <c r="G16" t="str">
        <f>IF($F16&lt;&gt;"",SUMPRODUCT(($F$2:F16&lt;&gt;"")*1),"")</f>
        <v/>
      </c>
    </row>
    <row r="17" spans="1:7" ht="21.95" customHeight="1">
      <c r="A17" s="9" t="s">
        <v>93</v>
      </c>
      <c r="B17" s="9" t="s">
        <v>35</v>
      </c>
      <c r="C17" s="15">
        <v>120</v>
      </c>
      <c r="D17" s="16" t="str">
        <f>IFERROR(INDEX(المواد!$B$2:$B$319,MATCH(B17,المواد!$A$2:$A$319,0)),"")</f>
        <v>كغ</v>
      </c>
      <c r="E17" s="9"/>
      <c r="F17" t="str">
        <f>IF(AND($A17&lt;&gt;"",COUNTIF($A$2:A17,$A17)=1),$A17,"")</f>
        <v>صابون سائل رمان - لافندر</v>
      </c>
      <c r="G17">
        <f>IF($F17&lt;&gt;"",SUMPRODUCT(($F$2:F17&lt;&gt;"")*1),"")</f>
        <v>4</v>
      </c>
    </row>
    <row r="18" spans="1:7" ht="21.95" customHeight="1">
      <c r="A18" s="9" t="s">
        <v>93</v>
      </c>
      <c r="B18" s="9" t="s">
        <v>43</v>
      </c>
      <c r="C18" s="15">
        <v>40</v>
      </c>
      <c r="D18" s="16" t="str">
        <f>IFERROR(INDEX(المواد!$B$2:$B$319,MATCH(B18,المواد!$A$2:$A$319,0)),"")</f>
        <v>كغ</v>
      </c>
      <c r="E18" s="9"/>
      <c r="F18" t="str">
        <f>IF(AND($A18&lt;&gt;"",COUNTIF($A$2:A18,$A18)=1),$A18,"")</f>
        <v/>
      </c>
      <c r="G18" t="str">
        <f>IF($F18&lt;&gt;"",SUMPRODUCT(($F$2:F18&lt;&gt;"")*1),"")</f>
        <v/>
      </c>
    </row>
    <row r="19" spans="1:7" ht="21.95" customHeight="1">
      <c r="A19" s="9" t="s">
        <v>93</v>
      </c>
      <c r="B19" s="9" t="s">
        <v>80</v>
      </c>
      <c r="C19" s="15">
        <v>5</v>
      </c>
      <c r="D19" s="16" t="str">
        <f>IFERROR(INDEX(المواد!$B$2:$B$319,MATCH(B19,المواد!$A$2:$A$319,0)),"")</f>
        <v>كغ</v>
      </c>
      <c r="E19" s="9"/>
      <c r="F19" t="str">
        <f>IF(AND($A19&lt;&gt;"",COUNTIF($A$2:A19,$A19)=1),$A19,"")</f>
        <v/>
      </c>
      <c r="G19" t="str">
        <f>IF($F19&lt;&gt;"",SUMPRODUCT(($F$2:F19&lt;&gt;"")*1),"")</f>
        <v/>
      </c>
    </row>
    <row r="20" spans="1:7" ht="21.95" customHeight="1">
      <c r="A20" s="9" t="s">
        <v>93</v>
      </c>
      <c r="B20" s="9" t="s">
        <v>74</v>
      </c>
      <c r="C20" s="15">
        <v>5</v>
      </c>
      <c r="D20" s="16" t="str">
        <f>IFERROR(INDEX(المواد!$B$2:$B$319,MATCH(B20,المواد!$A$2:$A$319,0)),"")</f>
        <v>كغ</v>
      </c>
      <c r="E20" s="9"/>
      <c r="F20" t="str">
        <f>IF(AND($A20&lt;&gt;"",COUNTIF($A$2:A20,$A20)=1),$A20,"")</f>
        <v/>
      </c>
      <c r="G20" t="str">
        <f>IF($F20&lt;&gt;"",SUMPRODUCT(($F$2:F20&lt;&gt;"")*1),"")</f>
        <v/>
      </c>
    </row>
    <row r="21" spans="1:7" ht="21.95" customHeight="1">
      <c r="A21" s="9" t="s">
        <v>93</v>
      </c>
      <c r="B21" s="9" t="s">
        <v>212</v>
      </c>
      <c r="C21" s="15">
        <v>1.5</v>
      </c>
      <c r="D21" s="16" t="str">
        <f>IFERROR(INDEX(المواد!$B$2:$B$319,MATCH(B21,المواد!$A$2:$A$319,0)),"")</f>
        <v>كغ</v>
      </c>
      <c r="E21" s="9"/>
      <c r="F21" t="str">
        <f>IF(AND($A21&lt;&gt;"",COUNTIF($A$2:A21,$A21)=1),$A21,"")</f>
        <v/>
      </c>
      <c r="G21" t="str">
        <f>IF($F21&lt;&gt;"",SUMPRODUCT(($F$2:F21&lt;&gt;"")*1),"")</f>
        <v/>
      </c>
    </row>
    <row r="22" spans="1:7" ht="21.95" customHeight="1">
      <c r="A22" s="9" t="s">
        <v>93</v>
      </c>
      <c r="B22" s="9" t="s">
        <v>34</v>
      </c>
      <c r="C22" s="15">
        <v>20</v>
      </c>
      <c r="D22" s="16" t="str">
        <f>IFERROR(INDEX(المواد!$B$2:$B$319,MATCH(B22,المواد!$A$2:$A$319,0)),"")</f>
        <v>كغ</v>
      </c>
      <c r="E22" s="9"/>
      <c r="F22" t="str">
        <f>IF(AND($A22&lt;&gt;"",COUNTIF($A$2:A22,$A22)=1),$A22,"")</f>
        <v/>
      </c>
      <c r="G22" t="str">
        <f>IF($F22&lt;&gt;"",SUMPRODUCT(($F$2:F22&lt;&gt;"")*1),"")</f>
        <v/>
      </c>
    </row>
    <row r="23" spans="1:7" ht="21.95" customHeight="1">
      <c r="A23" s="9" t="s">
        <v>93</v>
      </c>
      <c r="B23" s="9" t="s">
        <v>69</v>
      </c>
      <c r="C23" s="15">
        <v>2</v>
      </c>
      <c r="D23" s="16" t="str">
        <f>IFERROR(INDEX(المواد!$B$2:$B$319,MATCH(B23,المواد!$A$2:$A$319,0)),"")</f>
        <v>كغ</v>
      </c>
      <c r="E23" s="9"/>
      <c r="F23" t="str">
        <f>IF(AND($A23&lt;&gt;"",COUNTIF($A$2:A23,$A23)=1),$A23,"")</f>
        <v/>
      </c>
      <c r="G23" t="str">
        <f>IF($F23&lt;&gt;"",SUMPRODUCT(($F$2:F23&lt;&gt;"")*1),"")</f>
        <v/>
      </c>
    </row>
    <row r="24" spans="1:7" ht="21.95" customHeight="1">
      <c r="A24" s="9" t="s">
        <v>93</v>
      </c>
      <c r="B24" s="9" t="s">
        <v>45</v>
      </c>
      <c r="C24" s="15"/>
      <c r="D24" s="16" t="str">
        <f>IFERROR(INDEX(المواد!$B$2:$B$319,MATCH(B24,المواد!$A$2:$A$319,0)),"")</f>
        <v>كغ</v>
      </c>
      <c r="E24" s="9"/>
      <c r="F24" t="str">
        <f>IF(AND($A24&lt;&gt;"",COUNTIF($A$2:A24,$A24)=1),$A24,"")</f>
        <v/>
      </c>
      <c r="G24" t="str">
        <f>IF($F24&lt;&gt;"",SUMPRODUCT(($F$2:F24&lt;&gt;"")*1),"")</f>
        <v/>
      </c>
    </row>
    <row r="25" spans="1:7" ht="21.95" customHeight="1">
      <c r="A25" s="9" t="s">
        <v>93</v>
      </c>
      <c r="B25" s="9" t="s">
        <v>82</v>
      </c>
      <c r="C25" s="15">
        <v>800</v>
      </c>
      <c r="D25" s="16" t="str">
        <f>IFERROR(INDEX(المواد!$B$2:$B$319,MATCH(B25,المواد!$A$2:$A$319,0)),"")</f>
        <v>كغ</v>
      </c>
      <c r="E25" s="9"/>
      <c r="F25" t="str">
        <f>IF(AND($A25&lt;&gt;"",COUNTIF($A$2:A25,$A25)=1),$A25,"")</f>
        <v/>
      </c>
      <c r="G25" t="str">
        <f>IF($F25&lt;&gt;"",SUMPRODUCT(($F$2:F25&lt;&gt;"")*1),"")</f>
        <v/>
      </c>
    </row>
    <row r="26" spans="1:7" ht="21.95" customHeight="1">
      <c r="A26" s="9" t="s">
        <v>93</v>
      </c>
      <c r="B26" s="9" t="s">
        <v>40</v>
      </c>
      <c r="C26" s="15"/>
      <c r="D26" s="16" t="str">
        <f>IFERROR(INDEX(المواد!$B$2:$B$319,MATCH(B26,المواد!$A$2:$A$319,0)),"")</f>
        <v>كغ</v>
      </c>
      <c r="E26" s="9"/>
      <c r="F26" t="str">
        <f>IF(AND($A26&lt;&gt;"",COUNTIF($A$2:A26,$A26)=1),$A26,"")</f>
        <v/>
      </c>
      <c r="G26" t="str">
        <f>IF($F26&lt;&gt;"",SUMPRODUCT(($F$2:F26&lt;&gt;"")*1),"")</f>
        <v/>
      </c>
    </row>
    <row r="27" spans="1:7" ht="21.95" customHeight="1">
      <c r="A27" s="9" t="s">
        <v>94</v>
      </c>
      <c r="B27" s="9" t="s">
        <v>35</v>
      </c>
      <c r="C27" s="15">
        <v>120</v>
      </c>
      <c r="D27" s="16" t="str">
        <f>IFERROR(INDEX(المواد!$B$2:$B$319,MATCH(B27,المواد!$A$2:$A$319,0)),"")</f>
        <v>كغ</v>
      </c>
      <c r="E27" s="9"/>
      <c r="F27" t="str">
        <f>IF(AND($A27&lt;&gt;"",COUNTIF($A$2:A27,$A27)=1),$A27,"")</f>
        <v>صابون سائل عود</v>
      </c>
      <c r="G27">
        <f>IF($F27&lt;&gt;"",SUMPRODUCT(($F$2:F27&lt;&gt;"")*1),"")</f>
        <v>5</v>
      </c>
    </row>
    <row r="28" spans="1:7" ht="21.95" customHeight="1">
      <c r="A28" s="9" t="s">
        <v>94</v>
      </c>
      <c r="B28" s="9" t="s">
        <v>43</v>
      </c>
      <c r="C28" s="15">
        <v>40</v>
      </c>
      <c r="D28" s="16" t="str">
        <f>IFERROR(INDEX(المواد!$B$2:$B$319,MATCH(B28,المواد!$A$2:$A$319,0)),"")</f>
        <v>كغ</v>
      </c>
      <c r="E28" s="9"/>
      <c r="F28" t="str">
        <f>IF(AND($A28&lt;&gt;"",COUNTIF($A$2:A28,$A28)=1),$A28,"")</f>
        <v/>
      </c>
      <c r="G28" t="str">
        <f>IF($F28&lt;&gt;"",SUMPRODUCT(($F$2:F28&lt;&gt;"")*1),"")</f>
        <v/>
      </c>
    </row>
    <row r="29" spans="1:7" ht="21.95" customHeight="1">
      <c r="A29" s="9" t="s">
        <v>94</v>
      </c>
      <c r="B29" s="9" t="s">
        <v>80</v>
      </c>
      <c r="C29" s="15">
        <v>5</v>
      </c>
      <c r="D29" s="16" t="str">
        <f>IFERROR(INDEX(المواد!$B$2:$B$319,MATCH(B29,المواد!$A$2:$A$319,0)),"")</f>
        <v>كغ</v>
      </c>
      <c r="E29" s="9"/>
      <c r="F29" t="str">
        <f>IF(AND($A29&lt;&gt;"",COUNTIF($A$2:A29,$A29)=1),$A29,"")</f>
        <v/>
      </c>
      <c r="G29" t="str">
        <f>IF($F29&lt;&gt;"",SUMPRODUCT(($F$2:F29&lt;&gt;"")*1),"")</f>
        <v/>
      </c>
    </row>
    <row r="30" spans="1:7" ht="21.95" customHeight="1">
      <c r="A30" s="9" t="s">
        <v>94</v>
      </c>
      <c r="B30" s="9" t="s">
        <v>74</v>
      </c>
      <c r="C30" s="15">
        <v>5</v>
      </c>
      <c r="D30" s="16" t="str">
        <f>IFERROR(INDEX(المواد!$B$2:$B$319,MATCH(B30,المواد!$A$2:$A$319,0)),"")</f>
        <v>كغ</v>
      </c>
      <c r="E30" s="9"/>
      <c r="F30" t="str">
        <f>IF(AND($A30&lt;&gt;"",COUNTIF($A$2:A30,$A30)=1),$A30,"")</f>
        <v/>
      </c>
      <c r="G30" t="str">
        <f>IF($F30&lt;&gt;"",SUMPRODUCT(($F$2:F30&lt;&gt;"")*1),"")</f>
        <v/>
      </c>
    </row>
    <row r="31" spans="1:7" ht="21.95" customHeight="1">
      <c r="A31" s="9" t="s">
        <v>94</v>
      </c>
      <c r="B31" s="9" t="s">
        <v>212</v>
      </c>
      <c r="C31" s="15">
        <v>1.5</v>
      </c>
      <c r="D31" s="16" t="str">
        <f>IFERROR(INDEX(المواد!$B$2:$B$319,MATCH(B31,المواد!$A$2:$A$319,0)),"")</f>
        <v>كغ</v>
      </c>
      <c r="E31" s="9"/>
      <c r="F31" t="str">
        <f>IF(AND($A31&lt;&gt;"",COUNTIF($A$2:A31,$A31)=1),$A31,"")</f>
        <v/>
      </c>
      <c r="G31" t="str">
        <f>IF($F31&lt;&gt;"",SUMPRODUCT(($F$2:F31&lt;&gt;"")*1),"")</f>
        <v/>
      </c>
    </row>
    <row r="32" spans="1:7" ht="21.95" customHeight="1">
      <c r="A32" s="9" t="s">
        <v>94</v>
      </c>
      <c r="B32" s="9" t="s">
        <v>34</v>
      </c>
      <c r="C32" s="15">
        <v>20</v>
      </c>
      <c r="D32" s="16" t="str">
        <f>IFERROR(INDEX(المواد!$B$2:$B$319,MATCH(B32,المواد!$A$2:$A$319,0)),"")</f>
        <v>كغ</v>
      </c>
      <c r="E32" s="9"/>
      <c r="F32" t="str">
        <f>IF(AND($A32&lt;&gt;"",COUNTIF($A$2:A32,$A32)=1),$A32,"")</f>
        <v/>
      </c>
      <c r="G32" t="str">
        <f>IF($F32&lt;&gt;"",SUMPRODUCT(($F$2:F32&lt;&gt;"")*1),"")</f>
        <v/>
      </c>
    </row>
    <row r="33" spans="1:7" ht="21.95" customHeight="1">
      <c r="A33" s="9" t="s">
        <v>94</v>
      </c>
      <c r="B33" s="9" t="s">
        <v>60</v>
      </c>
      <c r="C33" s="15">
        <v>2</v>
      </c>
      <c r="D33" s="16" t="str">
        <f>IFERROR(INDEX(المواد!$B$2:$B$319,MATCH(B33,المواد!$A$2:$A$319,0)),"")</f>
        <v>كغ</v>
      </c>
      <c r="E33" s="9"/>
      <c r="F33" t="str">
        <f>IF(AND($A33&lt;&gt;"",COUNTIF($A$2:A33,$A33)=1),$A33,"")</f>
        <v/>
      </c>
      <c r="G33" t="str">
        <f>IF($F33&lt;&gt;"",SUMPRODUCT(($F$2:F33&lt;&gt;"")*1),"")</f>
        <v/>
      </c>
    </row>
    <row r="34" spans="1:7" ht="21.95" customHeight="1">
      <c r="A34" s="9" t="s">
        <v>94</v>
      </c>
      <c r="B34" s="9" t="s">
        <v>45</v>
      </c>
      <c r="C34" s="15"/>
      <c r="D34" s="16" t="str">
        <f>IFERROR(INDEX(المواد!$B$2:$B$319,MATCH(B34,المواد!$A$2:$A$319,0)),"")</f>
        <v>كغ</v>
      </c>
      <c r="E34" s="9"/>
      <c r="F34" t="str">
        <f>IF(AND($A34&lt;&gt;"",COUNTIF($A$2:A34,$A34)=1),$A34,"")</f>
        <v/>
      </c>
      <c r="G34" t="str">
        <f>IF($F34&lt;&gt;"",SUMPRODUCT(($F$2:F34&lt;&gt;"")*1),"")</f>
        <v/>
      </c>
    </row>
    <row r="35" spans="1:7" ht="21.95" customHeight="1">
      <c r="A35" s="9" t="s">
        <v>94</v>
      </c>
      <c r="B35" s="9" t="s">
        <v>82</v>
      </c>
      <c r="C35" s="15">
        <v>800</v>
      </c>
      <c r="D35" s="16" t="str">
        <f>IFERROR(INDEX(المواد!$B$2:$B$319,MATCH(B35,المواد!$A$2:$A$319,0)),"")</f>
        <v>كغ</v>
      </c>
      <c r="E35" s="9"/>
      <c r="F35" t="str">
        <f>IF(AND($A35&lt;&gt;"",COUNTIF($A$2:A35,$A35)=1),$A35,"")</f>
        <v/>
      </c>
      <c r="G35" t="str">
        <f>IF($F35&lt;&gt;"",SUMPRODUCT(($F$2:F35&lt;&gt;"")*1),"")</f>
        <v/>
      </c>
    </row>
    <row r="36" spans="1:7" ht="21.95" customHeight="1">
      <c r="A36" s="9" t="s">
        <v>94</v>
      </c>
      <c r="B36" s="9" t="s">
        <v>40</v>
      </c>
      <c r="C36" s="15"/>
      <c r="D36" s="16" t="str">
        <f>IFERROR(INDEX(المواد!$B$2:$B$319,MATCH(B36,المواد!$A$2:$A$319,0)),"")</f>
        <v>كغ</v>
      </c>
      <c r="E36" s="9"/>
      <c r="F36" t="str">
        <f>IF(AND($A36&lt;&gt;"",COUNTIF($A$2:A36,$A36)=1),$A36,"")</f>
        <v/>
      </c>
      <c r="G36" t="str">
        <f>IF($F36&lt;&gt;"",SUMPRODUCT(($F$2:F36&lt;&gt;"")*1),"")</f>
        <v/>
      </c>
    </row>
    <row r="37" spans="1:7" ht="21.95" customHeight="1">
      <c r="A37" s="9" t="s">
        <v>95</v>
      </c>
      <c r="B37" s="9" t="s">
        <v>35</v>
      </c>
      <c r="C37" s="15">
        <v>120</v>
      </c>
      <c r="D37" s="16" t="str">
        <f>IFERROR(INDEX(المواد!$B$2:$B$319,MATCH(B37,المواد!$A$2:$A$319,0)),"")</f>
        <v>كغ</v>
      </c>
      <c r="E37" s="9"/>
      <c r="F37" t="str">
        <f>IF(AND($A37&lt;&gt;"",COUNTIF($A$2:A37,$A37)=1),$A37,"")</f>
        <v>صابون سائل ماء الذهب</v>
      </c>
      <c r="G37">
        <f>IF($F37&lt;&gt;"",SUMPRODUCT(($F$2:F37&lt;&gt;"")*1),"")</f>
        <v>6</v>
      </c>
    </row>
    <row r="38" spans="1:7" ht="21.95" customHeight="1">
      <c r="A38" s="9" t="s">
        <v>95</v>
      </c>
      <c r="B38" s="9" t="s">
        <v>43</v>
      </c>
      <c r="C38" s="15">
        <v>40</v>
      </c>
      <c r="D38" s="16" t="str">
        <f>IFERROR(INDEX(المواد!$B$2:$B$319,MATCH(B38,المواد!$A$2:$A$319,0)),"")</f>
        <v>كغ</v>
      </c>
      <c r="E38" s="9"/>
      <c r="F38" t="str">
        <f>IF(AND($A38&lt;&gt;"",COUNTIF($A$2:A38,$A38)=1),$A38,"")</f>
        <v/>
      </c>
      <c r="G38" t="str">
        <f>IF($F38&lt;&gt;"",SUMPRODUCT(($F$2:F38&lt;&gt;"")*1),"")</f>
        <v/>
      </c>
    </row>
    <row r="39" spans="1:7" ht="21.95" customHeight="1">
      <c r="A39" s="9" t="s">
        <v>95</v>
      </c>
      <c r="B39" s="9" t="s">
        <v>80</v>
      </c>
      <c r="C39" s="15">
        <v>5</v>
      </c>
      <c r="D39" s="16" t="str">
        <f>IFERROR(INDEX(المواد!$B$2:$B$319,MATCH(B39,المواد!$A$2:$A$319,0)),"")</f>
        <v>كغ</v>
      </c>
      <c r="E39" s="9"/>
      <c r="F39" t="str">
        <f>IF(AND($A39&lt;&gt;"",COUNTIF($A$2:A39,$A39)=1),$A39,"")</f>
        <v/>
      </c>
      <c r="G39" t="str">
        <f>IF($F39&lt;&gt;"",SUMPRODUCT(($F$2:F39&lt;&gt;"")*1),"")</f>
        <v/>
      </c>
    </row>
    <row r="40" spans="1:7" ht="21.95" customHeight="1">
      <c r="A40" s="9" t="s">
        <v>95</v>
      </c>
      <c r="B40" s="9" t="s">
        <v>74</v>
      </c>
      <c r="C40" s="15">
        <v>5</v>
      </c>
      <c r="D40" s="16" t="str">
        <f>IFERROR(INDEX(المواد!$B$2:$B$319,MATCH(B40,المواد!$A$2:$A$319,0)),"")</f>
        <v>كغ</v>
      </c>
      <c r="E40" s="9"/>
      <c r="F40" t="str">
        <f>IF(AND($A40&lt;&gt;"",COUNTIF($A$2:A40,$A40)=1),$A40,"")</f>
        <v/>
      </c>
      <c r="G40" t="str">
        <f>IF($F40&lt;&gt;"",SUMPRODUCT(($F$2:F40&lt;&gt;"")*1),"")</f>
        <v/>
      </c>
    </row>
    <row r="41" spans="1:7" ht="21.95" customHeight="1">
      <c r="A41" s="9" t="s">
        <v>95</v>
      </c>
      <c r="B41" s="9" t="s">
        <v>212</v>
      </c>
      <c r="C41" s="15">
        <v>1.5</v>
      </c>
      <c r="D41" s="16" t="str">
        <f>IFERROR(INDEX(المواد!$B$2:$B$319,MATCH(B41,المواد!$A$2:$A$319,0)),"")</f>
        <v>كغ</v>
      </c>
      <c r="E41" s="9"/>
      <c r="F41" t="str">
        <f>IF(AND($A41&lt;&gt;"",COUNTIF($A$2:A41,$A41)=1),$A41,"")</f>
        <v/>
      </c>
      <c r="G41" t="str">
        <f>IF($F41&lt;&gt;"",SUMPRODUCT(($F$2:F41&lt;&gt;"")*1),"")</f>
        <v/>
      </c>
    </row>
    <row r="42" spans="1:7" ht="21.95" customHeight="1">
      <c r="A42" s="9" t="s">
        <v>95</v>
      </c>
      <c r="B42" s="9" t="s">
        <v>34</v>
      </c>
      <c r="C42" s="15">
        <v>20</v>
      </c>
      <c r="D42" s="16" t="str">
        <f>IFERROR(INDEX(المواد!$B$2:$B$319,MATCH(B42,المواد!$A$2:$A$319,0)),"")</f>
        <v>كغ</v>
      </c>
      <c r="E42" s="9"/>
      <c r="F42" t="str">
        <f>IF(AND($A42&lt;&gt;"",COUNTIF($A$2:A42,$A42)=1),$A42,"")</f>
        <v/>
      </c>
      <c r="G42" t="str">
        <f>IF($F42&lt;&gt;"",SUMPRODUCT(($F$2:F42&lt;&gt;"")*1),"")</f>
        <v/>
      </c>
    </row>
    <row r="43" spans="1:7" ht="21.95" customHeight="1">
      <c r="A43" s="9" t="s">
        <v>95</v>
      </c>
      <c r="B43" s="9" t="s">
        <v>214</v>
      </c>
      <c r="C43" s="15">
        <v>2</v>
      </c>
      <c r="D43" s="16" t="str">
        <f>IFERROR(INDEX(المواد!$B$2:$B$319,MATCH(B43,المواد!$A$2:$A$319,0)),"")</f>
        <v>كغ</v>
      </c>
      <c r="E43" s="9"/>
      <c r="F43" t="str">
        <f>IF(AND($A43&lt;&gt;"",COUNTIF($A$2:A43,$A43)=1),$A43,"")</f>
        <v/>
      </c>
      <c r="G43" t="str">
        <f>IF($F43&lt;&gt;"",SUMPRODUCT(($F$2:F43&lt;&gt;"")*1),"")</f>
        <v/>
      </c>
    </row>
    <row r="44" spans="1:7" ht="21.95" customHeight="1">
      <c r="A44" s="9" t="s">
        <v>95</v>
      </c>
      <c r="B44" s="9" t="s">
        <v>45</v>
      </c>
      <c r="C44" s="15"/>
      <c r="D44" s="16" t="str">
        <f>IFERROR(INDEX(المواد!$B$2:$B$319,MATCH(B44,المواد!$A$2:$A$319,0)),"")</f>
        <v>كغ</v>
      </c>
      <c r="E44" s="9"/>
      <c r="F44" t="str">
        <f>IF(AND($A44&lt;&gt;"",COUNTIF($A$2:A44,$A44)=1),$A44,"")</f>
        <v/>
      </c>
      <c r="G44" t="str">
        <f>IF($F44&lt;&gt;"",SUMPRODUCT(($F$2:F44&lt;&gt;"")*1),"")</f>
        <v/>
      </c>
    </row>
    <row r="45" spans="1:7" ht="21.95" customHeight="1">
      <c r="A45" s="9" t="s">
        <v>95</v>
      </c>
      <c r="B45" s="9" t="s">
        <v>82</v>
      </c>
      <c r="C45" s="15">
        <v>800</v>
      </c>
      <c r="D45" s="16" t="str">
        <f>IFERROR(INDEX(المواد!$B$2:$B$319,MATCH(B45,المواد!$A$2:$A$319,0)),"")</f>
        <v>كغ</v>
      </c>
      <c r="E45" s="9"/>
      <c r="F45" t="str">
        <f>IF(AND($A45&lt;&gt;"",COUNTIF($A$2:A45,$A45)=1),$A45,"")</f>
        <v/>
      </c>
      <c r="G45" t="str">
        <f>IF($F45&lt;&gt;"",SUMPRODUCT(($F$2:F45&lt;&gt;"")*1),"")</f>
        <v/>
      </c>
    </row>
    <row r="46" spans="1:7" ht="21.95" customHeight="1">
      <c r="A46" s="9" t="s">
        <v>95</v>
      </c>
      <c r="B46" s="9" t="s">
        <v>40</v>
      </c>
      <c r="C46" s="15"/>
      <c r="D46" s="16" t="str">
        <f>IFERROR(INDEX(المواد!$B$2:$B$319,MATCH(B46,المواد!$A$2:$A$319,0)),"")</f>
        <v>كغ</v>
      </c>
      <c r="E46" s="9"/>
      <c r="F46" t="str">
        <f>IF(AND($A46&lt;&gt;"",COUNTIF($A$2:A46,$A46)=1),$A46,"")</f>
        <v/>
      </c>
      <c r="G46" t="str">
        <f>IF($F46&lt;&gt;"",SUMPRODUCT(($F$2:F46&lt;&gt;"")*1),"")</f>
        <v/>
      </c>
    </row>
    <row r="47" spans="1:7" ht="21.95" customHeight="1">
      <c r="A47" s="9" t="s">
        <v>96</v>
      </c>
      <c r="B47" s="9" t="s">
        <v>35</v>
      </c>
      <c r="C47" s="15">
        <v>120</v>
      </c>
      <c r="D47" s="16" t="str">
        <f>IFERROR(INDEX(المواد!$B$2:$B$319,MATCH(B47,المواد!$A$2:$A$319,0)),"")</f>
        <v>كغ</v>
      </c>
      <c r="E47" s="9"/>
      <c r="F47" t="str">
        <f>IF(AND($A47&lt;&gt;"",COUNTIF($A$2:A47,$A47)=1),$A47,"")</f>
        <v>صابون سادة</v>
      </c>
      <c r="G47">
        <f>IF($F47&lt;&gt;"",SUMPRODUCT(($F$2:F47&lt;&gt;"")*1),"")</f>
        <v>7</v>
      </c>
    </row>
    <row r="48" spans="1:7" ht="21.95" customHeight="1">
      <c r="A48" s="9" t="s">
        <v>96</v>
      </c>
      <c r="B48" s="9" t="s">
        <v>43</v>
      </c>
      <c r="C48" s="15">
        <v>40</v>
      </c>
      <c r="D48" s="16" t="str">
        <f>IFERROR(INDEX(المواد!$B$2:$B$319,MATCH(B48,المواد!$A$2:$A$319,0)),"")</f>
        <v>كغ</v>
      </c>
      <c r="E48" s="9"/>
      <c r="F48" t="str">
        <f>IF(AND($A48&lt;&gt;"",COUNTIF($A$2:A48,$A48)=1),$A48,"")</f>
        <v/>
      </c>
      <c r="G48" t="str">
        <f>IF($F48&lt;&gt;"",SUMPRODUCT(($F$2:F48&lt;&gt;"")*1),"")</f>
        <v/>
      </c>
    </row>
    <row r="49" spans="1:7" ht="21.95" customHeight="1">
      <c r="A49" s="9" t="s">
        <v>96</v>
      </c>
      <c r="B49" s="9" t="s">
        <v>80</v>
      </c>
      <c r="C49" s="15">
        <v>5</v>
      </c>
      <c r="D49" s="16" t="str">
        <f>IFERROR(INDEX(المواد!$B$2:$B$319,MATCH(B49,المواد!$A$2:$A$319,0)),"")</f>
        <v>كغ</v>
      </c>
      <c r="E49" s="9"/>
      <c r="F49" t="str">
        <f>IF(AND($A49&lt;&gt;"",COUNTIF($A$2:A49,$A49)=1),$A49,"")</f>
        <v/>
      </c>
      <c r="G49" t="str">
        <f>IF($F49&lt;&gt;"",SUMPRODUCT(($F$2:F49&lt;&gt;"")*1),"")</f>
        <v/>
      </c>
    </row>
    <row r="50" spans="1:7" ht="21.95" customHeight="1">
      <c r="A50" s="9" t="s">
        <v>44</v>
      </c>
      <c r="B50" s="9" t="s">
        <v>74</v>
      </c>
      <c r="C50" s="15">
        <v>5</v>
      </c>
      <c r="D50" s="16" t="str">
        <f>IFERROR(INDEX(المواد!$B$2:$B$319,MATCH(B50,المواد!$A$2:$A$319,0)),"")</f>
        <v>كغ</v>
      </c>
      <c r="E50" s="9"/>
      <c r="F50" t="str">
        <f>IF(AND($A50&lt;&gt;"",COUNTIF($A$2:A50,$A50)=1),$A50,"")</f>
        <v>زيت الصنوبر</v>
      </c>
      <c r="G50">
        <f>IF($F50&lt;&gt;"",SUMPRODUCT(($F$2:F50&lt;&gt;"")*1),"")</f>
        <v>8</v>
      </c>
    </row>
    <row r="51" spans="1:7" ht="21.95" customHeight="1">
      <c r="A51" s="9" t="s">
        <v>96</v>
      </c>
      <c r="B51" s="9" t="s">
        <v>212</v>
      </c>
      <c r="C51" s="15">
        <v>1.5</v>
      </c>
      <c r="D51" s="16" t="str">
        <f>IFERROR(INDEX(المواد!$B$2:$B$319,MATCH(B51,المواد!$A$2:$A$319,0)),"")</f>
        <v>كغ</v>
      </c>
      <c r="E51" s="9"/>
      <c r="F51" t="str">
        <f>IF(AND($A51&lt;&gt;"",COUNTIF($A$2:A51,$A51)=1),$A51,"")</f>
        <v/>
      </c>
      <c r="G51" t="str">
        <f>IF($F51&lt;&gt;"",SUMPRODUCT(($F$2:F51&lt;&gt;"")*1),"")</f>
        <v/>
      </c>
    </row>
    <row r="52" spans="1:7" ht="21.95" customHeight="1">
      <c r="A52" s="9" t="s">
        <v>96</v>
      </c>
      <c r="B52" s="9" t="s">
        <v>34</v>
      </c>
      <c r="C52" s="15">
        <v>20</v>
      </c>
      <c r="D52" s="16" t="str">
        <f>IFERROR(INDEX(المواد!$B$2:$B$319,MATCH(B52,المواد!$A$2:$A$319,0)),"")</f>
        <v>كغ</v>
      </c>
      <c r="E52" s="9"/>
      <c r="F52" t="str">
        <f>IF(AND($A52&lt;&gt;"",COUNTIF($A$2:A52,$A52)=1),$A52,"")</f>
        <v/>
      </c>
      <c r="G52" t="str">
        <f>IF($F52&lt;&gt;"",SUMPRODUCT(($F$2:F52&lt;&gt;"")*1),"")</f>
        <v/>
      </c>
    </row>
    <row r="53" spans="1:7" ht="21.95" customHeight="1">
      <c r="A53" s="9" t="s">
        <v>96</v>
      </c>
      <c r="B53" s="9" t="s">
        <v>45</v>
      </c>
      <c r="C53" s="15"/>
      <c r="D53" s="16" t="str">
        <f>IFERROR(INDEX(المواد!$B$2:$B$319,MATCH(B53,المواد!$A$2:$A$319,0)),"")</f>
        <v>كغ</v>
      </c>
      <c r="E53" s="9"/>
      <c r="F53" t="str">
        <f>IF(AND($A53&lt;&gt;"",COUNTIF($A$2:A53,$A53)=1),$A53,"")</f>
        <v/>
      </c>
      <c r="G53" t="str">
        <f>IF($F53&lt;&gt;"",SUMPRODUCT(($F$2:F53&lt;&gt;"")*1),"")</f>
        <v/>
      </c>
    </row>
    <row r="54" spans="1:7" ht="21.95" customHeight="1">
      <c r="A54" s="9" t="s">
        <v>96</v>
      </c>
      <c r="B54" s="9" t="s">
        <v>82</v>
      </c>
      <c r="C54" s="15">
        <v>800</v>
      </c>
      <c r="D54" s="16" t="str">
        <f>IFERROR(INDEX(المواد!$B$2:$B$319,MATCH(B54,المواد!$A$2:$A$319,0)),"")</f>
        <v>كغ</v>
      </c>
      <c r="E54" s="9"/>
      <c r="F54" t="str">
        <f>IF(AND($A54&lt;&gt;"",COUNTIF($A$2:A54,$A54)=1),$A54,"")</f>
        <v/>
      </c>
      <c r="G54" t="str">
        <f>IF($F54&lt;&gt;"",SUMPRODUCT(($F$2:F54&lt;&gt;"")*1),"")</f>
        <v/>
      </c>
    </row>
    <row r="55" spans="1:7" ht="21.95" customHeight="1">
      <c r="A55" s="9" t="s">
        <v>96</v>
      </c>
      <c r="B55" s="9" t="s">
        <v>40</v>
      </c>
      <c r="C55" s="15"/>
      <c r="D55" s="16" t="str">
        <f>IFERROR(INDEX(المواد!$B$2:$B$319,MATCH(B55,المواد!$A$2:$A$319,0)),"")</f>
        <v>كغ</v>
      </c>
      <c r="E55" s="9"/>
      <c r="F55" t="str">
        <f>IF(AND($A55&lt;&gt;"",COUNTIF($A$2:A55,$A55)=1),$A55,"")</f>
        <v/>
      </c>
      <c r="G55" t="str">
        <f>IF($F55&lt;&gt;"",SUMPRODUCT(($F$2:F55&lt;&gt;"")*1),"")</f>
        <v/>
      </c>
    </row>
    <row r="56" spans="1:7" ht="21.95" customHeight="1">
      <c r="A56" s="9" t="s">
        <v>97</v>
      </c>
      <c r="B56" s="9" t="s">
        <v>35</v>
      </c>
      <c r="C56" s="15">
        <v>140</v>
      </c>
      <c r="D56" s="16" t="str">
        <f>IFERROR(INDEX(المواد!$B$2:$B$319,MATCH(B56,المواد!$A$2:$A$319,0)),"")</f>
        <v>كغ</v>
      </c>
      <c r="E56" s="9"/>
      <c r="F56" t="str">
        <f>IF(AND($A56&lt;&gt;"",COUNTIF($A$2:A56,$A56)=1),$A56,"")</f>
        <v>طبخة الشامبو</v>
      </c>
      <c r="G56">
        <f>IF($F56&lt;&gt;"",SUMPRODUCT(($F$2:F56&lt;&gt;"")*1),"")</f>
        <v>9</v>
      </c>
    </row>
    <row r="57" spans="1:7" ht="21.95" customHeight="1">
      <c r="A57" s="9" t="s">
        <v>97</v>
      </c>
      <c r="B57" s="9" t="s">
        <v>79</v>
      </c>
      <c r="C57" s="15">
        <v>30</v>
      </c>
      <c r="D57" s="16" t="str">
        <f>IFERROR(INDEX(المواد!$B$2:$B$319,MATCH(B57,المواد!$A$2:$A$319,0)),"")</f>
        <v>كغ</v>
      </c>
      <c r="E57" s="9"/>
      <c r="F57" t="str">
        <f>IF(AND($A57&lt;&gt;"",COUNTIF($A$2:A57,$A57)=1),$A57,"")</f>
        <v/>
      </c>
      <c r="G57" t="str">
        <f>IF($F57&lt;&gt;"",SUMPRODUCT(($F$2:F57&lt;&gt;"")*1),"")</f>
        <v/>
      </c>
    </row>
    <row r="58" spans="1:7" ht="21.95" customHeight="1">
      <c r="A58" s="9" t="s">
        <v>97</v>
      </c>
      <c r="B58" s="9" t="s">
        <v>34</v>
      </c>
      <c r="C58" s="15">
        <v>50</v>
      </c>
      <c r="D58" s="16" t="str">
        <f>IFERROR(INDEX(المواد!$B$2:$B$319,MATCH(B58,المواد!$A$2:$A$319,0)),"")</f>
        <v>كغ</v>
      </c>
      <c r="E58" s="9"/>
      <c r="F58" t="str">
        <f>IF(AND($A58&lt;&gt;"",COUNTIF($A$2:A58,$A58)=1),$A58,"")</f>
        <v/>
      </c>
      <c r="G58" t="str">
        <f>IF($F58&lt;&gt;"",SUMPRODUCT(($F$2:F58&lt;&gt;"")*1),"")</f>
        <v/>
      </c>
    </row>
    <row r="59" spans="1:7" ht="21.95" customHeight="1">
      <c r="A59" s="9" t="s">
        <v>97</v>
      </c>
      <c r="B59" s="9" t="s">
        <v>234</v>
      </c>
      <c r="C59" s="15">
        <v>10</v>
      </c>
      <c r="D59" s="16" t="str">
        <f>IFERROR(INDEX(المواد!$B$2:$B$319,MATCH(B59,المواد!$A$2:$A$319,0)),"")</f>
        <v>كغ</v>
      </c>
      <c r="E59" s="9"/>
      <c r="F59" t="str">
        <f>IF(AND($A59&lt;&gt;"",COUNTIF($A$2:A59,$A59)=1),$A59,"")</f>
        <v/>
      </c>
      <c r="G59" t="str">
        <f>IF($F59&lt;&gt;"",SUMPRODUCT(($F$2:F59&lt;&gt;"")*1),"")</f>
        <v/>
      </c>
    </row>
    <row r="60" spans="1:7" ht="21.95" customHeight="1">
      <c r="A60" s="9" t="s">
        <v>97</v>
      </c>
      <c r="B60" s="9" t="s">
        <v>32</v>
      </c>
      <c r="C60" s="15">
        <v>12.5</v>
      </c>
      <c r="D60" s="16" t="str">
        <f>IFERROR(INDEX(المواد!$B$2:$B$319,MATCH(B60,المواد!$A$2:$A$319,0)),"")</f>
        <v>كغ</v>
      </c>
      <c r="E60" s="9"/>
      <c r="F60" t="str">
        <f>IF(AND($A60&lt;&gt;"",COUNTIF($A$2:A60,$A60)=1),$A60,"")</f>
        <v/>
      </c>
      <c r="G60" t="str">
        <f>IF($F60&lt;&gt;"",SUMPRODUCT(($F$2:F60&lt;&gt;"")*1),"")</f>
        <v/>
      </c>
    </row>
    <row r="61" spans="1:7" ht="21.95" customHeight="1">
      <c r="A61" s="9" t="s">
        <v>97</v>
      </c>
      <c r="B61" s="9" t="s">
        <v>78</v>
      </c>
      <c r="C61" s="15">
        <v>950</v>
      </c>
      <c r="D61" s="16" t="str">
        <f>IFERROR(INDEX(المواد!$B$2:$B$319,MATCH(B61,المواد!$A$2:$A$319,0)),"")</f>
        <v>كغ</v>
      </c>
      <c r="E61" s="9"/>
      <c r="F61" t="str">
        <f>IF(AND($A61&lt;&gt;"",COUNTIF($A$2:A61,$A61)=1),$A61,"")</f>
        <v/>
      </c>
      <c r="G61" t="str">
        <f>IF($F61&lt;&gt;"",SUMPRODUCT(($F$2:F61&lt;&gt;"")*1),"")</f>
        <v/>
      </c>
    </row>
    <row r="62" spans="1:7" ht="21.95" customHeight="1">
      <c r="A62" s="9" t="s">
        <v>97</v>
      </c>
      <c r="B62" s="9" t="s">
        <v>42</v>
      </c>
      <c r="C62" s="15">
        <v>500</v>
      </c>
      <c r="D62" s="16" t="str">
        <f>IFERROR(INDEX(المواد!$B$2:$B$319,MATCH(B62,المواد!$A$2:$A$319,0)),"")</f>
        <v>كغ</v>
      </c>
      <c r="E62" s="9"/>
      <c r="F62" t="str">
        <f>IF(AND($A62&lt;&gt;"",COUNTIF($A$2:A62,$A62)=1),$A62,"")</f>
        <v/>
      </c>
      <c r="G62" t="str">
        <f>IF($F62&lt;&gt;"",SUMPRODUCT(($F$2:F62&lt;&gt;"")*1),"")</f>
        <v/>
      </c>
    </row>
    <row r="63" spans="1:7" ht="21.95" customHeight="1">
      <c r="A63" s="9" t="s">
        <v>97</v>
      </c>
      <c r="B63" s="9" t="s">
        <v>30</v>
      </c>
      <c r="C63" s="15">
        <v>1</v>
      </c>
      <c r="D63" s="16" t="str">
        <f>IFERROR(INDEX(المواد!$B$2:$B$319,MATCH(B63,المواد!$A$2:$A$319,0)),"")</f>
        <v>كغ</v>
      </c>
      <c r="E63" s="9"/>
      <c r="F63" t="str">
        <f>IF(AND($A63&lt;&gt;"",COUNTIF($A$2:A63,$A63)=1),$A63,"")</f>
        <v/>
      </c>
      <c r="G63" t="str">
        <f>IF($F63&lt;&gt;"",SUMPRODUCT(($F$2:F63&lt;&gt;"")*1),"")</f>
        <v/>
      </c>
    </row>
    <row r="64" spans="1:7" ht="21.95" customHeight="1">
      <c r="A64" s="9" t="s">
        <v>97</v>
      </c>
      <c r="B64" s="9" t="s">
        <v>86</v>
      </c>
      <c r="C64" s="15">
        <v>5</v>
      </c>
      <c r="D64" s="16" t="str">
        <f>IFERROR(INDEX(المواد!$B$2:$B$319,MATCH(B64,المواد!$A$2:$A$319,0)),"")</f>
        <v>كغ</v>
      </c>
      <c r="E64" s="9"/>
      <c r="F64" t="str">
        <f>IF(AND($A64&lt;&gt;"",COUNTIF($A$2:A64,$A64)=1),$A64,"")</f>
        <v/>
      </c>
      <c r="G64" t="str">
        <f>IF($F64&lt;&gt;"",SUMPRODUCT(($F$2:F64&lt;&gt;"")*1),"")</f>
        <v/>
      </c>
    </row>
    <row r="65" spans="1:7" ht="21.95" customHeight="1">
      <c r="A65" s="9" t="s">
        <v>97</v>
      </c>
      <c r="B65" s="9" t="s">
        <v>212</v>
      </c>
      <c r="C65" s="15">
        <v>1.5</v>
      </c>
      <c r="D65" s="16" t="str">
        <f>IFERROR(INDEX(المواد!$B$2:$B$319,MATCH(B65,المواد!$A$2:$A$319,0)),"")</f>
        <v>كغ</v>
      </c>
      <c r="E65" s="9"/>
      <c r="F65" t="str">
        <f>IF(AND($A65&lt;&gt;"",COUNTIF($A$2:A65,$A65)=1),$A65,"")</f>
        <v/>
      </c>
      <c r="G65" t="str">
        <f>IF($F65&lt;&gt;"",SUMPRODUCT(($F$2:F65&lt;&gt;"")*1),"")</f>
        <v/>
      </c>
    </row>
    <row r="66" spans="1:7" ht="21.95" customHeight="1">
      <c r="A66" s="9" t="s">
        <v>97</v>
      </c>
      <c r="B66" s="9" t="s">
        <v>214</v>
      </c>
      <c r="C66" s="15">
        <v>3</v>
      </c>
      <c r="D66" s="16" t="str">
        <f>IFERROR(INDEX(المواد!$B$2:$B$319,MATCH(B66,المواد!$A$2:$A$319,0)),"")</f>
        <v>كغ</v>
      </c>
      <c r="E66" s="9"/>
      <c r="F66" t="str">
        <f>IF(AND($A66&lt;&gt;"",COUNTIF($A$2:A66,$A66)=1),$A66,"")</f>
        <v/>
      </c>
      <c r="G66" t="str">
        <f>IF($F66&lt;&gt;"",SUMPRODUCT(($F$2:F66&lt;&gt;"")*1),"")</f>
        <v/>
      </c>
    </row>
    <row r="67" spans="1:7" ht="21.95" customHeight="1">
      <c r="A67" s="9" t="s">
        <v>97</v>
      </c>
      <c r="B67" s="9" t="s">
        <v>82</v>
      </c>
      <c r="C67" s="15">
        <v>750</v>
      </c>
      <c r="D67" s="16" t="str">
        <f>IFERROR(INDEX(المواد!$B$2:$B$319,MATCH(B67,المواد!$A$2:$A$319,0)),"")</f>
        <v>كغ</v>
      </c>
      <c r="E67" s="9"/>
      <c r="F67" t="str">
        <f>IF(AND($A67&lt;&gt;"",COUNTIF($A$2:A67,$A67)=1),$A67,"")</f>
        <v/>
      </c>
      <c r="G67" t="str">
        <f>IF($F67&lt;&gt;"",SUMPRODUCT(($F$2:F67&lt;&gt;"")*1),"")</f>
        <v/>
      </c>
    </row>
    <row r="68" spans="1:7" ht="21.95" customHeight="1">
      <c r="A68" s="9" t="s">
        <v>98</v>
      </c>
      <c r="B68" s="9" t="s">
        <v>41</v>
      </c>
      <c r="C68" s="15">
        <v>100</v>
      </c>
      <c r="D68" s="16" t="str">
        <f>IFERROR(INDEX(المواد!$B$2:$B$319,MATCH(B68,المواد!$A$2:$A$319,0)),"")</f>
        <v>كغ</v>
      </c>
      <c r="E68" s="9"/>
      <c r="F68" t="str">
        <f>IF(AND($A68&lt;&gt;"",COUNTIF($A$2:A68,$A68)=1),$A68,"")</f>
        <v>طبخة دوا غسيل بودرا</v>
      </c>
      <c r="G68">
        <f>IF($F68&lt;&gt;"",SUMPRODUCT(($F$2:F68&lt;&gt;"")*1),"")</f>
        <v>10</v>
      </c>
    </row>
    <row r="69" spans="1:7" ht="21.95" customHeight="1">
      <c r="A69" s="9" t="s">
        <v>98</v>
      </c>
      <c r="B69" s="9" t="s">
        <v>87</v>
      </c>
      <c r="C69" s="15">
        <v>30</v>
      </c>
      <c r="D69" s="16" t="str">
        <f>IFERROR(INDEX(المواد!$B$2:$B$319,MATCH(B69,المواد!$A$2:$A$319,0)),"")</f>
        <v>كغ</v>
      </c>
      <c r="E69" s="9"/>
      <c r="F69" t="str">
        <f>IF(AND($A69&lt;&gt;"",COUNTIF($A$2:A69,$A69)=1),$A69,"")</f>
        <v/>
      </c>
      <c r="G69" t="str">
        <f>IF($F69&lt;&gt;"",SUMPRODUCT(($F$2:F69&lt;&gt;"")*1),"")</f>
        <v/>
      </c>
    </row>
    <row r="70" spans="1:7" ht="21.95" customHeight="1">
      <c r="A70" s="9" t="s">
        <v>98</v>
      </c>
      <c r="B70" s="9" t="s">
        <v>67</v>
      </c>
      <c r="C70" s="15">
        <v>1</v>
      </c>
      <c r="D70" s="16" t="str">
        <f>IFERROR(INDEX(المواد!$B$2:$B$319,MATCH(B70,المواد!$A$2:$A$319,0)),"")</f>
        <v>كغ</v>
      </c>
      <c r="E70" s="9"/>
      <c r="F70" t="str">
        <f>IF(AND($A70&lt;&gt;"",COUNTIF($A$2:A70,$A70)=1),$A70,"")</f>
        <v/>
      </c>
      <c r="G70" t="str">
        <f>IF($F70&lt;&gt;"",SUMPRODUCT(($F$2:F70&lt;&gt;"")*1),"")</f>
        <v/>
      </c>
    </row>
    <row r="71" spans="1:7" ht="21.95" customHeight="1">
      <c r="A71" s="9" t="s">
        <v>98</v>
      </c>
      <c r="B71" s="9" t="s">
        <v>36</v>
      </c>
      <c r="C71" s="15">
        <v>7</v>
      </c>
      <c r="D71" s="16" t="str">
        <f>IFERROR(INDEX(المواد!$B$2:$B$319,MATCH(B71,المواد!$A$2:$A$319,0)),"")</f>
        <v>كغ</v>
      </c>
      <c r="E71" s="9"/>
      <c r="F71" t="str">
        <f>IF(AND($A71&lt;&gt;"",COUNTIF($A$2:A71,$A71)=1),$A71,"")</f>
        <v/>
      </c>
      <c r="G71" t="str">
        <f>IF($F71&lt;&gt;"",SUMPRODUCT(($F$2:F71&lt;&gt;"")*1),"")</f>
        <v/>
      </c>
    </row>
    <row r="72" spans="1:7" ht="21.95" customHeight="1">
      <c r="A72" s="9" t="s">
        <v>98</v>
      </c>
      <c r="B72" s="9" t="s">
        <v>83</v>
      </c>
      <c r="C72" s="15">
        <v>200</v>
      </c>
      <c r="D72" s="16" t="str">
        <f>IFERROR(INDEX(المواد!$B$2:$B$319,MATCH(B72,المواد!$A$2:$A$319,0)),"")</f>
        <v>كغ</v>
      </c>
      <c r="E72" s="9"/>
      <c r="F72" t="str">
        <f>IF(AND($A72&lt;&gt;"",COUNTIF($A$2:A72,$A72)=1),$A72,"")</f>
        <v/>
      </c>
      <c r="G72" t="str">
        <f>IF($F72&lt;&gt;"",SUMPRODUCT(($F$2:F72&lt;&gt;"")*1),"")</f>
        <v/>
      </c>
    </row>
    <row r="73" spans="1:7" ht="21.95" customHeight="1">
      <c r="A73" s="9" t="s">
        <v>99</v>
      </c>
      <c r="B73" s="9" t="s">
        <v>43</v>
      </c>
      <c r="C73" s="15">
        <v>180</v>
      </c>
      <c r="D73" s="16" t="str">
        <f>IFERROR(INDEX(المواد!$B$2:$B$319,MATCH(B73,المواد!$A$2:$A$319,0)),"")</f>
        <v>كغ</v>
      </c>
      <c r="E73" s="9"/>
      <c r="F73" t="str">
        <f>IF(AND($A73&lt;&gt;"",COUNTIF($A$2:A73,$A73)=1),$A73,"")</f>
        <v>طبخة قاشط</v>
      </c>
      <c r="G73">
        <f>IF($F73&lt;&gt;"",SUMPRODUCT(($F$2:F73&lt;&gt;"")*1),"")</f>
        <v>11</v>
      </c>
    </row>
    <row r="74" spans="1:7" ht="21.95" customHeight="1">
      <c r="A74" s="9" t="s">
        <v>99</v>
      </c>
      <c r="B74" s="9" t="s">
        <v>35</v>
      </c>
      <c r="C74" s="15">
        <v>20</v>
      </c>
      <c r="D74" s="16" t="str">
        <f>IFERROR(INDEX(المواد!$B$2:$B$319,MATCH(B74,المواد!$A$2:$A$319,0)),"")</f>
        <v>كغ</v>
      </c>
      <c r="E74" s="9"/>
      <c r="F74" t="str">
        <f>IF(AND($A74&lt;&gt;"",COUNTIF($A$2:A74,$A74)=1),$A74,"")</f>
        <v/>
      </c>
      <c r="G74" t="str">
        <f>IF($F74&lt;&gt;"",SUMPRODUCT(($F$2:F74&lt;&gt;"")*1),"")</f>
        <v/>
      </c>
    </row>
    <row r="75" spans="1:7" ht="21.95" customHeight="1">
      <c r="A75" s="9" t="s">
        <v>99</v>
      </c>
      <c r="B75" s="9" t="s">
        <v>82</v>
      </c>
      <c r="C75" s="15">
        <v>800</v>
      </c>
      <c r="D75" s="16" t="str">
        <f>IFERROR(INDEX(المواد!$B$2:$B$319,MATCH(B75,المواد!$A$2:$A$319,0)),"")</f>
        <v>كغ</v>
      </c>
      <c r="E75" s="9"/>
      <c r="F75" t="str">
        <f>IF(AND($A75&lt;&gt;"",COUNTIF($A$2:A75,$A75)=1),$A75,"")</f>
        <v/>
      </c>
      <c r="G75" t="str">
        <f>IF($F75&lt;&gt;"",SUMPRODUCT(($F$2:F75&lt;&gt;"")*1),"")</f>
        <v/>
      </c>
    </row>
    <row r="76" spans="1:7" ht="21.95" customHeight="1">
      <c r="A76" s="9" t="s">
        <v>100</v>
      </c>
      <c r="B76" s="9" t="s">
        <v>43</v>
      </c>
      <c r="C76" s="15">
        <v>20</v>
      </c>
      <c r="D76" s="16" t="str">
        <f>IFERROR(INDEX(المواد!$B$2:$B$319,MATCH(B76,المواد!$A$2:$A$319,0)),"")</f>
        <v>كغ</v>
      </c>
      <c r="E76" s="9"/>
      <c r="F76" t="str">
        <f>IF(AND($A76&lt;&gt;"",COUNTIF($A$2:A76,$A76)=1),$A76,"")</f>
        <v>عملاق 200 كغ</v>
      </c>
      <c r="G76">
        <f>IF($F76&lt;&gt;"",SUMPRODUCT(($F$2:F76&lt;&gt;"")*1),"")</f>
        <v>12</v>
      </c>
    </row>
    <row r="77" spans="1:7" ht="21.95" customHeight="1">
      <c r="A77" s="9" t="s">
        <v>100</v>
      </c>
      <c r="B77" s="9" t="s">
        <v>80</v>
      </c>
      <c r="C77" s="15">
        <v>2.5</v>
      </c>
      <c r="D77" s="16" t="str">
        <f>IFERROR(INDEX(المواد!$B$2:$B$319,MATCH(B77,المواد!$A$2:$A$319,0)),"")</f>
        <v>كغ</v>
      </c>
      <c r="E77" s="9"/>
      <c r="F77" t="str">
        <f>IF(AND($A77&lt;&gt;"",COUNTIF($A$2:A77,$A77)=1),$A77,"")</f>
        <v/>
      </c>
      <c r="G77" t="str">
        <f>IF($F77&lt;&gt;"",SUMPRODUCT(($F$2:F77&lt;&gt;"")*1),"")</f>
        <v/>
      </c>
    </row>
    <row r="78" spans="1:7" ht="21.95" customHeight="1">
      <c r="A78" s="9" t="s">
        <v>100</v>
      </c>
      <c r="B78" s="9" t="s">
        <v>79</v>
      </c>
      <c r="C78" s="15">
        <v>4</v>
      </c>
      <c r="D78" s="16" t="str">
        <f>IFERROR(INDEX(المواد!$B$2:$B$319,MATCH(B78,المواد!$A$2:$A$319,0)),"")</f>
        <v>كغ</v>
      </c>
      <c r="E78" s="9"/>
      <c r="F78" t="str">
        <f>IF(AND($A78&lt;&gt;"",COUNTIF($A$2:A78,$A78)=1),$A78,"")</f>
        <v/>
      </c>
      <c r="G78" t="str">
        <f>IF($F78&lt;&gt;"",SUMPRODUCT(($F$2:F78&lt;&gt;"")*1),"")</f>
        <v/>
      </c>
    </row>
    <row r="79" spans="1:7" ht="21.95" customHeight="1">
      <c r="A79" s="9" t="s">
        <v>100</v>
      </c>
      <c r="B79" s="9" t="s">
        <v>44</v>
      </c>
      <c r="C79" s="15">
        <v>10</v>
      </c>
      <c r="D79" s="16" t="str">
        <f>IFERROR(INDEX(المواد!$B$2:$B$319,MATCH(B79,المواد!$A$2:$A$319,0)),"")</f>
        <v>كغ</v>
      </c>
      <c r="E79" s="9"/>
      <c r="F79" t="str">
        <f>IF(AND($A79&lt;&gt;"",COUNTIF($A$2:A79,$A79)=1),$A79,"")</f>
        <v/>
      </c>
      <c r="G79" t="str">
        <f>IF($F79&lt;&gt;"",SUMPRODUCT(($F$2:F79&lt;&gt;"")*1),"")</f>
        <v/>
      </c>
    </row>
    <row r="80" spans="1:7" ht="21.95" customHeight="1">
      <c r="A80" s="9" t="s">
        <v>100</v>
      </c>
      <c r="B80" s="9" t="s">
        <v>82</v>
      </c>
      <c r="C80" s="15">
        <v>165</v>
      </c>
      <c r="D80" s="16" t="str">
        <f>IFERROR(INDEX(المواد!$B$2:$B$319,MATCH(B80,المواد!$A$2:$A$319,0)),"")</f>
        <v>كغ</v>
      </c>
      <c r="E80" s="9"/>
      <c r="F80" t="str">
        <f>IF(AND($A80&lt;&gt;"",COUNTIF($A$2:A80,$A80)=1),$A80,"")</f>
        <v/>
      </c>
      <c r="G80" t="str">
        <f>IF($F80&lt;&gt;"",SUMPRODUCT(($F$2:F80&lt;&gt;"")*1),"")</f>
        <v/>
      </c>
    </row>
    <row r="81" spans="1:7" ht="21.95" customHeight="1">
      <c r="A81" s="9" t="s">
        <v>101</v>
      </c>
      <c r="B81" s="9" t="s">
        <v>43</v>
      </c>
      <c r="C81" s="15">
        <v>150</v>
      </c>
      <c r="D81" s="16" t="str">
        <f>IFERROR(INDEX(المواد!$B$2:$B$319,MATCH(B81,المواد!$A$2:$A$319,0)),"")</f>
        <v>كغ</v>
      </c>
      <c r="E81" s="9"/>
      <c r="F81" t="str">
        <f>IF(AND($A81&lt;&gt;"",COUNTIF($A$2:A81,$A81)=1),$A81,"")</f>
        <v>لودلين تفاح أول</v>
      </c>
      <c r="G81">
        <f>IF($F81&lt;&gt;"",SUMPRODUCT(($F$2:F81&lt;&gt;"")*1),"")</f>
        <v>13</v>
      </c>
    </row>
    <row r="82" spans="1:7" ht="21.95" customHeight="1">
      <c r="A82" s="9" t="s">
        <v>101</v>
      </c>
      <c r="B82" s="9" t="s">
        <v>35</v>
      </c>
      <c r="C82" s="15">
        <v>100</v>
      </c>
      <c r="D82" s="16" t="str">
        <f>IFERROR(INDEX(المواد!$B$2:$B$319,MATCH(B82,المواد!$A$2:$A$319,0)),"")</f>
        <v>كغ</v>
      </c>
      <c r="E82" s="9"/>
      <c r="F82" t="str">
        <f>IF(AND($A82&lt;&gt;"",COUNTIF($A$2:A82,$A82)=1),$A82,"")</f>
        <v/>
      </c>
      <c r="G82" t="str">
        <f>IF($F82&lt;&gt;"",SUMPRODUCT(($F$2:F82&lt;&gt;"")*1),"")</f>
        <v/>
      </c>
    </row>
    <row r="83" spans="1:7" ht="21.95" customHeight="1">
      <c r="A83" s="9" t="s">
        <v>101</v>
      </c>
      <c r="B83" s="9" t="s">
        <v>80</v>
      </c>
      <c r="C83" s="15">
        <v>19</v>
      </c>
      <c r="D83" s="16" t="str">
        <f>IFERROR(INDEX(المواد!$B$2:$B$319,MATCH(B83,المواد!$A$2:$A$319,0)),"")</f>
        <v>كغ</v>
      </c>
      <c r="E83" s="9"/>
      <c r="F83" t="str">
        <f>IF(AND($A83&lt;&gt;"",COUNTIF($A$2:A83,$A83)=1),$A83,"")</f>
        <v/>
      </c>
      <c r="G83" t="str">
        <f>IF($F83&lt;&gt;"",SUMPRODUCT(($F$2:F83&lt;&gt;"")*1),"")</f>
        <v/>
      </c>
    </row>
    <row r="84" spans="1:7" ht="21.95" customHeight="1">
      <c r="A84" s="9" t="s">
        <v>101</v>
      </c>
      <c r="B84" s="9" t="s">
        <v>74</v>
      </c>
      <c r="C84" s="15">
        <v>5</v>
      </c>
      <c r="D84" s="16" t="str">
        <f>IFERROR(INDEX(المواد!$B$2:$B$319,MATCH(B84,المواد!$A$2:$A$319,0)),"")</f>
        <v>كغ</v>
      </c>
      <c r="E84" s="9"/>
      <c r="F84" t="str">
        <f>IF(AND($A84&lt;&gt;"",COUNTIF($A$2:A84,$A84)=1),$A84,"")</f>
        <v/>
      </c>
      <c r="G84" t="str">
        <f>IF($F84&lt;&gt;"",SUMPRODUCT(($F$2:F84&lt;&gt;"")*1),"")</f>
        <v/>
      </c>
    </row>
    <row r="85" spans="1:7" ht="21.95" customHeight="1">
      <c r="A85" s="9" t="s">
        <v>101</v>
      </c>
      <c r="B85" s="9" t="s">
        <v>212</v>
      </c>
      <c r="C85" s="15">
        <v>1.5</v>
      </c>
      <c r="D85" s="16" t="str">
        <f>IFERROR(INDEX(المواد!$B$2:$B$319,MATCH(B85,المواد!$A$2:$A$319,0)),"")</f>
        <v>كغ</v>
      </c>
      <c r="E85" s="9"/>
      <c r="F85" t="str">
        <f>IF(AND($A85&lt;&gt;"",COUNTIF($A$2:A85,$A85)=1),$A85,"")</f>
        <v/>
      </c>
      <c r="G85" t="str">
        <f>IF($F85&lt;&gt;"",SUMPRODUCT(($F$2:F85&lt;&gt;"")*1),"")</f>
        <v/>
      </c>
    </row>
    <row r="86" spans="1:7" ht="21.95" customHeight="1">
      <c r="A86" s="9" t="s">
        <v>101</v>
      </c>
      <c r="B86" s="9" t="s">
        <v>34</v>
      </c>
      <c r="C86" s="15">
        <v>50</v>
      </c>
      <c r="D86" s="16" t="str">
        <f>IFERROR(INDEX(المواد!$B$2:$B$319,MATCH(B86,المواد!$A$2:$A$319,0)),"")</f>
        <v>كغ</v>
      </c>
      <c r="E86" s="9"/>
      <c r="F86" t="str">
        <f>IF(AND($A86&lt;&gt;"",COUNTIF($A$2:A86,$A86)=1),$A86,"")</f>
        <v/>
      </c>
      <c r="G86" t="str">
        <f>IF($F86&lt;&gt;"",SUMPRODUCT(($F$2:F86&lt;&gt;"")*1),"")</f>
        <v/>
      </c>
    </row>
    <row r="87" spans="1:7" ht="21.95" customHeight="1">
      <c r="A87" s="9" t="s">
        <v>101</v>
      </c>
      <c r="B87" s="9" t="s">
        <v>40</v>
      </c>
      <c r="C87" s="15"/>
      <c r="D87" s="16" t="str">
        <f>IFERROR(INDEX(المواد!$B$2:$B$319,MATCH(B87,المواد!$A$2:$A$319,0)),"")</f>
        <v>كغ</v>
      </c>
      <c r="E87" s="9"/>
      <c r="F87" t="str">
        <f>IF(AND($A87&lt;&gt;"",COUNTIF($A$2:A87,$A87)=1),$A87,"")</f>
        <v/>
      </c>
      <c r="G87" t="str">
        <f>IF($F87&lt;&gt;"",SUMPRODUCT(($F$2:F87&lt;&gt;"")*1),"")</f>
        <v/>
      </c>
    </row>
    <row r="88" spans="1:7" ht="21.95" customHeight="1">
      <c r="A88" s="9" t="s">
        <v>101</v>
      </c>
      <c r="B88" s="9" t="s">
        <v>82</v>
      </c>
      <c r="C88" s="15">
        <v>675</v>
      </c>
      <c r="D88" s="16" t="str">
        <f>IFERROR(INDEX(المواد!$B$2:$B$319,MATCH(B88,المواد!$A$2:$A$319,0)),"")</f>
        <v>كغ</v>
      </c>
      <c r="E88" s="9"/>
      <c r="F88" t="str">
        <f>IF(AND($A88&lt;&gt;"",COUNTIF($A$2:A88,$A88)=1),$A88,"")</f>
        <v/>
      </c>
      <c r="G88" t="str">
        <f>IF($F88&lt;&gt;"",SUMPRODUCT(($F$2:F88&lt;&gt;"")*1),"")</f>
        <v/>
      </c>
    </row>
    <row r="89" spans="1:7" ht="21.95" customHeight="1">
      <c r="A89" s="9" t="s">
        <v>101</v>
      </c>
      <c r="B89" s="9" t="s">
        <v>215</v>
      </c>
      <c r="C89" s="15">
        <v>2</v>
      </c>
      <c r="D89" s="16" t="str">
        <f>IFERROR(INDEX(المواد!$B$2:$B$319,MATCH(B89,المواد!$A$2:$A$319,0)),"")</f>
        <v>كغ</v>
      </c>
      <c r="E89" s="9" t="s">
        <v>102</v>
      </c>
      <c r="F89" t="str">
        <f>IF(AND($A89&lt;&gt;"",COUNTIF($A$2:A89,$A89)=1),$A89,"")</f>
        <v/>
      </c>
      <c r="G89" t="str">
        <f>IF($F89&lt;&gt;"",SUMPRODUCT(($F$2:F89&lt;&gt;"")*1),"")</f>
        <v/>
      </c>
    </row>
    <row r="90" spans="1:7" ht="21.95" customHeight="1">
      <c r="A90" s="9" t="s">
        <v>101</v>
      </c>
      <c r="B90" s="9" t="s">
        <v>45</v>
      </c>
      <c r="C90" s="15">
        <v>25</v>
      </c>
      <c r="D90" s="16" t="str">
        <f>IFERROR(INDEX(المواد!$B$2:$B$319,MATCH(B90,المواد!$A$2:$A$319,0)),"")</f>
        <v>كغ</v>
      </c>
      <c r="E90" s="9" t="s">
        <v>103</v>
      </c>
      <c r="F90" t="str">
        <f>IF(AND($A90&lt;&gt;"",COUNTIF($A$2:A90,$A90)=1),$A90,"")</f>
        <v/>
      </c>
      <c r="G90" t="str">
        <f>IF($F90&lt;&gt;"",SUMPRODUCT(($F$2:F90&lt;&gt;"")*1),"")</f>
        <v/>
      </c>
    </row>
    <row r="91" spans="1:7" ht="21.95" customHeight="1">
      <c r="A91" s="9" t="s">
        <v>104</v>
      </c>
      <c r="B91" s="9" t="s">
        <v>43</v>
      </c>
      <c r="C91" s="15">
        <v>35</v>
      </c>
      <c r="D91" s="16" t="str">
        <f>IFERROR(INDEX(المواد!$B$2:$B$319,MATCH(B91,المواد!$A$2:$A$319,0)),"")</f>
        <v>كغ</v>
      </c>
      <c r="E91" s="9"/>
      <c r="F91" t="str">
        <f>IF(AND($A91&lt;&gt;"",COUNTIF($A$2:A91,$A91)=1),$A91,"")</f>
        <v>لودلين تفاح ثالث</v>
      </c>
      <c r="G91">
        <f>IF($F91&lt;&gt;"",SUMPRODUCT(($F$2:F91&lt;&gt;"")*1),"")</f>
        <v>14</v>
      </c>
    </row>
    <row r="92" spans="1:7" ht="21.95" customHeight="1">
      <c r="A92" s="9" t="s">
        <v>104</v>
      </c>
      <c r="B92" s="9" t="s">
        <v>35</v>
      </c>
      <c r="C92" s="15">
        <v>50</v>
      </c>
      <c r="D92" s="16" t="str">
        <f>IFERROR(INDEX(المواد!$B$2:$B$319,MATCH(B92,المواد!$A$2:$A$319,0)),"")</f>
        <v>كغ</v>
      </c>
      <c r="E92" s="9"/>
      <c r="F92" t="str">
        <f>IF(AND($A92&lt;&gt;"",COUNTIF($A$2:A92,$A92)=1),$A92,"")</f>
        <v/>
      </c>
      <c r="G92" t="str">
        <f>IF($F92&lt;&gt;"",SUMPRODUCT(($F$2:F92&lt;&gt;"")*1),"")</f>
        <v/>
      </c>
    </row>
    <row r="93" spans="1:7" ht="21.95" customHeight="1">
      <c r="A93" s="9" t="s">
        <v>104</v>
      </c>
      <c r="B93" s="9" t="s">
        <v>80</v>
      </c>
      <c r="C93" s="15">
        <v>4</v>
      </c>
      <c r="D93" s="16" t="str">
        <f>IFERROR(INDEX(المواد!$B$2:$B$319,MATCH(B93,المواد!$A$2:$A$319,0)),"")</f>
        <v>كغ</v>
      </c>
      <c r="E93" s="9"/>
      <c r="F93" t="str">
        <f>IF(AND($A93&lt;&gt;"",COUNTIF($A$2:A93,$A93)=1),$A93,"")</f>
        <v/>
      </c>
      <c r="G93" t="str">
        <f>IF($F93&lt;&gt;"",SUMPRODUCT(($F$2:F93&lt;&gt;"")*1),"")</f>
        <v/>
      </c>
    </row>
    <row r="94" spans="1:7" ht="21.95" customHeight="1">
      <c r="A94" s="9" t="s">
        <v>104</v>
      </c>
      <c r="B94" s="9" t="s">
        <v>85</v>
      </c>
      <c r="C94" s="15">
        <v>2.5</v>
      </c>
      <c r="D94" s="16" t="str">
        <f>IFERROR(INDEX(المواد!$B$2:$B$319,MATCH(B94,المواد!$A$2:$A$319,0)),"")</f>
        <v>كغ</v>
      </c>
      <c r="E94" s="9"/>
      <c r="F94" t="str">
        <f>IF(AND($A94&lt;&gt;"",COUNTIF($A$2:A94,$A94)=1),$A94,"")</f>
        <v/>
      </c>
      <c r="G94" t="str">
        <f>IF($F94&lt;&gt;"",SUMPRODUCT(($F$2:F94&lt;&gt;"")*1),"")</f>
        <v/>
      </c>
    </row>
    <row r="95" spans="1:7" ht="21.95" customHeight="1">
      <c r="A95" s="9" t="s">
        <v>104</v>
      </c>
      <c r="B95" s="9" t="s">
        <v>212</v>
      </c>
      <c r="C95" s="15">
        <v>1.5</v>
      </c>
      <c r="D95" s="16" t="str">
        <f>IFERROR(INDEX(المواد!$B$2:$B$319,MATCH(B95,المواد!$A$2:$A$319,0)),"")</f>
        <v>كغ</v>
      </c>
      <c r="E95" s="9"/>
      <c r="F95" t="str">
        <f>IF(AND($A95&lt;&gt;"",COUNTIF($A$2:A95,$A95)=1),$A95,"")</f>
        <v/>
      </c>
      <c r="G95" t="str">
        <f>IF($F95&lt;&gt;"",SUMPRODUCT(($F$2:F95&lt;&gt;"")*1),"")</f>
        <v/>
      </c>
    </row>
    <row r="96" spans="1:7" ht="21.95" customHeight="1">
      <c r="A96" s="9" t="s">
        <v>104</v>
      </c>
      <c r="B96" s="9" t="s">
        <v>34</v>
      </c>
      <c r="C96" s="15">
        <v>15</v>
      </c>
      <c r="D96" s="16" t="str">
        <f>IFERROR(INDEX(المواد!$B$2:$B$319,MATCH(B96,المواد!$A$2:$A$319,0)),"")</f>
        <v>كغ</v>
      </c>
      <c r="E96" s="9"/>
      <c r="F96" t="str">
        <f>IF(AND($A96&lt;&gt;"",COUNTIF($A$2:A96,$A96)=1),$A96,"")</f>
        <v/>
      </c>
      <c r="G96" t="str">
        <f>IF($F96&lt;&gt;"",SUMPRODUCT(($F$2:F96&lt;&gt;"")*1),"")</f>
        <v/>
      </c>
    </row>
    <row r="97" spans="1:7" ht="21.95" customHeight="1">
      <c r="A97" s="9" t="s">
        <v>104</v>
      </c>
      <c r="B97" s="9" t="s">
        <v>40</v>
      </c>
      <c r="C97" s="15"/>
      <c r="D97" s="16" t="str">
        <f>IFERROR(INDEX(المواد!$B$2:$B$319,MATCH(B97,المواد!$A$2:$A$319,0)),"")</f>
        <v>كغ</v>
      </c>
      <c r="E97" s="9"/>
      <c r="F97" t="str">
        <f>IF(AND($A97&lt;&gt;"",COUNTIF($A$2:A97,$A97)=1),$A97,"")</f>
        <v/>
      </c>
      <c r="G97" t="str">
        <f>IF($F97&lt;&gt;"",SUMPRODUCT(($F$2:F97&lt;&gt;"")*1),"")</f>
        <v/>
      </c>
    </row>
    <row r="98" spans="1:7" ht="21.95" customHeight="1">
      <c r="A98" s="9" t="s">
        <v>104</v>
      </c>
      <c r="B98" s="9" t="s">
        <v>82</v>
      </c>
      <c r="C98" s="15">
        <v>890</v>
      </c>
      <c r="D98" s="16" t="str">
        <f>IFERROR(INDEX(المواد!$B$2:$B$319,MATCH(B98,المواد!$A$2:$A$319,0)),"")</f>
        <v>كغ</v>
      </c>
      <c r="E98" s="9"/>
      <c r="F98" t="str">
        <f>IF(AND($A98&lt;&gt;"",COUNTIF($A$2:A98,$A98)=1),$A98,"")</f>
        <v/>
      </c>
      <c r="G98" t="str">
        <f>IF($F98&lt;&gt;"",SUMPRODUCT(($F$2:F98&lt;&gt;"")*1),"")</f>
        <v/>
      </c>
    </row>
    <row r="99" spans="1:7" ht="21.95" customHeight="1">
      <c r="A99" s="9" t="s">
        <v>104</v>
      </c>
      <c r="B99" s="9" t="s">
        <v>87</v>
      </c>
      <c r="C99" s="15">
        <v>75</v>
      </c>
      <c r="D99" s="16" t="str">
        <f>IFERROR(INDEX(المواد!$B$2:$B$319,MATCH(B99,المواد!$A$2:$A$319,0)),"")</f>
        <v>كغ</v>
      </c>
      <c r="E99" s="9" t="s">
        <v>233</v>
      </c>
      <c r="F99" t="str">
        <f>IF(AND($A99&lt;&gt;"",COUNTIF($A$2:A99,$A99)=1),$A99,"")</f>
        <v/>
      </c>
      <c r="G99" t="str">
        <f>IF($F99&lt;&gt;"",SUMPRODUCT(($F$2:F99&lt;&gt;"")*1),"")</f>
        <v/>
      </c>
    </row>
    <row r="100" spans="1:7" ht="21.95" customHeight="1">
      <c r="A100" s="9" t="s">
        <v>104</v>
      </c>
      <c r="B100" s="9" t="s">
        <v>45</v>
      </c>
      <c r="C100" s="15"/>
      <c r="D100" s="16" t="str">
        <f>IFERROR(INDEX(المواد!$B$2:$B$319,MATCH(B100,المواد!$A$2:$A$319,0)),"")</f>
        <v>كغ</v>
      </c>
      <c r="E100" s="9"/>
      <c r="F100" t="str">
        <f>IF(AND($A100&lt;&gt;"",COUNTIF($A$2:A100,$A100)=1),$A100,"")</f>
        <v/>
      </c>
      <c r="G100" t="str">
        <f>IF($F100&lt;&gt;"",SUMPRODUCT(($F$2:F100&lt;&gt;"")*1),"")</f>
        <v/>
      </c>
    </row>
    <row r="101" spans="1:7" ht="21.95" customHeight="1">
      <c r="A101" s="9" t="s">
        <v>104</v>
      </c>
      <c r="B101" s="9" t="s">
        <v>66</v>
      </c>
      <c r="C101" s="15">
        <v>1</v>
      </c>
      <c r="D101" s="16" t="str">
        <f>IFERROR(INDEX(المواد!$B$2:$B$319,MATCH(B101,المواد!$A$2:$A$319,0)),"")</f>
        <v>كغ</v>
      </c>
      <c r="E101" s="9" t="s">
        <v>66</v>
      </c>
      <c r="F101" t="str">
        <f>IF(AND($A101&lt;&gt;"",COUNTIF($A$2:A101,$A101)=1),$A101,"")</f>
        <v/>
      </c>
      <c r="G101" t="str">
        <f>IF($F101&lt;&gt;"",SUMPRODUCT(($F$2:F101&lt;&gt;"")*1),"")</f>
        <v/>
      </c>
    </row>
    <row r="102" spans="1:7" ht="21.95" customHeight="1">
      <c r="A102" s="9" t="s">
        <v>106</v>
      </c>
      <c r="B102" s="9" t="s">
        <v>43</v>
      </c>
      <c r="C102" s="15">
        <v>60</v>
      </c>
      <c r="D102" s="16" t="str">
        <f>IFERROR(INDEX(المواد!$B$2:$B$319,MATCH(B102,المواد!$A$2:$A$319,0)),"")</f>
        <v>كغ</v>
      </c>
      <c r="E102" s="9"/>
      <c r="F102" t="str">
        <f>IF(AND($A102&lt;&gt;"",COUNTIF($A$2:A102,$A102)=1),$A102,"")</f>
        <v>لودلين تفاح ثاني</v>
      </c>
      <c r="G102">
        <f>IF($F102&lt;&gt;"",SUMPRODUCT(($F$2:F102&lt;&gt;"")*1),"")</f>
        <v>15</v>
      </c>
    </row>
    <row r="103" spans="1:7" ht="21.95" customHeight="1">
      <c r="A103" s="9" t="s">
        <v>106</v>
      </c>
      <c r="B103" s="9" t="s">
        <v>35</v>
      </c>
      <c r="C103" s="15">
        <v>50</v>
      </c>
      <c r="D103" s="16" t="str">
        <f>IFERROR(INDEX(المواد!$B$2:$B$319,MATCH(B103,المواد!$A$2:$A$319,0)),"")</f>
        <v>كغ</v>
      </c>
      <c r="E103" s="9"/>
      <c r="F103" t="str">
        <f>IF(AND($A103&lt;&gt;"",COUNTIF($A$2:A103,$A103)=1),$A103,"")</f>
        <v/>
      </c>
      <c r="G103" t="str">
        <f>IF($F103&lt;&gt;"",SUMPRODUCT(($F$2:F103&lt;&gt;"")*1),"")</f>
        <v/>
      </c>
    </row>
    <row r="104" spans="1:7" ht="21.95" customHeight="1">
      <c r="A104" s="9" t="s">
        <v>106</v>
      </c>
      <c r="B104" s="9" t="s">
        <v>80</v>
      </c>
      <c r="C104" s="15">
        <v>7.25</v>
      </c>
      <c r="D104" s="16" t="str">
        <f>IFERROR(INDEX(المواد!$B$2:$B$319,MATCH(B104,المواد!$A$2:$A$319,0)),"")</f>
        <v>كغ</v>
      </c>
      <c r="E104" s="9"/>
      <c r="F104" t="str">
        <f>IF(AND($A104&lt;&gt;"",COUNTIF($A$2:A104,$A104)=1),$A104,"")</f>
        <v/>
      </c>
      <c r="G104" t="str">
        <f>IF($F104&lt;&gt;"",SUMPRODUCT(($F$2:F104&lt;&gt;"")*1),"")</f>
        <v/>
      </c>
    </row>
    <row r="105" spans="1:7" ht="21.95" customHeight="1">
      <c r="A105" s="9" t="s">
        <v>106</v>
      </c>
      <c r="B105" s="9" t="s">
        <v>85</v>
      </c>
      <c r="C105" s="15">
        <v>2.5</v>
      </c>
      <c r="D105" s="16" t="str">
        <f>IFERROR(INDEX(المواد!$B$2:$B$319,MATCH(B105,المواد!$A$2:$A$319,0)),"")</f>
        <v>كغ</v>
      </c>
      <c r="E105" s="9"/>
      <c r="F105" t="str">
        <f>IF(AND($A105&lt;&gt;"",COUNTIF($A$2:A105,$A105)=1),$A105,"")</f>
        <v/>
      </c>
      <c r="G105" t="str">
        <f>IF($F105&lt;&gt;"",SUMPRODUCT(($F$2:F105&lt;&gt;"")*1),"")</f>
        <v/>
      </c>
    </row>
    <row r="106" spans="1:7" ht="21.95" customHeight="1">
      <c r="A106" s="9" t="s">
        <v>106</v>
      </c>
      <c r="B106" s="9" t="s">
        <v>212</v>
      </c>
      <c r="C106" s="15">
        <v>1.5</v>
      </c>
      <c r="D106" s="16" t="str">
        <f>IFERROR(INDEX(المواد!$B$2:$B$319,MATCH(B106,المواد!$A$2:$A$319,0)),"")</f>
        <v>كغ</v>
      </c>
      <c r="E106" s="9"/>
      <c r="F106" t="str">
        <f>IF(AND($A106&lt;&gt;"",COUNTIF($A$2:A106,$A106)=1),$A106,"")</f>
        <v/>
      </c>
      <c r="G106" t="str">
        <f>IF($F106&lt;&gt;"",SUMPRODUCT(($F$2:F106&lt;&gt;"")*1),"")</f>
        <v/>
      </c>
    </row>
    <row r="107" spans="1:7" ht="21.95" customHeight="1">
      <c r="A107" s="9" t="s">
        <v>106</v>
      </c>
      <c r="B107" s="9" t="s">
        <v>34</v>
      </c>
      <c r="C107" s="15">
        <v>10</v>
      </c>
      <c r="D107" s="16" t="str">
        <f>IFERROR(INDEX(المواد!$B$2:$B$319,MATCH(B107,المواد!$A$2:$A$319,0)),"")</f>
        <v>كغ</v>
      </c>
      <c r="E107" s="9"/>
      <c r="F107" t="str">
        <f>IF(AND($A107&lt;&gt;"",COUNTIF($A$2:A107,$A107)=1),$A107,"")</f>
        <v/>
      </c>
      <c r="G107" t="str">
        <f>IF($F107&lt;&gt;"",SUMPRODUCT(($F$2:F107&lt;&gt;"")*1),"")</f>
        <v/>
      </c>
    </row>
    <row r="108" spans="1:7" ht="21.95" customHeight="1">
      <c r="A108" s="9" t="s">
        <v>106</v>
      </c>
      <c r="B108" s="9" t="s">
        <v>40</v>
      </c>
      <c r="C108" s="15"/>
      <c r="D108" s="16" t="str">
        <f>IFERROR(INDEX(المواد!$B$2:$B$319,MATCH(B108,المواد!$A$2:$A$319,0)),"")</f>
        <v>كغ</v>
      </c>
      <c r="E108" s="9"/>
      <c r="F108" t="str">
        <f>IF(AND($A108&lt;&gt;"",COUNTIF($A$2:A108,$A108)=1),$A108,"")</f>
        <v/>
      </c>
      <c r="G108" t="str">
        <f>IF($F108&lt;&gt;"",SUMPRODUCT(($F$2:F108&lt;&gt;"")*1),"")</f>
        <v/>
      </c>
    </row>
    <row r="109" spans="1:7" ht="21.95" customHeight="1">
      <c r="A109" s="9" t="s">
        <v>106</v>
      </c>
      <c r="B109" s="9" t="s">
        <v>82</v>
      </c>
      <c r="C109" s="15">
        <v>825</v>
      </c>
      <c r="D109" s="16" t="str">
        <f>IFERROR(INDEX(المواد!$B$2:$B$319,MATCH(B109,المواد!$A$2:$A$319,0)),"")</f>
        <v>كغ</v>
      </c>
      <c r="E109" s="9"/>
      <c r="F109" t="str">
        <f>IF(AND($A109&lt;&gt;"",COUNTIF($A$2:A109,$A109)=1),$A109,"")</f>
        <v/>
      </c>
      <c r="G109" t="str">
        <f>IF($F109&lt;&gt;"",SUMPRODUCT(($F$2:F109&lt;&gt;"")*1),"")</f>
        <v/>
      </c>
    </row>
    <row r="110" spans="1:7" ht="21.95" customHeight="1">
      <c r="A110" s="9" t="s">
        <v>106</v>
      </c>
      <c r="B110" s="9" t="s">
        <v>87</v>
      </c>
      <c r="C110" s="15">
        <v>50</v>
      </c>
      <c r="D110" s="16" t="str">
        <f>IFERROR(INDEX(المواد!$B$2:$B$319,MATCH(B110,المواد!$A$2:$A$319,0)),"")</f>
        <v>كغ</v>
      </c>
      <c r="E110" s="9" t="s">
        <v>233</v>
      </c>
      <c r="F110" t="str">
        <f>IF(AND($A110&lt;&gt;"",COUNTIF($A$2:A110,$A110)=1),$A110,"")</f>
        <v/>
      </c>
      <c r="G110" t="str">
        <f>IF($F110&lt;&gt;"",SUMPRODUCT(($F$2:F110&lt;&gt;"")*1),"")</f>
        <v/>
      </c>
    </row>
    <row r="111" spans="1:7" ht="21.95" customHeight="1">
      <c r="A111" s="9" t="s">
        <v>106</v>
      </c>
      <c r="B111" s="9" t="s">
        <v>45</v>
      </c>
      <c r="C111" s="15"/>
      <c r="D111" s="16" t="str">
        <f>IFERROR(INDEX(المواد!$B$2:$B$319,MATCH(B111,المواد!$A$2:$A$319,0)),"")</f>
        <v>كغ</v>
      </c>
      <c r="E111" s="9"/>
      <c r="F111" t="str">
        <f>IF(AND($A111&lt;&gt;"",COUNTIF($A$2:A111,$A111)=1),$A111,"")</f>
        <v/>
      </c>
      <c r="G111" t="str">
        <f>IF($F111&lt;&gt;"",SUMPRODUCT(($F$2:F111&lt;&gt;"")*1),"")</f>
        <v/>
      </c>
    </row>
    <row r="112" spans="1:7" ht="21.95" customHeight="1">
      <c r="A112" s="9" t="s">
        <v>106</v>
      </c>
      <c r="B112" s="9" t="s">
        <v>215</v>
      </c>
      <c r="C112" s="15">
        <v>1</v>
      </c>
      <c r="D112" s="16" t="str">
        <f>IFERROR(INDEX(المواد!$B$2:$B$319,MATCH(B112,المواد!$A$2:$A$319,0)),"")</f>
        <v>كغ</v>
      </c>
      <c r="E112" s="9" t="s">
        <v>107</v>
      </c>
      <c r="F112" t="str">
        <f>IF(AND($A112&lt;&gt;"",COUNTIF($A$2:A112,$A112)=1),$A112,"")</f>
        <v/>
      </c>
      <c r="G112" t="str">
        <f>IF($F112&lt;&gt;"",SUMPRODUCT(($F$2:F112&lt;&gt;"")*1),"")</f>
        <v/>
      </c>
    </row>
    <row r="113" spans="1:7" ht="21.95" customHeight="1">
      <c r="A113" s="9" t="s">
        <v>108</v>
      </c>
      <c r="B113" s="9" t="s">
        <v>43</v>
      </c>
      <c r="C113" s="15">
        <v>20</v>
      </c>
      <c r="D113" s="16" t="str">
        <f>IFERROR(INDEX(المواد!$B$2:$B$319,MATCH(B113,المواد!$A$2:$A$319,0)),"")</f>
        <v>كغ</v>
      </c>
      <c r="E113" s="9"/>
      <c r="F113" t="str">
        <f>IF(AND($A113&lt;&gt;"",COUNTIF($A$2:A113,$A113)=1),$A113,"")</f>
        <v>لودلين تفاح رابع</v>
      </c>
      <c r="G113">
        <f>IF($F113&lt;&gt;"",SUMPRODUCT(($F$2:F113&lt;&gt;"")*1),"")</f>
        <v>16</v>
      </c>
    </row>
    <row r="114" spans="1:7" ht="21.95" customHeight="1">
      <c r="A114" s="9" t="s">
        <v>108</v>
      </c>
      <c r="B114" s="9" t="s">
        <v>35</v>
      </c>
      <c r="C114" s="15">
        <v>40</v>
      </c>
      <c r="D114" s="16" t="str">
        <f>IFERROR(INDEX(المواد!$B$2:$B$319,MATCH(B114,المواد!$A$2:$A$319,0)),"")</f>
        <v>كغ</v>
      </c>
      <c r="E114" s="9"/>
      <c r="F114" t="str">
        <f>IF(AND($A114&lt;&gt;"",COUNTIF($A$2:A114,$A114)=1),$A114,"")</f>
        <v/>
      </c>
      <c r="G114" t="str">
        <f>IF($F114&lt;&gt;"",SUMPRODUCT(($F$2:F114&lt;&gt;"")*1),"")</f>
        <v/>
      </c>
    </row>
    <row r="115" spans="1:7" ht="21.95" customHeight="1">
      <c r="A115" s="9" t="s">
        <v>108</v>
      </c>
      <c r="B115" s="9" t="s">
        <v>80</v>
      </c>
      <c r="C115" s="15">
        <v>2.5</v>
      </c>
      <c r="D115" s="16" t="str">
        <f>IFERROR(INDEX(المواد!$B$2:$B$319,MATCH(B115,المواد!$A$2:$A$319,0)),"")</f>
        <v>كغ</v>
      </c>
      <c r="E115" s="9"/>
      <c r="F115" t="str">
        <f>IF(AND($A115&lt;&gt;"",COUNTIF($A$2:A115,$A115)=1),$A115,"")</f>
        <v/>
      </c>
      <c r="G115" t="str">
        <f>IF($F115&lt;&gt;"",SUMPRODUCT(($F$2:F115&lt;&gt;"")*1),"")</f>
        <v/>
      </c>
    </row>
    <row r="116" spans="1:7" ht="21.95" customHeight="1">
      <c r="A116" s="9" t="s">
        <v>108</v>
      </c>
      <c r="B116" s="9" t="s">
        <v>85</v>
      </c>
      <c r="C116" s="15">
        <v>3</v>
      </c>
      <c r="D116" s="16" t="str">
        <f>IFERROR(INDEX(المواد!$B$2:$B$319,MATCH(B116,المواد!$A$2:$A$319,0)),"")</f>
        <v>كغ</v>
      </c>
      <c r="E116" s="9"/>
      <c r="F116" t="str">
        <f>IF(AND($A116&lt;&gt;"",COUNTIF($A$2:A116,$A116)=1),$A116,"")</f>
        <v/>
      </c>
      <c r="G116" t="str">
        <f>IF($F116&lt;&gt;"",SUMPRODUCT(($F$2:F116&lt;&gt;"")*1),"")</f>
        <v/>
      </c>
    </row>
    <row r="117" spans="1:7" ht="21.95" customHeight="1">
      <c r="A117" s="9" t="s">
        <v>108</v>
      </c>
      <c r="B117" s="9" t="s">
        <v>212</v>
      </c>
      <c r="C117" s="15">
        <v>1.5</v>
      </c>
      <c r="D117" s="16" t="str">
        <f>IFERROR(INDEX(المواد!$B$2:$B$319,MATCH(B117,المواد!$A$2:$A$319,0)),"")</f>
        <v>كغ</v>
      </c>
      <c r="E117" s="9"/>
      <c r="F117" t="str">
        <f>IF(AND($A117&lt;&gt;"",COUNTIF($A$2:A117,$A117)=1),$A117,"")</f>
        <v/>
      </c>
      <c r="G117" t="str">
        <f>IF($F117&lt;&gt;"",SUMPRODUCT(($F$2:F117&lt;&gt;"")*1),"")</f>
        <v/>
      </c>
    </row>
    <row r="118" spans="1:7" ht="21.95" customHeight="1">
      <c r="A118" s="9" t="s">
        <v>108</v>
      </c>
      <c r="B118" s="9" t="s">
        <v>34</v>
      </c>
      <c r="C118" s="15">
        <v>15</v>
      </c>
      <c r="D118" s="16" t="str">
        <f>IFERROR(INDEX(المواد!$B$2:$B$319,MATCH(B118,المواد!$A$2:$A$319,0)),"")</f>
        <v>كغ</v>
      </c>
      <c r="E118" s="9"/>
      <c r="F118" t="str">
        <f>IF(AND($A118&lt;&gt;"",COUNTIF($A$2:A118,$A118)=1),$A118,"")</f>
        <v/>
      </c>
      <c r="G118" t="str">
        <f>IF($F118&lt;&gt;"",SUMPRODUCT(($F$2:F118&lt;&gt;"")*1),"")</f>
        <v/>
      </c>
    </row>
    <row r="119" spans="1:7" ht="21.95" customHeight="1">
      <c r="A119" s="9" t="s">
        <v>108</v>
      </c>
      <c r="B119" s="9" t="s">
        <v>40</v>
      </c>
      <c r="C119" s="15"/>
      <c r="D119" s="16" t="str">
        <f>IFERROR(INDEX(المواد!$B$2:$B$319,MATCH(B119,المواد!$A$2:$A$319,0)),"")</f>
        <v>كغ</v>
      </c>
      <c r="E119" s="9"/>
      <c r="F119" t="str">
        <f>IF(AND($A119&lt;&gt;"",COUNTIF($A$2:A119,$A119)=1),$A119,"")</f>
        <v/>
      </c>
      <c r="G119" t="str">
        <f>IF($F119&lt;&gt;"",SUMPRODUCT(($F$2:F119&lt;&gt;"")*1),"")</f>
        <v/>
      </c>
    </row>
    <row r="120" spans="1:7" ht="21.95" customHeight="1">
      <c r="A120" s="9" t="s">
        <v>108</v>
      </c>
      <c r="B120" s="9" t="s">
        <v>82</v>
      </c>
      <c r="C120" s="15">
        <v>890</v>
      </c>
      <c r="D120" s="16" t="str">
        <f>IFERROR(INDEX(المواد!$B$2:$B$319,MATCH(B120,المواد!$A$2:$A$319,0)),"")</f>
        <v>كغ</v>
      </c>
      <c r="E120" s="9"/>
      <c r="F120" t="str">
        <f>IF(AND($A120&lt;&gt;"",COUNTIF($A$2:A120,$A120)=1),$A120,"")</f>
        <v/>
      </c>
      <c r="G120" t="str">
        <f>IF($F120&lt;&gt;"",SUMPRODUCT(($F$2:F120&lt;&gt;"")*1),"")</f>
        <v/>
      </c>
    </row>
    <row r="121" spans="1:7" ht="21.95" customHeight="1">
      <c r="A121" s="9" t="s">
        <v>108</v>
      </c>
      <c r="B121" s="9" t="s">
        <v>87</v>
      </c>
      <c r="C121" s="15">
        <v>100</v>
      </c>
      <c r="D121" s="16" t="str">
        <f>IFERROR(INDEX(المواد!$B$2:$B$319,MATCH(B121,المواد!$A$2:$A$319,0)),"")</f>
        <v>كغ</v>
      </c>
      <c r="E121" s="9" t="s">
        <v>233</v>
      </c>
      <c r="F121" t="str">
        <f>IF(AND($A121&lt;&gt;"",COUNTIF($A$2:A121,$A121)=1),$A121,"")</f>
        <v/>
      </c>
      <c r="G121" t="str">
        <f>IF($F121&lt;&gt;"",SUMPRODUCT(($F$2:F121&lt;&gt;"")*1),"")</f>
        <v/>
      </c>
    </row>
    <row r="122" spans="1:7" ht="21.95" customHeight="1">
      <c r="A122" s="9" t="s">
        <v>108</v>
      </c>
      <c r="B122" s="9" t="s">
        <v>45</v>
      </c>
      <c r="C122" s="15"/>
      <c r="D122" s="16" t="str">
        <f>IFERROR(INDEX(المواد!$B$2:$B$319,MATCH(B122,المواد!$A$2:$A$319,0)),"")</f>
        <v>كغ</v>
      </c>
      <c r="E122" s="9"/>
      <c r="F122" t="str">
        <f>IF(AND($A122&lt;&gt;"",COUNTIF($A$2:A122,$A122)=1),$A122,"")</f>
        <v/>
      </c>
      <c r="G122" t="str">
        <f>IF($F122&lt;&gt;"",SUMPRODUCT(($F$2:F122&lt;&gt;"")*1),"")</f>
        <v/>
      </c>
    </row>
    <row r="123" spans="1:7" ht="21.95" customHeight="1">
      <c r="A123" s="9" t="s">
        <v>108</v>
      </c>
      <c r="B123" s="9" t="s">
        <v>66</v>
      </c>
      <c r="C123" s="15">
        <v>1</v>
      </c>
      <c r="D123" s="16" t="str">
        <f>IFERROR(INDEX(المواد!$B$2:$B$319,MATCH(B123,المواد!$A$2:$A$319,0)),"")</f>
        <v>كغ</v>
      </c>
      <c r="E123" s="9" t="s">
        <v>66</v>
      </c>
      <c r="F123" t="str">
        <f>IF(AND($A123&lt;&gt;"",COUNTIF($A$2:A123,$A123)=1),$A123,"")</f>
        <v/>
      </c>
      <c r="G123" t="str">
        <f>IF($F123&lt;&gt;"",SUMPRODUCT(($F$2:F123&lt;&gt;"")*1),"")</f>
        <v/>
      </c>
    </row>
    <row r="124" spans="1:7" ht="21.95" customHeight="1">
      <c r="A124" s="9" t="s">
        <v>109</v>
      </c>
      <c r="B124" s="9" t="s">
        <v>43</v>
      </c>
      <c r="C124" s="15">
        <v>150</v>
      </c>
      <c r="D124" s="16" t="str">
        <f>IFERROR(INDEX(المواد!$B$2:$B$319,MATCH(B124,المواد!$A$2:$A$319,0)),"")</f>
        <v>كغ</v>
      </c>
      <c r="E124" s="9"/>
      <c r="F124" t="str">
        <f>IF(AND($A124&lt;&gt;"",COUNTIF($A$2:A124,$A124)=1),$A124,"")</f>
        <v>لودلين سادة أول</v>
      </c>
      <c r="G124">
        <f>IF($F124&lt;&gt;"",SUMPRODUCT(($F$2:F124&lt;&gt;"")*1),"")</f>
        <v>17</v>
      </c>
    </row>
    <row r="125" spans="1:7" ht="21.95" customHeight="1">
      <c r="A125" s="9" t="s">
        <v>109</v>
      </c>
      <c r="B125" s="9" t="s">
        <v>35</v>
      </c>
      <c r="C125" s="15">
        <v>100</v>
      </c>
      <c r="D125" s="16" t="str">
        <f>IFERROR(INDEX(المواد!$B$2:$B$319,MATCH(B125,المواد!$A$2:$A$319,0)),"")</f>
        <v>كغ</v>
      </c>
      <c r="E125" s="9"/>
      <c r="F125" t="str">
        <f>IF(AND($A125&lt;&gt;"",COUNTIF($A$2:A125,$A125)=1),$A125,"")</f>
        <v/>
      </c>
      <c r="G125" t="str">
        <f>IF($F125&lt;&gt;"",SUMPRODUCT(($F$2:F125&lt;&gt;"")*1),"")</f>
        <v/>
      </c>
    </row>
    <row r="126" spans="1:7" ht="21.95" customHeight="1">
      <c r="A126" s="9" t="s">
        <v>109</v>
      </c>
      <c r="B126" s="9" t="s">
        <v>80</v>
      </c>
      <c r="C126" s="15">
        <v>19</v>
      </c>
      <c r="D126" s="16" t="str">
        <f>IFERROR(INDEX(المواد!$B$2:$B$319,MATCH(B126,المواد!$A$2:$A$319,0)),"")</f>
        <v>كغ</v>
      </c>
      <c r="E126" s="9"/>
      <c r="F126" t="str">
        <f>IF(AND($A126&lt;&gt;"",COUNTIF($A$2:A126,$A126)=1),$A126,"")</f>
        <v/>
      </c>
      <c r="G126" t="str">
        <f>IF($F126&lt;&gt;"",SUMPRODUCT(($F$2:F126&lt;&gt;"")*1),"")</f>
        <v/>
      </c>
    </row>
    <row r="127" spans="1:7" ht="21.95" customHeight="1">
      <c r="A127" s="9" t="s">
        <v>109</v>
      </c>
      <c r="B127" s="9" t="s">
        <v>74</v>
      </c>
      <c r="C127" s="15">
        <v>5</v>
      </c>
      <c r="D127" s="16" t="str">
        <f>IFERROR(INDEX(المواد!$B$2:$B$319,MATCH(B127,المواد!$A$2:$A$319,0)),"")</f>
        <v>كغ</v>
      </c>
      <c r="E127" s="9"/>
      <c r="F127" t="str">
        <f>IF(AND($A127&lt;&gt;"",COUNTIF($A$2:A127,$A127)=1),$A127,"")</f>
        <v/>
      </c>
      <c r="G127" t="str">
        <f>IF($F127&lt;&gt;"",SUMPRODUCT(($F$2:F127&lt;&gt;"")*1),"")</f>
        <v/>
      </c>
    </row>
    <row r="128" spans="1:7" ht="21.95" customHeight="1">
      <c r="A128" s="9" t="s">
        <v>109</v>
      </c>
      <c r="B128" s="9" t="s">
        <v>212</v>
      </c>
      <c r="C128" s="15">
        <v>1.5</v>
      </c>
      <c r="D128" s="16" t="str">
        <f>IFERROR(INDEX(المواد!$B$2:$B$319,MATCH(B128,المواد!$A$2:$A$319,0)),"")</f>
        <v>كغ</v>
      </c>
      <c r="E128" s="9"/>
      <c r="F128" t="str">
        <f>IF(AND($A128&lt;&gt;"",COUNTIF($A$2:A128,$A128)=1),$A128,"")</f>
        <v/>
      </c>
      <c r="G128" t="str">
        <f>IF($F128&lt;&gt;"",SUMPRODUCT(($F$2:F128&lt;&gt;"")*1),"")</f>
        <v/>
      </c>
    </row>
    <row r="129" spans="1:7" ht="21.95" customHeight="1">
      <c r="A129" s="9" t="s">
        <v>109</v>
      </c>
      <c r="B129" s="9" t="s">
        <v>34</v>
      </c>
      <c r="C129" s="15">
        <v>50</v>
      </c>
      <c r="D129" s="16" t="str">
        <f>IFERROR(INDEX(المواد!$B$2:$B$319,MATCH(B129,المواد!$A$2:$A$319,0)),"")</f>
        <v>كغ</v>
      </c>
      <c r="E129" s="9"/>
      <c r="F129" t="str">
        <f>IF(AND($A129&lt;&gt;"",COUNTIF($A$2:A129,$A129)=1),$A129,"")</f>
        <v/>
      </c>
      <c r="G129" t="str">
        <f>IF($F129&lt;&gt;"",SUMPRODUCT(($F$2:F129&lt;&gt;"")*1),"")</f>
        <v/>
      </c>
    </row>
    <row r="130" spans="1:7" ht="21.95" customHeight="1">
      <c r="A130" s="9" t="s">
        <v>109</v>
      </c>
      <c r="B130" s="9" t="s">
        <v>40</v>
      </c>
      <c r="C130" s="15"/>
      <c r="D130" s="16" t="str">
        <f>IFERROR(INDEX(المواد!$B$2:$B$319,MATCH(B130,المواد!$A$2:$A$319,0)),"")</f>
        <v>كغ</v>
      </c>
      <c r="E130" s="9"/>
      <c r="F130" t="str">
        <f>IF(AND($A130&lt;&gt;"",COUNTIF($A$2:A130,$A130)=1),$A130,"")</f>
        <v/>
      </c>
      <c r="G130" t="str">
        <f>IF($F130&lt;&gt;"",SUMPRODUCT(($F$2:F130&lt;&gt;"")*1),"")</f>
        <v/>
      </c>
    </row>
    <row r="131" spans="1:7" ht="21.95" customHeight="1">
      <c r="A131" s="9" t="s">
        <v>109</v>
      </c>
      <c r="B131" s="9" t="s">
        <v>82</v>
      </c>
      <c r="C131" s="15">
        <v>675</v>
      </c>
      <c r="D131" s="16" t="str">
        <f>IFERROR(INDEX(المواد!$B$2:$B$319,MATCH(B131,المواد!$A$2:$A$319,0)),"")</f>
        <v>كغ</v>
      </c>
      <c r="E131" s="9"/>
      <c r="F131" t="str">
        <f>IF(AND($A131&lt;&gt;"",COUNTIF($A$2:A131,$A131)=1),$A131,"")</f>
        <v/>
      </c>
      <c r="G131" t="str">
        <f>IF($F131&lt;&gt;"",SUMPRODUCT(($F$2:F131&lt;&gt;"")*1),"")</f>
        <v/>
      </c>
    </row>
    <row r="132" spans="1:7" ht="21.95" customHeight="1">
      <c r="A132" s="9" t="s">
        <v>110</v>
      </c>
      <c r="B132" s="9" t="s">
        <v>43</v>
      </c>
      <c r="C132" s="15">
        <v>75</v>
      </c>
      <c r="D132" s="16" t="str">
        <f>IFERROR(INDEX(المواد!$B$2:$B$319,MATCH(B132,المواد!$A$2:$A$319,0)),"")</f>
        <v>كغ</v>
      </c>
      <c r="E132" s="9"/>
      <c r="F132" t="str">
        <f>IF(AND($A132&lt;&gt;"",COUNTIF($A$2:A132,$A132)=1),$A132,"")</f>
        <v>لودلين سادة أول 500 كغ</v>
      </c>
      <c r="G132">
        <f>IF($F132&lt;&gt;"",SUMPRODUCT(($F$2:F132&lt;&gt;"")*1),"")</f>
        <v>18</v>
      </c>
    </row>
    <row r="133" spans="1:7" ht="21.95" customHeight="1">
      <c r="A133" s="9" t="s">
        <v>110</v>
      </c>
      <c r="B133" s="9" t="s">
        <v>35</v>
      </c>
      <c r="C133" s="15">
        <v>50</v>
      </c>
      <c r="D133" s="16" t="str">
        <f>IFERROR(INDEX(المواد!$B$2:$B$319,MATCH(B133,المواد!$A$2:$A$319,0)),"")</f>
        <v>كغ</v>
      </c>
      <c r="E133" s="9"/>
      <c r="F133" t="str">
        <f>IF(AND($A133&lt;&gt;"",COUNTIF($A$2:A133,$A133)=1),$A133,"")</f>
        <v/>
      </c>
      <c r="G133" t="str">
        <f>IF($F133&lt;&gt;"",SUMPRODUCT(($F$2:F133&lt;&gt;"")*1),"")</f>
        <v/>
      </c>
    </row>
    <row r="134" spans="1:7" ht="21.95" customHeight="1">
      <c r="A134" s="9" t="s">
        <v>110</v>
      </c>
      <c r="B134" s="9" t="s">
        <v>80</v>
      </c>
      <c r="C134" s="15">
        <v>9.5</v>
      </c>
      <c r="D134" s="16" t="str">
        <f>IFERROR(INDEX(المواد!$B$2:$B$319,MATCH(B134,المواد!$A$2:$A$319,0)),"")</f>
        <v>كغ</v>
      </c>
      <c r="E134" s="9"/>
      <c r="F134" t="str">
        <f>IF(AND($A134&lt;&gt;"",COUNTIF($A$2:A134,$A134)=1),$A134,"")</f>
        <v/>
      </c>
      <c r="G134" t="str">
        <f>IF($F134&lt;&gt;"",SUMPRODUCT(($F$2:F134&lt;&gt;"")*1),"")</f>
        <v/>
      </c>
    </row>
    <row r="135" spans="1:7" ht="21.95" customHeight="1">
      <c r="A135" s="9" t="s">
        <v>110</v>
      </c>
      <c r="B135" s="9" t="s">
        <v>74</v>
      </c>
      <c r="C135" s="15">
        <v>2.5</v>
      </c>
      <c r="D135" s="16" t="str">
        <f>IFERROR(INDEX(المواد!$B$2:$B$319,MATCH(B135,المواد!$A$2:$A$319,0)),"")</f>
        <v>كغ</v>
      </c>
      <c r="E135" s="9"/>
      <c r="F135" t="str">
        <f>IF(AND($A135&lt;&gt;"",COUNTIF($A$2:A135,$A135)=1),$A135,"")</f>
        <v/>
      </c>
      <c r="G135" t="str">
        <f>IF($F135&lt;&gt;"",SUMPRODUCT(($F$2:F135&lt;&gt;"")*1),"")</f>
        <v/>
      </c>
    </row>
    <row r="136" spans="1:7" ht="21.95" customHeight="1">
      <c r="A136" s="9" t="s">
        <v>110</v>
      </c>
      <c r="B136" s="9" t="s">
        <v>212</v>
      </c>
      <c r="C136" s="15">
        <v>0.75</v>
      </c>
      <c r="D136" s="16" t="str">
        <f>IFERROR(INDEX(المواد!$B$2:$B$319,MATCH(B136,المواد!$A$2:$A$319,0)),"")</f>
        <v>كغ</v>
      </c>
      <c r="E136" s="9"/>
      <c r="F136" t="str">
        <f>IF(AND($A136&lt;&gt;"",COUNTIF($A$2:A136,$A136)=1),$A136,"")</f>
        <v/>
      </c>
      <c r="G136" t="str">
        <f>IF($F136&lt;&gt;"",SUMPRODUCT(($F$2:F136&lt;&gt;"")*1),"")</f>
        <v/>
      </c>
    </row>
    <row r="137" spans="1:7" ht="21.95" customHeight="1">
      <c r="A137" s="9" t="s">
        <v>110</v>
      </c>
      <c r="B137" s="9" t="s">
        <v>34</v>
      </c>
      <c r="C137" s="15">
        <v>25</v>
      </c>
      <c r="D137" s="16" t="str">
        <f>IFERROR(INDEX(المواد!$B$2:$B$319,MATCH(B137,المواد!$A$2:$A$319,0)),"")</f>
        <v>كغ</v>
      </c>
      <c r="E137" s="9"/>
      <c r="F137" t="str">
        <f>IF(AND($A137&lt;&gt;"",COUNTIF($A$2:A137,$A137)=1),$A137,"")</f>
        <v/>
      </c>
      <c r="G137" t="str">
        <f>IF($F137&lt;&gt;"",SUMPRODUCT(($F$2:F137&lt;&gt;"")*1),"")</f>
        <v/>
      </c>
    </row>
    <row r="138" spans="1:7" ht="21.95" customHeight="1">
      <c r="A138" s="9" t="s">
        <v>110</v>
      </c>
      <c r="B138" s="9" t="s">
        <v>40</v>
      </c>
      <c r="C138" s="15"/>
      <c r="D138" s="16" t="str">
        <f>IFERROR(INDEX(المواد!$B$2:$B$319,MATCH(B138,المواد!$A$2:$A$319,0)),"")</f>
        <v>كغ</v>
      </c>
      <c r="E138" s="9"/>
      <c r="F138" t="str">
        <f>IF(AND($A138&lt;&gt;"",COUNTIF($A$2:A138,$A138)=1),$A138,"")</f>
        <v/>
      </c>
      <c r="G138" t="str">
        <f>IF($F138&lt;&gt;"",SUMPRODUCT(($F$2:F138&lt;&gt;"")*1),"")</f>
        <v/>
      </c>
    </row>
    <row r="139" spans="1:7" ht="21.95" customHeight="1">
      <c r="A139" s="9" t="s">
        <v>110</v>
      </c>
      <c r="B139" s="9" t="s">
        <v>82</v>
      </c>
      <c r="C139" s="15">
        <v>338</v>
      </c>
      <c r="D139" s="16" t="str">
        <f>IFERROR(INDEX(المواد!$B$2:$B$319,MATCH(B139,المواد!$A$2:$A$319,0)),"")</f>
        <v>كغ</v>
      </c>
      <c r="E139" s="9"/>
      <c r="F139" t="str">
        <f>IF(AND($A139&lt;&gt;"",COUNTIF($A$2:A139,$A139)=1),$A139,"")</f>
        <v/>
      </c>
      <c r="G139" t="str">
        <f>IF($F139&lt;&gt;"",SUMPRODUCT(($F$2:F139&lt;&gt;"")*1),"")</f>
        <v/>
      </c>
    </row>
    <row r="140" spans="1:7" ht="21.95" customHeight="1">
      <c r="A140" s="9" t="s">
        <v>111</v>
      </c>
      <c r="B140" s="9" t="s">
        <v>43</v>
      </c>
      <c r="C140" s="15">
        <v>35</v>
      </c>
      <c r="D140" s="16" t="str">
        <f>IFERROR(INDEX(المواد!$B$2:$B$319,MATCH(B140,المواد!$A$2:$A$319,0)),"")</f>
        <v>كغ</v>
      </c>
      <c r="E140" s="9"/>
      <c r="F140" t="str">
        <f>IF(AND($A140&lt;&gt;"",COUNTIF($A$2:A140,$A140)=1),$A140,"")</f>
        <v>لودلين سادة ثالث</v>
      </c>
      <c r="G140">
        <f>IF($F140&lt;&gt;"",SUMPRODUCT(($F$2:F140&lt;&gt;"")*1),"")</f>
        <v>19</v>
      </c>
    </row>
    <row r="141" spans="1:7" ht="21.95" customHeight="1">
      <c r="A141" s="9" t="s">
        <v>111</v>
      </c>
      <c r="B141" s="9" t="s">
        <v>35</v>
      </c>
      <c r="C141" s="15">
        <v>50</v>
      </c>
      <c r="D141" s="16" t="str">
        <f>IFERROR(INDEX(المواد!$B$2:$B$319,MATCH(B141,المواد!$A$2:$A$319,0)),"")</f>
        <v>كغ</v>
      </c>
      <c r="E141" s="9"/>
      <c r="F141" t="str">
        <f>IF(AND($A141&lt;&gt;"",COUNTIF($A$2:A141,$A141)=1),$A141,"")</f>
        <v/>
      </c>
      <c r="G141" t="str">
        <f>IF($F141&lt;&gt;"",SUMPRODUCT(($F$2:F141&lt;&gt;"")*1),"")</f>
        <v/>
      </c>
    </row>
    <row r="142" spans="1:7" ht="21.95" customHeight="1">
      <c r="A142" s="9" t="s">
        <v>111</v>
      </c>
      <c r="B142" s="9" t="s">
        <v>80</v>
      </c>
      <c r="C142" s="15">
        <v>4</v>
      </c>
      <c r="D142" s="16" t="str">
        <f>IFERROR(INDEX(المواد!$B$2:$B$319,MATCH(B142,المواد!$A$2:$A$319,0)),"")</f>
        <v>كغ</v>
      </c>
      <c r="E142" s="9"/>
      <c r="F142" t="str">
        <f>IF(AND($A142&lt;&gt;"",COUNTIF($A$2:A142,$A142)=1),$A142,"")</f>
        <v/>
      </c>
      <c r="G142" t="str">
        <f>IF($F142&lt;&gt;"",SUMPRODUCT(($F$2:F142&lt;&gt;"")*1),"")</f>
        <v/>
      </c>
    </row>
    <row r="143" spans="1:7" ht="21.95" customHeight="1">
      <c r="A143" s="9" t="s">
        <v>111</v>
      </c>
      <c r="B143" s="9" t="s">
        <v>85</v>
      </c>
      <c r="C143" s="15">
        <v>2.5</v>
      </c>
      <c r="D143" s="16" t="str">
        <f>IFERROR(INDEX(المواد!$B$2:$B$319,MATCH(B143,المواد!$A$2:$A$319,0)),"")</f>
        <v>كغ</v>
      </c>
      <c r="E143" s="9"/>
      <c r="F143" t="str">
        <f>IF(AND($A143&lt;&gt;"",COUNTIF($A$2:A143,$A143)=1),$A143,"")</f>
        <v/>
      </c>
      <c r="G143" t="str">
        <f>IF($F143&lt;&gt;"",SUMPRODUCT(($F$2:F143&lt;&gt;"")*1),"")</f>
        <v/>
      </c>
    </row>
    <row r="144" spans="1:7" ht="21.95" customHeight="1">
      <c r="A144" s="9" t="s">
        <v>111</v>
      </c>
      <c r="B144" s="9" t="s">
        <v>212</v>
      </c>
      <c r="C144" s="15">
        <v>1.5</v>
      </c>
      <c r="D144" s="16" t="str">
        <f>IFERROR(INDEX(المواد!$B$2:$B$319,MATCH(B144,المواد!$A$2:$A$319,0)),"")</f>
        <v>كغ</v>
      </c>
      <c r="E144" s="9"/>
      <c r="F144" t="str">
        <f>IF(AND($A144&lt;&gt;"",COUNTIF($A$2:A144,$A144)=1),$A144,"")</f>
        <v/>
      </c>
      <c r="G144" t="str">
        <f>IF($F144&lt;&gt;"",SUMPRODUCT(($F$2:F144&lt;&gt;"")*1),"")</f>
        <v/>
      </c>
    </row>
    <row r="145" spans="1:7" ht="21.95" customHeight="1">
      <c r="A145" s="9" t="s">
        <v>111</v>
      </c>
      <c r="B145" s="9" t="s">
        <v>34</v>
      </c>
      <c r="C145" s="15">
        <v>15</v>
      </c>
      <c r="D145" s="16" t="str">
        <f>IFERROR(INDEX(المواد!$B$2:$B$319,MATCH(B145,المواد!$A$2:$A$319,0)),"")</f>
        <v>كغ</v>
      </c>
      <c r="E145" s="9"/>
      <c r="F145" t="str">
        <f>IF(AND($A145&lt;&gt;"",COUNTIF($A$2:A145,$A145)=1),$A145,"")</f>
        <v/>
      </c>
      <c r="G145" t="str">
        <f>IF($F145&lt;&gt;"",SUMPRODUCT(($F$2:F145&lt;&gt;"")*1),"")</f>
        <v/>
      </c>
    </row>
    <row r="146" spans="1:7" ht="21.95" customHeight="1">
      <c r="A146" s="9" t="s">
        <v>111</v>
      </c>
      <c r="B146" s="9" t="s">
        <v>40</v>
      </c>
      <c r="C146" s="15"/>
      <c r="D146" s="16" t="str">
        <f>IFERROR(INDEX(المواد!$B$2:$B$319,MATCH(B146,المواد!$A$2:$A$319,0)),"")</f>
        <v>كغ</v>
      </c>
      <c r="E146" s="9"/>
      <c r="F146" t="str">
        <f>IF(AND($A146&lt;&gt;"",COUNTIF($A$2:A146,$A146)=1),$A146,"")</f>
        <v/>
      </c>
      <c r="G146" t="str">
        <f>IF($F146&lt;&gt;"",SUMPRODUCT(($F$2:F146&lt;&gt;"")*1),"")</f>
        <v/>
      </c>
    </row>
    <row r="147" spans="1:7" ht="21.95" customHeight="1">
      <c r="A147" s="9" t="s">
        <v>111</v>
      </c>
      <c r="B147" s="9" t="s">
        <v>82</v>
      </c>
      <c r="C147" s="15">
        <v>890</v>
      </c>
      <c r="D147" s="16" t="str">
        <f>IFERROR(INDEX(المواد!$B$2:$B$319,MATCH(B147,المواد!$A$2:$A$319,0)),"")</f>
        <v>كغ</v>
      </c>
      <c r="E147" s="9"/>
      <c r="F147" t="str">
        <f>IF(AND($A147&lt;&gt;"",COUNTIF($A$2:A147,$A147)=1),$A147,"")</f>
        <v/>
      </c>
      <c r="G147" t="str">
        <f>IF($F147&lt;&gt;"",SUMPRODUCT(($F$2:F147&lt;&gt;"")*1),"")</f>
        <v/>
      </c>
    </row>
    <row r="148" spans="1:7" ht="21.95" customHeight="1">
      <c r="A148" s="9" t="s">
        <v>111</v>
      </c>
      <c r="B148" s="9" t="s">
        <v>87</v>
      </c>
      <c r="C148" s="15">
        <v>75</v>
      </c>
      <c r="D148" s="16" t="str">
        <f>IFERROR(INDEX(المواد!$B$2:$B$319,MATCH(B148,المواد!$A$2:$A$319,0)),"")</f>
        <v>كغ</v>
      </c>
      <c r="E148" s="9" t="s">
        <v>233</v>
      </c>
      <c r="F148" t="str">
        <f>IF(AND($A148&lt;&gt;"",COUNTIF($A$2:A148,$A148)=1),$A148,"")</f>
        <v/>
      </c>
      <c r="G148" t="str">
        <f>IF($F148&lt;&gt;"",SUMPRODUCT(($F$2:F148&lt;&gt;"")*1),"")</f>
        <v/>
      </c>
    </row>
    <row r="149" spans="1:7" ht="21.95" customHeight="1">
      <c r="A149" s="9" t="s">
        <v>112</v>
      </c>
      <c r="B149" s="9" t="s">
        <v>43</v>
      </c>
      <c r="C149" s="15">
        <v>60</v>
      </c>
      <c r="D149" s="16" t="str">
        <f>IFERROR(INDEX(المواد!$B$2:$B$319,MATCH(B149,المواد!$A$2:$A$319,0)),"")</f>
        <v>كغ</v>
      </c>
      <c r="E149" s="9"/>
      <c r="F149" t="str">
        <f>IF(AND($A149&lt;&gt;"",COUNTIF($A$2:A149,$A149)=1),$A149,"")</f>
        <v>لودلين سادة ثاني</v>
      </c>
      <c r="G149">
        <f>IF($F149&lt;&gt;"",SUMPRODUCT(($F$2:F149&lt;&gt;"")*1),"")</f>
        <v>20</v>
      </c>
    </row>
    <row r="150" spans="1:7" ht="21.95" customHeight="1">
      <c r="A150" s="9" t="s">
        <v>112</v>
      </c>
      <c r="B150" s="9" t="s">
        <v>35</v>
      </c>
      <c r="C150" s="15">
        <v>50</v>
      </c>
      <c r="D150" s="16" t="str">
        <f>IFERROR(INDEX(المواد!$B$2:$B$319,MATCH(B150,المواد!$A$2:$A$319,0)),"")</f>
        <v>كغ</v>
      </c>
      <c r="E150" s="9"/>
      <c r="F150" t="str">
        <f>IF(AND($A150&lt;&gt;"",COUNTIF($A$2:A150,$A150)=1),$A150,"")</f>
        <v/>
      </c>
      <c r="G150" t="str">
        <f>IF($F150&lt;&gt;"",SUMPRODUCT(($F$2:F150&lt;&gt;"")*1),"")</f>
        <v/>
      </c>
    </row>
    <row r="151" spans="1:7" ht="21.95" customHeight="1">
      <c r="A151" s="9" t="s">
        <v>112</v>
      </c>
      <c r="B151" s="9" t="s">
        <v>80</v>
      </c>
      <c r="C151" s="15">
        <v>7.5</v>
      </c>
      <c r="D151" s="16" t="str">
        <f>IFERROR(INDEX(المواد!$B$2:$B$319,MATCH(B151,المواد!$A$2:$A$319,0)),"")</f>
        <v>كغ</v>
      </c>
      <c r="E151" s="9"/>
      <c r="F151" t="str">
        <f>IF(AND($A151&lt;&gt;"",COUNTIF($A$2:A151,$A151)=1),$A151,"")</f>
        <v/>
      </c>
      <c r="G151" t="str">
        <f>IF($F151&lt;&gt;"",SUMPRODUCT(($F$2:F151&lt;&gt;"")*1),"")</f>
        <v/>
      </c>
    </row>
    <row r="152" spans="1:7" ht="21.95" customHeight="1">
      <c r="A152" s="9" t="s">
        <v>112</v>
      </c>
      <c r="B152" s="9" t="s">
        <v>85</v>
      </c>
      <c r="C152" s="15">
        <v>2.5</v>
      </c>
      <c r="D152" s="16" t="str">
        <f>IFERROR(INDEX(المواد!$B$2:$B$319,MATCH(B152,المواد!$A$2:$A$319,0)),"")</f>
        <v>كغ</v>
      </c>
      <c r="E152" s="9"/>
      <c r="F152" t="str">
        <f>IF(AND($A152&lt;&gt;"",COUNTIF($A$2:A152,$A152)=1),$A152,"")</f>
        <v/>
      </c>
      <c r="G152" t="str">
        <f>IF($F152&lt;&gt;"",SUMPRODUCT(($F$2:F152&lt;&gt;"")*1),"")</f>
        <v/>
      </c>
    </row>
    <row r="153" spans="1:7" ht="21.95" customHeight="1">
      <c r="A153" s="9" t="s">
        <v>112</v>
      </c>
      <c r="B153" s="9" t="s">
        <v>212</v>
      </c>
      <c r="C153" s="15">
        <v>1.5</v>
      </c>
      <c r="D153" s="16" t="str">
        <f>IFERROR(INDEX(المواد!$B$2:$B$319,MATCH(B153,المواد!$A$2:$A$319,0)),"")</f>
        <v>كغ</v>
      </c>
      <c r="E153" s="9"/>
      <c r="F153" t="str">
        <f>IF(AND($A153&lt;&gt;"",COUNTIF($A$2:A153,$A153)=1),$A153,"")</f>
        <v/>
      </c>
      <c r="G153" t="str">
        <f>IF($F153&lt;&gt;"",SUMPRODUCT(($F$2:F153&lt;&gt;"")*1),"")</f>
        <v/>
      </c>
    </row>
    <row r="154" spans="1:7" ht="21.95" customHeight="1">
      <c r="A154" s="9" t="s">
        <v>112</v>
      </c>
      <c r="B154" s="9" t="s">
        <v>34</v>
      </c>
      <c r="C154" s="15">
        <v>10</v>
      </c>
      <c r="D154" s="16" t="str">
        <f>IFERROR(INDEX(المواد!$B$2:$B$319,MATCH(B154,المواد!$A$2:$A$319,0)),"")</f>
        <v>كغ</v>
      </c>
      <c r="E154" s="9"/>
      <c r="F154" t="str">
        <f>IF(AND($A154&lt;&gt;"",COUNTIF($A$2:A154,$A154)=1),$A154,"")</f>
        <v/>
      </c>
      <c r="G154" t="str">
        <f>IF($F154&lt;&gt;"",SUMPRODUCT(($F$2:F154&lt;&gt;"")*1),"")</f>
        <v/>
      </c>
    </row>
    <row r="155" spans="1:7" ht="21.95" customHeight="1">
      <c r="A155" s="9" t="s">
        <v>112</v>
      </c>
      <c r="B155" s="9" t="s">
        <v>40</v>
      </c>
      <c r="C155" s="15"/>
      <c r="D155" s="16" t="str">
        <f>IFERROR(INDEX(المواد!$B$2:$B$319,MATCH(B155,المواد!$A$2:$A$319,0)),"")</f>
        <v>كغ</v>
      </c>
      <c r="E155" s="9"/>
      <c r="F155" t="str">
        <f>IF(AND($A155&lt;&gt;"",COUNTIF($A$2:A155,$A155)=1),$A155,"")</f>
        <v/>
      </c>
      <c r="G155" t="str">
        <f>IF($F155&lt;&gt;"",SUMPRODUCT(($F$2:F155&lt;&gt;"")*1),"")</f>
        <v/>
      </c>
    </row>
    <row r="156" spans="1:7" ht="21.95" customHeight="1">
      <c r="A156" s="9" t="s">
        <v>112</v>
      </c>
      <c r="B156" s="9" t="s">
        <v>82</v>
      </c>
      <c r="C156" s="15">
        <v>825</v>
      </c>
      <c r="D156" s="16" t="str">
        <f>IFERROR(INDEX(المواد!$B$2:$B$319,MATCH(B156,المواد!$A$2:$A$319,0)),"")</f>
        <v>كغ</v>
      </c>
      <c r="E156" s="9"/>
      <c r="F156" t="str">
        <f>IF(AND($A156&lt;&gt;"",COUNTIF($A$2:A156,$A156)=1),$A156,"")</f>
        <v/>
      </c>
      <c r="G156" t="str">
        <f>IF($F156&lt;&gt;"",SUMPRODUCT(($F$2:F156&lt;&gt;"")*1),"")</f>
        <v/>
      </c>
    </row>
    <row r="157" spans="1:7" ht="21.95" customHeight="1">
      <c r="A157" s="9" t="s">
        <v>112</v>
      </c>
      <c r="B157" s="9" t="s">
        <v>87</v>
      </c>
      <c r="C157" s="15">
        <v>50</v>
      </c>
      <c r="D157" s="16" t="str">
        <f>IFERROR(INDEX(المواد!$B$2:$B$319,MATCH(B157,المواد!$A$2:$A$319,0)),"")</f>
        <v>كغ</v>
      </c>
      <c r="E157" s="9" t="s">
        <v>233</v>
      </c>
      <c r="F157" t="str">
        <f>IF(AND($A157&lt;&gt;"",COUNTIF($A$2:A157,$A157)=1),$A157,"")</f>
        <v/>
      </c>
      <c r="G157" t="str">
        <f>IF($F157&lt;&gt;"",SUMPRODUCT(($F$2:F157&lt;&gt;"")*1),"")</f>
        <v/>
      </c>
    </row>
    <row r="158" spans="1:7" ht="21.95" customHeight="1">
      <c r="A158" s="9" t="s">
        <v>113</v>
      </c>
      <c r="B158" s="9" t="s">
        <v>43</v>
      </c>
      <c r="C158" s="15">
        <v>20</v>
      </c>
      <c r="D158" s="16" t="str">
        <f>IFERROR(INDEX(المواد!$B$2:$B$319,MATCH(B158,المواد!$A$2:$A$319,0)),"")</f>
        <v>كغ</v>
      </c>
      <c r="E158" s="9"/>
      <c r="F158" t="str">
        <f>IF(AND($A158&lt;&gt;"",COUNTIF($A$2:A158,$A158)=1),$A158,"")</f>
        <v>لودلين سادة رابع</v>
      </c>
      <c r="G158">
        <f>IF($F158&lt;&gt;"",SUMPRODUCT(($F$2:F158&lt;&gt;"")*1),"")</f>
        <v>21</v>
      </c>
    </row>
    <row r="159" spans="1:7" ht="21.95" customHeight="1">
      <c r="A159" s="9" t="s">
        <v>113</v>
      </c>
      <c r="B159" s="9" t="s">
        <v>35</v>
      </c>
      <c r="C159" s="15">
        <v>40</v>
      </c>
      <c r="D159" s="16" t="str">
        <f>IFERROR(INDEX(المواد!$B$2:$B$319,MATCH(B159,المواد!$A$2:$A$319,0)),"")</f>
        <v>كغ</v>
      </c>
      <c r="E159" s="9"/>
      <c r="F159" t="str">
        <f>IF(AND($A159&lt;&gt;"",COUNTIF($A$2:A159,$A159)=1),$A159,"")</f>
        <v/>
      </c>
      <c r="G159" t="str">
        <f>IF($F159&lt;&gt;"",SUMPRODUCT(($F$2:F159&lt;&gt;"")*1),"")</f>
        <v/>
      </c>
    </row>
    <row r="160" spans="1:7" ht="21.95" customHeight="1">
      <c r="A160" s="9" t="s">
        <v>113</v>
      </c>
      <c r="B160" s="9" t="s">
        <v>80</v>
      </c>
      <c r="C160" s="15">
        <v>2.5</v>
      </c>
      <c r="D160" s="16" t="str">
        <f>IFERROR(INDEX(المواد!$B$2:$B$319,MATCH(B160,المواد!$A$2:$A$319,0)),"")</f>
        <v>كغ</v>
      </c>
      <c r="E160" s="9"/>
      <c r="F160" t="str">
        <f>IF(AND($A160&lt;&gt;"",COUNTIF($A$2:A160,$A160)=1),$A160,"")</f>
        <v/>
      </c>
      <c r="G160" t="str">
        <f>IF($F160&lt;&gt;"",SUMPRODUCT(($F$2:F160&lt;&gt;"")*1),"")</f>
        <v/>
      </c>
    </row>
    <row r="161" spans="1:7" ht="21.95" customHeight="1">
      <c r="A161" s="9" t="s">
        <v>113</v>
      </c>
      <c r="B161" s="9" t="s">
        <v>85</v>
      </c>
      <c r="C161" s="15">
        <v>3</v>
      </c>
      <c r="D161" s="16" t="str">
        <f>IFERROR(INDEX(المواد!$B$2:$B$319,MATCH(B161,المواد!$A$2:$A$319,0)),"")</f>
        <v>كغ</v>
      </c>
      <c r="E161" s="9"/>
      <c r="F161" t="str">
        <f>IF(AND($A161&lt;&gt;"",COUNTIF($A$2:A161,$A161)=1),$A161,"")</f>
        <v/>
      </c>
      <c r="G161" t="str">
        <f>IF($F161&lt;&gt;"",SUMPRODUCT(($F$2:F161&lt;&gt;"")*1),"")</f>
        <v/>
      </c>
    </row>
    <row r="162" spans="1:7" ht="21.95" customHeight="1">
      <c r="A162" s="9" t="s">
        <v>113</v>
      </c>
      <c r="B162" s="9" t="s">
        <v>212</v>
      </c>
      <c r="C162" s="15">
        <v>1.5</v>
      </c>
      <c r="D162" s="16" t="str">
        <f>IFERROR(INDEX(المواد!$B$2:$B$319,MATCH(B162,المواد!$A$2:$A$319,0)),"")</f>
        <v>كغ</v>
      </c>
      <c r="E162" s="9"/>
      <c r="F162" t="str">
        <f>IF(AND($A162&lt;&gt;"",COUNTIF($A$2:A162,$A162)=1),$A162,"")</f>
        <v/>
      </c>
      <c r="G162" t="str">
        <f>IF($F162&lt;&gt;"",SUMPRODUCT(($F$2:F162&lt;&gt;"")*1),"")</f>
        <v/>
      </c>
    </row>
    <row r="163" spans="1:7" ht="21.95" customHeight="1">
      <c r="A163" s="9" t="s">
        <v>113</v>
      </c>
      <c r="B163" s="9" t="s">
        <v>34</v>
      </c>
      <c r="C163" s="15">
        <v>15</v>
      </c>
      <c r="D163" s="16" t="str">
        <f>IFERROR(INDEX(المواد!$B$2:$B$319,MATCH(B163,المواد!$A$2:$A$319,0)),"")</f>
        <v>كغ</v>
      </c>
      <c r="E163" s="9"/>
      <c r="F163" t="str">
        <f>IF(AND($A163&lt;&gt;"",COUNTIF($A$2:A163,$A163)=1),$A163,"")</f>
        <v/>
      </c>
      <c r="G163" t="str">
        <f>IF($F163&lt;&gt;"",SUMPRODUCT(($F$2:F163&lt;&gt;"")*1),"")</f>
        <v/>
      </c>
    </row>
    <row r="164" spans="1:7" ht="21.95" customHeight="1">
      <c r="A164" s="9" t="s">
        <v>113</v>
      </c>
      <c r="B164" s="9" t="s">
        <v>40</v>
      </c>
      <c r="C164" s="15"/>
      <c r="D164" s="16" t="str">
        <f>IFERROR(INDEX(المواد!$B$2:$B$319,MATCH(B164,المواد!$A$2:$A$319,0)),"")</f>
        <v>كغ</v>
      </c>
      <c r="E164" s="9"/>
      <c r="F164" t="str">
        <f>IF(AND($A164&lt;&gt;"",COUNTIF($A$2:A164,$A164)=1),$A164,"")</f>
        <v/>
      </c>
      <c r="G164" t="str">
        <f>IF($F164&lt;&gt;"",SUMPRODUCT(($F$2:F164&lt;&gt;"")*1),"")</f>
        <v/>
      </c>
    </row>
    <row r="165" spans="1:7" ht="21.95" customHeight="1">
      <c r="A165" s="9" t="s">
        <v>113</v>
      </c>
      <c r="B165" s="9" t="s">
        <v>82</v>
      </c>
      <c r="C165" s="15">
        <v>890</v>
      </c>
      <c r="D165" s="16" t="str">
        <f>IFERROR(INDEX(المواد!$B$2:$B$319,MATCH(B165,المواد!$A$2:$A$319,0)),"")</f>
        <v>كغ</v>
      </c>
      <c r="E165" s="9"/>
      <c r="F165" t="str">
        <f>IF(AND($A165&lt;&gt;"",COUNTIF($A$2:A165,$A165)=1),$A165,"")</f>
        <v/>
      </c>
      <c r="G165" t="str">
        <f>IF($F165&lt;&gt;"",SUMPRODUCT(($F$2:F165&lt;&gt;"")*1),"")</f>
        <v/>
      </c>
    </row>
    <row r="166" spans="1:7" ht="21.95" customHeight="1">
      <c r="A166" s="9" t="s">
        <v>113</v>
      </c>
      <c r="B166" s="9" t="s">
        <v>87</v>
      </c>
      <c r="C166" s="15">
        <v>100</v>
      </c>
      <c r="D166" s="16" t="str">
        <f>IFERROR(INDEX(المواد!$B$2:$B$319,MATCH(B166,المواد!$A$2:$A$319,0)),"")</f>
        <v>كغ</v>
      </c>
      <c r="E166" s="9" t="s">
        <v>233</v>
      </c>
      <c r="F166" t="str">
        <f>IF(AND($A166&lt;&gt;"",COUNTIF($A$2:A166,$A166)=1),$A166,"")</f>
        <v/>
      </c>
      <c r="G166" t="str">
        <f>IF($F166&lt;&gt;"",SUMPRODUCT(($F$2:F166&lt;&gt;"")*1),"")</f>
        <v/>
      </c>
    </row>
    <row r="167" spans="1:7" ht="21.95" customHeight="1">
      <c r="A167" s="9" t="s">
        <v>114</v>
      </c>
      <c r="B167" s="9" t="s">
        <v>43</v>
      </c>
      <c r="C167" s="15">
        <v>150</v>
      </c>
      <c r="D167" s="16" t="str">
        <f>IFERROR(INDEX(المواد!$B$2:$B$319,MATCH(B167,المواد!$A$2:$A$319,0)),"")</f>
        <v>كغ</v>
      </c>
      <c r="E167" s="9"/>
      <c r="F167" t="str">
        <f>IF(AND($A167&lt;&gt;"",COUNTIF($A$2:A167,$A167)=1),$A167,"")</f>
        <v>لودلين فريز أول</v>
      </c>
      <c r="G167">
        <f>IF($F167&lt;&gt;"",SUMPRODUCT(($F$2:F167&lt;&gt;"")*1),"")</f>
        <v>22</v>
      </c>
    </row>
    <row r="168" spans="1:7" ht="21.95" customHeight="1">
      <c r="A168" s="9" t="s">
        <v>114</v>
      </c>
      <c r="B168" s="9" t="s">
        <v>35</v>
      </c>
      <c r="C168" s="15">
        <v>100</v>
      </c>
      <c r="D168" s="16" t="str">
        <f>IFERROR(INDEX(المواد!$B$2:$B$319,MATCH(B168,المواد!$A$2:$A$319,0)),"")</f>
        <v>كغ</v>
      </c>
      <c r="E168" s="9"/>
      <c r="F168" t="str">
        <f>IF(AND($A168&lt;&gt;"",COUNTIF($A$2:A168,$A168)=1),$A168,"")</f>
        <v/>
      </c>
      <c r="G168" t="str">
        <f>IF($F168&lt;&gt;"",SUMPRODUCT(($F$2:F168&lt;&gt;"")*1),"")</f>
        <v/>
      </c>
    </row>
    <row r="169" spans="1:7" ht="21.95" customHeight="1">
      <c r="A169" s="9" t="s">
        <v>114</v>
      </c>
      <c r="B169" s="9" t="s">
        <v>80</v>
      </c>
      <c r="C169" s="15">
        <v>19</v>
      </c>
      <c r="D169" s="16" t="str">
        <f>IFERROR(INDEX(المواد!$B$2:$B$319,MATCH(B169,المواد!$A$2:$A$319,0)),"")</f>
        <v>كغ</v>
      </c>
      <c r="E169" s="9"/>
      <c r="F169" t="str">
        <f>IF(AND($A169&lt;&gt;"",COUNTIF($A$2:A169,$A169)=1),$A169,"")</f>
        <v/>
      </c>
      <c r="G169" t="str">
        <f>IF($F169&lt;&gt;"",SUMPRODUCT(($F$2:F169&lt;&gt;"")*1),"")</f>
        <v/>
      </c>
    </row>
    <row r="170" spans="1:7" ht="21.95" customHeight="1">
      <c r="A170" s="9" t="s">
        <v>114</v>
      </c>
      <c r="B170" s="9" t="s">
        <v>74</v>
      </c>
      <c r="C170" s="15">
        <v>5</v>
      </c>
      <c r="D170" s="16" t="str">
        <f>IFERROR(INDEX(المواد!$B$2:$B$319,MATCH(B170,المواد!$A$2:$A$319,0)),"")</f>
        <v>كغ</v>
      </c>
      <c r="E170" s="9"/>
      <c r="F170" t="str">
        <f>IF(AND($A170&lt;&gt;"",COUNTIF($A$2:A170,$A170)=1),$A170,"")</f>
        <v/>
      </c>
      <c r="G170" t="str">
        <f>IF($F170&lt;&gt;"",SUMPRODUCT(($F$2:F170&lt;&gt;"")*1),"")</f>
        <v/>
      </c>
    </row>
    <row r="171" spans="1:7" ht="21.95" customHeight="1">
      <c r="A171" s="9" t="s">
        <v>114</v>
      </c>
      <c r="B171" s="9" t="s">
        <v>212</v>
      </c>
      <c r="C171" s="15">
        <v>1.5</v>
      </c>
      <c r="D171" s="16" t="str">
        <f>IFERROR(INDEX(المواد!$B$2:$B$319,MATCH(B171,المواد!$A$2:$A$319,0)),"")</f>
        <v>كغ</v>
      </c>
      <c r="E171" s="9"/>
      <c r="F171" t="str">
        <f>IF(AND($A171&lt;&gt;"",COUNTIF($A$2:A171,$A171)=1),$A171,"")</f>
        <v/>
      </c>
      <c r="G171" t="str">
        <f>IF($F171&lt;&gt;"",SUMPRODUCT(($F$2:F171&lt;&gt;"")*1),"")</f>
        <v/>
      </c>
    </row>
    <row r="172" spans="1:7" ht="21.95" customHeight="1">
      <c r="A172" s="9" t="s">
        <v>114</v>
      </c>
      <c r="B172" s="9" t="s">
        <v>34</v>
      </c>
      <c r="C172" s="15">
        <v>50</v>
      </c>
      <c r="D172" s="16" t="str">
        <f>IFERROR(INDEX(المواد!$B$2:$B$319,MATCH(B172,المواد!$A$2:$A$319,0)),"")</f>
        <v>كغ</v>
      </c>
      <c r="E172" s="9"/>
      <c r="F172" t="str">
        <f>IF(AND($A172&lt;&gt;"",COUNTIF($A$2:A172,$A172)=1),$A172,"")</f>
        <v/>
      </c>
      <c r="G172" t="str">
        <f>IF($F172&lt;&gt;"",SUMPRODUCT(($F$2:F172&lt;&gt;"")*1),"")</f>
        <v/>
      </c>
    </row>
    <row r="173" spans="1:7" ht="21.95" customHeight="1">
      <c r="A173" s="9" t="s">
        <v>114</v>
      </c>
      <c r="B173" s="9" t="s">
        <v>40</v>
      </c>
      <c r="C173" s="15"/>
      <c r="D173" s="16" t="str">
        <f>IFERROR(INDEX(المواد!$B$2:$B$319,MATCH(B173,المواد!$A$2:$A$319,0)),"")</f>
        <v>كغ</v>
      </c>
      <c r="E173" s="9"/>
      <c r="F173" t="str">
        <f>IF(AND($A173&lt;&gt;"",COUNTIF($A$2:A173,$A173)=1),$A173,"")</f>
        <v/>
      </c>
      <c r="G173" t="str">
        <f>IF($F173&lt;&gt;"",SUMPRODUCT(($F$2:F173&lt;&gt;"")*1),"")</f>
        <v/>
      </c>
    </row>
    <row r="174" spans="1:7" ht="21.95" customHeight="1">
      <c r="A174" s="9" t="s">
        <v>114</v>
      </c>
      <c r="B174" s="9" t="s">
        <v>82</v>
      </c>
      <c r="C174" s="15">
        <v>675</v>
      </c>
      <c r="D174" s="16" t="str">
        <f>IFERROR(INDEX(المواد!$B$2:$B$319,MATCH(B174,المواد!$A$2:$A$319,0)),"")</f>
        <v>كغ</v>
      </c>
      <c r="E174" s="9"/>
      <c r="F174" t="str">
        <f>IF(AND($A174&lt;&gt;"",COUNTIF($A$2:A174,$A174)=1),$A174,"")</f>
        <v/>
      </c>
      <c r="G174" t="str">
        <f>IF($F174&lt;&gt;"",SUMPRODUCT(($F$2:F174&lt;&gt;"")*1),"")</f>
        <v/>
      </c>
    </row>
    <row r="175" spans="1:7" ht="21.95" customHeight="1">
      <c r="A175" s="9" t="s">
        <v>114</v>
      </c>
      <c r="B175" s="9" t="s">
        <v>69</v>
      </c>
      <c r="C175" s="15">
        <v>2</v>
      </c>
      <c r="D175" s="16" t="str">
        <f>IFERROR(INDEX(المواد!$B$2:$B$319,MATCH(B175,المواد!$A$2:$A$319,0)),"")</f>
        <v>كغ</v>
      </c>
      <c r="E175" s="9" t="s">
        <v>115</v>
      </c>
      <c r="F175" t="str">
        <f>IF(AND($A175&lt;&gt;"",COUNTIF($A$2:A175,$A175)=1),$A175,"")</f>
        <v/>
      </c>
      <c r="G175" t="str">
        <f>IF($F175&lt;&gt;"",SUMPRODUCT(($F$2:F175&lt;&gt;"")*1),"")</f>
        <v/>
      </c>
    </row>
    <row r="176" spans="1:7" ht="21.95" customHeight="1">
      <c r="A176" s="9" t="s">
        <v>114</v>
      </c>
      <c r="B176" s="9" t="s">
        <v>45</v>
      </c>
      <c r="C176" s="15">
        <v>25</v>
      </c>
      <c r="D176" s="16" t="str">
        <f>IFERROR(INDEX(المواد!$B$2:$B$319,MATCH(B176,المواد!$A$2:$A$319,0)),"")</f>
        <v>كغ</v>
      </c>
      <c r="E176" s="9" t="s">
        <v>116</v>
      </c>
      <c r="F176" t="str">
        <f>IF(AND($A176&lt;&gt;"",COUNTIF($A$2:A176,$A176)=1),$A176,"")</f>
        <v/>
      </c>
      <c r="G176" t="str">
        <f>IF($F176&lt;&gt;"",SUMPRODUCT(($F$2:F176&lt;&gt;"")*1),"")</f>
        <v/>
      </c>
    </row>
    <row r="177" spans="1:7" ht="21.95" customHeight="1">
      <c r="A177" s="9" t="s">
        <v>117</v>
      </c>
      <c r="B177" s="9" t="s">
        <v>43</v>
      </c>
      <c r="C177" s="15">
        <v>35</v>
      </c>
      <c r="D177" s="16" t="str">
        <f>IFERROR(INDEX(المواد!$B$2:$B$319,MATCH(B177,المواد!$A$2:$A$319,0)),"")</f>
        <v>كغ</v>
      </c>
      <c r="E177" s="9"/>
      <c r="F177" t="str">
        <f>IF(AND($A177&lt;&gt;"",COUNTIF($A$2:A177,$A177)=1),$A177,"")</f>
        <v>لودلين فريز ثالث</v>
      </c>
      <c r="G177">
        <f>IF($F177&lt;&gt;"",SUMPRODUCT(($F$2:F177&lt;&gt;"")*1),"")</f>
        <v>23</v>
      </c>
    </row>
    <row r="178" spans="1:7" ht="21.95" customHeight="1">
      <c r="A178" s="9" t="s">
        <v>117</v>
      </c>
      <c r="B178" s="9" t="s">
        <v>35</v>
      </c>
      <c r="C178" s="15">
        <v>50</v>
      </c>
      <c r="D178" s="16" t="str">
        <f>IFERROR(INDEX(المواد!$B$2:$B$319,MATCH(B178,المواد!$A$2:$A$319,0)),"")</f>
        <v>كغ</v>
      </c>
      <c r="E178" s="9"/>
      <c r="F178" t="str">
        <f>IF(AND($A178&lt;&gt;"",COUNTIF($A$2:A178,$A178)=1),$A178,"")</f>
        <v/>
      </c>
      <c r="G178" t="str">
        <f>IF($F178&lt;&gt;"",SUMPRODUCT(($F$2:F178&lt;&gt;"")*1),"")</f>
        <v/>
      </c>
    </row>
    <row r="179" spans="1:7" ht="21.95" customHeight="1">
      <c r="A179" s="9" t="s">
        <v>117</v>
      </c>
      <c r="B179" s="9" t="s">
        <v>80</v>
      </c>
      <c r="C179" s="15">
        <v>4</v>
      </c>
      <c r="D179" s="16" t="str">
        <f>IFERROR(INDEX(المواد!$B$2:$B$319,MATCH(B179,المواد!$A$2:$A$319,0)),"")</f>
        <v>كغ</v>
      </c>
      <c r="E179" s="9"/>
      <c r="F179" t="str">
        <f>IF(AND($A179&lt;&gt;"",COUNTIF($A$2:A179,$A179)=1),$A179,"")</f>
        <v/>
      </c>
      <c r="G179" t="str">
        <f>IF($F179&lt;&gt;"",SUMPRODUCT(($F$2:F179&lt;&gt;"")*1),"")</f>
        <v/>
      </c>
    </row>
    <row r="180" spans="1:7" ht="21.95" customHeight="1">
      <c r="A180" s="9" t="s">
        <v>117</v>
      </c>
      <c r="B180" s="9" t="s">
        <v>85</v>
      </c>
      <c r="C180" s="15">
        <v>2.5</v>
      </c>
      <c r="D180" s="16" t="str">
        <f>IFERROR(INDEX(المواد!$B$2:$B$319,MATCH(B180,المواد!$A$2:$A$319,0)),"")</f>
        <v>كغ</v>
      </c>
      <c r="E180" s="9"/>
      <c r="F180" t="str">
        <f>IF(AND($A180&lt;&gt;"",COUNTIF($A$2:A180,$A180)=1),$A180,"")</f>
        <v/>
      </c>
      <c r="G180" t="str">
        <f>IF($F180&lt;&gt;"",SUMPRODUCT(($F$2:F180&lt;&gt;"")*1),"")</f>
        <v/>
      </c>
    </row>
    <row r="181" spans="1:7" ht="21.95" customHeight="1">
      <c r="A181" s="9" t="s">
        <v>117</v>
      </c>
      <c r="B181" s="9" t="s">
        <v>212</v>
      </c>
      <c r="C181" s="15">
        <v>1.5</v>
      </c>
      <c r="D181" s="16" t="str">
        <f>IFERROR(INDEX(المواد!$B$2:$B$319,MATCH(B181,المواد!$A$2:$A$319,0)),"")</f>
        <v>كغ</v>
      </c>
      <c r="E181" s="9"/>
      <c r="F181" t="str">
        <f>IF(AND($A181&lt;&gt;"",COUNTIF($A$2:A181,$A181)=1),$A181,"")</f>
        <v/>
      </c>
      <c r="G181" t="str">
        <f>IF($F181&lt;&gt;"",SUMPRODUCT(($F$2:F181&lt;&gt;"")*1),"")</f>
        <v/>
      </c>
    </row>
    <row r="182" spans="1:7" ht="21.95" customHeight="1">
      <c r="A182" s="9" t="s">
        <v>117</v>
      </c>
      <c r="B182" s="9" t="s">
        <v>34</v>
      </c>
      <c r="C182" s="15">
        <v>15</v>
      </c>
      <c r="D182" s="16" t="str">
        <f>IFERROR(INDEX(المواد!$B$2:$B$319,MATCH(B182,المواد!$A$2:$A$319,0)),"")</f>
        <v>كغ</v>
      </c>
      <c r="E182" s="9"/>
      <c r="F182" t="str">
        <f>IF(AND($A182&lt;&gt;"",COUNTIF($A$2:A182,$A182)=1),$A182,"")</f>
        <v/>
      </c>
      <c r="G182" t="str">
        <f>IF($F182&lt;&gt;"",SUMPRODUCT(($F$2:F182&lt;&gt;"")*1),"")</f>
        <v/>
      </c>
    </row>
    <row r="183" spans="1:7" ht="21.95" customHeight="1">
      <c r="A183" s="9" t="s">
        <v>117</v>
      </c>
      <c r="B183" s="9" t="s">
        <v>40</v>
      </c>
      <c r="C183" s="15"/>
      <c r="D183" s="16" t="str">
        <f>IFERROR(INDEX(المواد!$B$2:$B$319,MATCH(B183,المواد!$A$2:$A$319,0)),"")</f>
        <v>كغ</v>
      </c>
      <c r="E183" s="9"/>
      <c r="F183" t="str">
        <f>IF(AND($A183&lt;&gt;"",COUNTIF($A$2:A183,$A183)=1),$A183,"")</f>
        <v/>
      </c>
      <c r="G183" t="str">
        <f>IF($F183&lt;&gt;"",SUMPRODUCT(($F$2:F183&lt;&gt;"")*1),"")</f>
        <v/>
      </c>
    </row>
    <row r="184" spans="1:7" ht="21.95" customHeight="1">
      <c r="A184" s="9" t="s">
        <v>117</v>
      </c>
      <c r="B184" s="9" t="s">
        <v>82</v>
      </c>
      <c r="C184" s="15">
        <v>890</v>
      </c>
      <c r="D184" s="16" t="str">
        <f>IFERROR(INDEX(المواد!$B$2:$B$319,MATCH(B184,المواد!$A$2:$A$319,0)),"")</f>
        <v>كغ</v>
      </c>
      <c r="E184" s="9"/>
      <c r="F184" t="str">
        <f>IF(AND($A184&lt;&gt;"",COUNTIF($A$2:A184,$A184)=1),$A184,"")</f>
        <v/>
      </c>
      <c r="G184" t="str">
        <f>IF($F184&lt;&gt;"",SUMPRODUCT(($F$2:F184&lt;&gt;"")*1),"")</f>
        <v/>
      </c>
    </row>
    <row r="185" spans="1:7" ht="21.95" customHeight="1">
      <c r="A185" s="9" t="s">
        <v>117</v>
      </c>
      <c r="B185" s="9" t="s">
        <v>87</v>
      </c>
      <c r="C185" s="15">
        <v>75</v>
      </c>
      <c r="D185" s="16" t="str">
        <f>IFERROR(INDEX(المواد!$B$2:$B$319,MATCH(B185,المواد!$A$2:$A$319,0)),"")</f>
        <v>كغ</v>
      </c>
      <c r="E185" s="9" t="s">
        <v>233</v>
      </c>
      <c r="F185" t="str">
        <f>IF(AND($A185&lt;&gt;"",COUNTIF($A$2:A185,$A185)=1),$A185,"")</f>
        <v/>
      </c>
      <c r="G185" t="str">
        <f>IF($F185&lt;&gt;"",SUMPRODUCT(($F$2:F185&lt;&gt;"")*1),"")</f>
        <v/>
      </c>
    </row>
    <row r="186" spans="1:7" ht="21.95" customHeight="1">
      <c r="A186" s="9" t="s">
        <v>117</v>
      </c>
      <c r="B186" s="9" t="s">
        <v>45</v>
      </c>
      <c r="C186" s="15"/>
      <c r="D186" s="16" t="str">
        <f>IFERROR(INDEX(المواد!$B$2:$B$319,MATCH(B186,المواد!$A$2:$A$319,0)),"")</f>
        <v>كغ</v>
      </c>
      <c r="E186" s="9"/>
      <c r="F186" t="str">
        <f>IF(AND($A186&lt;&gt;"",COUNTIF($A$2:A186,$A186)=1),$A186,"")</f>
        <v/>
      </c>
      <c r="G186" t="str">
        <f>IF($F186&lt;&gt;"",SUMPRODUCT(($F$2:F186&lt;&gt;"")*1),"")</f>
        <v/>
      </c>
    </row>
    <row r="187" spans="1:7" ht="21.95" customHeight="1">
      <c r="A187" s="9" t="s">
        <v>117</v>
      </c>
      <c r="B187" s="9" t="s">
        <v>66</v>
      </c>
      <c r="C187" s="15">
        <v>1</v>
      </c>
      <c r="D187" s="16" t="str">
        <f>IFERROR(INDEX(المواد!$B$2:$B$319,MATCH(B187,المواد!$A$2:$A$319,0)),"")</f>
        <v>كغ</v>
      </c>
      <c r="E187" s="9" t="s">
        <v>66</v>
      </c>
      <c r="F187" t="str">
        <f>IF(AND($A187&lt;&gt;"",COUNTIF($A$2:A187,$A187)=1),$A187,"")</f>
        <v/>
      </c>
      <c r="G187" t="str">
        <f>IF($F187&lt;&gt;"",SUMPRODUCT(($F$2:F187&lt;&gt;"")*1),"")</f>
        <v/>
      </c>
    </row>
    <row r="188" spans="1:7" ht="21.95" customHeight="1">
      <c r="A188" s="9" t="s">
        <v>118</v>
      </c>
      <c r="B188" s="9" t="s">
        <v>43</v>
      </c>
      <c r="C188" s="15">
        <v>60</v>
      </c>
      <c r="D188" s="16" t="str">
        <f>IFERROR(INDEX(المواد!$B$2:$B$319,MATCH(B188,المواد!$A$2:$A$319,0)),"")</f>
        <v>كغ</v>
      </c>
      <c r="E188" s="9"/>
      <c r="F188" t="str">
        <f>IF(AND($A188&lt;&gt;"",COUNTIF($A$2:A188,$A188)=1),$A188,"")</f>
        <v>لودلين فريز ثاني</v>
      </c>
      <c r="G188">
        <f>IF($F188&lt;&gt;"",SUMPRODUCT(($F$2:F188&lt;&gt;"")*1),"")</f>
        <v>24</v>
      </c>
    </row>
    <row r="189" spans="1:7" ht="21.95" customHeight="1">
      <c r="A189" s="9" t="s">
        <v>118</v>
      </c>
      <c r="B189" s="9" t="s">
        <v>35</v>
      </c>
      <c r="C189" s="15">
        <v>50</v>
      </c>
      <c r="D189" s="16" t="str">
        <f>IFERROR(INDEX(المواد!$B$2:$B$319,MATCH(B189,المواد!$A$2:$A$319,0)),"")</f>
        <v>كغ</v>
      </c>
      <c r="E189" s="9"/>
      <c r="F189" t="str">
        <f>IF(AND($A189&lt;&gt;"",COUNTIF($A$2:A189,$A189)=1),$A189,"")</f>
        <v/>
      </c>
      <c r="G189" t="str">
        <f>IF($F189&lt;&gt;"",SUMPRODUCT(($F$2:F189&lt;&gt;"")*1),"")</f>
        <v/>
      </c>
    </row>
    <row r="190" spans="1:7" ht="21.95" customHeight="1">
      <c r="A190" s="9" t="s">
        <v>118</v>
      </c>
      <c r="B190" s="9" t="s">
        <v>80</v>
      </c>
      <c r="C190" s="15">
        <v>7.25</v>
      </c>
      <c r="D190" s="16" t="str">
        <f>IFERROR(INDEX(المواد!$B$2:$B$319,MATCH(B190,المواد!$A$2:$A$319,0)),"")</f>
        <v>كغ</v>
      </c>
      <c r="E190" s="9"/>
      <c r="F190" t="str">
        <f>IF(AND($A190&lt;&gt;"",COUNTIF($A$2:A190,$A190)=1),$A190,"")</f>
        <v/>
      </c>
      <c r="G190" t="str">
        <f>IF($F190&lt;&gt;"",SUMPRODUCT(($F$2:F190&lt;&gt;"")*1),"")</f>
        <v/>
      </c>
    </row>
    <row r="191" spans="1:7" ht="21.95" customHeight="1">
      <c r="A191" s="9" t="s">
        <v>118</v>
      </c>
      <c r="B191" s="9" t="s">
        <v>85</v>
      </c>
      <c r="C191" s="15">
        <v>2.5</v>
      </c>
      <c r="D191" s="16" t="str">
        <f>IFERROR(INDEX(المواد!$B$2:$B$319,MATCH(B191,المواد!$A$2:$A$319,0)),"")</f>
        <v>كغ</v>
      </c>
      <c r="E191" s="9"/>
      <c r="F191" t="str">
        <f>IF(AND($A191&lt;&gt;"",COUNTIF($A$2:A191,$A191)=1),$A191,"")</f>
        <v/>
      </c>
      <c r="G191" t="str">
        <f>IF($F191&lt;&gt;"",SUMPRODUCT(($F$2:F191&lt;&gt;"")*1),"")</f>
        <v/>
      </c>
    </row>
    <row r="192" spans="1:7" ht="21.95" customHeight="1">
      <c r="A192" s="9" t="s">
        <v>118</v>
      </c>
      <c r="B192" s="9" t="s">
        <v>212</v>
      </c>
      <c r="C192" s="15">
        <v>1.5</v>
      </c>
      <c r="D192" s="16" t="str">
        <f>IFERROR(INDEX(المواد!$B$2:$B$319,MATCH(B192,المواد!$A$2:$A$319,0)),"")</f>
        <v>كغ</v>
      </c>
      <c r="E192" s="9"/>
      <c r="F192" t="str">
        <f>IF(AND($A192&lt;&gt;"",COUNTIF($A$2:A192,$A192)=1),$A192,"")</f>
        <v/>
      </c>
      <c r="G192" t="str">
        <f>IF($F192&lt;&gt;"",SUMPRODUCT(($F$2:F192&lt;&gt;"")*1),"")</f>
        <v/>
      </c>
    </row>
    <row r="193" spans="1:7" ht="21.95" customHeight="1">
      <c r="A193" s="9" t="s">
        <v>118</v>
      </c>
      <c r="B193" s="9" t="s">
        <v>34</v>
      </c>
      <c r="C193" s="15">
        <v>10</v>
      </c>
      <c r="D193" s="16" t="str">
        <f>IFERROR(INDEX(المواد!$B$2:$B$319,MATCH(B193,المواد!$A$2:$A$319,0)),"")</f>
        <v>كغ</v>
      </c>
      <c r="E193" s="9"/>
      <c r="F193" t="str">
        <f>IF(AND($A193&lt;&gt;"",COUNTIF($A$2:A193,$A193)=1),$A193,"")</f>
        <v/>
      </c>
      <c r="G193" t="str">
        <f>IF($F193&lt;&gt;"",SUMPRODUCT(($F$2:F193&lt;&gt;"")*1),"")</f>
        <v/>
      </c>
    </row>
    <row r="194" spans="1:7" ht="21.95" customHeight="1">
      <c r="A194" s="9" t="s">
        <v>118</v>
      </c>
      <c r="B194" s="9" t="s">
        <v>40</v>
      </c>
      <c r="C194" s="15"/>
      <c r="D194" s="16" t="str">
        <f>IFERROR(INDEX(المواد!$B$2:$B$319,MATCH(B194,المواد!$A$2:$A$319,0)),"")</f>
        <v>كغ</v>
      </c>
      <c r="E194" s="9"/>
      <c r="F194" t="str">
        <f>IF(AND($A194&lt;&gt;"",COUNTIF($A$2:A194,$A194)=1),$A194,"")</f>
        <v/>
      </c>
      <c r="G194" t="str">
        <f>IF($F194&lt;&gt;"",SUMPRODUCT(($F$2:F194&lt;&gt;"")*1),"")</f>
        <v/>
      </c>
    </row>
    <row r="195" spans="1:7" ht="21.95" customHeight="1">
      <c r="A195" s="9" t="s">
        <v>118</v>
      </c>
      <c r="B195" s="9" t="s">
        <v>82</v>
      </c>
      <c r="C195" s="15">
        <v>825</v>
      </c>
      <c r="D195" s="16" t="str">
        <f>IFERROR(INDEX(المواد!$B$2:$B$319,MATCH(B195,المواد!$A$2:$A$319,0)),"")</f>
        <v>كغ</v>
      </c>
      <c r="E195" s="9"/>
      <c r="F195" t="str">
        <f>IF(AND($A195&lt;&gt;"",COUNTIF($A$2:A195,$A195)=1),$A195,"")</f>
        <v/>
      </c>
      <c r="G195" t="str">
        <f>IF($F195&lt;&gt;"",SUMPRODUCT(($F$2:F195&lt;&gt;"")*1),"")</f>
        <v/>
      </c>
    </row>
    <row r="196" spans="1:7" ht="21.95" customHeight="1">
      <c r="A196" s="9" t="s">
        <v>118</v>
      </c>
      <c r="B196" s="9" t="s">
        <v>87</v>
      </c>
      <c r="C196" s="15">
        <v>50</v>
      </c>
      <c r="D196" s="16" t="str">
        <f>IFERROR(INDEX(المواد!$B$2:$B$319,MATCH(B196,المواد!$A$2:$A$319,0)),"")</f>
        <v>كغ</v>
      </c>
      <c r="E196" s="9" t="s">
        <v>233</v>
      </c>
      <c r="F196" t="str">
        <f>IF(AND($A196&lt;&gt;"",COUNTIF($A$2:A196,$A196)=1),$A196,"")</f>
        <v/>
      </c>
      <c r="G196" t="str">
        <f>IF($F196&lt;&gt;"",SUMPRODUCT(($F$2:F196&lt;&gt;"")*1),"")</f>
        <v/>
      </c>
    </row>
    <row r="197" spans="1:7" ht="21.95" customHeight="1">
      <c r="A197" s="9" t="s">
        <v>118</v>
      </c>
      <c r="B197" s="9" t="s">
        <v>45</v>
      </c>
      <c r="C197" s="15"/>
      <c r="D197" s="16" t="str">
        <f>IFERROR(INDEX(المواد!$B$2:$B$319,MATCH(B197,المواد!$A$2:$A$319,0)),"")</f>
        <v>كغ</v>
      </c>
      <c r="E197" s="9"/>
      <c r="F197" t="str">
        <f>IF(AND($A197&lt;&gt;"",COUNTIF($A$2:A197,$A197)=1),$A197,"")</f>
        <v/>
      </c>
      <c r="G197" t="str">
        <f>IF($F197&lt;&gt;"",SUMPRODUCT(($F$2:F197&lt;&gt;"")*1),"")</f>
        <v/>
      </c>
    </row>
    <row r="198" spans="1:7" ht="21.95" customHeight="1">
      <c r="A198" s="9" t="s">
        <v>118</v>
      </c>
      <c r="B198" s="9" t="s">
        <v>69</v>
      </c>
      <c r="C198" s="15">
        <v>1</v>
      </c>
      <c r="D198" s="16" t="str">
        <f>IFERROR(INDEX(المواد!$B$2:$B$319,MATCH(B198,المواد!$A$2:$A$319,0)),"")</f>
        <v>كغ</v>
      </c>
      <c r="E198" s="9" t="s">
        <v>107</v>
      </c>
      <c r="F198" t="str">
        <f>IF(AND($A198&lt;&gt;"",COUNTIF($A$2:A198,$A198)=1),$A198,"")</f>
        <v/>
      </c>
      <c r="G198" t="str">
        <f>IF($F198&lt;&gt;"",SUMPRODUCT(($F$2:F198&lt;&gt;"")*1),"")</f>
        <v/>
      </c>
    </row>
    <row r="199" spans="1:7" ht="21.95" customHeight="1">
      <c r="A199" s="9" t="s">
        <v>119</v>
      </c>
      <c r="B199" s="9" t="s">
        <v>43</v>
      </c>
      <c r="C199" s="15">
        <v>20</v>
      </c>
      <c r="D199" s="16" t="str">
        <f>IFERROR(INDEX(المواد!$B$2:$B$319,MATCH(B199,المواد!$A$2:$A$319,0)),"")</f>
        <v>كغ</v>
      </c>
      <c r="E199" s="9"/>
      <c r="F199" t="str">
        <f>IF(AND($A199&lt;&gt;"",COUNTIF($A$2:A199,$A199)=1),$A199,"")</f>
        <v>لودلين فريز رابع</v>
      </c>
      <c r="G199">
        <f>IF($F199&lt;&gt;"",SUMPRODUCT(($F$2:F199&lt;&gt;"")*1),"")</f>
        <v>25</v>
      </c>
    </row>
    <row r="200" spans="1:7" ht="21.95" customHeight="1">
      <c r="A200" s="9" t="s">
        <v>119</v>
      </c>
      <c r="B200" s="9" t="s">
        <v>35</v>
      </c>
      <c r="C200" s="15">
        <v>40</v>
      </c>
      <c r="D200" s="16" t="str">
        <f>IFERROR(INDEX(المواد!$B$2:$B$319,MATCH(B200,المواد!$A$2:$A$319,0)),"")</f>
        <v>كغ</v>
      </c>
      <c r="E200" s="9"/>
      <c r="F200" t="str">
        <f>IF(AND($A200&lt;&gt;"",COUNTIF($A$2:A200,$A200)=1),$A200,"")</f>
        <v/>
      </c>
      <c r="G200" t="str">
        <f>IF($F200&lt;&gt;"",SUMPRODUCT(($F$2:F200&lt;&gt;"")*1),"")</f>
        <v/>
      </c>
    </row>
    <row r="201" spans="1:7" ht="21.95" customHeight="1">
      <c r="A201" s="9" t="s">
        <v>119</v>
      </c>
      <c r="B201" s="9" t="s">
        <v>80</v>
      </c>
      <c r="C201" s="15">
        <v>2.5</v>
      </c>
      <c r="D201" s="16" t="str">
        <f>IFERROR(INDEX(المواد!$B$2:$B$319,MATCH(B201,المواد!$A$2:$A$319,0)),"")</f>
        <v>كغ</v>
      </c>
      <c r="E201" s="9"/>
      <c r="F201" t="str">
        <f>IF(AND($A201&lt;&gt;"",COUNTIF($A$2:A201,$A201)=1),$A201,"")</f>
        <v/>
      </c>
      <c r="G201" t="str">
        <f>IF($F201&lt;&gt;"",SUMPRODUCT(($F$2:F201&lt;&gt;"")*1),"")</f>
        <v/>
      </c>
    </row>
    <row r="202" spans="1:7" ht="21.95" customHeight="1">
      <c r="A202" s="9" t="s">
        <v>119</v>
      </c>
      <c r="B202" s="9" t="s">
        <v>85</v>
      </c>
      <c r="C202" s="15">
        <v>3</v>
      </c>
      <c r="D202" s="16" t="str">
        <f>IFERROR(INDEX(المواد!$B$2:$B$319,MATCH(B202,المواد!$A$2:$A$319,0)),"")</f>
        <v>كغ</v>
      </c>
      <c r="E202" s="9"/>
      <c r="F202" t="str">
        <f>IF(AND($A202&lt;&gt;"",COUNTIF($A$2:A202,$A202)=1),$A202,"")</f>
        <v/>
      </c>
      <c r="G202" t="str">
        <f>IF($F202&lt;&gt;"",SUMPRODUCT(($F$2:F202&lt;&gt;"")*1),"")</f>
        <v/>
      </c>
    </row>
    <row r="203" spans="1:7" ht="21.95" customHeight="1">
      <c r="A203" s="9" t="s">
        <v>119</v>
      </c>
      <c r="B203" s="9" t="s">
        <v>212</v>
      </c>
      <c r="C203" s="15">
        <v>1.5</v>
      </c>
      <c r="D203" s="16" t="str">
        <f>IFERROR(INDEX(المواد!$B$2:$B$319,MATCH(B203,المواد!$A$2:$A$319,0)),"")</f>
        <v>كغ</v>
      </c>
      <c r="E203" s="9"/>
      <c r="F203" t="str">
        <f>IF(AND($A203&lt;&gt;"",COUNTIF($A$2:A203,$A203)=1),$A203,"")</f>
        <v/>
      </c>
      <c r="G203" t="str">
        <f>IF($F203&lt;&gt;"",SUMPRODUCT(($F$2:F203&lt;&gt;"")*1),"")</f>
        <v/>
      </c>
    </row>
    <row r="204" spans="1:7" ht="21.95" customHeight="1">
      <c r="A204" s="9" t="s">
        <v>119</v>
      </c>
      <c r="B204" s="9" t="s">
        <v>34</v>
      </c>
      <c r="C204" s="15">
        <v>15</v>
      </c>
      <c r="D204" s="16" t="str">
        <f>IFERROR(INDEX(المواد!$B$2:$B$319,MATCH(B204,المواد!$A$2:$A$319,0)),"")</f>
        <v>كغ</v>
      </c>
      <c r="E204" s="9"/>
      <c r="F204" t="str">
        <f>IF(AND($A204&lt;&gt;"",COUNTIF($A$2:A204,$A204)=1),$A204,"")</f>
        <v/>
      </c>
      <c r="G204" t="str">
        <f>IF($F204&lt;&gt;"",SUMPRODUCT(($F$2:F204&lt;&gt;"")*1),"")</f>
        <v/>
      </c>
    </row>
    <row r="205" spans="1:7" ht="21.95" customHeight="1">
      <c r="A205" s="9" t="s">
        <v>119</v>
      </c>
      <c r="B205" s="9" t="s">
        <v>40</v>
      </c>
      <c r="C205" s="15"/>
      <c r="D205" s="16" t="str">
        <f>IFERROR(INDEX(المواد!$B$2:$B$319,MATCH(B205,المواد!$A$2:$A$319,0)),"")</f>
        <v>كغ</v>
      </c>
      <c r="E205" s="9"/>
      <c r="F205" t="str">
        <f>IF(AND($A205&lt;&gt;"",COUNTIF($A$2:A205,$A205)=1),$A205,"")</f>
        <v/>
      </c>
      <c r="G205" t="str">
        <f>IF($F205&lt;&gt;"",SUMPRODUCT(($F$2:F205&lt;&gt;"")*1),"")</f>
        <v/>
      </c>
    </row>
    <row r="206" spans="1:7" ht="21.95" customHeight="1">
      <c r="A206" s="9" t="s">
        <v>119</v>
      </c>
      <c r="B206" s="9" t="s">
        <v>82</v>
      </c>
      <c r="C206" s="15">
        <v>890</v>
      </c>
      <c r="D206" s="16" t="str">
        <f>IFERROR(INDEX(المواد!$B$2:$B$319,MATCH(B206,المواد!$A$2:$A$319,0)),"")</f>
        <v>كغ</v>
      </c>
      <c r="E206" s="9"/>
      <c r="F206" t="str">
        <f>IF(AND($A206&lt;&gt;"",COUNTIF($A$2:A206,$A206)=1),$A206,"")</f>
        <v/>
      </c>
      <c r="G206" t="str">
        <f>IF($F206&lt;&gt;"",SUMPRODUCT(($F$2:F206&lt;&gt;"")*1),"")</f>
        <v/>
      </c>
    </row>
    <row r="207" spans="1:7" ht="21.95" customHeight="1">
      <c r="A207" s="9" t="s">
        <v>119</v>
      </c>
      <c r="B207" s="9" t="s">
        <v>87</v>
      </c>
      <c r="C207" s="15">
        <v>100</v>
      </c>
      <c r="D207" s="16" t="str">
        <f>IFERROR(INDEX(المواد!$B$2:$B$319,MATCH(B207,المواد!$A$2:$A$319,0)),"")</f>
        <v>كغ</v>
      </c>
      <c r="E207" s="9" t="s">
        <v>233</v>
      </c>
      <c r="F207" t="str">
        <f>IF(AND($A207&lt;&gt;"",COUNTIF($A$2:A207,$A207)=1),$A207,"")</f>
        <v/>
      </c>
      <c r="G207" t="str">
        <f>IF($F207&lt;&gt;"",SUMPRODUCT(($F$2:F207&lt;&gt;"")*1),"")</f>
        <v/>
      </c>
    </row>
    <row r="208" spans="1:7" ht="21.95" customHeight="1">
      <c r="A208" s="9" t="s">
        <v>119</v>
      </c>
      <c r="B208" s="9" t="s">
        <v>45</v>
      </c>
      <c r="C208" s="15"/>
      <c r="D208" s="16" t="str">
        <f>IFERROR(INDEX(المواد!$B$2:$B$319,MATCH(B208,المواد!$A$2:$A$319,0)),"")</f>
        <v>كغ</v>
      </c>
      <c r="E208" s="9"/>
      <c r="F208" t="str">
        <f>IF(AND($A208&lt;&gt;"",COUNTIF($A$2:A208,$A208)=1),$A208,"")</f>
        <v/>
      </c>
      <c r="G208" t="str">
        <f>IF($F208&lt;&gt;"",SUMPRODUCT(($F$2:F208&lt;&gt;"")*1),"")</f>
        <v/>
      </c>
    </row>
    <row r="209" spans="1:7" ht="21.95" customHeight="1">
      <c r="A209" s="9" t="s">
        <v>119</v>
      </c>
      <c r="B209" s="9" t="s">
        <v>66</v>
      </c>
      <c r="C209" s="15">
        <v>1</v>
      </c>
      <c r="D209" s="16" t="str">
        <f>IFERROR(INDEX(المواد!$B$2:$B$319,MATCH(B209,المواد!$A$2:$A$319,0)),"")</f>
        <v>كغ</v>
      </c>
      <c r="E209" s="9" t="s">
        <v>66</v>
      </c>
      <c r="F209" t="str">
        <f>IF(AND($A209&lt;&gt;"",COUNTIF($A$2:A209,$A209)=1),$A209,"")</f>
        <v/>
      </c>
      <c r="G209" t="str">
        <f>IF($F209&lt;&gt;"",SUMPRODUCT(($F$2:F209&lt;&gt;"")*1),"")</f>
        <v/>
      </c>
    </row>
    <row r="210" spans="1:7" ht="21.95" customHeight="1">
      <c r="A210" s="9" t="s">
        <v>120</v>
      </c>
      <c r="B210" s="9" t="s">
        <v>43</v>
      </c>
      <c r="C210" s="15">
        <v>150</v>
      </c>
      <c r="D210" s="16" t="str">
        <f>IFERROR(INDEX(المواد!$B$2:$B$319,MATCH(B210,المواد!$A$2:$A$319,0)),"")</f>
        <v>كغ</v>
      </c>
      <c r="E210" s="9"/>
      <c r="F210" t="str">
        <f>IF(AND($A210&lt;&gt;"",COUNTIF($A$2:A210,$A210)=1),$A210,"")</f>
        <v>لودلين ليلك أول</v>
      </c>
      <c r="G210">
        <f>IF($F210&lt;&gt;"",SUMPRODUCT(($F$2:F210&lt;&gt;"")*1),"")</f>
        <v>26</v>
      </c>
    </row>
    <row r="211" spans="1:7" ht="21.95" customHeight="1">
      <c r="A211" s="9" t="s">
        <v>120</v>
      </c>
      <c r="B211" s="9" t="s">
        <v>35</v>
      </c>
      <c r="C211" s="15">
        <v>100</v>
      </c>
      <c r="D211" s="16" t="str">
        <f>IFERROR(INDEX(المواد!$B$2:$B$319,MATCH(B211,المواد!$A$2:$A$319,0)),"")</f>
        <v>كغ</v>
      </c>
      <c r="E211" s="9"/>
      <c r="F211" t="str">
        <f>IF(AND($A211&lt;&gt;"",COUNTIF($A$2:A211,$A211)=1),$A211,"")</f>
        <v/>
      </c>
      <c r="G211" t="str">
        <f>IF($F211&lt;&gt;"",SUMPRODUCT(($F$2:F211&lt;&gt;"")*1),"")</f>
        <v/>
      </c>
    </row>
    <row r="212" spans="1:7" ht="21.95" customHeight="1">
      <c r="A212" s="9" t="s">
        <v>120</v>
      </c>
      <c r="B212" s="9" t="s">
        <v>80</v>
      </c>
      <c r="C212" s="15">
        <v>19</v>
      </c>
      <c r="D212" s="16" t="str">
        <f>IFERROR(INDEX(المواد!$B$2:$B$319,MATCH(B212,المواد!$A$2:$A$319,0)),"")</f>
        <v>كغ</v>
      </c>
      <c r="E212" s="9"/>
      <c r="F212" t="str">
        <f>IF(AND($A212&lt;&gt;"",COUNTIF($A$2:A212,$A212)=1),$A212,"")</f>
        <v/>
      </c>
      <c r="G212" t="str">
        <f>IF($F212&lt;&gt;"",SUMPRODUCT(($F$2:F212&lt;&gt;"")*1),"")</f>
        <v/>
      </c>
    </row>
    <row r="213" spans="1:7" ht="21.95" customHeight="1">
      <c r="A213" s="9" t="s">
        <v>120</v>
      </c>
      <c r="B213" s="9" t="s">
        <v>74</v>
      </c>
      <c r="C213" s="15">
        <v>5</v>
      </c>
      <c r="D213" s="16" t="str">
        <f>IFERROR(INDEX(المواد!$B$2:$B$319,MATCH(B213,المواد!$A$2:$A$319,0)),"")</f>
        <v>كغ</v>
      </c>
      <c r="E213" s="9"/>
      <c r="F213" t="str">
        <f>IF(AND($A213&lt;&gt;"",COUNTIF($A$2:A213,$A213)=1),$A213,"")</f>
        <v/>
      </c>
      <c r="G213" t="str">
        <f>IF($F213&lt;&gt;"",SUMPRODUCT(($F$2:F213&lt;&gt;"")*1),"")</f>
        <v/>
      </c>
    </row>
    <row r="214" spans="1:7" ht="21.95" customHeight="1">
      <c r="A214" s="9" t="s">
        <v>120</v>
      </c>
      <c r="B214" s="9" t="s">
        <v>212</v>
      </c>
      <c r="C214" s="15">
        <v>1.5</v>
      </c>
      <c r="D214" s="16" t="str">
        <f>IFERROR(INDEX(المواد!$B$2:$B$319,MATCH(B214,المواد!$A$2:$A$319,0)),"")</f>
        <v>كغ</v>
      </c>
      <c r="E214" s="9"/>
      <c r="F214" t="str">
        <f>IF(AND($A214&lt;&gt;"",COUNTIF($A$2:A214,$A214)=1),$A214,"")</f>
        <v/>
      </c>
      <c r="G214" t="str">
        <f>IF($F214&lt;&gt;"",SUMPRODUCT(($F$2:F214&lt;&gt;"")*1),"")</f>
        <v/>
      </c>
    </row>
    <row r="215" spans="1:7" ht="21.95" customHeight="1">
      <c r="A215" s="9" t="s">
        <v>120</v>
      </c>
      <c r="B215" s="9" t="s">
        <v>34</v>
      </c>
      <c r="C215" s="15">
        <v>50</v>
      </c>
      <c r="D215" s="16" t="str">
        <f>IFERROR(INDEX(المواد!$B$2:$B$319,MATCH(B215,المواد!$A$2:$A$319,0)),"")</f>
        <v>كغ</v>
      </c>
      <c r="E215" s="9"/>
      <c r="F215" t="str">
        <f>IF(AND($A215&lt;&gt;"",COUNTIF($A$2:A215,$A215)=1),$A215,"")</f>
        <v/>
      </c>
      <c r="G215" t="str">
        <f>IF($F215&lt;&gt;"",SUMPRODUCT(($F$2:F215&lt;&gt;"")*1),"")</f>
        <v/>
      </c>
    </row>
    <row r="216" spans="1:7" ht="21.95" customHeight="1">
      <c r="A216" s="9" t="s">
        <v>120</v>
      </c>
      <c r="B216" s="9" t="s">
        <v>40</v>
      </c>
      <c r="C216" s="15"/>
      <c r="D216" s="16" t="str">
        <f>IFERROR(INDEX(المواد!$B$2:$B$319,MATCH(B216,المواد!$A$2:$A$319,0)),"")</f>
        <v>كغ</v>
      </c>
      <c r="E216" s="9"/>
      <c r="F216" t="str">
        <f>IF(AND($A216&lt;&gt;"",COUNTIF($A$2:A216,$A216)=1),$A216,"")</f>
        <v/>
      </c>
      <c r="G216" t="str">
        <f>IF($F216&lt;&gt;"",SUMPRODUCT(($F$2:F216&lt;&gt;"")*1),"")</f>
        <v/>
      </c>
    </row>
    <row r="217" spans="1:7" ht="21.95" customHeight="1">
      <c r="A217" s="9" t="s">
        <v>120</v>
      </c>
      <c r="B217" s="9" t="s">
        <v>82</v>
      </c>
      <c r="C217" s="15">
        <v>675</v>
      </c>
      <c r="D217" s="16" t="str">
        <f>IFERROR(INDEX(المواد!$B$2:$B$319,MATCH(B217,المواد!$A$2:$A$319,0)),"")</f>
        <v>كغ</v>
      </c>
      <c r="E217" s="9"/>
      <c r="F217" t="str">
        <f>IF(AND($A217&lt;&gt;"",COUNTIF($A$2:A217,$A217)=1),$A217,"")</f>
        <v/>
      </c>
      <c r="G217" t="str">
        <f>IF($F217&lt;&gt;"",SUMPRODUCT(($F$2:F217&lt;&gt;"")*1),"")</f>
        <v/>
      </c>
    </row>
    <row r="218" spans="1:7" ht="21.95" customHeight="1">
      <c r="A218" s="9" t="s">
        <v>120</v>
      </c>
      <c r="B218" s="9" t="s">
        <v>65</v>
      </c>
      <c r="C218" s="15">
        <v>2</v>
      </c>
      <c r="D218" s="16" t="str">
        <f>IFERROR(INDEX(المواد!$B$2:$B$319,MATCH(B218,المواد!$A$2:$A$319,0)),"")</f>
        <v>كغ</v>
      </c>
      <c r="E218" s="9" t="s">
        <v>121</v>
      </c>
      <c r="F218" t="str">
        <f>IF(AND($A218&lt;&gt;"",COUNTIF($A$2:A218,$A218)=1),$A218,"")</f>
        <v/>
      </c>
      <c r="G218" t="str">
        <f>IF($F218&lt;&gt;"",SUMPRODUCT(($F$2:F218&lt;&gt;"")*1),"")</f>
        <v/>
      </c>
    </row>
    <row r="219" spans="1:7" ht="21.95" customHeight="1">
      <c r="A219" s="9" t="s">
        <v>120</v>
      </c>
      <c r="B219" s="9" t="s">
        <v>45</v>
      </c>
      <c r="C219" s="15">
        <v>25</v>
      </c>
      <c r="D219" s="16" t="str">
        <f>IFERROR(INDEX(المواد!$B$2:$B$319,MATCH(B219,المواد!$A$2:$A$319,0)),"")</f>
        <v>كغ</v>
      </c>
      <c r="E219" s="9" t="s">
        <v>122</v>
      </c>
      <c r="F219" t="str">
        <f>IF(AND($A219&lt;&gt;"",COUNTIF($A$2:A219,$A219)=1),$A219,"")</f>
        <v/>
      </c>
      <c r="G219" t="str">
        <f>IF($F219&lt;&gt;"",SUMPRODUCT(($F$2:F219&lt;&gt;"")*1),"")</f>
        <v/>
      </c>
    </row>
    <row r="220" spans="1:7" ht="21.95" customHeight="1">
      <c r="A220" s="9" t="s">
        <v>123</v>
      </c>
      <c r="B220" s="9" t="s">
        <v>43</v>
      </c>
      <c r="C220" s="15">
        <v>35</v>
      </c>
      <c r="D220" s="16" t="str">
        <f>IFERROR(INDEX(المواد!$B$2:$B$319,MATCH(B220,المواد!$A$2:$A$319,0)),"")</f>
        <v>كغ</v>
      </c>
      <c r="E220" s="9"/>
      <c r="F220" t="str">
        <f>IF(AND($A220&lt;&gt;"",COUNTIF($A$2:A220,$A220)=1),$A220,"")</f>
        <v>لودلين ليلك ثالث</v>
      </c>
      <c r="G220">
        <f>IF($F220&lt;&gt;"",SUMPRODUCT(($F$2:F220&lt;&gt;"")*1),"")</f>
        <v>27</v>
      </c>
    </row>
    <row r="221" spans="1:7" ht="21.95" customHeight="1">
      <c r="A221" s="9" t="s">
        <v>123</v>
      </c>
      <c r="B221" s="9" t="s">
        <v>35</v>
      </c>
      <c r="C221" s="15">
        <v>50</v>
      </c>
      <c r="D221" s="16" t="str">
        <f>IFERROR(INDEX(المواد!$B$2:$B$319,MATCH(B221,المواد!$A$2:$A$319,0)),"")</f>
        <v>كغ</v>
      </c>
      <c r="E221" s="9"/>
      <c r="F221" t="str">
        <f>IF(AND($A221&lt;&gt;"",COUNTIF($A$2:A221,$A221)=1),$A221,"")</f>
        <v/>
      </c>
      <c r="G221" t="str">
        <f>IF($F221&lt;&gt;"",SUMPRODUCT(($F$2:F221&lt;&gt;"")*1),"")</f>
        <v/>
      </c>
    </row>
    <row r="222" spans="1:7" ht="21.95" customHeight="1">
      <c r="A222" s="9" t="s">
        <v>123</v>
      </c>
      <c r="B222" s="9" t="s">
        <v>80</v>
      </c>
      <c r="C222" s="15">
        <v>4</v>
      </c>
      <c r="D222" s="16" t="str">
        <f>IFERROR(INDEX(المواد!$B$2:$B$319,MATCH(B222,المواد!$A$2:$A$319,0)),"")</f>
        <v>كغ</v>
      </c>
      <c r="E222" s="9"/>
      <c r="F222" t="str">
        <f>IF(AND($A222&lt;&gt;"",COUNTIF($A$2:A222,$A222)=1),$A222,"")</f>
        <v/>
      </c>
      <c r="G222" t="str">
        <f>IF($F222&lt;&gt;"",SUMPRODUCT(($F$2:F222&lt;&gt;"")*1),"")</f>
        <v/>
      </c>
    </row>
    <row r="223" spans="1:7" ht="21.95" customHeight="1">
      <c r="A223" s="9" t="s">
        <v>123</v>
      </c>
      <c r="B223" s="9" t="s">
        <v>85</v>
      </c>
      <c r="C223" s="15">
        <v>2.5</v>
      </c>
      <c r="D223" s="16" t="str">
        <f>IFERROR(INDEX(المواد!$B$2:$B$319,MATCH(B223,المواد!$A$2:$A$319,0)),"")</f>
        <v>كغ</v>
      </c>
      <c r="E223" s="9"/>
      <c r="F223" t="str">
        <f>IF(AND($A223&lt;&gt;"",COUNTIF($A$2:A223,$A223)=1),$A223,"")</f>
        <v/>
      </c>
      <c r="G223" t="str">
        <f>IF($F223&lt;&gt;"",SUMPRODUCT(($F$2:F223&lt;&gt;"")*1),"")</f>
        <v/>
      </c>
    </row>
    <row r="224" spans="1:7" ht="21.95" customHeight="1">
      <c r="A224" s="9" t="s">
        <v>123</v>
      </c>
      <c r="B224" s="9" t="s">
        <v>212</v>
      </c>
      <c r="C224" s="15">
        <v>1.5</v>
      </c>
      <c r="D224" s="16" t="str">
        <f>IFERROR(INDEX(المواد!$B$2:$B$319,MATCH(B224,المواد!$A$2:$A$319,0)),"")</f>
        <v>كغ</v>
      </c>
      <c r="E224" s="9"/>
      <c r="F224" t="str">
        <f>IF(AND($A224&lt;&gt;"",COUNTIF($A$2:A224,$A224)=1),$A224,"")</f>
        <v/>
      </c>
      <c r="G224" t="str">
        <f>IF($F224&lt;&gt;"",SUMPRODUCT(($F$2:F224&lt;&gt;"")*1),"")</f>
        <v/>
      </c>
    </row>
    <row r="225" spans="1:7" ht="21.95" customHeight="1">
      <c r="A225" s="9" t="s">
        <v>123</v>
      </c>
      <c r="B225" s="9" t="s">
        <v>34</v>
      </c>
      <c r="C225" s="15">
        <v>15</v>
      </c>
      <c r="D225" s="16" t="str">
        <f>IFERROR(INDEX(المواد!$B$2:$B$319,MATCH(B225,المواد!$A$2:$A$319,0)),"")</f>
        <v>كغ</v>
      </c>
      <c r="E225" s="9"/>
      <c r="F225" t="str">
        <f>IF(AND($A225&lt;&gt;"",COUNTIF($A$2:A225,$A225)=1),$A225,"")</f>
        <v/>
      </c>
      <c r="G225" t="str">
        <f>IF($F225&lt;&gt;"",SUMPRODUCT(($F$2:F225&lt;&gt;"")*1),"")</f>
        <v/>
      </c>
    </row>
    <row r="226" spans="1:7" ht="21.95" customHeight="1">
      <c r="A226" s="9" t="s">
        <v>123</v>
      </c>
      <c r="B226" s="9" t="s">
        <v>40</v>
      </c>
      <c r="C226" s="15"/>
      <c r="D226" s="16" t="str">
        <f>IFERROR(INDEX(المواد!$B$2:$B$319,MATCH(B226,المواد!$A$2:$A$319,0)),"")</f>
        <v>كغ</v>
      </c>
      <c r="E226" s="9"/>
      <c r="F226" t="str">
        <f>IF(AND($A226&lt;&gt;"",COUNTIF($A$2:A226,$A226)=1),$A226,"")</f>
        <v/>
      </c>
      <c r="G226" t="str">
        <f>IF($F226&lt;&gt;"",SUMPRODUCT(($F$2:F226&lt;&gt;"")*1),"")</f>
        <v/>
      </c>
    </row>
    <row r="227" spans="1:7" ht="21.95" customHeight="1">
      <c r="A227" s="9" t="s">
        <v>123</v>
      </c>
      <c r="B227" s="9" t="s">
        <v>82</v>
      </c>
      <c r="C227" s="15">
        <v>890</v>
      </c>
      <c r="D227" s="16" t="str">
        <f>IFERROR(INDEX(المواد!$B$2:$B$319,MATCH(B227,المواد!$A$2:$A$319,0)),"")</f>
        <v>كغ</v>
      </c>
      <c r="E227" s="9"/>
      <c r="F227" t="str">
        <f>IF(AND($A227&lt;&gt;"",COUNTIF($A$2:A227,$A227)=1),$A227,"")</f>
        <v/>
      </c>
      <c r="G227" t="str">
        <f>IF($F227&lt;&gt;"",SUMPRODUCT(($F$2:F227&lt;&gt;"")*1),"")</f>
        <v/>
      </c>
    </row>
    <row r="228" spans="1:7" ht="21.95" customHeight="1">
      <c r="A228" s="9" t="s">
        <v>123</v>
      </c>
      <c r="B228" s="9" t="s">
        <v>87</v>
      </c>
      <c r="C228" s="15">
        <v>75</v>
      </c>
      <c r="D228" s="16" t="str">
        <f>IFERROR(INDEX(المواد!$B$2:$B$319,MATCH(B228,المواد!$A$2:$A$319,0)),"")</f>
        <v>كغ</v>
      </c>
      <c r="E228" s="9" t="s">
        <v>105</v>
      </c>
      <c r="F228" t="str">
        <f>IF(AND($A228&lt;&gt;"",COUNTIF($A$2:A228,$A228)=1),$A228,"")</f>
        <v/>
      </c>
      <c r="G228" t="str">
        <f>IF($F228&lt;&gt;"",SUMPRODUCT(($F$2:F228&lt;&gt;"")*1),"")</f>
        <v/>
      </c>
    </row>
    <row r="229" spans="1:7" ht="21.95" customHeight="1">
      <c r="A229" s="9" t="s">
        <v>123</v>
      </c>
      <c r="B229" s="9" t="s">
        <v>45</v>
      </c>
      <c r="C229" s="15"/>
      <c r="D229" s="16" t="str">
        <f>IFERROR(INDEX(المواد!$B$2:$B$319,MATCH(B229,المواد!$A$2:$A$319,0)),"")</f>
        <v>كغ</v>
      </c>
      <c r="E229" s="9"/>
      <c r="F229" t="str">
        <f>IF(AND($A229&lt;&gt;"",COUNTIF($A$2:A229,$A229)=1),$A229,"")</f>
        <v/>
      </c>
      <c r="G229" t="str">
        <f>IF($F229&lt;&gt;"",SUMPRODUCT(($F$2:F229&lt;&gt;"")*1),"")</f>
        <v/>
      </c>
    </row>
    <row r="230" spans="1:7" ht="21.95" customHeight="1">
      <c r="A230" s="9" t="s">
        <v>123</v>
      </c>
      <c r="B230" s="9" t="s">
        <v>66</v>
      </c>
      <c r="C230" s="15">
        <v>1</v>
      </c>
      <c r="D230" s="16" t="str">
        <f>IFERROR(INDEX(المواد!$B$2:$B$319,MATCH(B230,المواد!$A$2:$A$319,0)),"")</f>
        <v>كغ</v>
      </c>
      <c r="E230" s="9" t="s">
        <v>66</v>
      </c>
      <c r="F230" t="str">
        <f>IF(AND($A230&lt;&gt;"",COUNTIF($A$2:A230,$A230)=1),$A230,"")</f>
        <v/>
      </c>
      <c r="G230" t="str">
        <f>IF($F230&lt;&gt;"",SUMPRODUCT(($F$2:F230&lt;&gt;"")*1),"")</f>
        <v/>
      </c>
    </row>
    <row r="231" spans="1:7" ht="21.95" customHeight="1">
      <c r="A231" s="9" t="s">
        <v>124</v>
      </c>
      <c r="B231" s="9" t="s">
        <v>43</v>
      </c>
      <c r="C231" s="15">
        <v>60</v>
      </c>
      <c r="D231" s="16" t="str">
        <f>IFERROR(INDEX(المواد!$B$2:$B$319,MATCH(B231,المواد!$A$2:$A$319,0)),"")</f>
        <v>كغ</v>
      </c>
      <c r="E231" s="9"/>
      <c r="F231" t="str">
        <f>IF(AND($A231&lt;&gt;"",COUNTIF($A$2:A231,$A231)=1),$A231,"")</f>
        <v>لودلين ليلك ثاني</v>
      </c>
      <c r="G231">
        <f>IF($F231&lt;&gt;"",SUMPRODUCT(($F$2:F231&lt;&gt;"")*1),"")</f>
        <v>28</v>
      </c>
    </row>
    <row r="232" spans="1:7" ht="21.95" customHeight="1">
      <c r="A232" s="9" t="s">
        <v>124</v>
      </c>
      <c r="B232" s="9" t="s">
        <v>35</v>
      </c>
      <c r="C232" s="15">
        <v>50</v>
      </c>
      <c r="D232" s="16" t="str">
        <f>IFERROR(INDEX(المواد!$B$2:$B$319,MATCH(B232,المواد!$A$2:$A$319,0)),"")</f>
        <v>كغ</v>
      </c>
      <c r="E232" s="9"/>
      <c r="F232" t="str">
        <f>IF(AND($A232&lt;&gt;"",COUNTIF($A$2:A232,$A232)=1),$A232,"")</f>
        <v/>
      </c>
      <c r="G232" t="str">
        <f>IF($F232&lt;&gt;"",SUMPRODUCT(($F$2:F232&lt;&gt;"")*1),"")</f>
        <v/>
      </c>
    </row>
    <row r="233" spans="1:7" ht="21.95" customHeight="1">
      <c r="A233" s="9" t="s">
        <v>124</v>
      </c>
      <c r="B233" s="9" t="s">
        <v>80</v>
      </c>
      <c r="C233" s="15">
        <v>7.25</v>
      </c>
      <c r="D233" s="16" t="str">
        <f>IFERROR(INDEX(المواد!$B$2:$B$319,MATCH(B233,المواد!$A$2:$A$319,0)),"")</f>
        <v>كغ</v>
      </c>
      <c r="E233" s="9"/>
      <c r="F233" t="str">
        <f>IF(AND($A233&lt;&gt;"",COUNTIF($A$2:A233,$A233)=1),$A233,"")</f>
        <v/>
      </c>
      <c r="G233" t="str">
        <f>IF($F233&lt;&gt;"",SUMPRODUCT(($F$2:F233&lt;&gt;"")*1),"")</f>
        <v/>
      </c>
    </row>
    <row r="234" spans="1:7" ht="21.95" customHeight="1">
      <c r="A234" s="9" t="s">
        <v>124</v>
      </c>
      <c r="B234" s="9" t="s">
        <v>85</v>
      </c>
      <c r="C234" s="15">
        <v>2.5</v>
      </c>
      <c r="D234" s="16" t="str">
        <f>IFERROR(INDEX(المواد!$B$2:$B$319,MATCH(B234,المواد!$A$2:$A$319,0)),"")</f>
        <v>كغ</v>
      </c>
      <c r="E234" s="9"/>
      <c r="F234" t="str">
        <f>IF(AND($A234&lt;&gt;"",COUNTIF($A$2:A234,$A234)=1),$A234,"")</f>
        <v/>
      </c>
      <c r="G234" t="str">
        <f>IF($F234&lt;&gt;"",SUMPRODUCT(($F$2:F234&lt;&gt;"")*1),"")</f>
        <v/>
      </c>
    </row>
    <row r="235" spans="1:7" ht="21.95" customHeight="1">
      <c r="A235" s="9" t="s">
        <v>124</v>
      </c>
      <c r="B235" s="9" t="s">
        <v>212</v>
      </c>
      <c r="C235" s="15">
        <v>1.5</v>
      </c>
      <c r="D235" s="16" t="str">
        <f>IFERROR(INDEX(المواد!$B$2:$B$319,MATCH(B235,المواد!$A$2:$A$319,0)),"")</f>
        <v>كغ</v>
      </c>
      <c r="E235" s="9"/>
      <c r="F235" t="str">
        <f>IF(AND($A235&lt;&gt;"",COUNTIF($A$2:A235,$A235)=1),$A235,"")</f>
        <v/>
      </c>
      <c r="G235" t="str">
        <f>IF($F235&lt;&gt;"",SUMPRODUCT(($F$2:F235&lt;&gt;"")*1),"")</f>
        <v/>
      </c>
    </row>
    <row r="236" spans="1:7" ht="21.95" customHeight="1">
      <c r="A236" s="9" t="s">
        <v>124</v>
      </c>
      <c r="B236" s="9" t="s">
        <v>34</v>
      </c>
      <c r="C236" s="15">
        <v>10</v>
      </c>
      <c r="D236" s="16" t="str">
        <f>IFERROR(INDEX(المواد!$B$2:$B$319,MATCH(B236,المواد!$A$2:$A$319,0)),"")</f>
        <v>كغ</v>
      </c>
      <c r="E236" s="9"/>
      <c r="F236" t="str">
        <f>IF(AND($A236&lt;&gt;"",COUNTIF($A$2:A236,$A236)=1),$A236,"")</f>
        <v/>
      </c>
      <c r="G236" t="str">
        <f>IF($F236&lt;&gt;"",SUMPRODUCT(($F$2:F236&lt;&gt;"")*1),"")</f>
        <v/>
      </c>
    </row>
    <row r="237" spans="1:7" ht="21.95" customHeight="1">
      <c r="A237" s="9" t="s">
        <v>124</v>
      </c>
      <c r="B237" s="9" t="s">
        <v>40</v>
      </c>
      <c r="C237" s="15"/>
      <c r="D237" s="16" t="str">
        <f>IFERROR(INDEX(المواد!$B$2:$B$319,MATCH(B237,المواد!$A$2:$A$319,0)),"")</f>
        <v>كغ</v>
      </c>
      <c r="E237" s="9"/>
      <c r="F237" t="str">
        <f>IF(AND($A237&lt;&gt;"",COUNTIF($A$2:A237,$A237)=1),$A237,"")</f>
        <v/>
      </c>
      <c r="G237" t="str">
        <f>IF($F237&lt;&gt;"",SUMPRODUCT(($F$2:F237&lt;&gt;"")*1),"")</f>
        <v/>
      </c>
    </row>
    <row r="238" spans="1:7" ht="21.95" customHeight="1">
      <c r="A238" s="9" t="s">
        <v>124</v>
      </c>
      <c r="B238" s="9" t="s">
        <v>82</v>
      </c>
      <c r="C238" s="15">
        <v>825</v>
      </c>
      <c r="D238" s="16" t="str">
        <f>IFERROR(INDEX(المواد!$B$2:$B$319,MATCH(B238,المواد!$A$2:$A$319,0)),"")</f>
        <v>كغ</v>
      </c>
      <c r="E238" s="9"/>
      <c r="F238" t="str">
        <f>IF(AND($A238&lt;&gt;"",COUNTIF($A$2:A238,$A238)=1),$A238,"")</f>
        <v/>
      </c>
      <c r="G238" t="str">
        <f>IF($F238&lt;&gt;"",SUMPRODUCT(($F$2:F238&lt;&gt;"")*1),"")</f>
        <v/>
      </c>
    </row>
    <row r="239" spans="1:7" ht="21.95" customHeight="1">
      <c r="A239" s="9" t="s">
        <v>124</v>
      </c>
      <c r="B239" s="9" t="s">
        <v>87</v>
      </c>
      <c r="C239" s="15">
        <v>50</v>
      </c>
      <c r="D239" s="16" t="str">
        <f>IFERROR(INDEX(المواد!$B$2:$B$319,MATCH(B239,المواد!$A$2:$A$319,0)),"")</f>
        <v>كغ</v>
      </c>
      <c r="E239" s="9" t="s">
        <v>105</v>
      </c>
      <c r="F239" t="str">
        <f>IF(AND($A239&lt;&gt;"",COUNTIF($A$2:A239,$A239)=1),$A239,"")</f>
        <v/>
      </c>
      <c r="G239" t="str">
        <f>IF($F239&lt;&gt;"",SUMPRODUCT(($F$2:F239&lt;&gt;"")*1),"")</f>
        <v/>
      </c>
    </row>
    <row r="240" spans="1:7" ht="21.95" customHeight="1">
      <c r="A240" s="9" t="s">
        <v>124</v>
      </c>
      <c r="B240" s="9" t="s">
        <v>45</v>
      </c>
      <c r="C240" s="15"/>
      <c r="D240" s="16" t="str">
        <f>IFERROR(INDEX(المواد!$B$2:$B$319,MATCH(B240,المواد!$A$2:$A$319,0)),"")</f>
        <v>كغ</v>
      </c>
      <c r="E240" s="9"/>
      <c r="F240" t="str">
        <f>IF(AND($A240&lt;&gt;"",COUNTIF($A$2:A240,$A240)=1),$A240,"")</f>
        <v/>
      </c>
      <c r="G240" t="str">
        <f>IF($F240&lt;&gt;"",SUMPRODUCT(($F$2:F240&lt;&gt;"")*1),"")</f>
        <v/>
      </c>
    </row>
    <row r="241" spans="1:7" ht="21.95" customHeight="1">
      <c r="A241" s="9" t="s">
        <v>124</v>
      </c>
      <c r="B241" s="9" t="s">
        <v>65</v>
      </c>
      <c r="C241" s="15">
        <v>1</v>
      </c>
      <c r="D241" s="16" t="str">
        <f>IFERROR(INDEX(المواد!$B$2:$B$319,MATCH(B241,المواد!$A$2:$A$319,0)),"")</f>
        <v>كغ</v>
      </c>
      <c r="E241" s="9" t="s">
        <v>121</v>
      </c>
      <c r="F241" t="str">
        <f>IF(AND($A241&lt;&gt;"",COUNTIF($A$2:A241,$A241)=1),$A241,"")</f>
        <v/>
      </c>
      <c r="G241" t="str">
        <f>IF($F241&lt;&gt;"",SUMPRODUCT(($F$2:F241&lt;&gt;"")*1),"")</f>
        <v/>
      </c>
    </row>
    <row r="242" spans="1:7" ht="21.95" customHeight="1">
      <c r="A242" s="9" t="s">
        <v>125</v>
      </c>
      <c r="B242" s="9" t="s">
        <v>43</v>
      </c>
      <c r="C242" s="15">
        <v>20</v>
      </c>
      <c r="D242" s="16" t="str">
        <f>IFERROR(INDEX(المواد!$B$2:$B$319,MATCH(B242,المواد!$A$2:$A$319,0)),"")</f>
        <v>كغ</v>
      </c>
      <c r="E242" s="9"/>
      <c r="F242" t="str">
        <f>IF(AND($A242&lt;&gt;"",COUNTIF($A$2:A242,$A242)=1),$A242,"")</f>
        <v>لودلين ليلك رابع</v>
      </c>
      <c r="G242">
        <f>IF($F242&lt;&gt;"",SUMPRODUCT(($F$2:F242&lt;&gt;"")*1),"")</f>
        <v>29</v>
      </c>
    </row>
    <row r="243" spans="1:7" ht="21.95" customHeight="1">
      <c r="A243" s="9" t="s">
        <v>125</v>
      </c>
      <c r="B243" s="9" t="s">
        <v>35</v>
      </c>
      <c r="C243" s="15">
        <v>40</v>
      </c>
      <c r="D243" s="16" t="str">
        <f>IFERROR(INDEX(المواد!$B$2:$B$319,MATCH(B243,المواد!$A$2:$A$319,0)),"")</f>
        <v>كغ</v>
      </c>
      <c r="E243" s="9"/>
      <c r="F243" t="str">
        <f>IF(AND($A243&lt;&gt;"",COUNTIF($A$2:A243,$A243)=1),$A243,"")</f>
        <v/>
      </c>
      <c r="G243" t="str">
        <f>IF($F243&lt;&gt;"",SUMPRODUCT(($F$2:F243&lt;&gt;"")*1),"")</f>
        <v/>
      </c>
    </row>
    <row r="244" spans="1:7" ht="21.95" customHeight="1">
      <c r="A244" s="9" t="s">
        <v>125</v>
      </c>
      <c r="B244" s="9" t="s">
        <v>80</v>
      </c>
      <c r="C244" s="15">
        <v>2.5</v>
      </c>
      <c r="D244" s="16" t="str">
        <f>IFERROR(INDEX(المواد!$B$2:$B$319,MATCH(B244,المواد!$A$2:$A$319,0)),"")</f>
        <v>كغ</v>
      </c>
      <c r="E244" s="9"/>
      <c r="F244" t="str">
        <f>IF(AND($A244&lt;&gt;"",COUNTIF($A$2:A244,$A244)=1),$A244,"")</f>
        <v/>
      </c>
      <c r="G244" t="str">
        <f>IF($F244&lt;&gt;"",SUMPRODUCT(($F$2:F244&lt;&gt;"")*1),"")</f>
        <v/>
      </c>
    </row>
    <row r="245" spans="1:7" ht="21.95" customHeight="1">
      <c r="A245" s="9" t="s">
        <v>125</v>
      </c>
      <c r="B245" s="9" t="s">
        <v>85</v>
      </c>
      <c r="C245" s="15">
        <v>3</v>
      </c>
      <c r="D245" s="16" t="str">
        <f>IFERROR(INDEX(المواد!$B$2:$B$319,MATCH(B245,المواد!$A$2:$A$319,0)),"")</f>
        <v>كغ</v>
      </c>
      <c r="E245" s="9"/>
      <c r="F245" t="str">
        <f>IF(AND($A245&lt;&gt;"",COUNTIF($A$2:A245,$A245)=1),$A245,"")</f>
        <v/>
      </c>
      <c r="G245" t="str">
        <f>IF($F245&lt;&gt;"",SUMPRODUCT(($F$2:F245&lt;&gt;"")*1),"")</f>
        <v/>
      </c>
    </row>
    <row r="246" spans="1:7" ht="21.95" customHeight="1">
      <c r="A246" s="9" t="s">
        <v>125</v>
      </c>
      <c r="B246" s="9" t="s">
        <v>212</v>
      </c>
      <c r="C246" s="15">
        <v>1.5</v>
      </c>
      <c r="D246" s="16" t="str">
        <f>IFERROR(INDEX(المواد!$B$2:$B$319,MATCH(B246,المواد!$A$2:$A$319,0)),"")</f>
        <v>كغ</v>
      </c>
      <c r="E246" s="9"/>
      <c r="F246" t="str">
        <f>IF(AND($A246&lt;&gt;"",COUNTIF($A$2:A246,$A246)=1),$A246,"")</f>
        <v/>
      </c>
      <c r="G246" t="str">
        <f>IF($F246&lt;&gt;"",SUMPRODUCT(($F$2:F246&lt;&gt;"")*1),"")</f>
        <v/>
      </c>
    </row>
    <row r="247" spans="1:7" ht="21.95" customHeight="1">
      <c r="A247" s="9" t="s">
        <v>125</v>
      </c>
      <c r="B247" s="9" t="s">
        <v>34</v>
      </c>
      <c r="C247" s="15">
        <v>15</v>
      </c>
      <c r="D247" s="16" t="str">
        <f>IFERROR(INDEX(المواد!$B$2:$B$319,MATCH(B247,المواد!$A$2:$A$319,0)),"")</f>
        <v>كغ</v>
      </c>
      <c r="E247" s="9"/>
      <c r="F247" t="str">
        <f>IF(AND($A247&lt;&gt;"",COUNTIF($A$2:A247,$A247)=1),$A247,"")</f>
        <v/>
      </c>
      <c r="G247" t="str">
        <f>IF($F247&lt;&gt;"",SUMPRODUCT(($F$2:F247&lt;&gt;"")*1),"")</f>
        <v/>
      </c>
    </row>
    <row r="248" spans="1:7" ht="21.95" customHeight="1">
      <c r="A248" s="9" t="s">
        <v>125</v>
      </c>
      <c r="B248" s="9" t="s">
        <v>40</v>
      </c>
      <c r="C248" s="15"/>
      <c r="D248" s="16" t="str">
        <f>IFERROR(INDEX(المواد!$B$2:$B$319,MATCH(B248,المواد!$A$2:$A$319,0)),"")</f>
        <v>كغ</v>
      </c>
      <c r="E248" s="9"/>
      <c r="F248" t="str">
        <f>IF(AND($A248&lt;&gt;"",COUNTIF($A$2:A248,$A248)=1),$A248,"")</f>
        <v/>
      </c>
      <c r="G248" t="str">
        <f>IF($F248&lt;&gt;"",SUMPRODUCT(($F$2:F248&lt;&gt;"")*1),"")</f>
        <v/>
      </c>
    </row>
    <row r="249" spans="1:7" ht="21.95" customHeight="1">
      <c r="A249" s="9" t="s">
        <v>125</v>
      </c>
      <c r="B249" s="9" t="s">
        <v>82</v>
      </c>
      <c r="C249" s="15">
        <v>890</v>
      </c>
      <c r="D249" s="16" t="str">
        <f>IFERROR(INDEX(المواد!$B$2:$B$319,MATCH(B249,المواد!$A$2:$A$319,0)),"")</f>
        <v>كغ</v>
      </c>
      <c r="E249" s="9"/>
      <c r="F249" t="str">
        <f>IF(AND($A249&lt;&gt;"",COUNTIF($A$2:A249,$A249)=1),$A249,"")</f>
        <v/>
      </c>
      <c r="G249" t="str">
        <f>IF($F249&lt;&gt;"",SUMPRODUCT(($F$2:F249&lt;&gt;"")*1),"")</f>
        <v/>
      </c>
    </row>
    <row r="250" spans="1:7" ht="21.95" customHeight="1">
      <c r="A250" s="9" t="s">
        <v>125</v>
      </c>
      <c r="B250" s="9" t="s">
        <v>87</v>
      </c>
      <c r="C250" s="15">
        <v>100</v>
      </c>
      <c r="D250" s="16" t="str">
        <f>IFERROR(INDEX(المواد!$B$2:$B$319,MATCH(B250,المواد!$A$2:$A$319,0)),"")</f>
        <v>كغ</v>
      </c>
      <c r="E250" s="9" t="s">
        <v>105</v>
      </c>
      <c r="F250" t="str">
        <f>IF(AND($A250&lt;&gt;"",COUNTIF($A$2:A250,$A250)=1),$A250,"")</f>
        <v/>
      </c>
      <c r="G250" t="str">
        <f>IF($F250&lt;&gt;"",SUMPRODUCT(($F$2:F250&lt;&gt;"")*1),"")</f>
        <v/>
      </c>
    </row>
    <row r="251" spans="1:7" ht="21.95" customHeight="1">
      <c r="A251" s="9" t="s">
        <v>125</v>
      </c>
      <c r="B251" s="9" t="s">
        <v>45</v>
      </c>
      <c r="C251" s="15"/>
      <c r="D251" s="16" t="str">
        <f>IFERROR(INDEX(المواد!$B$2:$B$319,MATCH(B251,المواد!$A$2:$A$319,0)),"")</f>
        <v>كغ</v>
      </c>
      <c r="E251" s="9"/>
      <c r="F251" t="str">
        <f>IF(AND($A251&lt;&gt;"",COUNTIF($A$2:A251,$A251)=1),$A251,"")</f>
        <v/>
      </c>
      <c r="G251" t="str">
        <f>IF($F251&lt;&gt;"",SUMPRODUCT(($F$2:F251&lt;&gt;"")*1),"")</f>
        <v/>
      </c>
    </row>
    <row r="252" spans="1:7" ht="21.95" customHeight="1">
      <c r="A252" s="9" t="s">
        <v>125</v>
      </c>
      <c r="B252" s="9" t="s">
        <v>66</v>
      </c>
      <c r="C252" s="15">
        <v>1</v>
      </c>
      <c r="D252" s="16" t="str">
        <f>IFERROR(INDEX(المواد!$B$2:$B$319,MATCH(B252,المواد!$A$2:$A$319,0)),"")</f>
        <v>كغ</v>
      </c>
      <c r="E252" s="9" t="s">
        <v>66</v>
      </c>
      <c r="F252" t="str">
        <f>IF(AND($A252&lt;&gt;"",COUNTIF($A$2:A252,$A252)=1),$A252,"")</f>
        <v/>
      </c>
      <c r="G252" t="str">
        <f>IF($F252&lt;&gt;"",SUMPRODUCT(($F$2:F252&lt;&gt;"")*1),"")</f>
        <v/>
      </c>
    </row>
    <row r="253" spans="1:7" ht="21.95" customHeight="1">
      <c r="A253" s="9" t="s">
        <v>126</v>
      </c>
      <c r="B253" s="9" t="s">
        <v>43</v>
      </c>
      <c r="C253" s="15">
        <v>150</v>
      </c>
      <c r="D253" s="16" t="str">
        <f>IFERROR(INDEX(المواد!$B$2:$B$319,MATCH(B253,المواد!$A$2:$A$319,0)),"")</f>
        <v>كغ</v>
      </c>
      <c r="E253" s="9"/>
      <c r="F253" t="str">
        <f>IF(AND($A253&lt;&gt;"",COUNTIF($A$2:A253,$A253)=1),$A253,"")</f>
        <v>لودلين ليمون أول</v>
      </c>
      <c r="G253">
        <f>IF($F253&lt;&gt;"",SUMPRODUCT(($F$2:F253&lt;&gt;"")*1),"")</f>
        <v>30</v>
      </c>
    </row>
    <row r="254" spans="1:7" ht="21.95" customHeight="1">
      <c r="A254" s="9" t="s">
        <v>126</v>
      </c>
      <c r="B254" s="9" t="s">
        <v>35</v>
      </c>
      <c r="C254" s="15">
        <v>100</v>
      </c>
      <c r="D254" s="16" t="str">
        <f>IFERROR(INDEX(المواد!$B$2:$B$319,MATCH(B254,المواد!$A$2:$A$319,0)),"")</f>
        <v>كغ</v>
      </c>
      <c r="E254" s="9"/>
      <c r="F254" t="str">
        <f>IF(AND($A254&lt;&gt;"",COUNTIF($A$2:A254,$A254)=1),$A254,"")</f>
        <v/>
      </c>
      <c r="G254" t="str">
        <f>IF($F254&lt;&gt;"",SUMPRODUCT(($F$2:F254&lt;&gt;"")*1),"")</f>
        <v/>
      </c>
    </row>
    <row r="255" spans="1:7" ht="21.95" customHeight="1">
      <c r="A255" s="9" t="s">
        <v>126</v>
      </c>
      <c r="B255" s="9" t="s">
        <v>80</v>
      </c>
      <c r="C255" s="15">
        <v>19</v>
      </c>
      <c r="D255" s="16" t="str">
        <f>IFERROR(INDEX(المواد!$B$2:$B$319,MATCH(B255,المواد!$A$2:$A$319,0)),"")</f>
        <v>كغ</v>
      </c>
      <c r="E255" s="9"/>
      <c r="F255" t="str">
        <f>IF(AND($A255&lt;&gt;"",COUNTIF($A$2:A255,$A255)=1),$A255,"")</f>
        <v/>
      </c>
      <c r="G255" t="str">
        <f>IF($F255&lt;&gt;"",SUMPRODUCT(($F$2:F255&lt;&gt;"")*1),"")</f>
        <v/>
      </c>
    </row>
    <row r="256" spans="1:7" ht="21.95" customHeight="1">
      <c r="A256" s="9" t="s">
        <v>126</v>
      </c>
      <c r="B256" s="9" t="s">
        <v>74</v>
      </c>
      <c r="C256" s="15">
        <v>5</v>
      </c>
      <c r="D256" s="16" t="str">
        <f>IFERROR(INDEX(المواد!$B$2:$B$319,MATCH(B256,المواد!$A$2:$A$319,0)),"")</f>
        <v>كغ</v>
      </c>
      <c r="E256" s="9"/>
      <c r="F256" t="str">
        <f>IF(AND($A256&lt;&gt;"",COUNTIF($A$2:A256,$A256)=1),$A256,"")</f>
        <v/>
      </c>
      <c r="G256" t="str">
        <f>IF($F256&lt;&gt;"",SUMPRODUCT(($F$2:F256&lt;&gt;"")*1),"")</f>
        <v/>
      </c>
    </row>
    <row r="257" spans="1:7" ht="21.95" customHeight="1">
      <c r="A257" s="9" t="s">
        <v>126</v>
      </c>
      <c r="B257" s="9" t="s">
        <v>212</v>
      </c>
      <c r="C257" s="15">
        <v>1.5</v>
      </c>
      <c r="D257" s="16" t="str">
        <f>IFERROR(INDEX(المواد!$B$2:$B$319,MATCH(B257,المواد!$A$2:$A$319,0)),"")</f>
        <v>كغ</v>
      </c>
      <c r="E257" s="9"/>
      <c r="F257" t="str">
        <f>IF(AND($A257&lt;&gt;"",COUNTIF($A$2:A257,$A257)=1),$A257,"")</f>
        <v/>
      </c>
      <c r="G257" t="str">
        <f>IF($F257&lt;&gt;"",SUMPRODUCT(($F$2:F257&lt;&gt;"")*1),"")</f>
        <v/>
      </c>
    </row>
    <row r="258" spans="1:7" ht="21.95" customHeight="1">
      <c r="A258" s="9" t="s">
        <v>126</v>
      </c>
      <c r="B258" s="9" t="s">
        <v>34</v>
      </c>
      <c r="C258" s="15">
        <v>50</v>
      </c>
      <c r="D258" s="16" t="str">
        <f>IFERROR(INDEX(المواد!$B$2:$B$319,MATCH(B258,المواد!$A$2:$A$319,0)),"")</f>
        <v>كغ</v>
      </c>
      <c r="E258" s="9"/>
      <c r="F258" t="str">
        <f>IF(AND($A258&lt;&gt;"",COUNTIF($A$2:A258,$A258)=1),$A258,"")</f>
        <v/>
      </c>
      <c r="G258" t="str">
        <f>IF($F258&lt;&gt;"",SUMPRODUCT(($F$2:F258&lt;&gt;"")*1),"")</f>
        <v/>
      </c>
    </row>
    <row r="259" spans="1:7" ht="21.95" customHeight="1">
      <c r="A259" s="9" t="s">
        <v>126</v>
      </c>
      <c r="B259" s="9" t="s">
        <v>40</v>
      </c>
      <c r="C259" s="15"/>
      <c r="D259" s="16" t="str">
        <f>IFERROR(INDEX(المواد!$B$2:$B$319,MATCH(B259,المواد!$A$2:$A$319,0)),"")</f>
        <v>كغ</v>
      </c>
      <c r="E259" s="9"/>
      <c r="F259" t="str">
        <f>IF(AND($A259&lt;&gt;"",COUNTIF($A$2:A259,$A259)=1),$A259,"")</f>
        <v/>
      </c>
      <c r="G259" t="str">
        <f>IF($F259&lt;&gt;"",SUMPRODUCT(($F$2:F259&lt;&gt;"")*1),"")</f>
        <v/>
      </c>
    </row>
    <row r="260" spans="1:7" ht="21.95" customHeight="1">
      <c r="A260" s="9" t="s">
        <v>126</v>
      </c>
      <c r="B260" s="9" t="s">
        <v>82</v>
      </c>
      <c r="C260" s="15">
        <v>675</v>
      </c>
      <c r="D260" s="16" t="str">
        <f>IFERROR(INDEX(المواد!$B$2:$B$319,MATCH(B260,المواد!$A$2:$A$319,0)),"")</f>
        <v>كغ</v>
      </c>
      <c r="E260" s="9"/>
      <c r="F260" t="str">
        <f>IF(AND($A260&lt;&gt;"",COUNTIF($A$2:A260,$A260)=1),$A260,"")</f>
        <v/>
      </c>
      <c r="G260" t="str">
        <f>IF($F260&lt;&gt;"",SUMPRODUCT(($F$2:F260&lt;&gt;"")*1),"")</f>
        <v/>
      </c>
    </row>
    <row r="261" spans="1:7" ht="21.95" customHeight="1">
      <c r="A261" s="9" t="s">
        <v>126</v>
      </c>
      <c r="B261" s="9" t="s">
        <v>73</v>
      </c>
      <c r="C261" s="15">
        <v>2</v>
      </c>
      <c r="D261" s="16" t="str">
        <f>IFERROR(INDEX(المواد!$B$2:$B$319,MATCH(B261,المواد!$A$2:$A$319,0)),"")</f>
        <v>كغ</v>
      </c>
      <c r="E261" s="9" t="s">
        <v>107</v>
      </c>
      <c r="F261" t="str">
        <f>IF(AND($A261&lt;&gt;"",COUNTIF($A$2:A261,$A261)=1),$A261,"")</f>
        <v/>
      </c>
      <c r="G261" t="str">
        <f>IF($F261&lt;&gt;"",SUMPRODUCT(($F$2:F261&lt;&gt;"")*1),"")</f>
        <v/>
      </c>
    </row>
    <row r="262" spans="1:7" ht="21.95" customHeight="1">
      <c r="A262" s="9" t="s">
        <v>126</v>
      </c>
      <c r="B262" s="9" t="s">
        <v>45</v>
      </c>
      <c r="C262" s="15">
        <v>25</v>
      </c>
      <c r="D262" s="16" t="str">
        <f>IFERROR(INDEX(المواد!$B$2:$B$319,MATCH(B262,المواد!$A$2:$A$319,0)),"")</f>
        <v>كغ</v>
      </c>
      <c r="E262" s="9" t="s">
        <v>127</v>
      </c>
      <c r="F262" t="str">
        <f>IF(AND($A262&lt;&gt;"",COUNTIF($A$2:A262,$A262)=1),$A262,"")</f>
        <v/>
      </c>
      <c r="G262" t="str">
        <f>IF($F262&lt;&gt;"",SUMPRODUCT(($F$2:F262&lt;&gt;"")*1),"")</f>
        <v/>
      </c>
    </row>
    <row r="263" spans="1:7" ht="21.95" customHeight="1">
      <c r="A263" s="9" t="s">
        <v>128</v>
      </c>
      <c r="B263" s="9" t="s">
        <v>43</v>
      </c>
      <c r="C263" s="15">
        <v>35</v>
      </c>
      <c r="D263" s="16" t="str">
        <f>IFERROR(INDEX(المواد!$B$2:$B$319,MATCH(B263,المواد!$A$2:$A$319,0)),"")</f>
        <v>كغ</v>
      </c>
      <c r="E263" s="9"/>
      <c r="F263" t="str">
        <f>IF(AND($A263&lt;&gt;"",COUNTIF($A$2:A263,$A263)=1),$A263,"")</f>
        <v>لودلين ليمون ثالث</v>
      </c>
      <c r="G263">
        <f>IF($F263&lt;&gt;"",SUMPRODUCT(($F$2:F263&lt;&gt;"")*1),"")</f>
        <v>31</v>
      </c>
    </row>
    <row r="264" spans="1:7" ht="21.95" customHeight="1">
      <c r="A264" s="9" t="s">
        <v>128</v>
      </c>
      <c r="B264" s="9" t="s">
        <v>35</v>
      </c>
      <c r="C264" s="15">
        <v>50</v>
      </c>
      <c r="D264" s="16" t="str">
        <f>IFERROR(INDEX(المواد!$B$2:$B$319,MATCH(B264,المواد!$A$2:$A$319,0)),"")</f>
        <v>كغ</v>
      </c>
      <c r="E264" s="9"/>
      <c r="F264" t="str">
        <f>IF(AND($A264&lt;&gt;"",COUNTIF($A$2:A264,$A264)=1),$A264,"")</f>
        <v/>
      </c>
      <c r="G264" t="str">
        <f>IF($F264&lt;&gt;"",SUMPRODUCT(($F$2:F264&lt;&gt;"")*1),"")</f>
        <v/>
      </c>
    </row>
    <row r="265" spans="1:7" ht="21.95" customHeight="1">
      <c r="A265" s="9" t="s">
        <v>128</v>
      </c>
      <c r="B265" s="9" t="s">
        <v>80</v>
      </c>
      <c r="C265" s="15">
        <v>4</v>
      </c>
      <c r="D265" s="16" t="str">
        <f>IFERROR(INDEX(المواد!$B$2:$B$319,MATCH(B265,المواد!$A$2:$A$319,0)),"")</f>
        <v>كغ</v>
      </c>
      <c r="E265" s="9"/>
      <c r="F265" t="str">
        <f>IF(AND($A265&lt;&gt;"",COUNTIF($A$2:A265,$A265)=1),$A265,"")</f>
        <v/>
      </c>
      <c r="G265" t="str">
        <f>IF($F265&lt;&gt;"",SUMPRODUCT(($F$2:F265&lt;&gt;"")*1),"")</f>
        <v/>
      </c>
    </row>
    <row r="266" spans="1:7" ht="21.95" customHeight="1">
      <c r="A266" s="9" t="s">
        <v>128</v>
      </c>
      <c r="B266" s="9" t="s">
        <v>85</v>
      </c>
      <c r="C266" s="15">
        <v>2.5</v>
      </c>
      <c r="D266" s="16" t="str">
        <f>IFERROR(INDEX(المواد!$B$2:$B$319,MATCH(B266,المواد!$A$2:$A$319,0)),"")</f>
        <v>كغ</v>
      </c>
      <c r="E266" s="9"/>
      <c r="F266" t="str">
        <f>IF(AND($A266&lt;&gt;"",COUNTIF($A$2:A266,$A266)=1),$A266,"")</f>
        <v/>
      </c>
      <c r="G266" t="str">
        <f>IF($F266&lt;&gt;"",SUMPRODUCT(($F$2:F266&lt;&gt;"")*1),"")</f>
        <v/>
      </c>
    </row>
    <row r="267" spans="1:7" ht="21.95" customHeight="1">
      <c r="A267" s="9" t="s">
        <v>128</v>
      </c>
      <c r="B267" s="9" t="s">
        <v>212</v>
      </c>
      <c r="C267" s="15">
        <v>1.5</v>
      </c>
      <c r="D267" s="16" t="str">
        <f>IFERROR(INDEX(المواد!$B$2:$B$319,MATCH(B267,المواد!$A$2:$A$319,0)),"")</f>
        <v>كغ</v>
      </c>
      <c r="E267" s="9"/>
      <c r="F267" t="str">
        <f>IF(AND($A267&lt;&gt;"",COUNTIF($A$2:A267,$A267)=1),$A267,"")</f>
        <v/>
      </c>
      <c r="G267" t="str">
        <f>IF($F267&lt;&gt;"",SUMPRODUCT(($F$2:F267&lt;&gt;"")*1),"")</f>
        <v/>
      </c>
    </row>
    <row r="268" spans="1:7" ht="21.95" customHeight="1">
      <c r="A268" s="9" t="s">
        <v>128</v>
      </c>
      <c r="B268" s="9" t="s">
        <v>34</v>
      </c>
      <c r="C268" s="15">
        <v>15</v>
      </c>
      <c r="D268" s="16" t="str">
        <f>IFERROR(INDEX(المواد!$B$2:$B$319,MATCH(B268,المواد!$A$2:$A$319,0)),"")</f>
        <v>كغ</v>
      </c>
      <c r="E268" s="9"/>
      <c r="F268" t="str">
        <f>IF(AND($A268&lt;&gt;"",COUNTIF($A$2:A268,$A268)=1),$A268,"")</f>
        <v/>
      </c>
      <c r="G268" t="str">
        <f>IF($F268&lt;&gt;"",SUMPRODUCT(($F$2:F268&lt;&gt;"")*1),"")</f>
        <v/>
      </c>
    </row>
    <row r="269" spans="1:7" ht="21.95" customHeight="1">
      <c r="A269" s="9" t="s">
        <v>128</v>
      </c>
      <c r="B269" s="9" t="s">
        <v>40</v>
      </c>
      <c r="C269" s="15"/>
      <c r="D269" s="16" t="str">
        <f>IFERROR(INDEX(المواد!$B$2:$B$319,MATCH(B269,المواد!$A$2:$A$319,0)),"")</f>
        <v>كغ</v>
      </c>
      <c r="E269" s="9"/>
      <c r="F269" t="str">
        <f>IF(AND($A269&lt;&gt;"",COUNTIF($A$2:A269,$A269)=1),$A269,"")</f>
        <v/>
      </c>
      <c r="G269" t="str">
        <f>IF($F269&lt;&gt;"",SUMPRODUCT(($F$2:F269&lt;&gt;"")*1),"")</f>
        <v/>
      </c>
    </row>
    <row r="270" spans="1:7" ht="21.95" customHeight="1">
      <c r="A270" s="9" t="s">
        <v>128</v>
      </c>
      <c r="B270" s="9" t="s">
        <v>82</v>
      </c>
      <c r="C270" s="15">
        <v>890</v>
      </c>
      <c r="D270" s="16" t="str">
        <f>IFERROR(INDEX(المواد!$B$2:$B$319,MATCH(B270,المواد!$A$2:$A$319,0)),"")</f>
        <v>كغ</v>
      </c>
      <c r="E270" s="9"/>
      <c r="F270" t="str">
        <f>IF(AND($A270&lt;&gt;"",COUNTIF($A$2:A270,$A270)=1),$A270,"")</f>
        <v/>
      </c>
      <c r="G270" t="str">
        <f>IF($F270&lt;&gt;"",SUMPRODUCT(($F$2:F270&lt;&gt;"")*1),"")</f>
        <v/>
      </c>
    </row>
    <row r="271" spans="1:7" ht="21.95" customHeight="1">
      <c r="A271" s="9" t="s">
        <v>128</v>
      </c>
      <c r="B271" s="9" t="s">
        <v>87</v>
      </c>
      <c r="C271" s="15">
        <v>75</v>
      </c>
      <c r="D271" s="16" t="str">
        <f>IFERROR(INDEX(المواد!$B$2:$B$319,MATCH(B271,المواد!$A$2:$A$319,0)),"")</f>
        <v>كغ</v>
      </c>
      <c r="E271" s="9" t="s">
        <v>105</v>
      </c>
      <c r="F271" t="str">
        <f>IF(AND($A271&lt;&gt;"",COUNTIF($A$2:A271,$A271)=1),$A271,"")</f>
        <v/>
      </c>
      <c r="G271" t="str">
        <f>IF($F271&lt;&gt;"",SUMPRODUCT(($F$2:F271&lt;&gt;"")*1),"")</f>
        <v/>
      </c>
    </row>
    <row r="272" spans="1:7" ht="21.95" customHeight="1">
      <c r="A272" s="9" t="s">
        <v>128</v>
      </c>
      <c r="B272" s="9" t="s">
        <v>45</v>
      </c>
      <c r="C272" s="15"/>
      <c r="D272" s="16" t="str">
        <f>IFERROR(INDEX(المواد!$B$2:$B$319,MATCH(B272,المواد!$A$2:$A$319,0)),"")</f>
        <v>كغ</v>
      </c>
      <c r="E272" s="9"/>
      <c r="F272" t="str">
        <f>IF(AND($A272&lt;&gt;"",COUNTIF($A$2:A272,$A272)=1),$A272,"")</f>
        <v/>
      </c>
      <c r="G272" t="str">
        <f>IF($F272&lt;&gt;"",SUMPRODUCT(($F$2:F272&lt;&gt;"")*1),"")</f>
        <v/>
      </c>
    </row>
    <row r="273" spans="1:7" ht="21.95" customHeight="1">
      <c r="A273" s="9" t="s">
        <v>128</v>
      </c>
      <c r="B273" s="9" t="s">
        <v>66</v>
      </c>
      <c r="C273" s="15">
        <v>1</v>
      </c>
      <c r="D273" s="16" t="str">
        <f>IFERROR(INDEX(المواد!$B$2:$B$319,MATCH(B273,المواد!$A$2:$A$319,0)),"")</f>
        <v>كغ</v>
      </c>
      <c r="E273" s="9" t="s">
        <v>66</v>
      </c>
      <c r="F273" t="str">
        <f>IF(AND($A273&lt;&gt;"",COUNTIF($A$2:A273,$A273)=1),$A273,"")</f>
        <v/>
      </c>
      <c r="G273" t="str">
        <f>IF($F273&lt;&gt;"",SUMPRODUCT(($F$2:F273&lt;&gt;"")*1),"")</f>
        <v/>
      </c>
    </row>
    <row r="274" spans="1:7" ht="21.95" customHeight="1">
      <c r="A274" s="9" t="s">
        <v>129</v>
      </c>
      <c r="B274" s="9" t="s">
        <v>43</v>
      </c>
      <c r="C274" s="15">
        <v>60</v>
      </c>
      <c r="D274" s="16" t="str">
        <f>IFERROR(INDEX(المواد!$B$2:$B$319,MATCH(B274,المواد!$A$2:$A$319,0)),"")</f>
        <v>كغ</v>
      </c>
      <c r="E274" s="9"/>
      <c r="F274" t="str">
        <f>IF(AND($A274&lt;&gt;"",COUNTIF($A$2:A274,$A274)=1),$A274,"")</f>
        <v>لودلين ليمون ثاني</v>
      </c>
      <c r="G274">
        <f>IF($F274&lt;&gt;"",SUMPRODUCT(($F$2:F274&lt;&gt;"")*1),"")</f>
        <v>32</v>
      </c>
    </row>
    <row r="275" spans="1:7" ht="21.95" customHeight="1">
      <c r="A275" s="9" t="s">
        <v>129</v>
      </c>
      <c r="B275" s="9" t="s">
        <v>35</v>
      </c>
      <c r="C275" s="15">
        <v>50</v>
      </c>
      <c r="D275" s="16" t="str">
        <f>IFERROR(INDEX(المواد!$B$2:$B$319,MATCH(B275,المواد!$A$2:$A$319,0)),"")</f>
        <v>كغ</v>
      </c>
      <c r="E275" s="9"/>
      <c r="F275" t="str">
        <f>IF(AND($A275&lt;&gt;"",COUNTIF($A$2:A275,$A275)=1),$A275,"")</f>
        <v/>
      </c>
      <c r="G275" t="str">
        <f>IF($F275&lt;&gt;"",SUMPRODUCT(($F$2:F275&lt;&gt;"")*1),"")</f>
        <v/>
      </c>
    </row>
    <row r="276" spans="1:7" ht="21.95" customHeight="1">
      <c r="A276" s="9" t="s">
        <v>129</v>
      </c>
      <c r="B276" s="9" t="s">
        <v>80</v>
      </c>
      <c r="C276" s="15">
        <v>7.25</v>
      </c>
      <c r="D276" s="16" t="str">
        <f>IFERROR(INDEX(المواد!$B$2:$B$319,MATCH(B276,المواد!$A$2:$A$319,0)),"")</f>
        <v>كغ</v>
      </c>
      <c r="E276" s="9"/>
      <c r="F276" t="str">
        <f>IF(AND($A276&lt;&gt;"",COUNTIF($A$2:A276,$A276)=1),$A276,"")</f>
        <v/>
      </c>
      <c r="G276" t="str">
        <f>IF($F276&lt;&gt;"",SUMPRODUCT(($F$2:F276&lt;&gt;"")*1),"")</f>
        <v/>
      </c>
    </row>
    <row r="277" spans="1:7" ht="21.95" customHeight="1">
      <c r="A277" s="9" t="s">
        <v>129</v>
      </c>
      <c r="B277" s="9" t="s">
        <v>85</v>
      </c>
      <c r="C277" s="15">
        <v>2.5</v>
      </c>
      <c r="D277" s="16" t="str">
        <f>IFERROR(INDEX(المواد!$B$2:$B$319,MATCH(B277,المواد!$A$2:$A$319,0)),"")</f>
        <v>كغ</v>
      </c>
      <c r="E277" s="9"/>
      <c r="F277" t="str">
        <f>IF(AND($A277&lt;&gt;"",COUNTIF($A$2:A277,$A277)=1),$A277,"")</f>
        <v/>
      </c>
      <c r="G277" t="str">
        <f>IF($F277&lt;&gt;"",SUMPRODUCT(($F$2:F277&lt;&gt;"")*1),"")</f>
        <v/>
      </c>
    </row>
    <row r="278" spans="1:7" ht="21.95" customHeight="1">
      <c r="A278" s="9" t="s">
        <v>129</v>
      </c>
      <c r="B278" s="9" t="s">
        <v>212</v>
      </c>
      <c r="C278" s="15">
        <v>1.5</v>
      </c>
      <c r="D278" s="16" t="str">
        <f>IFERROR(INDEX(المواد!$B$2:$B$319,MATCH(B278,المواد!$A$2:$A$319,0)),"")</f>
        <v>كغ</v>
      </c>
      <c r="E278" s="9"/>
      <c r="F278" t="str">
        <f>IF(AND($A278&lt;&gt;"",COUNTIF($A$2:A278,$A278)=1),$A278,"")</f>
        <v/>
      </c>
      <c r="G278" t="str">
        <f>IF($F278&lt;&gt;"",SUMPRODUCT(($F$2:F278&lt;&gt;"")*1),"")</f>
        <v/>
      </c>
    </row>
    <row r="279" spans="1:7" ht="21.95" customHeight="1">
      <c r="A279" s="9" t="s">
        <v>129</v>
      </c>
      <c r="B279" s="9" t="s">
        <v>34</v>
      </c>
      <c r="C279" s="15">
        <v>10</v>
      </c>
      <c r="D279" s="16" t="str">
        <f>IFERROR(INDEX(المواد!$B$2:$B$319,MATCH(B279,المواد!$A$2:$A$319,0)),"")</f>
        <v>كغ</v>
      </c>
      <c r="E279" s="9"/>
      <c r="F279" t="str">
        <f>IF(AND($A279&lt;&gt;"",COUNTIF($A$2:A279,$A279)=1),$A279,"")</f>
        <v/>
      </c>
      <c r="G279" t="str">
        <f>IF($F279&lt;&gt;"",SUMPRODUCT(($F$2:F279&lt;&gt;"")*1),"")</f>
        <v/>
      </c>
    </row>
    <row r="280" spans="1:7" ht="21.95" customHeight="1">
      <c r="A280" s="9" t="s">
        <v>129</v>
      </c>
      <c r="B280" s="9" t="s">
        <v>40</v>
      </c>
      <c r="C280" s="15"/>
      <c r="D280" s="16" t="str">
        <f>IFERROR(INDEX(المواد!$B$2:$B$319,MATCH(B280,المواد!$A$2:$A$319,0)),"")</f>
        <v>كغ</v>
      </c>
      <c r="E280" s="9"/>
      <c r="F280" t="str">
        <f>IF(AND($A280&lt;&gt;"",COUNTIF($A$2:A280,$A280)=1),$A280,"")</f>
        <v/>
      </c>
      <c r="G280" t="str">
        <f>IF($F280&lt;&gt;"",SUMPRODUCT(($F$2:F280&lt;&gt;"")*1),"")</f>
        <v/>
      </c>
    </row>
    <row r="281" spans="1:7" ht="21.95" customHeight="1">
      <c r="A281" s="9" t="s">
        <v>129</v>
      </c>
      <c r="B281" s="9" t="s">
        <v>82</v>
      </c>
      <c r="C281" s="15">
        <v>825</v>
      </c>
      <c r="D281" s="16" t="str">
        <f>IFERROR(INDEX(المواد!$B$2:$B$319,MATCH(B281,المواد!$A$2:$A$319,0)),"")</f>
        <v>كغ</v>
      </c>
      <c r="E281" s="9"/>
      <c r="F281" t="str">
        <f>IF(AND($A281&lt;&gt;"",COUNTIF($A$2:A281,$A281)=1),$A281,"")</f>
        <v/>
      </c>
      <c r="G281" t="str">
        <f>IF($F281&lt;&gt;"",SUMPRODUCT(($F$2:F281&lt;&gt;"")*1),"")</f>
        <v/>
      </c>
    </row>
    <row r="282" spans="1:7" ht="21.95" customHeight="1">
      <c r="A282" s="9" t="s">
        <v>129</v>
      </c>
      <c r="B282" s="9" t="s">
        <v>87</v>
      </c>
      <c r="C282" s="15">
        <v>50</v>
      </c>
      <c r="D282" s="16" t="str">
        <f>IFERROR(INDEX(المواد!$B$2:$B$319,MATCH(B282,المواد!$A$2:$A$319,0)),"")</f>
        <v>كغ</v>
      </c>
      <c r="E282" s="9" t="s">
        <v>105</v>
      </c>
      <c r="F282" t="str">
        <f>IF(AND($A282&lt;&gt;"",COUNTIF($A$2:A282,$A282)=1),$A282,"")</f>
        <v/>
      </c>
      <c r="G282" t="str">
        <f>IF($F282&lt;&gt;"",SUMPRODUCT(($F$2:F282&lt;&gt;"")*1),"")</f>
        <v/>
      </c>
    </row>
    <row r="283" spans="1:7" ht="21.95" customHeight="1">
      <c r="A283" s="9" t="s">
        <v>129</v>
      </c>
      <c r="B283" s="9" t="s">
        <v>45</v>
      </c>
      <c r="C283" s="15"/>
      <c r="D283" s="16" t="str">
        <f>IFERROR(INDEX(المواد!$B$2:$B$319,MATCH(B283,المواد!$A$2:$A$319,0)),"")</f>
        <v>كغ</v>
      </c>
      <c r="E283" s="9"/>
      <c r="F283" t="str">
        <f>IF(AND($A283&lt;&gt;"",COUNTIF($A$2:A283,$A283)=1),$A283,"")</f>
        <v/>
      </c>
      <c r="G283" t="str">
        <f>IF($F283&lt;&gt;"",SUMPRODUCT(($F$2:F283&lt;&gt;"")*1),"")</f>
        <v/>
      </c>
    </row>
    <row r="284" spans="1:7" ht="21.95" customHeight="1">
      <c r="A284" s="9" t="s">
        <v>129</v>
      </c>
      <c r="B284" s="9" t="s">
        <v>73</v>
      </c>
      <c r="C284" s="15">
        <v>1</v>
      </c>
      <c r="D284" s="16" t="str">
        <f>IFERROR(INDEX(المواد!$B$2:$B$319,MATCH(B284,المواد!$A$2:$A$319,0)),"")</f>
        <v>كغ</v>
      </c>
      <c r="E284" s="9" t="s">
        <v>130</v>
      </c>
      <c r="F284" t="str">
        <f>IF(AND($A284&lt;&gt;"",COUNTIF($A$2:A284,$A284)=1),$A284,"")</f>
        <v/>
      </c>
      <c r="G284" t="str">
        <f>IF($F284&lt;&gt;"",SUMPRODUCT(($F$2:F284&lt;&gt;"")*1),"")</f>
        <v/>
      </c>
    </row>
    <row r="285" spans="1:7" ht="21.95" customHeight="1">
      <c r="A285" s="9" t="s">
        <v>131</v>
      </c>
      <c r="B285" s="9" t="s">
        <v>43</v>
      </c>
      <c r="C285" s="15">
        <v>20</v>
      </c>
      <c r="D285" s="16" t="str">
        <f>IFERROR(INDEX(المواد!$B$2:$B$319,MATCH(B285,المواد!$A$2:$A$319,0)),"")</f>
        <v>كغ</v>
      </c>
      <c r="E285" s="9"/>
      <c r="F285" t="str">
        <f>IF(AND($A285&lt;&gt;"",COUNTIF($A$2:A285,$A285)=1),$A285,"")</f>
        <v>لودلين ليمون رابع</v>
      </c>
      <c r="G285">
        <f>IF($F285&lt;&gt;"",SUMPRODUCT(($F$2:F285&lt;&gt;"")*1),"")</f>
        <v>33</v>
      </c>
    </row>
    <row r="286" spans="1:7" ht="21.95" customHeight="1">
      <c r="A286" s="9" t="s">
        <v>131</v>
      </c>
      <c r="B286" s="9" t="s">
        <v>35</v>
      </c>
      <c r="C286" s="15">
        <v>40</v>
      </c>
      <c r="D286" s="16" t="str">
        <f>IFERROR(INDEX(المواد!$B$2:$B$319,MATCH(B286,المواد!$A$2:$A$319,0)),"")</f>
        <v>كغ</v>
      </c>
      <c r="E286" s="9"/>
      <c r="F286" t="str">
        <f>IF(AND($A286&lt;&gt;"",COUNTIF($A$2:A286,$A286)=1),$A286,"")</f>
        <v/>
      </c>
      <c r="G286" t="str">
        <f>IF($F286&lt;&gt;"",SUMPRODUCT(($F$2:F286&lt;&gt;"")*1),"")</f>
        <v/>
      </c>
    </row>
    <row r="287" spans="1:7" ht="21.95" customHeight="1">
      <c r="A287" s="9" t="s">
        <v>131</v>
      </c>
      <c r="B287" s="9" t="s">
        <v>80</v>
      </c>
      <c r="C287" s="15">
        <v>2.5</v>
      </c>
      <c r="D287" s="16" t="str">
        <f>IFERROR(INDEX(المواد!$B$2:$B$319,MATCH(B287,المواد!$A$2:$A$319,0)),"")</f>
        <v>كغ</v>
      </c>
      <c r="E287" s="9"/>
      <c r="F287" t="str">
        <f>IF(AND($A287&lt;&gt;"",COUNTIF($A$2:A287,$A287)=1),$A287,"")</f>
        <v/>
      </c>
      <c r="G287" t="str">
        <f>IF($F287&lt;&gt;"",SUMPRODUCT(($F$2:F287&lt;&gt;"")*1),"")</f>
        <v/>
      </c>
    </row>
    <row r="288" spans="1:7" ht="21.95" customHeight="1">
      <c r="A288" s="9" t="s">
        <v>131</v>
      </c>
      <c r="B288" s="9" t="s">
        <v>85</v>
      </c>
      <c r="C288" s="15">
        <v>3</v>
      </c>
      <c r="D288" s="16" t="str">
        <f>IFERROR(INDEX(المواد!$B$2:$B$319,MATCH(B288,المواد!$A$2:$A$319,0)),"")</f>
        <v>كغ</v>
      </c>
      <c r="E288" s="9"/>
      <c r="F288" t="str">
        <f>IF(AND($A288&lt;&gt;"",COUNTIF($A$2:A288,$A288)=1),$A288,"")</f>
        <v/>
      </c>
      <c r="G288" t="str">
        <f>IF($F288&lt;&gt;"",SUMPRODUCT(($F$2:F288&lt;&gt;"")*1),"")</f>
        <v/>
      </c>
    </row>
    <row r="289" spans="1:7" ht="21.95" customHeight="1">
      <c r="A289" s="9" t="s">
        <v>131</v>
      </c>
      <c r="B289" s="9" t="s">
        <v>212</v>
      </c>
      <c r="C289" s="15">
        <v>1.5</v>
      </c>
      <c r="D289" s="16" t="str">
        <f>IFERROR(INDEX(المواد!$B$2:$B$319,MATCH(B289,المواد!$A$2:$A$319,0)),"")</f>
        <v>كغ</v>
      </c>
      <c r="E289" s="9"/>
      <c r="F289" t="str">
        <f>IF(AND($A289&lt;&gt;"",COUNTIF($A$2:A289,$A289)=1),$A289,"")</f>
        <v/>
      </c>
      <c r="G289" t="str">
        <f>IF($F289&lt;&gt;"",SUMPRODUCT(($F$2:F289&lt;&gt;"")*1),"")</f>
        <v/>
      </c>
    </row>
    <row r="290" spans="1:7" ht="21.95" customHeight="1">
      <c r="A290" s="9" t="s">
        <v>131</v>
      </c>
      <c r="B290" s="9" t="s">
        <v>34</v>
      </c>
      <c r="C290" s="15">
        <v>15</v>
      </c>
      <c r="D290" s="16" t="str">
        <f>IFERROR(INDEX(المواد!$B$2:$B$319,MATCH(B290,المواد!$A$2:$A$319,0)),"")</f>
        <v>كغ</v>
      </c>
      <c r="E290" s="9"/>
      <c r="F290" t="str">
        <f>IF(AND($A290&lt;&gt;"",COUNTIF($A$2:A290,$A290)=1),$A290,"")</f>
        <v/>
      </c>
      <c r="G290" t="str">
        <f>IF($F290&lt;&gt;"",SUMPRODUCT(($F$2:F290&lt;&gt;"")*1),"")</f>
        <v/>
      </c>
    </row>
    <row r="291" spans="1:7" ht="21.95" customHeight="1">
      <c r="A291" s="9" t="s">
        <v>131</v>
      </c>
      <c r="B291" s="9" t="s">
        <v>40</v>
      </c>
      <c r="C291" s="15"/>
      <c r="D291" s="16" t="str">
        <f>IFERROR(INDEX(المواد!$B$2:$B$319,MATCH(B291,المواد!$A$2:$A$319,0)),"")</f>
        <v>كغ</v>
      </c>
      <c r="E291" s="9"/>
      <c r="F291" t="str">
        <f>IF(AND($A291&lt;&gt;"",COUNTIF($A$2:A291,$A291)=1),$A291,"")</f>
        <v/>
      </c>
      <c r="G291" t="str">
        <f>IF($F291&lt;&gt;"",SUMPRODUCT(($F$2:F291&lt;&gt;"")*1),"")</f>
        <v/>
      </c>
    </row>
    <row r="292" spans="1:7" ht="21.95" customHeight="1">
      <c r="A292" s="9" t="s">
        <v>131</v>
      </c>
      <c r="B292" s="9" t="s">
        <v>82</v>
      </c>
      <c r="C292" s="15">
        <v>890</v>
      </c>
      <c r="D292" s="16" t="str">
        <f>IFERROR(INDEX(المواد!$B$2:$B$319,MATCH(B292,المواد!$A$2:$A$319,0)),"")</f>
        <v>كغ</v>
      </c>
      <c r="E292" s="9"/>
      <c r="F292" t="str">
        <f>IF(AND($A292&lt;&gt;"",COUNTIF($A$2:A292,$A292)=1),$A292,"")</f>
        <v/>
      </c>
      <c r="G292" t="str">
        <f>IF($F292&lt;&gt;"",SUMPRODUCT(($F$2:F292&lt;&gt;"")*1),"")</f>
        <v/>
      </c>
    </row>
    <row r="293" spans="1:7" ht="21.95" customHeight="1">
      <c r="A293" s="9" t="s">
        <v>131</v>
      </c>
      <c r="B293" s="9" t="s">
        <v>87</v>
      </c>
      <c r="C293" s="15">
        <v>100</v>
      </c>
      <c r="D293" s="16" t="str">
        <f>IFERROR(INDEX(المواد!$B$2:$B$319,MATCH(B293,المواد!$A$2:$A$319,0)),"")</f>
        <v>كغ</v>
      </c>
      <c r="E293" s="9" t="s">
        <v>105</v>
      </c>
      <c r="F293" t="str">
        <f>IF(AND($A293&lt;&gt;"",COUNTIF($A$2:A293,$A293)=1),$A293,"")</f>
        <v/>
      </c>
      <c r="G293" t="str">
        <f>IF($F293&lt;&gt;"",SUMPRODUCT(($F$2:F293&lt;&gt;"")*1),"")</f>
        <v/>
      </c>
    </row>
    <row r="294" spans="1:7" ht="21.95" customHeight="1">
      <c r="A294" s="9" t="s">
        <v>131</v>
      </c>
      <c r="B294" s="9" t="s">
        <v>45</v>
      </c>
      <c r="C294" s="15"/>
      <c r="D294" s="16" t="str">
        <f>IFERROR(INDEX(المواد!$B$2:$B$319,MATCH(B294,المواد!$A$2:$A$319,0)),"")</f>
        <v>كغ</v>
      </c>
      <c r="E294" s="9"/>
      <c r="F294" t="str">
        <f>IF(AND($A294&lt;&gt;"",COUNTIF($A$2:A294,$A294)=1),$A294,"")</f>
        <v/>
      </c>
      <c r="G294" t="str">
        <f>IF($F294&lt;&gt;"",SUMPRODUCT(($F$2:F294&lt;&gt;"")*1),"")</f>
        <v/>
      </c>
    </row>
    <row r="295" spans="1:7" ht="21.95" customHeight="1">
      <c r="A295" s="9" t="s">
        <v>131</v>
      </c>
      <c r="B295" s="9" t="s">
        <v>66</v>
      </c>
      <c r="C295" s="15">
        <v>1</v>
      </c>
      <c r="D295" s="16" t="str">
        <f>IFERROR(INDEX(المواد!$B$2:$B$319,MATCH(B295,المواد!$A$2:$A$319,0)),"")</f>
        <v>كغ</v>
      </c>
      <c r="E295" s="9" t="s">
        <v>132</v>
      </c>
      <c r="F295" t="str">
        <f>IF(AND($A295&lt;&gt;"",COUNTIF($A$2:A295,$A295)=1),$A295,"")</f>
        <v/>
      </c>
      <c r="G295" t="str">
        <f>IF($F295&lt;&gt;"",SUMPRODUCT(($F$2:F295&lt;&gt;"")*1),"")</f>
        <v/>
      </c>
    </row>
    <row r="296" spans="1:7" ht="21.95" customHeight="1">
      <c r="A296" s="9" t="s">
        <v>133</v>
      </c>
      <c r="B296" s="9" t="s">
        <v>37</v>
      </c>
      <c r="C296" s="15">
        <v>5</v>
      </c>
      <c r="D296" s="16" t="str">
        <f>IFERROR(INDEX(المواد!$B$2:$B$319,MATCH(B296,المواد!$A$2:$A$319,0)),"")</f>
        <v>كغ</v>
      </c>
      <c r="E296" s="9"/>
      <c r="F296" t="str">
        <f>IF(AND($A296&lt;&gt;"",COUNTIF($A$2:A296,$A296)=1),$A296,"")</f>
        <v>معطر ارضيات أبيض - ازهار النرجس</v>
      </c>
      <c r="G296">
        <f>IF($F296&lt;&gt;"",SUMPRODUCT(($F$2:F296&lt;&gt;"")*1),"")</f>
        <v>34</v>
      </c>
    </row>
    <row r="297" spans="1:7" ht="21.95" customHeight="1">
      <c r="A297" s="9" t="s">
        <v>133</v>
      </c>
      <c r="B297" s="9" t="s">
        <v>212</v>
      </c>
      <c r="C297" s="15">
        <v>0.3</v>
      </c>
      <c r="D297" s="16" t="str">
        <f>IFERROR(INDEX(المواد!$B$2:$B$319,MATCH(B297,المواد!$A$2:$A$319,0)),"")</f>
        <v>كغ</v>
      </c>
      <c r="E297" s="9"/>
      <c r="F297" t="str">
        <f>IF(AND($A297&lt;&gt;"",COUNTIF($A$2:A297,$A297)=1),$A297,"")</f>
        <v/>
      </c>
      <c r="G297" t="str">
        <f>IF($F297&lt;&gt;"",SUMPRODUCT(($F$2:F297&lt;&gt;"")*1),"")</f>
        <v/>
      </c>
    </row>
    <row r="298" spans="1:7" ht="21.95" customHeight="1">
      <c r="A298" s="9" t="s">
        <v>133</v>
      </c>
      <c r="B298" s="9" t="s">
        <v>45</v>
      </c>
      <c r="C298" s="15"/>
      <c r="D298" s="16" t="str">
        <f>IFERROR(INDEX(المواد!$B$2:$B$319,MATCH(B298,المواد!$A$2:$A$319,0)),"")</f>
        <v>كغ</v>
      </c>
      <c r="E298" s="9"/>
      <c r="F298" t="str">
        <f>IF(AND($A298&lt;&gt;"",COUNTIF($A$2:A298,$A298)=1),$A298,"")</f>
        <v/>
      </c>
      <c r="G298" t="str">
        <f>IF($F298&lt;&gt;"",SUMPRODUCT(($F$2:F298&lt;&gt;"")*1),"")</f>
        <v/>
      </c>
    </row>
    <row r="299" spans="1:7" ht="21.95" customHeight="1">
      <c r="A299" s="9" t="s">
        <v>133</v>
      </c>
      <c r="B299" s="9" t="s">
        <v>82</v>
      </c>
      <c r="C299" s="15">
        <v>975</v>
      </c>
      <c r="D299" s="16" t="str">
        <f>IFERROR(INDEX(المواد!$B$2:$B$319,MATCH(B299,المواد!$A$2:$A$319,0)),"")</f>
        <v>كغ</v>
      </c>
      <c r="E299" s="9"/>
      <c r="F299" t="str">
        <f>IF(AND($A299&lt;&gt;"",COUNTIF($A$2:A299,$A299)=1),$A299,"")</f>
        <v/>
      </c>
      <c r="G299" t="str">
        <f>IF($F299&lt;&gt;"",SUMPRODUCT(($F$2:F299&lt;&gt;"")*1),"")</f>
        <v/>
      </c>
    </row>
    <row r="300" spans="1:7" ht="21.95" customHeight="1">
      <c r="A300" s="9" t="s">
        <v>133</v>
      </c>
      <c r="B300" s="9" t="s">
        <v>66</v>
      </c>
      <c r="C300" s="15">
        <v>10</v>
      </c>
      <c r="D300" s="16" t="str">
        <f>IFERROR(INDEX(المواد!$B$2:$B$319,MATCH(B300,المواد!$A$2:$A$319,0)),"")</f>
        <v>كغ</v>
      </c>
      <c r="E300" s="9" t="s">
        <v>134</v>
      </c>
      <c r="F300" t="str">
        <f>IF(AND($A300&lt;&gt;"",COUNTIF($A$2:A300,$A300)=1),$A300,"")</f>
        <v/>
      </c>
      <c r="G300" t="str">
        <f>IF($F300&lt;&gt;"",SUMPRODUCT(($F$2:F300&lt;&gt;"")*1),"")</f>
        <v/>
      </c>
    </row>
    <row r="301" spans="1:7" ht="21.95" customHeight="1">
      <c r="A301" s="9" t="s">
        <v>133</v>
      </c>
      <c r="B301" s="9" t="s">
        <v>65</v>
      </c>
      <c r="C301" s="15">
        <v>10</v>
      </c>
      <c r="D301" s="16" t="str">
        <f>IFERROR(INDEX(المواد!$B$2:$B$319,MATCH(B301,المواد!$A$2:$A$319,0)),"")</f>
        <v>كغ</v>
      </c>
      <c r="E301" s="9" t="s">
        <v>134</v>
      </c>
      <c r="F301" t="str">
        <f>IF(AND($A301&lt;&gt;"",COUNTIF($A$2:A301,$A301)=1),$A301,"")</f>
        <v/>
      </c>
      <c r="G301" t="str">
        <f>IF($F301&lt;&gt;"",SUMPRODUCT(($F$2:F301&lt;&gt;"")*1),"")</f>
        <v/>
      </c>
    </row>
    <row r="302" spans="1:7" ht="21.95" customHeight="1">
      <c r="A302" s="9" t="s">
        <v>135</v>
      </c>
      <c r="B302" s="9" t="s">
        <v>37</v>
      </c>
      <c r="C302" s="15">
        <v>5</v>
      </c>
      <c r="D302" s="16" t="str">
        <f>IFERROR(INDEX(المواد!$B$2:$B$319,MATCH(B302,المواد!$A$2:$A$319,0)),"")</f>
        <v>كغ</v>
      </c>
      <c r="E302" s="9"/>
      <c r="F302" t="str">
        <f>IF(AND($A302&lt;&gt;"",COUNTIF($A$2:A302,$A302)=1),$A302,"")</f>
        <v>معطر ارضيات ازرق - نسيم المحيط</v>
      </c>
      <c r="G302">
        <f>IF($F302&lt;&gt;"",SUMPRODUCT(($F$2:F302&lt;&gt;"")*1),"")</f>
        <v>35</v>
      </c>
    </row>
    <row r="303" spans="1:7" ht="21.95" customHeight="1">
      <c r="A303" s="9" t="s">
        <v>135</v>
      </c>
      <c r="B303" s="9" t="s">
        <v>212</v>
      </c>
      <c r="C303" s="15">
        <v>0.3</v>
      </c>
      <c r="D303" s="16" t="str">
        <f>IFERROR(INDEX(المواد!$B$2:$B$319,MATCH(B303,المواد!$A$2:$A$319,0)),"")</f>
        <v>كغ</v>
      </c>
      <c r="E303" s="9"/>
      <c r="F303" t="str">
        <f>IF(AND($A303&lt;&gt;"",COUNTIF($A$2:A303,$A303)=1),$A303,"")</f>
        <v/>
      </c>
      <c r="G303" t="str">
        <f>IF($F303&lt;&gt;"",SUMPRODUCT(($F$2:F303&lt;&gt;"")*1),"")</f>
        <v/>
      </c>
    </row>
    <row r="304" spans="1:7" ht="21.95" customHeight="1">
      <c r="A304" s="9" t="s">
        <v>135</v>
      </c>
      <c r="B304" s="9" t="s">
        <v>45</v>
      </c>
      <c r="C304" s="15"/>
      <c r="D304" s="16" t="str">
        <f>IFERROR(INDEX(المواد!$B$2:$B$319,MATCH(B304,المواد!$A$2:$A$319,0)),"")</f>
        <v>كغ</v>
      </c>
      <c r="E304" s="9"/>
      <c r="F304" t="str">
        <f>IF(AND($A304&lt;&gt;"",COUNTIF($A$2:A304,$A304)=1),$A304,"")</f>
        <v/>
      </c>
      <c r="G304" t="str">
        <f>IF($F304&lt;&gt;"",SUMPRODUCT(($F$2:F304&lt;&gt;"")*1),"")</f>
        <v/>
      </c>
    </row>
    <row r="305" spans="1:7" ht="21.95" customHeight="1">
      <c r="A305" s="9" t="s">
        <v>135</v>
      </c>
      <c r="B305" s="9" t="s">
        <v>82</v>
      </c>
      <c r="C305" s="15">
        <v>975</v>
      </c>
      <c r="D305" s="16" t="s">
        <v>28</v>
      </c>
      <c r="E305" s="9"/>
      <c r="F305" t="str">
        <f>IF(AND($A305&lt;&gt;"",COUNTIF($A$2:A305,$A305)=1),$A305,"")</f>
        <v/>
      </c>
      <c r="G305" t="str">
        <f>IF($F305&lt;&gt;"",SUMPRODUCT(($F$2:F305&lt;&gt;"")*1),"")</f>
        <v/>
      </c>
    </row>
    <row r="306" spans="1:7" ht="21.95" customHeight="1">
      <c r="A306" s="9" t="s">
        <v>135</v>
      </c>
      <c r="B306" s="9" t="s">
        <v>66</v>
      </c>
      <c r="C306" s="15">
        <v>10</v>
      </c>
      <c r="D306" s="16" t="s">
        <v>28</v>
      </c>
      <c r="E306" s="9" t="s">
        <v>136</v>
      </c>
      <c r="F306" t="str">
        <f>IF(AND($A306&lt;&gt;"",COUNTIF($A$2:A306,$A306)=1),$A306,"")</f>
        <v/>
      </c>
      <c r="G306" t="str">
        <f>IF($F306&lt;&gt;"",SUMPRODUCT(($F$2:F306&lt;&gt;"")*1),"")</f>
        <v/>
      </c>
    </row>
    <row r="307" spans="1:7" ht="21.95" customHeight="1">
      <c r="A307" s="9" t="s">
        <v>135</v>
      </c>
      <c r="B307" s="9" t="s">
        <v>213</v>
      </c>
      <c r="C307" s="15">
        <v>10</v>
      </c>
      <c r="D307" s="16" t="s">
        <v>28</v>
      </c>
      <c r="E307" s="9" t="s">
        <v>136</v>
      </c>
      <c r="F307" t="str">
        <f>IF(AND($A307&lt;&gt;"",COUNTIF($A$2:A307,$A307)=1),$A307,"")</f>
        <v/>
      </c>
      <c r="G307" t="str">
        <f>IF($F307&lt;&gt;"",SUMPRODUCT(($F$2:F307&lt;&gt;"")*1),"")</f>
        <v/>
      </c>
    </row>
    <row r="308" spans="1:7" ht="21.95" customHeight="1">
      <c r="A308" s="9" t="s">
        <v>137</v>
      </c>
      <c r="B308" s="9" t="s">
        <v>37</v>
      </c>
      <c r="C308" s="15">
        <v>5</v>
      </c>
      <c r="D308" s="16" t="str">
        <f>IFERROR(INDEX(المواد!$B$2:$B$319,MATCH(B308,المواد!$A$2:$A$319,0)),"")</f>
        <v>كغ</v>
      </c>
      <c r="E308" s="9"/>
      <c r="F308" t="str">
        <f>IF(AND($A308&lt;&gt;"",COUNTIF($A$2:A308,$A308)=1),$A308,"")</f>
        <v>معطر ارضيات الليمون المنعش</v>
      </c>
      <c r="G308">
        <f>IF($F308&lt;&gt;"",SUMPRODUCT(($F$2:F308&lt;&gt;"")*1),"")</f>
        <v>36</v>
      </c>
    </row>
    <row r="309" spans="1:7" ht="21.95" customHeight="1">
      <c r="A309" s="9" t="s">
        <v>137</v>
      </c>
      <c r="B309" s="9" t="s">
        <v>212</v>
      </c>
      <c r="C309" s="15">
        <v>0.3</v>
      </c>
      <c r="D309" s="16" t="s">
        <v>28</v>
      </c>
      <c r="E309" s="9"/>
      <c r="F309" t="str">
        <f>IF(AND($A309&lt;&gt;"",COUNTIF($A$2:A309,$A309)=1),$A309,"")</f>
        <v/>
      </c>
      <c r="G309" t="str">
        <f>IF($F309&lt;&gt;"",SUMPRODUCT(($F$2:F309&lt;&gt;"")*1),"")</f>
        <v/>
      </c>
    </row>
    <row r="310" spans="1:7" ht="21.95" customHeight="1">
      <c r="A310" s="9" t="s">
        <v>137</v>
      </c>
      <c r="B310" s="9" t="s">
        <v>45</v>
      </c>
      <c r="C310" s="15"/>
      <c r="D310" s="16" t="s">
        <v>28</v>
      </c>
      <c r="E310" s="9"/>
      <c r="F310" t="str">
        <f>IF(AND($A310&lt;&gt;"",COUNTIF($A$2:A310,$A310)=1),$A310,"")</f>
        <v/>
      </c>
      <c r="G310" t="str">
        <f>IF($F310&lt;&gt;"",SUMPRODUCT(($F$2:F310&lt;&gt;"")*1),"")</f>
        <v/>
      </c>
    </row>
    <row r="311" spans="1:7" ht="21.95" customHeight="1">
      <c r="A311" s="9" t="s">
        <v>137</v>
      </c>
      <c r="B311" s="9" t="s">
        <v>82</v>
      </c>
      <c r="C311" s="15">
        <v>975</v>
      </c>
      <c r="D311" s="16" t="s">
        <v>28</v>
      </c>
      <c r="E311" s="9"/>
      <c r="F311" t="str">
        <f>IF(AND($A311&lt;&gt;"",COUNTIF($A$2:A311,$A311)=1),$A311,"")</f>
        <v/>
      </c>
      <c r="G311" t="str">
        <f>IF($F311&lt;&gt;"",SUMPRODUCT(($F$2:F311&lt;&gt;"")*1),"")</f>
        <v/>
      </c>
    </row>
    <row r="312" spans="1:7" ht="21.95" customHeight="1">
      <c r="A312" s="9" t="s">
        <v>137</v>
      </c>
      <c r="B312" s="9" t="s">
        <v>66</v>
      </c>
      <c r="C312" s="15">
        <v>10</v>
      </c>
      <c r="D312" s="16" t="s">
        <v>28</v>
      </c>
      <c r="E312" s="9" t="s">
        <v>66</v>
      </c>
      <c r="F312" t="str">
        <f>IF(AND($A312&lt;&gt;"",COUNTIF($A$2:A312,$A312)=1),$A312,"")</f>
        <v/>
      </c>
      <c r="G312" t="str">
        <f>IF($F312&lt;&gt;"",SUMPRODUCT(($F$2:F312&lt;&gt;"")*1),"")</f>
        <v/>
      </c>
    </row>
    <row r="313" spans="1:7" ht="21.95" customHeight="1">
      <c r="A313" s="9" t="s">
        <v>137</v>
      </c>
      <c r="B313" s="9" t="s">
        <v>73</v>
      </c>
      <c r="C313" s="15">
        <v>10</v>
      </c>
      <c r="D313" s="16" t="s">
        <v>28</v>
      </c>
      <c r="E313" s="9" t="s">
        <v>130</v>
      </c>
      <c r="F313" t="str">
        <f>IF(AND($A313&lt;&gt;"",COUNTIF($A$2:A313,$A313)=1),$A313,"")</f>
        <v/>
      </c>
      <c r="G313" t="str">
        <f>IF($F313&lt;&gt;"",SUMPRODUCT(($F$2:F313&lt;&gt;"")*1),"")</f>
        <v/>
      </c>
    </row>
    <row r="314" spans="1:7" ht="21.95" customHeight="1">
      <c r="A314" s="9" t="s">
        <v>138</v>
      </c>
      <c r="B314" s="9" t="s">
        <v>37</v>
      </c>
      <c r="C314" s="15">
        <v>5</v>
      </c>
      <c r="D314" s="16" t="str">
        <f>IFERROR(INDEX(المواد!$B$2:$B$319,MATCH(B314,المواد!$A$2:$A$319,0)),"")</f>
        <v>كغ</v>
      </c>
      <c r="E314" s="9"/>
      <c r="F314" t="str">
        <f>IF(AND($A314&lt;&gt;"",COUNTIF($A$2:A314,$A314)=1),$A314,"")</f>
        <v>معطر ارضيات ببوري</v>
      </c>
      <c r="G314">
        <f>IF($F314&lt;&gt;"",SUMPRODUCT(($F$2:F314&lt;&gt;"")*1),"")</f>
        <v>37</v>
      </c>
    </row>
    <row r="315" spans="1:7" ht="21.95" customHeight="1">
      <c r="A315" s="9" t="s">
        <v>138</v>
      </c>
      <c r="B315" s="9" t="s">
        <v>212</v>
      </c>
      <c r="C315" s="15">
        <v>0.3</v>
      </c>
      <c r="D315" s="16" t="s">
        <v>28</v>
      </c>
      <c r="E315" s="9"/>
      <c r="F315" t="str">
        <f>IF(AND($A315&lt;&gt;"",COUNTIF($A$2:A315,$A315)=1),$A315,"")</f>
        <v/>
      </c>
      <c r="G315" t="str">
        <f>IF($F315&lt;&gt;"",SUMPRODUCT(($F$2:F315&lt;&gt;"")*1),"")</f>
        <v/>
      </c>
    </row>
    <row r="316" spans="1:7" ht="21.95" customHeight="1">
      <c r="A316" s="9" t="s">
        <v>138</v>
      </c>
      <c r="B316" s="9" t="s">
        <v>45</v>
      </c>
      <c r="C316" s="15"/>
      <c r="D316" s="16" t="s">
        <v>28</v>
      </c>
      <c r="E316" s="9"/>
      <c r="F316" t="str">
        <f>IF(AND($A316&lt;&gt;"",COUNTIF($A$2:A316,$A316)=1),$A316,"")</f>
        <v/>
      </c>
      <c r="G316" t="str">
        <f>IF($F316&lt;&gt;"",SUMPRODUCT(($F$2:F316&lt;&gt;"")*1),"")</f>
        <v/>
      </c>
    </row>
    <row r="317" spans="1:7" ht="21.95" customHeight="1">
      <c r="A317" s="9" t="s">
        <v>138</v>
      </c>
      <c r="B317" s="9" t="s">
        <v>82</v>
      </c>
      <c r="C317" s="15">
        <v>975</v>
      </c>
      <c r="D317" s="16" t="s">
        <v>28</v>
      </c>
      <c r="E317" s="9"/>
      <c r="F317" t="str">
        <f>IF(AND($A317&lt;&gt;"",COUNTIF($A$2:A317,$A317)=1),$A317,"")</f>
        <v/>
      </c>
      <c r="G317" t="str">
        <f>IF($F317&lt;&gt;"",SUMPRODUCT(($F$2:F317&lt;&gt;"")*1),"")</f>
        <v/>
      </c>
    </row>
    <row r="318" spans="1:7" ht="21.95" customHeight="1">
      <c r="A318" s="9" t="s">
        <v>138</v>
      </c>
      <c r="B318" s="9" t="s">
        <v>66</v>
      </c>
      <c r="C318" s="15">
        <v>20</v>
      </c>
      <c r="D318" s="16" t="s">
        <v>28</v>
      </c>
      <c r="E318" s="9" t="s">
        <v>139</v>
      </c>
      <c r="F318" t="str">
        <f>IF(AND($A318&lt;&gt;"",COUNTIF($A$2:A318,$A318)=1),$A318,"")</f>
        <v/>
      </c>
      <c r="G318" t="str">
        <f>IF($F318&lt;&gt;"",SUMPRODUCT(($F$2:F318&lt;&gt;"")*1),"")</f>
        <v/>
      </c>
    </row>
    <row r="319" spans="1:7" ht="21.95" customHeight="1">
      <c r="A319" s="9" t="s">
        <v>140</v>
      </c>
      <c r="B319" s="9" t="s">
        <v>37</v>
      </c>
      <c r="C319" s="15">
        <v>5</v>
      </c>
      <c r="D319" s="16" t="s">
        <v>28</v>
      </c>
      <c r="E319" s="9"/>
      <c r="F319" t="str">
        <f>IF(AND($A319&lt;&gt;"",COUNTIF($A$2:A319,$A319)=1),$A319,"")</f>
        <v>معطر ارضيات رائحة الجوري</v>
      </c>
      <c r="G319">
        <f>IF($F319&lt;&gt;"",SUMPRODUCT(($F$2:F319&lt;&gt;"")*1),"")</f>
        <v>38</v>
      </c>
    </row>
    <row r="320" spans="1:7" ht="21.95" customHeight="1">
      <c r="A320" s="9" t="s">
        <v>140</v>
      </c>
      <c r="B320" s="9" t="s">
        <v>212</v>
      </c>
      <c r="C320" s="15">
        <v>0.3</v>
      </c>
      <c r="D320" s="16" t="s">
        <v>28</v>
      </c>
      <c r="E320" s="9"/>
      <c r="F320" t="str">
        <f>IF(AND($A320&lt;&gt;"",COUNTIF($A$2:A320,$A320)=1),$A320,"")</f>
        <v/>
      </c>
      <c r="G320" t="str">
        <f>IF($F320&lt;&gt;"",SUMPRODUCT(($F$2:F320&lt;&gt;"")*1),"")</f>
        <v/>
      </c>
    </row>
    <row r="321" spans="1:7" ht="21.95" customHeight="1">
      <c r="A321" s="9" t="s">
        <v>140</v>
      </c>
      <c r="B321" s="9" t="s">
        <v>45</v>
      </c>
      <c r="C321" s="15"/>
      <c r="D321" s="16" t="s">
        <v>28</v>
      </c>
      <c r="E321" s="9"/>
      <c r="F321" t="str">
        <f>IF(AND($A321&lt;&gt;"",COUNTIF($A$2:A321,$A321)=1),$A321,"")</f>
        <v/>
      </c>
      <c r="G321" t="str">
        <f>IF($F321&lt;&gt;"",SUMPRODUCT(($F$2:F321&lt;&gt;"")*1),"")</f>
        <v/>
      </c>
    </row>
    <row r="322" spans="1:7" ht="21.95" customHeight="1">
      <c r="A322" s="9" t="s">
        <v>140</v>
      </c>
      <c r="B322" s="9" t="s">
        <v>82</v>
      </c>
      <c r="C322" s="15">
        <v>975</v>
      </c>
      <c r="D322" s="16" t="s">
        <v>28</v>
      </c>
      <c r="E322" s="9"/>
      <c r="F322" t="str">
        <f>IF(AND($A322&lt;&gt;"",COUNTIF($A$2:A322,$A322)=1),$A322,"")</f>
        <v/>
      </c>
      <c r="G322" t="str">
        <f>IF($F322&lt;&gt;"",SUMPRODUCT(($F$2:F322&lt;&gt;"")*1),"")</f>
        <v/>
      </c>
    </row>
    <row r="323" spans="1:7" ht="21.95" customHeight="1">
      <c r="A323" s="9" t="s">
        <v>140</v>
      </c>
      <c r="B323" s="9" t="s">
        <v>66</v>
      </c>
      <c r="C323" s="15">
        <v>10</v>
      </c>
      <c r="D323" s="16" t="s">
        <v>28</v>
      </c>
      <c r="E323" s="9" t="s">
        <v>66</v>
      </c>
      <c r="F323" t="str">
        <f>IF(AND($A323&lt;&gt;"",COUNTIF($A$2:A323,$A323)=1),$A323,"")</f>
        <v/>
      </c>
      <c r="G323" t="str">
        <f>IF($F323&lt;&gt;"",SUMPRODUCT(($F$2:F323&lt;&gt;"")*1),"")</f>
        <v/>
      </c>
    </row>
    <row r="324" spans="1:7" ht="21.95" customHeight="1">
      <c r="A324" s="9" t="s">
        <v>140</v>
      </c>
      <c r="B324" s="9" t="s">
        <v>70</v>
      </c>
      <c r="C324" s="15">
        <v>10</v>
      </c>
      <c r="D324" s="16" t="s">
        <v>28</v>
      </c>
      <c r="E324" s="9" t="s">
        <v>141</v>
      </c>
      <c r="F324" t="str">
        <f>IF(AND($A324&lt;&gt;"",COUNTIF($A$2:A324,$A324)=1),$A324,"")</f>
        <v/>
      </c>
      <c r="G324" t="str">
        <f>IF($F324&lt;&gt;"",SUMPRODUCT(($F$2:F324&lt;&gt;"")*1),"")</f>
        <v/>
      </c>
    </row>
    <row r="325" spans="1:7" ht="21.95" customHeight="1">
      <c r="A325" s="9" t="s">
        <v>142</v>
      </c>
      <c r="B325" s="9" t="s">
        <v>37</v>
      </c>
      <c r="C325" s="15">
        <v>5</v>
      </c>
      <c r="D325" s="16" t="str">
        <f>IFERROR(INDEX(المواد!$B$2:$B$319,MATCH(B325,المواد!$A$2:$A$319,0)),"")</f>
        <v>كغ</v>
      </c>
      <c r="E325" s="9"/>
      <c r="F325" t="str">
        <f>IF(AND($A325&lt;&gt;"",COUNTIF($A$2:A325,$A325)=1),$A325,"")</f>
        <v>معطر ارضيات زهرة التوليب</v>
      </c>
      <c r="G325">
        <f>IF($F325&lt;&gt;"",SUMPRODUCT(($F$2:F325&lt;&gt;"")*1),"")</f>
        <v>39</v>
      </c>
    </row>
    <row r="326" spans="1:7" ht="21.95" customHeight="1">
      <c r="A326" s="9" t="s">
        <v>142</v>
      </c>
      <c r="B326" s="9" t="s">
        <v>212</v>
      </c>
      <c r="C326" s="15">
        <v>0.3</v>
      </c>
      <c r="D326" s="16" t="s">
        <v>28</v>
      </c>
      <c r="E326" s="9"/>
      <c r="F326" t="str">
        <f>IF(AND($A326&lt;&gt;"",COUNTIF($A$2:A326,$A326)=1),$A326,"")</f>
        <v/>
      </c>
      <c r="G326" t="str">
        <f>IF($F326&lt;&gt;"",SUMPRODUCT(($F$2:F326&lt;&gt;"")*1),"")</f>
        <v/>
      </c>
    </row>
    <row r="327" spans="1:7" ht="21.95" customHeight="1">
      <c r="A327" s="9" t="s">
        <v>142</v>
      </c>
      <c r="B327" s="9" t="s">
        <v>45</v>
      </c>
      <c r="C327" s="15"/>
      <c r="D327" s="16" t="s">
        <v>28</v>
      </c>
      <c r="E327" s="9"/>
      <c r="F327" t="str">
        <f>IF(AND($A327&lt;&gt;"",COUNTIF($A$2:A327,$A327)=1),$A327,"")</f>
        <v/>
      </c>
      <c r="G327" t="str">
        <f>IF($F327&lt;&gt;"",SUMPRODUCT(($F$2:F327&lt;&gt;"")*1),"")</f>
        <v/>
      </c>
    </row>
    <row r="328" spans="1:7" ht="21.95" customHeight="1">
      <c r="A328" s="9" t="s">
        <v>142</v>
      </c>
      <c r="B328" s="9" t="s">
        <v>82</v>
      </c>
      <c r="C328" s="15">
        <v>975</v>
      </c>
      <c r="D328" s="16" t="s">
        <v>28</v>
      </c>
      <c r="E328" s="9"/>
      <c r="F328" t="str">
        <f>IF(AND($A328&lt;&gt;"",COUNTIF($A$2:A328,$A328)=1),$A328,"")</f>
        <v/>
      </c>
      <c r="G328" t="str">
        <f>IF($F328&lt;&gt;"",SUMPRODUCT(($F$2:F328&lt;&gt;"")*1),"")</f>
        <v/>
      </c>
    </row>
    <row r="329" spans="1:7" ht="21.95" customHeight="1">
      <c r="A329" s="9" t="s">
        <v>142</v>
      </c>
      <c r="B329" s="9" t="s">
        <v>66</v>
      </c>
      <c r="C329" s="15">
        <v>10</v>
      </c>
      <c r="D329" s="16" t="s">
        <v>28</v>
      </c>
      <c r="E329" s="9" t="s">
        <v>66</v>
      </c>
      <c r="F329" t="str">
        <f>IF(AND($A329&lt;&gt;"",COUNTIF($A$2:A329,$A329)=1),$A329,"")</f>
        <v/>
      </c>
      <c r="G329" t="str">
        <f>IF($F329&lt;&gt;"",SUMPRODUCT(($F$2:F329&lt;&gt;"")*1),"")</f>
        <v/>
      </c>
    </row>
    <row r="330" spans="1:7" ht="21.95" customHeight="1">
      <c r="A330" s="9" t="s">
        <v>142</v>
      </c>
      <c r="B330" s="9" t="s">
        <v>68</v>
      </c>
      <c r="C330" s="15">
        <v>10</v>
      </c>
      <c r="D330" s="16" t="s">
        <v>28</v>
      </c>
      <c r="E330" s="9" t="s">
        <v>143</v>
      </c>
      <c r="F330" t="str">
        <f>IF(AND($A330&lt;&gt;"",COUNTIF($A$2:A330,$A330)=1),$A330,"")</f>
        <v/>
      </c>
      <c r="G330" t="str">
        <f>IF($F330&lt;&gt;"",SUMPRODUCT(($F$2:F330&lt;&gt;"")*1),"")</f>
        <v/>
      </c>
    </row>
    <row r="331" spans="1:7" ht="21.95" customHeight="1">
      <c r="A331" s="9" t="s">
        <v>144</v>
      </c>
      <c r="B331" s="9" t="s">
        <v>37</v>
      </c>
      <c r="C331" s="15">
        <v>5</v>
      </c>
      <c r="D331" s="16" t="s">
        <v>28</v>
      </c>
      <c r="E331" s="9"/>
      <c r="F331" t="str">
        <f>IF(AND($A331&lt;&gt;"",COUNTIF($A$2:A331,$A331)=1),$A331,"")</f>
        <v>معطر ارضيات موف او ليلك</v>
      </c>
      <c r="G331">
        <f>IF($F331&lt;&gt;"",SUMPRODUCT(($F$2:F331&lt;&gt;"")*1),"")</f>
        <v>40</v>
      </c>
    </row>
    <row r="332" spans="1:7" ht="21.95" customHeight="1">
      <c r="A332" s="9" t="s">
        <v>144</v>
      </c>
      <c r="B332" s="9" t="s">
        <v>212</v>
      </c>
      <c r="C332" s="15">
        <v>0.3</v>
      </c>
      <c r="D332" s="16" t="s">
        <v>28</v>
      </c>
      <c r="E332" s="9"/>
      <c r="F332" t="str">
        <f>IF(AND($A332&lt;&gt;"",COUNTIF($A$2:A332,$A332)=1),$A332,"")</f>
        <v/>
      </c>
      <c r="G332" t="str">
        <f>IF($F332&lt;&gt;"",SUMPRODUCT(($F$2:F332&lt;&gt;"")*1),"")</f>
        <v/>
      </c>
    </row>
    <row r="333" spans="1:7" ht="21.95" customHeight="1">
      <c r="A333" s="9" t="s">
        <v>144</v>
      </c>
      <c r="B333" s="9" t="s">
        <v>45</v>
      </c>
      <c r="C333" s="15"/>
      <c r="D333" s="16" t="s">
        <v>28</v>
      </c>
      <c r="E333" s="9"/>
      <c r="F333" t="str">
        <f>IF(AND($A333&lt;&gt;"",COUNTIF($A$2:A333,$A333)=1),$A333,"")</f>
        <v/>
      </c>
      <c r="G333" t="str">
        <f>IF($F333&lt;&gt;"",SUMPRODUCT(($F$2:F333&lt;&gt;"")*1),"")</f>
        <v/>
      </c>
    </row>
    <row r="334" spans="1:7" ht="21.95" customHeight="1">
      <c r="A334" s="9" t="s">
        <v>144</v>
      </c>
      <c r="B334" s="9" t="s">
        <v>82</v>
      </c>
      <c r="C334" s="15">
        <v>975</v>
      </c>
      <c r="D334" s="16" t="s">
        <v>28</v>
      </c>
      <c r="E334" s="9"/>
      <c r="F334" t="str">
        <f>IF(AND($A334&lt;&gt;"",COUNTIF($A$2:A334,$A334)=1),$A334,"")</f>
        <v/>
      </c>
      <c r="G334" t="str">
        <f>IF($F334&lt;&gt;"",SUMPRODUCT(($F$2:F334&lt;&gt;"")*1),"")</f>
        <v/>
      </c>
    </row>
    <row r="335" spans="1:7" ht="21.95" customHeight="1">
      <c r="A335" s="9" t="s">
        <v>144</v>
      </c>
      <c r="B335" s="9" t="s">
        <v>66</v>
      </c>
      <c r="C335" s="15">
        <v>10</v>
      </c>
      <c r="D335" s="16" t="s">
        <v>28</v>
      </c>
      <c r="E335" s="9" t="s">
        <v>66</v>
      </c>
      <c r="F335" t="str">
        <f>IF(AND($A335&lt;&gt;"",COUNTIF($A$2:A335,$A335)=1),$A335,"")</f>
        <v/>
      </c>
      <c r="G335" t="str">
        <f>IF($F335&lt;&gt;"",SUMPRODUCT(($F$2:F335&lt;&gt;"")*1),"")</f>
        <v/>
      </c>
    </row>
    <row r="336" spans="1:7" ht="21.95" customHeight="1">
      <c r="A336" s="9" t="s">
        <v>144</v>
      </c>
      <c r="B336" s="9" t="s">
        <v>55</v>
      </c>
      <c r="C336" s="15">
        <v>10</v>
      </c>
      <c r="D336" s="16" t="s">
        <v>28</v>
      </c>
      <c r="E336" s="9" t="s">
        <v>145</v>
      </c>
      <c r="F336" t="str">
        <f>IF(AND($A336&lt;&gt;"",COUNTIF($A$2:A336,$A336)=1),$A336,"")</f>
        <v/>
      </c>
      <c r="G336" t="str">
        <f>IF($F336&lt;&gt;"",SUMPRODUCT(($F$2:F336&lt;&gt;"")*1),"")</f>
        <v/>
      </c>
    </row>
    <row r="337" spans="1:7" ht="21.95" customHeight="1">
      <c r="A337" s="9" t="s">
        <v>146</v>
      </c>
      <c r="B337" s="9" t="s">
        <v>74</v>
      </c>
      <c r="C337" s="15">
        <v>300</v>
      </c>
      <c r="D337" s="16" t="str">
        <f>IFERROR(INDEX(المواد!$B$2:$B$319,MATCH(B337,المواد!$A$2:$A$319,0)),"")</f>
        <v>كغ</v>
      </c>
      <c r="E337" s="9"/>
      <c r="F337" t="str">
        <f>IF(AND($A337&lt;&gt;"",COUNTIF($A$2:A337,$A337)=1),$A337,"")</f>
        <v>ملمع دواليب</v>
      </c>
      <c r="G337">
        <f>IF($F337&lt;&gt;"",SUMPRODUCT(($F$2:F337&lt;&gt;"")*1),"")</f>
        <v>41</v>
      </c>
    </row>
    <row r="338" spans="1:7" ht="21.95" customHeight="1">
      <c r="A338" s="9" t="s">
        <v>146</v>
      </c>
      <c r="B338" s="9" t="s">
        <v>47</v>
      </c>
      <c r="C338" s="15">
        <v>0.2</v>
      </c>
      <c r="D338" s="16" t="s">
        <v>28</v>
      </c>
      <c r="E338" s="9" t="s">
        <v>147</v>
      </c>
      <c r="F338" t="str">
        <f>IF(AND($A338&lt;&gt;"",COUNTIF($A$2:A338,$A338)=1),$A338,"")</f>
        <v/>
      </c>
      <c r="G338" t="str">
        <f>IF($F338&lt;&gt;"",SUMPRODUCT(($F$2:F338&lt;&gt;"")*1),"")</f>
        <v/>
      </c>
    </row>
    <row r="339" spans="1:7" ht="21.95" customHeight="1">
      <c r="A339" s="9" t="s">
        <v>146</v>
      </c>
      <c r="B339" s="9" t="s">
        <v>212</v>
      </c>
      <c r="C339" s="15">
        <v>1</v>
      </c>
      <c r="D339" s="16" t="s">
        <v>28</v>
      </c>
      <c r="E339" s="9"/>
      <c r="F339" t="str">
        <f>IF(AND($A339&lt;&gt;"",COUNTIF($A$2:A339,$A339)=1),$A339,"")</f>
        <v/>
      </c>
      <c r="G339" t="str">
        <f>IF($F339&lt;&gt;"",SUMPRODUCT(($F$2:F339&lt;&gt;"")*1),"")</f>
        <v/>
      </c>
    </row>
    <row r="340" spans="1:7" ht="21.95" customHeight="1">
      <c r="A340" s="9" t="s">
        <v>146</v>
      </c>
      <c r="B340" s="9" t="s">
        <v>82</v>
      </c>
      <c r="C340" s="15">
        <v>700</v>
      </c>
      <c r="D340" s="16" t="s">
        <v>28</v>
      </c>
      <c r="E340" s="9"/>
      <c r="F340" t="str">
        <f>IF(AND($A340&lt;&gt;"",COUNTIF($A$2:A340,$A340)=1),$A340,"")</f>
        <v/>
      </c>
      <c r="G340" t="str">
        <f>IF($F340&lt;&gt;"",SUMPRODUCT(($F$2:F340&lt;&gt;"")*1),"")</f>
        <v/>
      </c>
    </row>
    <row r="341" spans="1:7" ht="21.95" customHeight="1">
      <c r="A341" s="9" t="s">
        <v>148</v>
      </c>
      <c r="B341" s="9" t="s">
        <v>82</v>
      </c>
      <c r="C341" s="15">
        <v>878</v>
      </c>
      <c r="D341" s="16" t="s">
        <v>28</v>
      </c>
      <c r="E341" s="9"/>
      <c r="F341" t="str">
        <f>IF(AND($A341&lt;&gt;"",COUNTIF($A$2:A341,$A341)=1),$A341,"")</f>
        <v>ملمع زجاج 1000 كغ</v>
      </c>
      <c r="G341">
        <f>IF($F341&lt;&gt;"",SUMPRODUCT(($F$2:F341&lt;&gt;"")*1),"")</f>
        <v>42</v>
      </c>
    </row>
    <row r="342" spans="1:7" ht="21.95" customHeight="1">
      <c r="A342" s="9" t="s">
        <v>148</v>
      </c>
      <c r="B342" s="9" t="s">
        <v>76</v>
      </c>
      <c r="C342" s="15">
        <v>100</v>
      </c>
      <c r="D342" s="16" t="s">
        <v>28</v>
      </c>
      <c r="E342" s="9"/>
      <c r="F342" t="str">
        <f>IF(AND($A342&lt;&gt;"",COUNTIF($A$2:A342,$A342)=1),$A342,"")</f>
        <v/>
      </c>
      <c r="G342" t="str">
        <f>IF($F342&lt;&gt;"",SUMPRODUCT(($F$2:F342&lt;&gt;"")*1),"")</f>
        <v/>
      </c>
    </row>
    <row r="343" spans="1:7" ht="21.95" customHeight="1">
      <c r="A343" s="9" t="s">
        <v>148</v>
      </c>
      <c r="B343" s="9" t="s">
        <v>35</v>
      </c>
      <c r="C343" s="15">
        <v>10</v>
      </c>
      <c r="D343" s="16" t="str">
        <f>IFERROR(INDEX(المواد!$B$2:$B$319,MATCH(B343,المواد!$A$2:$A$319,0)),"")</f>
        <v>كغ</v>
      </c>
      <c r="E343" s="9"/>
      <c r="F343" t="str">
        <f>IF(AND($A343&lt;&gt;"",COUNTIF($A$2:A343,$A343)=1),$A343,"")</f>
        <v/>
      </c>
      <c r="G343" t="str">
        <f>IF($F343&lt;&gt;"",SUMPRODUCT(($F$2:F343&lt;&gt;"")*1),"")</f>
        <v/>
      </c>
    </row>
    <row r="344" spans="1:7" ht="21.95" customHeight="1">
      <c r="A344" s="9" t="s">
        <v>148</v>
      </c>
      <c r="B344" s="9" t="s">
        <v>40</v>
      </c>
      <c r="C344" s="15">
        <v>2</v>
      </c>
      <c r="D344" s="16" t="str">
        <f>IFERROR(INDEX(المواد!$B$2:$B$319,MATCH(B344,المواد!$A$2:$A$319,0)),"")</f>
        <v>كغ</v>
      </c>
      <c r="E344" s="9"/>
      <c r="F344" t="str">
        <f>IF(AND($A344&lt;&gt;"",COUNTIF($A$2:A344,$A344)=1),$A344,"")</f>
        <v/>
      </c>
      <c r="G344" t="str">
        <f>IF($F344&lt;&gt;"",SUMPRODUCT(($F$2:F344&lt;&gt;"")*1),"")</f>
        <v/>
      </c>
    </row>
    <row r="345" spans="1:7" ht="21.95" customHeight="1">
      <c r="A345" s="9" t="s">
        <v>148</v>
      </c>
      <c r="B345" s="9" t="s">
        <v>38</v>
      </c>
      <c r="C345" s="15">
        <v>2</v>
      </c>
      <c r="D345" s="16" t="s">
        <v>28</v>
      </c>
      <c r="E345" s="9"/>
      <c r="F345" t="str">
        <f>IF(AND($A345&lt;&gt;"",COUNTIF($A$2:A345,$A345)=1),$A345,"")</f>
        <v/>
      </c>
      <c r="G345" t="str">
        <f>IF($F345&lt;&gt;"",SUMPRODUCT(($F$2:F345&lt;&gt;"")*1),"")</f>
        <v/>
      </c>
    </row>
    <row r="346" spans="1:7" ht="21.95" customHeight="1">
      <c r="A346" s="9" t="s">
        <v>148</v>
      </c>
      <c r="B346" s="9" t="s">
        <v>27</v>
      </c>
      <c r="C346" s="15">
        <v>2</v>
      </c>
      <c r="D346" s="16" t="s">
        <v>28</v>
      </c>
      <c r="E346" s="9"/>
      <c r="F346" t="str">
        <f>IF(AND($A346&lt;&gt;"",COUNTIF($A$2:A346,$A346)=1),$A346,"")</f>
        <v/>
      </c>
      <c r="G346" t="str">
        <f>IF($F346&lt;&gt;"",SUMPRODUCT(($F$2:F346&lt;&gt;"")*1),"")</f>
        <v/>
      </c>
    </row>
    <row r="347" spans="1:7" ht="21.95" customHeight="1">
      <c r="A347" s="9" t="s">
        <v>148</v>
      </c>
      <c r="B347" s="9" t="s">
        <v>29</v>
      </c>
      <c r="C347" s="15">
        <v>4</v>
      </c>
      <c r="D347" s="16" t="str">
        <f>IFERROR(INDEX(المواد!$B$2:$B$319,MATCH(B347,المواد!$A$2:$A$319,0)),"")</f>
        <v>كغ</v>
      </c>
      <c r="E347" s="9"/>
      <c r="F347" t="str">
        <f>IF(AND($A347&lt;&gt;"",COUNTIF($A$2:A347,$A347)=1),$A347,"")</f>
        <v/>
      </c>
      <c r="G347" t="str">
        <f>IF($F347&lt;&gt;"",SUMPRODUCT(($F$2:F347&lt;&gt;"")*1),"")</f>
        <v/>
      </c>
    </row>
    <row r="348" spans="1:7" ht="21.95" customHeight="1">
      <c r="A348" s="9" t="s">
        <v>148</v>
      </c>
      <c r="B348" s="9" t="s">
        <v>212</v>
      </c>
      <c r="C348" s="15">
        <v>2</v>
      </c>
      <c r="D348" s="16" t="s">
        <v>28</v>
      </c>
      <c r="E348" s="9"/>
      <c r="F348" t="str">
        <f>IF(AND($A348&lt;&gt;"",COUNTIF($A$2:A348,$A348)=1),$A348,"")</f>
        <v/>
      </c>
      <c r="G348" t="str">
        <f>IF($F348&lt;&gt;"",SUMPRODUCT(($F$2:F348&lt;&gt;"")*1),"")</f>
        <v/>
      </c>
    </row>
    <row r="349" spans="1:7" ht="21.95" customHeight="1">
      <c r="A349" s="9" t="s">
        <v>149</v>
      </c>
      <c r="B349" s="9" t="s">
        <v>82</v>
      </c>
      <c r="C349" s="15">
        <v>136</v>
      </c>
      <c r="D349" s="16" t="s">
        <v>28</v>
      </c>
      <c r="E349" s="9"/>
      <c r="F349" t="str">
        <f>IF(AND($A349&lt;&gt;"",COUNTIF($A$2:A349,$A349)=1),$A349,"")</f>
        <v>ملمع زجاج 150كغ</v>
      </c>
      <c r="G349">
        <f>IF($F349&lt;&gt;"",SUMPRODUCT(($F$2:F349&lt;&gt;"")*1),"")</f>
        <v>43</v>
      </c>
    </row>
    <row r="350" spans="1:7" ht="21.95" customHeight="1">
      <c r="A350" s="9" t="s">
        <v>149</v>
      </c>
      <c r="B350" s="9" t="s">
        <v>76</v>
      </c>
      <c r="C350" s="15">
        <v>15</v>
      </c>
      <c r="D350" s="16" t="s">
        <v>28</v>
      </c>
      <c r="E350" s="9"/>
      <c r="F350" t="str">
        <f>IF(AND($A350&lt;&gt;"",COUNTIF($A$2:A350,$A350)=1),$A350,"")</f>
        <v/>
      </c>
      <c r="G350" t="str">
        <f>IF($F350&lt;&gt;"",SUMPRODUCT(($F$2:F350&lt;&gt;"")*1),"")</f>
        <v/>
      </c>
    </row>
    <row r="351" spans="1:7" ht="21.95" customHeight="1">
      <c r="A351" s="9" t="s">
        <v>149</v>
      </c>
      <c r="B351" s="9" t="s">
        <v>35</v>
      </c>
      <c r="C351" s="15">
        <v>1.5</v>
      </c>
      <c r="D351" s="16" t="str">
        <f>IFERROR(INDEX(المواد!$B$2:$B$319,MATCH(B351,المواد!$A$2:$A$319,0)),"")</f>
        <v>كغ</v>
      </c>
      <c r="E351" s="9"/>
      <c r="F351" t="str">
        <f>IF(AND($A351&lt;&gt;"",COUNTIF($A$2:A351,$A351)=1),$A351,"")</f>
        <v/>
      </c>
      <c r="G351" t="str">
        <f>IF($F351&lt;&gt;"",SUMPRODUCT(($F$2:F351&lt;&gt;"")*1),"")</f>
        <v/>
      </c>
    </row>
    <row r="352" spans="1:7" ht="21.95" customHeight="1">
      <c r="A352" s="9" t="s">
        <v>149</v>
      </c>
      <c r="B352" s="9" t="s">
        <v>40</v>
      </c>
      <c r="C352" s="15">
        <v>0.3</v>
      </c>
      <c r="D352" s="16" t="str">
        <f>IFERROR(INDEX(المواد!$B$2:$B$319,MATCH(B352,المواد!$A$2:$A$319,0)),"")</f>
        <v>كغ</v>
      </c>
      <c r="E352" s="9"/>
      <c r="F352" t="str">
        <f>IF(AND($A352&lt;&gt;"",COUNTIF($A$2:A352,$A352)=1),$A352,"")</f>
        <v/>
      </c>
      <c r="G352" t="str">
        <f>IF($F352&lt;&gt;"",SUMPRODUCT(($F$2:F352&lt;&gt;"")*1),"")</f>
        <v/>
      </c>
    </row>
    <row r="353" spans="1:7" ht="21.95" customHeight="1">
      <c r="A353" s="9" t="s">
        <v>149</v>
      </c>
      <c r="B353" s="9" t="s">
        <v>38</v>
      </c>
      <c r="C353" s="15">
        <v>0.3</v>
      </c>
      <c r="D353" s="16" t="s">
        <v>28</v>
      </c>
      <c r="E353" s="9"/>
      <c r="F353" t="str">
        <f>IF(AND($A353&lt;&gt;"",COUNTIF($A$2:A353,$A353)=1),$A353,"")</f>
        <v/>
      </c>
      <c r="G353" t="str">
        <f>IF($F353&lt;&gt;"",SUMPRODUCT(($F$2:F353&lt;&gt;"")*1),"")</f>
        <v/>
      </c>
    </row>
    <row r="354" spans="1:7" ht="21.95" customHeight="1">
      <c r="A354" s="9" t="s">
        <v>149</v>
      </c>
      <c r="B354" s="9" t="s">
        <v>27</v>
      </c>
      <c r="C354" s="15">
        <v>0.3</v>
      </c>
      <c r="D354" s="16" t="str">
        <f>IFERROR(INDEX(المواد!$B$2:$B$319,MATCH(B354,المواد!$A$2:$A$319,0)),"")</f>
        <v>كغ</v>
      </c>
      <c r="E354" s="9"/>
      <c r="F354" t="str">
        <f>IF(AND($A354&lt;&gt;"",COUNTIF($A$2:A354,$A354)=1),$A354,"")</f>
        <v/>
      </c>
      <c r="G354" t="str">
        <f>IF($F354&lt;&gt;"",SUMPRODUCT(($F$2:F354&lt;&gt;"")*1),"")</f>
        <v/>
      </c>
    </row>
    <row r="355" spans="1:7" ht="21.95" customHeight="1">
      <c r="A355" s="9" t="s">
        <v>149</v>
      </c>
      <c r="B355" s="9" t="s">
        <v>29</v>
      </c>
      <c r="C355" s="15">
        <v>0.6</v>
      </c>
      <c r="D355" s="16" t="str">
        <f>IFERROR(INDEX(المواد!$B$2:$B$319,MATCH(B355,المواد!$A$2:$A$319,0)),"")</f>
        <v>كغ</v>
      </c>
      <c r="E355" s="9"/>
      <c r="F355" t="str">
        <f>IF(AND($A355&lt;&gt;"",COUNTIF($A$2:A355,$A355)=1),$A355,"")</f>
        <v/>
      </c>
      <c r="G355" t="str">
        <f>IF($F355&lt;&gt;"",SUMPRODUCT(($F$2:F355&lt;&gt;"")*1),"")</f>
        <v/>
      </c>
    </row>
    <row r="356" spans="1:7" ht="21.95" customHeight="1">
      <c r="A356" s="9" t="s">
        <v>149</v>
      </c>
      <c r="B356" s="9" t="s">
        <v>212</v>
      </c>
      <c r="C356" s="15">
        <v>0.3</v>
      </c>
      <c r="D356" s="16" t="s">
        <v>28</v>
      </c>
      <c r="E356" s="9"/>
      <c r="F356" t="str">
        <f>IF(AND($A356&lt;&gt;"",COUNTIF($A$2:A356,$A356)=1),$A356,"")</f>
        <v/>
      </c>
      <c r="G356" t="str">
        <f>IF($F356&lt;&gt;"",SUMPRODUCT(($F$2:F356&lt;&gt;"")*1),"")</f>
        <v/>
      </c>
    </row>
    <row r="357" spans="1:7" ht="21.95" customHeight="1">
      <c r="A357" s="9" t="s">
        <v>150</v>
      </c>
      <c r="B357" s="9" t="s">
        <v>82</v>
      </c>
      <c r="C357" s="15">
        <v>680</v>
      </c>
      <c r="D357" s="16" t="s">
        <v>28</v>
      </c>
      <c r="E357" s="9"/>
      <c r="F357" t="str">
        <f>IF(AND($A357&lt;&gt;"",COUNTIF($A$2:A357,$A357)=1),$A357,"")</f>
        <v>ملمع زجاج 750 كغ</v>
      </c>
      <c r="G357">
        <f>IF($F357&lt;&gt;"",SUMPRODUCT(($F$2:F357&lt;&gt;"")*1),"")</f>
        <v>44</v>
      </c>
    </row>
    <row r="358" spans="1:7" ht="21.95" customHeight="1">
      <c r="A358" s="9" t="s">
        <v>150</v>
      </c>
      <c r="B358" s="9" t="s">
        <v>76</v>
      </c>
      <c r="C358" s="15">
        <v>75</v>
      </c>
      <c r="D358" s="16" t="s">
        <v>28</v>
      </c>
      <c r="E358" s="9"/>
      <c r="F358" t="str">
        <f>IF(AND($A358&lt;&gt;"",COUNTIF($A$2:A358,$A358)=1),$A358,"")</f>
        <v/>
      </c>
      <c r="G358" t="str">
        <f>IF($F358&lt;&gt;"",SUMPRODUCT(($F$2:F358&lt;&gt;"")*1),"")</f>
        <v/>
      </c>
    </row>
    <row r="359" spans="1:7" ht="21.95" customHeight="1">
      <c r="A359" s="9" t="s">
        <v>150</v>
      </c>
      <c r="B359" s="9" t="s">
        <v>35</v>
      </c>
      <c r="C359" s="15">
        <v>7.5</v>
      </c>
      <c r="D359" s="16" t="str">
        <f>IFERROR(INDEX(المواد!$B$2:$B$319,MATCH(B359,المواد!$A$2:$A$319,0)),"")</f>
        <v>كغ</v>
      </c>
      <c r="E359" s="9"/>
      <c r="F359" t="str">
        <f>IF(AND($A359&lt;&gt;"",COUNTIF($A$2:A359,$A359)=1),$A359,"")</f>
        <v/>
      </c>
      <c r="G359" t="str">
        <f>IF($F359&lt;&gt;"",SUMPRODUCT(($F$2:F359&lt;&gt;"")*1),"")</f>
        <v/>
      </c>
    </row>
    <row r="360" spans="1:7" ht="21.95" customHeight="1">
      <c r="A360" s="9" t="s">
        <v>150</v>
      </c>
      <c r="B360" s="9" t="s">
        <v>40</v>
      </c>
      <c r="C360" s="15">
        <v>1.5</v>
      </c>
      <c r="D360" s="16" t="str">
        <f>IFERROR(INDEX(المواد!$B$2:$B$319,MATCH(B360,المواد!$A$2:$A$319,0)),"")</f>
        <v>كغ</v>
      </c>
      <c r="E360" s="9"/>
      <c r="F360" t="str">
        <f>IF(AND($A360&lt;&gt;"",COUNTIF($A$2:A360,$A360)=1),$A360,"")</f>
        <v/>
      </c>
      <c r="G360" t="str">
        <f>IF($F360&lt;&gt;"",SUMPRODUCT(($F$2:F360&lt;&gt;"")*1),"")</f>
        <v/>
      </c>
    </row>
    <row r="361" spans="1:7" ht="21.95" customHeight="1">
      <c r="A361" s="9" t="s">
        <v>150</v>
      </c>
      <c r="B361" s="9" t="s">
        <v>38</v>
      </c>
      <c r="C361" s="15">
        <v>1.5</v>
      </c>
      <c r="D361" s="16" t="str">
        <f>IFERROR(INDEX(المواد!$B$2:$B$319,MATCH(B361,المواد!$A$2:$A$319,0)),"")</f>
        <v>كغ</v>
      </c>
      <c r="E361" s="9"/>
      <c r="F361" t="str">
        <f>IF(AND($A361&lt;&gt;"",COUNTIF($A$2:A361,$A361)=1),$A361,"")</f>
        <v/>
      </c>
      <c r="G361" t="str">
        <f>IF($F361&lt;&gt;"",SUMPRODUCT(($F$2:F361&lt;&gt;"")*1),"")</f>
        <v/>
      </c>
    </row>
    <row r="362" spans="1:7" ht="21.95" customHeight="1">
      <c r="A362" s="9" t="s">
        <v>150</v>
      </c>
      <c r="B362" s="9" t="s">
        <v>27</v>
      </c>
      <c r="C362" s="15">
        <v>1.5</v>
      </c>
      <c r="D362" s="16" t="str">
        <f>IFERROR(INDEX(المواد!$B$2:$B$319,MATCH(B362,المواد!$A$2:$A$319,0)),"")</f>
        <v>كغ</v>
      </c>
      <c r="E362" s="9"/>
      <c r="F362" t="str">
        <f>IF(AND($A362&lt;&gt;"",COUNTIF($A$2:A362,$A362)=1),$A362,"")</f>
        <v/>
      </c>
      <c r="G362" t="str">
        <f>IF($F362&lt;&gt;"",SUMPRODUCT(($F$2:F362&lt;&gt;"")*1),"")</f>
        <v/>
      </c>
    </row>
    <row r="363" spans="1:7" ht="21.95" customHeight="1">
      <c r="A363" s="9" t="s">
        <v>150</v>
      </c>
      <c r="B363" s="9" t="s">
        <v>29</v>
      </c>
      <c r="C363" s="15">
        <v>3</v>
      </c>
      <c r="D363" s="16" t="str">
        <f>IFERROR(INDEX(المواد!$B$2:$B$319,MATCH(B363,المواد!$A$2:$A$319,0)),"")</f>
        <v>كغ</v>
      </c>
      <c r="E363" s="9"/>
      <c r="F363" t="str">
        <f>IF(AND($A363&lt;&gt;"",COUNTIF($A$2:A363,$A363)=1),$A363,"")</f>
        <v/>
      </c>
      <c r="G363" t="str">
        <f>IF($F363&lt;&gt;"",SUMPRODUCT(($F$2:F363&lt;&gt;"")*1),"")</f>
        <v/>
      </c>
    </row>
    <row r="364" spans="1:7" ht="21.95" customHeight="1">
      <c r="A364" s="9" t="s">
        <v>150</v>
      </c>
      <c r="B364" s="9" t="s">
        <v>212</v>
      </c>
      <c r="C364" s="15">
        <v>1.5</v>
      </c>
      <c r="D364" s="16" t="str">
        <f>IFERROR(INDEX(المواد!$B$2:$B$319,MATCH(B364,المواد!$A$2:$A$319,0)),"")</f>
        <v>كغ</v>
      </c>
      <c r="E364" s="9"/>
      <c r="F364" t="str">
        <f>IF(AND($A364&lt;&gt;"",COUNTIF($A$2:A364,$A364)=1),$A364,"")</f>
        <v/>
      </c>
      <c r="G364" t="str">
        <f>IF($F364&lt;&gt;"",SUMPRODUCT(($F$2:F364&lt;&gt;"")*1),"")</f>
        <v/>
      </c>
    </row>
    <row r="365" spans="1:7" ht="21.95" customHeight="1">
      <c r="A365" s="11" t="s">
        <v>210</v>
      </c>
      <c r="B365" s="11" t="s">
        <v>43</v>
      </c>
      <c r="C365" s="12">
        <v>35</v>
      </c>
      <c r="D365" s="17" t="str">
        <f>IFERROR(INDEX(المواد!$B$2:$B$319,MATCH(B365,المواد!$A$2:$A$319,0)),"")</f>
        <v>كغ</v>
      </c>
      <c r="E365" s="11"/>
      <c r="F365" t="str">
        <f>IF(AND($A365&lt;&gt;"",COUNTIF($A$2:A365,$A365)=1),$A365,"")</f>
        <v>طبخة الاندومي</v>
      </c>
      <c r="G365">
        <f>IF($F365&lt;&gt;"",SUMPRODUCT(($F$2:F365&lt;&gt;"")*1),"")</f>
        <v>45</v>
      </c>
    </row>
    <row r="366" spans="1:7" ht="21.95" customHeight="1">
      <c r="A366" s="11" t="s">
        <v>210</v>
      </c>
      <c r="B366" s="11" t="s">
        <v>35</v>
      </c>
      <c r="C366" s="12">
        <v>25</v>
      </c>
      <c r="D366" s="17" t="str">
        <f>IFERROR(INDEX(المواد!$B$2:$B$319,MATCH(B366,المواد!$A$2:$A$319,0)),"")</f>
        <v>كغ</v>
      </c>
      <c r="E366" s="11"/>
      <c r="F366" t="str">
        <f>IF(AND($A366&lt;&gt;"",COUNTIF($A$2:A366,$A366)=1),$A366,"")</f>
        <v/>
      </c>
      <c r="G366" t="str">
        <f>IF($F366&lt;&gt;"",SUMPRODUCT(($F$2:F366&lt;&gt;"")*1),"")</f>
        <v/>
      </c>
    </row>
    <row r="367" spans="1:7" ht="21.95" customHeight="1">
      <c r="A367" s="11" t="s">
        <v>210</v>
      </c>
      <c r="B367" s="11" t="s">
        <v>80</v>
      </c>
      <c r="C367" s="12">
        <v>4.5</v>
      </c>
      <c r="D367" s="17" t="str">
        <f>IFERROR(INDEX(المواد!$B$2:$B$319,MATCH(B367,المواد!$A$2:$A$319,0)),"")</f>
        <v>كغ</v>
      </c>
      <c r="E367" s="11"/>
      <c r="F367" t="str">
        <f>IF(AND($A367&lt;&gt;"",COUNTIF($A$2:A367,$A367)=1),$A367,"")</f>
        <v/>
      </c>
      <c r="G367" t="str">
        <f>IF($F367&lt;&gt;"",SUMPRODUCT(($F$2:F367&lt;&gt;"")*1),"")</f>
        <v/>
      </c>
    </row>
    <row r="368" spans="1:7" ht="21.95" customHeight="1">
      <c r="A368" s="11" t="s">
        <v>210</v>
      </c>
      <c r="B368" s="11" t="s">
        <v>34</v>
      </c>
      <c r="C368" s="12">
        <v>15</v>
      </c>
      <c r="D368" s="17" t="str">
        <f>IFERROR(INDEX(المواد!$B$2:$B$319,MATCH(B368,المواد!$A$2:$A$319,0)),"")</f>
        <v>كغ</v>
      </c>
      <c r="E368" s="11"/>
      <c r="F368" t="str">
        <f>IF(AND($A368&lt;&gt;"",COUNTIF($A$2:A368,$A368)=1),$A368,"")</f>
        <v/>
      </c>
      <c r="G368" t="str">
        <f>IF($F368&lt;&gt;"",SUMPRODUCT(($F$2:F368&lt;&gt;"")*1),"")</f>
        <v/>
      </c>
    </row>
    <row r="369" spans="1:7" ht="21.95" customHeight="1">
      <c r="A369" s="11"/>
      <c r="B369" s="11"/>
      <c r="C369" s="12"/>
      <c r="D369" s="17" t="str">
        <f>IFERROR(INDEX(المواد!$B$2:$B$319,MATCH(B369,المواد!$A$2:$A$319,0)),"")</f>
        <v/>
      </c>
      <c r="E369" s="11"/>
      <c r="F369" t="str">
        <f>IF(AND($A369&lt;&gt;"",COUNTIF($A$2:A369,$A369)=1),$A369,"")</f>
        <v/>
      </c>
      <c r="G369" t="str">
        <f>IF($F369&lt;&gt;"",SUMPRODUCT(($F$2:F369&lt;&gt;"")*1),"")</f>
        <v/>
      </c>
    </row>
    <row r="370" spans="1:7" ht="21.95" customHeight="1">
      <c r="A370" s="11"/>
      <c r="B370" s="11"/>
      <c r="C370" s="12"/>
      <c r="D370" s="17" t="str">
        <f>IFERROR(INDEX(المواد!$B$2:$B$319,MATCH(B370,المواد!$A$2:$A$319,0)),"")</f>
        <v/>
      </c>
      <c r="E370" s="11"/>
      <c r="F370" t="str">
        <f>IF(AND($A370&lt;&gt;"",COUNTIF($A$2:A370,$A370)=1),$A370,"")</f>
        <v/>
      </c>
      <c r="G370" t="str">
        <f>IF($F370&lt;&gt;"",SUMPRODUCT(($F$2:F370&lt;&gt;"")*1),"")</f>
        <v/>
      </c>
    </row>
    <row r="371" spans="1:7" ht="21.95" customHeight="1">
      <c r="A371" s="11"/>
      <c r="B371" s="11"/>
      <c r="C371" s="12"/>
      <c r="D371" s="17" t="str">
        <f>IFERROR(INDEX(المواد!$B$2:$B$319,MATCH(B371,المواد!$A$2:$A$319,0)),"")</f>
        <v/>
      </c>
      <c r="E371" s="11"/>
      <c r="F371" t="str">
        <f>IF(AND($A371&lt;&gt;"",COUNTIF($A$2:A371,$A371)=1),$A371,"")</f>
        <v/>
      </c>
      <c r="G371" t="str">
        <f>IF($F371&lt;&gt;"",SUMPRODUCT(($F$2:F371&lt;&gt;"")*1),"")</f>
        <v/>
      </c>
    </row>
    <row r="372" spans="1:7" ht="21.95" customHeight="1">
      <c r="A372" s="11"/>
      <c r="B372" s="11"/>
      <c r="C372" s="12"/>
      <c r="D372" s="17" t="str">
        <f>IFERROR(INDEX(المواد!$B$2:$B$319,MATCH(B372,المواد!$A$2:$A$319,0)),"")</f>
        <v/>
      </c>
      <c r="E372" s="11"/>
      <c r="F372" t="str">
        <f>IF(AND($A372&lt;&gt;"",COUNTIF($A$2:A372,$A372)=1),$A372,"")</f>
        <v/>
      </c>
      <c r="G372" t="str">
        <f>IF($F372&lt;&gt;"",SUMPRODUCT(($F$2:F372&lt;&gt;"")*1),"")</f>
        <v/>
      </c>
    </row>
    <row r="373" spans="1:7" ht="21.95" customHeight="1">
      <c r="A373" s="11"/>
      <c r="B373" s="11"/>
      <c r="C373" s="12"/>
      <c r="D373" s="17" t="str">
        <f>IFERROR(INDEX(المواد!$B$2:$B$319,MATCH(B373,المواد!$A$2:$A$319,0)),"")</f>
        <v/>
      </c>
      <c r="E373" s="11"/>
      <c r="F373" t="str">
        <f>IF(AND($A373&lt;&gt;"",COUNTIF($A$2:A373,$A373)=1),$A373,"")</f>
        <v/>
      </c>
      <c r="G373" t="str">
        <f>IF($F373&lt;&gt;"",SUMPRODUCT(($F$2:F373&lt;&gt;"")*1),"")</f>
        <v/>
      </c>
    </row>
    <row r="374" spans="1:7" ht="21.95" customHeight="1">
      <c r="A374" s="11"/>
      <c r="B374" s="11"/>
      <c r="C374" s="12"/>
      <c r="D374" s="17" t="str">
        <f>IFERROR(INDEX(المواد!$B$2:$B$319,MATCH(B374,المواد!$A$2:$A$319,0)),"")</f>
        <v/>
      </c>
      <c r="E374" s="11"/>
      <c r="F374" t="str">
        <f>IF(AND($A374&lt;&gt;"",COUNTIF($A$2:A374,$A374)=1),$A374,"")</f>
        <v/>
      </c>
      <c r="G374" t="str">
        <f>IF($F374&lt;&gt;"",SUMPRODUCT(($F$2:F374&lt;&gt;"")*1),"")</f>
        <v/>
      </c>
    </row>
    <row r="375" spans="1:7" ht="21.95" customHeight="1">
      <c r="A375" s="11"/>
      <c r="B375" s="11"/>
      <c r="C375" s="12"/>
      <c r="D375" s="17" t="str">
        <f>IFERROR(INDEX(المواد!$B$2:$B$319,MATCH(B375,المواد!$A$2:$A$319,0)),"")</f>
        <v/>
      </c>
      <c r="E375" s="11"/>
      <c r="F375" t="str">
        <f>IF(AND($A375&lt;&gt;"",COUNTIF($A$2:A375,$A375)=1),$A375,"")</f>
        <v/>
      </c>
      <c r="G375" t="str">
        <f>IF($F375&lt;&gt;"",SUMPRODUCT(($F$2:F375&lt;&gt;"")*1),"")</f>
        <v/>
      </c>
    </row>
    <row r="376" spans="1:7" ht="21.95" customHeight="1">
      <c r="A376" s="11"/>
      <c r="B376" s="11"/>
      <c r="C376" s="12"/>
      <c r="D376" s="17" t="str">
        <f>IFERROR(INDEX(المواد!$B$2:$B$319,MATCH(B376,المواد!$A$2:$A$319,0)),"")</f>
        <v/>
      </c>
      <c r="E376" s="11"/>
      <c r="F376" t="str">
        <f>IF(AND($A376&lt;&gt;"",COUNTIF($A$2:A376,$A376)=1),$A376,"")</f>
        <v/>
      </c>
      <c r="G376" t="str">
        <f>IF($F376&lt;&gt;"",SUMPRODUCT(($F$2:F376&lt;&gt;"")*1),"")</f>
        <v/>
      </c>
    </row>
    <row r="377" spans="1:7" ht="21.95" customHeight="1">
      <c r="A377" s="11"/>
      <c r="B377" s="11"/>
      <c r="C377" s="12"/>
      <c r="D377" s="17" t="str">
        <f>IFERROR(INDEX(المواد!$B$2:$B$319,MATCH(B377,المواد!$A$2:$A$319,0)),"")</f>
        <v/>
      </c>
      <c r="E377" s="11"/>
      <c r="F377" t="str">
        <f>IF(AND($A377&lt;&gt;"",COUNTIF($A$2:A377,$A377)=1),$A377,"")</f>
        <v/>
      </c>
      <c r="G377" t="str">
        <f>IF($F377&lt;&gt;"",SUMPRODUCT(($F$2:F377&lt;&gt;"")*1),"")</f>
        <v/>
      </c>
    </row>
    <row r="378" spans="1:7" ht="21.95" customHeight="1">
      <c r="A378" s="11"/>
      <c r="B378" s="11"/>
      <c r="C378" s="12"/>
      <c r="D378" s="17" t="str">
        <f>IFERROR(INDEX(المواد!$B$2:$B$319,MATCH(B378,المواد!$A$2:$A$319,0)),"")</f>
        <v/>
      </c>
      <c r="E378" s="11"/>
      <c r="F378" t="str">
        <f>IF(AND($A378&lt;&gt;"",COUNTIF($A$2:A378,$A378)=1),$A378,"")</f>
        <v/>
      </c>
      <c r="G378" t="str">
        <f>IF($F378&lt;&gt;"",SUMPRODUCT(($F$2:F378&lt;&gt;"")*1),"")</f>
        <v/>
      </c>
    </row>
    <row r="379" spans="1:7" ht="21.95" customHeight="1">
      <c r="A379" s="11"/>
      <c r="B379" s="11"/>
      <c r="C379" s="12"/>
      <c r="D379" s="17" t="str">
        <f>IFERROR(INDEX(المواد!$B$2:$B$319,MATCH(B379,المواد!$A$2:$A$319,0)),"")</f>
        <v/>
      </c>
      <c r="E379" s="11"/>
      <c r="F379" t="str">
        <f>IF(AND($A379&lt;&gt;"",COUNTIF($A$2:A379,$A379)=1),$A379,"")</f>
        <v/>
      </c>
      <c r="G379" t="str">
        <f>IF($F379&lt;&gt;"",SUMPRODUCT(($F$2:F379&lt;&gt;"")*1),"")</f>
        <v/>
      </c>
    </row>
    <row r="380" spans="1:7" ht="21.95" customHeight="1">
      <c r="A380" s="11"/>
      <c r="B380" s="11"/>
      <c r="C380" s="12"/>
      <c r="D380" s="17" t="str">
        <f>IFERROR(INDEX(المواد!$B$2:$B$319,MATCH(B380,المواد!$A$2:$A$319,0)),"")</f>
        <v/>
      </c>
      <c r="E380" s="11"/>
      <c r="F380" t="str">
        <f>IF(AND($A380&lt;&gt;"",COUNTIF($A$2:A380,$A380)=1),$A380,"")</f>
        <v/>
      </c>
      <c r="G380" t="str">
        <f>IF($F380&lt;&gt;"",SUMPRODUCT(($F$2:F380&lt;&gt;"")*1),"")</f>
        <v/>
      </c>
    </row>
    <row r="381" spans="1:7" ht="21.95" customHeight="1">
      <c r="A381" s="11"/>
      <c r="B381" s="11"/>
      <c r="C381" s="12"/>
      <c r="D381" s="17" t="str">
        <f>IFERROR(INDEX(المواد!$B$2:$B$319,MATCH(B381,المواد!$A$2:$A$319,0)),"")</f>
        <v/>
      </c>
      <c r="E381" s="11"/>
      <c r="F381" t="str">
        <f>IF(AND($A381&lt;&gt;"",COUNTIF($A$2:A381,$A381)=1),$A381,"")</f>
        <v/>
      </c>
      <c r="G381" t="str">
        <f>IF($F381&lt;&gt;"",SUMPRODUCT(($F$2:F381&lt;&gt;"")*1),"")</f>
        <v/>
      </c>
    </row>
    <row r="382" spans="1:7" ht="21.95" customHeight="1">
      <c r="A382" s="11"/>
      <c r="B382" s="11"/>
      <c r="C382" s="12"/>
      <c r="D382" s="17" t="str">
        <f>IFERROR(INDEX(المواد!$B$2:$B$319,MATCH(B382,المواد!$A$2:$A$319,0)),"")</f>
        <v/>
      </c>
      <c r="E382" s="11"/>
      <c r="F382" t="str">
        <f>IF(AND($A382&lt;&gt;"",COUNTIF($A$2:A382,$A382)=1),$A382,"")</f>
        <v/>
      </c>
      <c r="G382" t="str">
        <f>IF($F382&lt;&gt;"",SUMPRODUCT(($F$2:F382&lt;&gt;"")*1),"")</f>
        <v/>
      </c>
    </row>
    <row r="383" spans="1:7" ht="21.95" customHeight="1">
      <c r="A383" s="11"/>
      <c r="B383" s="11"/>
      <c r="C383" s="12"/>
      <c r="D383" s="17" t="str">
        <f>IFERROR(INDEX(المواد!$B$2:$B$319,MATCH(B383,المواد!$A$2:$A$319,0)),"")</f>
        <v/>
      </c>
      <c r="E383" s="11"/>
      <c r="F383" t="str">
        <f>IF(AND($A383&lt;&gt;"",COUNTIF($A$2:A383,$A383)=1),$A383,"")</f>
        <v/>
      </c>
      <c r="G383" t="str">
        <f>IF($F383&lt;&gt;"",SUMPRODUCT(($F$2:F383&lt;&gt;"")*1),"")</f>
        <v/>
      </c>
    </row>
    <row r="384" spans="1:7" ht="21.95" customHeight="1">
      <c r="A384" s="11"/>
      <c r="B384" s="11"/>
      <c r="C384" s="12"/>
      <c r="D384" s="17" t="str">
        <f>IFERROR(INDEX(المواد!$B$2:$B$319,MATCH(B384,المواد!$A$2:$A$319,0)),"")</f>
        <v/>
      </c>
      <c r="E384" s="11"/>
      <c r="F384" t="str">
        <f>IF(AND($A384&lt;&gt;"",COUNTIF($A$2:A384,$A384)=1),$A384,"")</f>
        <v/>
      </c>
      <c r="G384" t="str">
        <f>IF($F384&lt;&gt;"",SUMPRODUCT(($F$2:F384&lt;&gt;"")*1),"")</f>
        <v/>
      </c>
    </row>
    <row r="385" spans="1:7" ht="21.95" customHeight="1">
      <c r="A385" s="11"/>
      <c r="B385" s="11"/>
      <c r="C385" s="12"/>
      <c r="D385" s="17" t="str">
        <f>IFERROR(INDEX(المواد!$B$2:$B$319,MATCH(B385,المواد!$A$2:$A$319,0)),"")</f>
        <v/>
      </c>
      <c r="E385" s="11"/>
      <c r="F385" t="str">
        <f>IF(AND($A385&lt;&gt;"",COUNTIF($A$2:A385,$A385)=1),$A385,"")</f>
        <v/>
      </c>
      <c r="G385" t="str">
        <f>IF($F385&lt;&gt;"",SUMPRODUCT(($F$2:F385&lt;&gt;"")*1),"")</f>
        <v/>
      </c>
    </row>
    <row r="386" spans="1:7" ht="21.95" customHeight="1">
      <c r="A386" s="11"/>
      <c r="B386" s="11"/>
      <c r="C386" s="12"/>
      <c r="D386" s="17" t="str">
        <f>IFERROR(INDEX(المواد!$B$2:$B$319,MATCH(B386,المواد!$A$2:$A$319,0)),"")</f>
        <v/>
      </c>
      <c r="E386" s="11"/>
      <c r="F386" t="str">
        <f>IF(AND($A386&lt;&gt;"",COUNTIF($A$2:A386,$A386)=1),$A386,"")</f>
        <v/>
      </c>
      <c r="G386" t="str">
        <f>IF($F386&lt;&gt;"",SUMPRODUCT(($F$2:F386&lt;&gt;"")*1),"")</f>
        <v/>
      </c>
    </row>
    <row r="387" spans="1:7" ht="21.95" customHeight="1">
      <c r="A387" s="11"/>
      <c r="B387" s="11"/>
      <c r="C387" s="12"/>
      <c r="D387" s="17" t="str">
        <f>IFERROR(INDEX(المواد!$B$2:$B$319,MATCH(B387,المواد!$A$2:$A$319,0)),"")</f>
        <v/>
      </c>
      <c r="E387" s="11"/>
      <c r="F387" t="str">
        <f>IF(AND($A387&lt;&gt;"",COUNTIF($A$2:A387,$A387)=1),$A387,"")</f>
        <v/>
      </c>
      <c r="G387" t="str">
        <f>IF($F387&lt;&gt;"",SUMPRODUCT(($F$2:F387&lt;&gt;"")*1),"")</f>
        <v/>
      </c>
    </row>
    <row r="388" spans="1:7" ht="21.95" customHeight="1">
      <c r="A388" s="11"/>
      <c r="B388" s="11"/>
      <c r="C388" s="12"/>
      <c r="D388" s="17" t="str">
        <f>IFERROR(INDEX(المواد!$B$2:$B$319,MATCH(B388,المواد!$A$2:$A$319,0)),"")</f>
        <v/>
      </c>
      <c r="E388" s="11"/>
      <c r="F388" t="str">
        <f>IF(AND($A388&lt;&gt;"",COUNTIF($A$2:A388,$A388)=1),$A388,"")</f>
        <v/>
      </c>
      <c r="G388" t="str">
        <f>IF($F388&lt;&gt;"",SUMPRODUCT(($F$2:F388&lt;&gt;"")*1),"")</f>
        <v/>
      </c>
    </row>
    <row r="389" spans="1:7" ht="21.95" customHeight="1">
      <c r="A389" s="11"/>
      <c r="B389" s="11"/>
      <c r="C389" s="12"/>
      <c r="D389" s="17" t="str">
        <f>IFERROR(INDEX(المواد!$B$2:$B$319,MATCH(B389,المواد!$A$2:$A$319,0)),"")</f>
        <v/>
      </c>
      <c r="E389" s="11"/>
      <c r="F389" t="str">
        <f>IF(AND($A389&lt;&gt;"",COUNTIF($A$2:A389,$A389)=1),$A389,"")</f>
        <v/>
      </c>
      <c r="G389" t="str">
        <f>IF($F389&lt;&gt;"",SUMPRODUCT(($F$2:F389&lt;&gt;"")*1),"")</f>
        <v/>
      </c>
    </row>
    <row r="390" spans="1:7" ht="21.95" customHeight="1">
      <c r="A390" s="11"/>
      <c r="B390" s="11"/>
      <c r="C390" s="12"/>
      <c r="D390" s="17" t="str">
        <f>IFERROR(INDEX(المواد!$B$2:$B$319,MATCH(B390,المواد!$A$2:$A$319,0)),"")</f>
        <v/>
      </c>
      <c r="E390" s="11"/>
      <c r="F390" t="str">
        <f>IF(AND($A390&lt;&gt;"",COUNTIF($A$2:A390,$A390)=1),$A390,"")</f>
        <v/>
      </c>
      <c r="G390" t="str">
        <f>IF($F390&lt;&gt;"",SUMPRODUCT(($F$2:F390&lt;&gt;"")*1),"")</f>
        <v/>
      </c>
    </row>
    <row r="391" spans="1:7" ht="21.95" customHeight="1">
      <c r="A391" s="11"/>
      <c r="B391" s="11"/>
      <c r="C391" s="12"/>
      <c r="D391" s="17" t="str">
        <f>IFERROR(INDEX(المواد!$B$2:$B$319,MATCH(B391,المواد!$A$2:$A$319,0)),"")</f>
        <v/>
      </c>
      <c r="E391" s="11"/>
      <c r="F391" t="str">
        <f>IF(AND($A391&lt;&gt;"",COUNTIF($A$2:A391,$A391)=1),$A391,"")</f>
        <v/>
      </c>
      <c r="G391" t="str">
        <f>IF($F391&lt;&gt;"",SUMPRODUCT(($F$2:F391&lt;&gt;"")*1),"")</f>
        <v/>
      </c>
    </row>
    <row r="392" spans="1:7" ht="21.95" customHeight="1">
      <c r="A392" s="11"/>
      <c r="B392" s="11"/>
      <c r="C392" s="12"/>
      <c r="D392" s="17" t="str">
        <f>IFERROR(INDEX(المواد!$B$2:$B$319,MATCH(B392,المواد!$A$2:$A$319,0)),"")</f>
        <v/>
      </c>
      <c r="E392" s="11"/>
      <c r="F392" t="str">
        <f>IF(AND($A392&lt;&gt;"",COUNTIF($A$2:A392,$A392)=1),$A392,"")</f>
        <v/>
      </c>
      <c r="G392" t="str">
        <f>IF($F392&lt;&gt;"",SUMPRODUCT(($F$2:F392&lt;&gt;"")*1),"")</f>
        <v/>
      </c>
    </row>
    <row r="393" spans="1:7" ht="21.95" customHeight="1">
      <c r="A393" s="11"/>
      <c r="B393" s="11"/>
      <c r="C393" s="12"/>
      <c r="D393" s="17" t="str">
        <f>IFERROR(INDEX(المواد!$B$2:$B$319,MATCH(B393,المواد!$A$2:$A$319,0)),"")</f>
        <v/>
      </c>
      <c r="E393" s="11"/>
      <c r="F393" t="str">
        <f>IF(AND($A393&lt;&gt;"",COUNTIF($A$2:A393,$A393)=1),$A393,"")</f>
        <v/>
      </c>
      <c r="G393" t="str">
        <f>IF($F393&lt;&gt;"",SUMPRODUCT(($F$2:F393&lt;&gt;"")*1),"")</f>
        <v/>
      </c>
    </row>
    <row r="394" spans="1:7" ht="21.95" customHeight="1">
      <c r="A394" s="11"/>
      <c r="B394" s="11"/>
      <c r="C394" s="12"/>
      <c r="D394" s="17" t="str">
        <f>IFERROR(INDEX(المواد!$B$2:$B$319,MATCH(B394,المواد!$A$2:$A$319,0)),"")</f>
        <v/>
      </c>
      <c r="E394" s="11"/>
      <c r="F394" t="str">
        <f>IF(AND($A394&lt;&gt;"",COUNTIF($A$2:A394,$A394)=1),$A394,"")</f>
        <v/>
      </c>
      <c r="G394" t="str">
        <f>IF($F394&lt;&gt;"",SUMPRODUCT(($F$2:F394&lt;&gt;"")*1),"")</f>
        <v/>
      </c>
    </row>
    <row r="395" spans="1:7" ht="21.95" customHeight="1">
      <c r="A395" s="11"/>
      <c r="B395" s="11"/>
      <c r="C395" s="12"/>
      <c r="D395" s="17" t="str">
        <f>IFERROR(INDEX(المواد!$B$2:$B$319,MATCH(B395,المواد!$A$2:$A$319,0)),"")</f>
        <v/>
      </c>
      <c r="E395" s="11"/>
      <c r="F395" t="str">
        <f>IF(AND($A395&lt;&gt;"",COUNTIF($A$2:A395,$A395)=1),$A395,"")</f>
        <v/>
      </c>
      <c r="G395" t="str">
        <f>IF($F395&lt;&gt;"",SUMPRODUCT(($F$2:F395&lt;&gt;"")*1),"")</f>
        <v/>
      </c>
    </row>
    <row r="396" spans="1:7" ht="21.95" customHeight="1">
      <c r="A396" s="11"/>
      <c r="B396" s="11"/>
      <c r="C396" s="12"/>
      <c r="D396" s="17" t="str">
        <f>IFERROR(INDEX(المواد!$B$2:$B$319,MATCH(B396,المواد!$A$2:$A$319,0)),"")</f>
        <v/>
      </c>
      <c r="E396" s="11"/>
      <c r="F396" t="str">
        <f>IF(AND($A396&lt;&gt;"",COUNTIF($A$2:A396,$A396)=1),$A396,"")</f>
        <v/>
      </c>
      <c r="G396" t="str">
        <f>IF($F396&lt;&gt;"",SUMPRODUCT(($F$2:F396&lt;&gt;"")*1),"")</f>
        <v/>
      </c>
    </row>
    <row r="397" spans="1:7" ht="21.95" customHeight="1">
      <c r="A397" s="11"/>
      <c r="B397" s="11"/>
      <c r="C397" s="12"/>
      <c r="D397" s="17" t="str">
        <f>IFERROR(INDEX(المواد!$B$2:$B$319,MATCH(B397,المواد!$A$2:$A$319,0)),"")</f>
        <v/>
      </c>
      <c r="E397" s="11"/>
      <c r="F397" t="str">
        <f>IF(AND($A397&lt;&gt;"",COUNTIF($A$2:A397,$A397)=1),$A397,"")</f>
        <v/>
      </c>
      <c r="G397" t="str">
        <f>IF($F397&lt;&gt;"",SUMPRODUCT(($F$2:F397&lt;&gt;"")*1),"")</f>
        <v/>
      </c>
    </row>
    <row r="398" spans="1:7" ht="21.95" customHeight="1">
      <c r="A398" s="11"/>
      <c r="B398" s="11"/>
      <c r="C398" s="12"/>
      <c r="D398" s="17" t="str">
        <f>IFERROR(INDEX(المواد!$B$2:$B$319,MATCH(B398,المواد!$A$2:$A$319,0)),"")</f>
        <v/>
      </c>
      <c r="E398" s="11"/>
      <c r="F398" t="str">
        <f>IF(AND($A398&lt;&gt;"",COUNTIF($A$2:A398,$A398)=1),$A398,"")</f>
        <v/>
      </c>
      <c r="G398" t="str">
        <f>IF($F398&lt;&gt;"",SUMPRODUCT(($F$2:F398&lt;&gt;"")*1),"")</f>
        <v/>
      </c>
    </row>
    <row r="399" spans="1:7" ht="21.95" customHeight="1">
      <c r="A399" s="11"/>
      <c r="B399" s="11"/>
      <c r="C399" s="12"/>
      <c r="D399" s="17" t="str">
        <f>IFERROR(INDEX(المواد!$B$2:$B$319,MATCH(B399,المواد!$A$2:$A$319,0)),"")</f>
        <v/>
      </c>
      <c r="E399" s="11"/>
      <c r="F399" t="str">
        <f>IF(AND($A399&lt;&gt;"",COUNTIF($A$2:A399,$A399)=1),$A399,"")</f>
        <v/>
      </c>
      <c r="G399" t="str">
        <f>IF($F399&lt;&gt;"",SUMPRODUCT(($F$2:F399&lt;&gt;"")*1),"")</f>
        <v/>
      </c>
    </row>
    <row r="400" spans="1:7" ht="21.95" customHeight="1">
      <c r="A400" s="11"/>
      <c r="B400" s="11"/>
      <c r="C400" s="12"/>
      <c r="D400" s="17" t="str">
        <f>IFERROR(INDEX(المواد!$B$2:$B$319,MATCH(B400,المواد!$A$2:$A$319,0)),"")</f>
        <v/>
      </c>
      <c r="E400" s="11"/>
      <c r="F400" t="str">
        <f>IF(AND($A400&lt;&gt;"",COUNTIF($A$2:A400,$A400)=1),$A400,"")</f>
        <v/>
      </c>
      <c r="G400" t="str">
        <f>IF($F400&lt;&gt;"",SUMPRODUCT(($F$2:F400&lt;&gt;"")*1),"")</f>
        <v/>
      </c>
    </row>
    <row r="401" spans="1:7" ht="21.95" customHeight="1">
      <c r="A401" s="11"/>
      <c r="B401" s="11"/>
      <c r="C401" s="12"/>
      <c r="D401" s="17" t="str">
        <f>IFERROR(INDEX(المواد!$B$2:$B$319,MATCH(B401,المواد!$A$2:$A$319,0)),"")</f>
        <v/>
      </c>
      <c r="E401" s="11"/>
      <c r="F401" t="str">
        <f>IF(AND($A401&lt;&gt;"",COUNTIF($A$2:A401,$A401)=1),$A401,"")</f>
        <v/>
      </c>
      <c r="G401" t="str">
        <f>IF($F401&lt;&gt;"",SUMPRODUCT(($F$2:F401&lt;&gt;"")*1),"")</f>
        <v/>
      </c>
    </row>
    <row r="402" spans="1:7" ht="21.95" customHeight="1">
      <c r="A402" s="11"/>
      <c r="B402" s="11"/>
      <c r="C402" s="12"/>
      <c r="D402" s="17" t="str">
        <f>IFERROR(INDEX(المواد!$B$2:$B$319,MATCH(B402,المواد!$A$2:$A$319,0)),"")</f>
        <v/>
      </c>
      <c r="E402" s="11"/>
      <c r="F402" t="str">
        <f>IF(AND($A402&lt;&gt;"",COUNTIF($A$2:A402,$A402)=1),$A402,"")</f>
        <v/>
      </c>
      <c r="G402" t="str">
        <f>IF($F402&lt;&gt;"",SUMPRODUCT(($F$2:F402&lt;&gt;"")*1),"")</f>
        <v/>
      </c>
    </row>
    <row r="403" spans="1:7" ht="21.95" customHeight="1">
      <c r="A403" s="11"/>
      <c r="B403" s="11"/>
      <c r="C403" s="12"/>
      <c r="D403" s="17" t="str">
        <f>IFERROR(INDEX(المواد!$B$2:$B$319,MATCH(B403,المواد!$A$2:$A$319,0)),"")</f>
        <v/>
      </c>
      <c r="E403" s="11"/>
      <c r="F403" t="str">
        <f>IF(AND($A403&lt;&gt;"",COUNTIF($A$2:A403,$A403)=1),$A403,"")</f>
        <v/>
      </c>
      <c r="G403" t="str">
        <f>IF($F403&lt;&gt;"",SUMPRODUCT(($F$2:F403&lt;&gt;"")*1),"")</f>
        <v/>
      </c>
    </row>
    <row r="404" spans="1:7" ht="21.95" customHeight="1">
      <c r="A404" s="11"/>
      <c r="B404" s="11"/>
      <c r="C404" s="12"/>
      <c r="D404" s="17" t="str">
        <f>IFERROR(INDEX(المواد!$B$2:$B$319,MATCH(B404,المواد!$A$2:$A$319,0)),"")</f>
        <v/>
      </c>
      <c r="E404" s="11"/>
      <c r="F404" t="str">
        <f>IF(AND($A404&lt;&gt;"",COUNTIF($A$2:A404,$A404)=1),$A404,"")</f>
        <v/>
      </c>
      <c r="G404" t="str">
        <f>IF($F404&lt;&gt;"",SUMPRODUCT(($F$2:F404&lt;&gt;"")*1),"")</f>
        <v/>
      </c>
    </row>
    <row r="405" spans="1:7" ht="21.95" customHeight="1">
      <c r="A405" s="11"/>
      <c r="B405" s="11"/>
      <c r="C405" s="12"/>
      <c r="D405" s="17" t="str">
        <f>IFERROR(INDEX(المواد!$B$2:$B$319,MATCH(B405,المواد!$A$2:$A$319,0)),"")</f>
        <v/>
      </c>
      <c r="E405" s="11"/>
      <c r="F405" t="str">
        <f>IF(AND($A405&lt;&gt;"",COUNTIF($A$2:A405,$A405)=1),$A405,"")</f>
        <v/>
      </c>
      <c r="G405" t="str">
        <f>IF($F405&lt;&gt;"",SUMPRODUCT(($F$2:F405&lt;&gt;"")*1),"")</f>
        <v/>
      </c>
    </row>
    <row r="406" spans="1:7" ht="21.95" customHeight="1">
      <c r="A406" s="11"/>
      <c r="B406" s="11"/>
      <c r="C406" s="12"/>
      <c r="D406" s="17" t="str">
        <f>IFERROR(INDEX(المواد!$B$2:$B$319,MATCH(B406,المواد!$A$2:$A$319,0)),"")</f>
        <v/>
      </c>
      <c r="E406" s="11"/>
      <c r="F406" t="str">
        <f>IF(AND($A406&lt;&gt;"",COUNTIF($A$2:A406,$A406)=1),$A406,"")</f>
        <v/>
      </c>
      <c r="G406" t="str">
        <f>IF($F406&lt;&gt;"",SUMPRODUCT(($F$2:F406&lt;&gt;"")*1),"")</f>
        <v/>
      </c>
    </row>
    <row r="407" spans="1:7" ht="21.95" customHeight="1">
      <c r="A407" s="11"/>
      <c r="B407" s="11"/>
      <c r="C407" s="12"/>
      <c r="D407" s="17" t="str">
        <f>IFERROR(INDEX(المواد!$B$2:$B$319,MATCH(B407,المواد!$A$2:$A$319,0)),"")</f>
        <v/>
      </c>
      <c r="E407" s="11"/>
      <c r="F407" t="str">
        <f>IF(AND($A407&lt;&gt;"",COUNTIF($A$2:A407,$A407)=1),$A407,"")</f>
        <v/>
      </c>
      <c r="G407" t="str">
        <f>IF($F407&lt;&gt;"",SUMPRODUCT(($F$2:F407&lt;&gt;"")*1),"")</f>
        <v/>
      </c>
    </row>
    <row r="408" spans="1:7" ht="21.95" customHeight="1">
      <c r="A408" s="11"/>
      <c r="B408" s="11"/>
      <c r="C408" s="12"/>
      <c r="D408" s="17" t="str">
        <f>IFERROR(INDEX(المواد!$B$2:$B$319,MATCH(B408,المواد!$A$2:$A$319,0)),"")</f>
        <v/>
      </c>
      <c r="E408" s="11"/>
      <c r="F408" t="str">
        <f>IF(AND($A408&lt;&gt;"",COUNTIF($A$2:A408,$A408)=1),$A408,"")</f>
        <v/>
      </c>
      <c r="G408" t="str">
        <f>IF($F408&lt;&gt;"",SUMPRODUCT(($F$2:F408&lt;&gt;"")*1),"")</f>
        <v/>
      </c>
    </row>
    <row r="409" spans="1:7" ht="21.95" customHeight="1">
      <c r="A409" s="11"/>
      <c r="B409" s="11"/>
      <c r="C409" s="12"/>
      <c r="D409" s="17" t="str">
        <f>IFERROR(INDEX(المواد!$B$2:$B$319,MATCH(B409,المواد!$A$2:$A$319,0)),"")</f>
        <v/>
      </c>
      <c r="E409" s="11"/>
      <c r="F409" t="str">
        <f>IF(AND($A409&lt;&gt;"",COUNTIF($A$2:A409,$A409)=1),$A409,"")</f>
        <v/>
      </c>
      <c r="G409" t="str">
        <f>IF($F409&lt;&gt;"",SUMPRODUCT(($F$2:F409&lt;&gt;"")*1),"")</f>
        <v/>
      </c>
    </row>
    <row r="410" spans="1:7" ht="21.95" customHeight="1">
      <c r="A410" s="11"/>
      <c r="B410" s="11"/>
      <c r="C410" s="12"/>
      <c r="D410" s="17" t="str">
        <f>IFERROR(INDEX(المواد!$B$2:$B$319,MATCH(B410,المواد!$A$2:$A$319,0)),"")</f>
        <v/>
      </c>
      <c r="E410" s="11"/>
      <c r="F410" t="str">
        <f>IF(AND($A410&lt;&gt;"",COUNTIF($A$2:A410,$A410)=1),$A410,"")</f>
        <v/>
      </c>
      <c r="G410" t="str">
        <f>IF($F410&lt;&gt;"",SUMPRODUCT(($F$2:F410&lt;&gt;"")*1),"")</f>
        <v/>
      </c>
    </row>
    <row r="411" spans="1:7" ht="21.95" customHeight="1">
      <c r="A411" s="11"/>
      <c r="B411" s="11"/>
      <c r="C411" s="12"/>
      <c r="D411" s="17" t="str">
        <f>IFERROR(INDEX(المواد!$B$2:$B$319,MATCH(B411,المواد!$A$2:$A$319,0)),"")</f>
        <v/>
      </c>
      <c r="E411" s="11"/>
      <c r="F411" t="str">
        <f>IF(AND($A411&lt;&gt;"",COUNTIF($A$2:A411,$A411)=1),$A411,"")</f>
        <v/>
      </c>
      <c r="G411" t="str">
        <f>IF($F411&lt;&gt;"",SUMPRODUCT(($F$2:F411&lt;&gt;"")*1),"")</f>
        <v/>
      </c>
    </row>
    <row r="412" spans="1:7" ht="21.95" customHeight="1">
      <c r="A412" s="11"/>
      <c r="B412" s="11"/>
      <c r="C412" s="12"/>
      <c r="D412" s="17" t="str">
        <f>IFERROR(INDEX(المواد!$B$2:$B$319,MATCH(B412,المواد!$A$2:$A$319,0)),"")</f>
        <v/>
      </c>
      <c r="E412" s="11"/>
      <c r="F412" t="str">
        <f>IF(AND($A412&lt;&gt;"",COUNTIF($A$2:A412,$A412)=1),$A412,"")</f>
        <v/>
      </c>
      <c r="G412" t="str">
        <f>IF($F412&lt;&gt;"",SUMPRODUCT(($F$2:F412&lt;&gt;"")*1),"")</f>
        <v/>
      </c>
    </row>
    <row r="413" spans="1:7" ht="21.95" customHeight="1">
      <c r="A413" s="11"/>
      <c r="B413" s="11"/>
      <c r="C413" s="12"/>
      <c r="D413" s="17" t="str">
        <f>IFERROR(INDEX(المواد!$B$2:$B$319,MATCH(B413,المواد!$A$2:$A$319,0)),"")</f>
        <v/>
      </c>
      <c r="E413" s="11"/>
      <c r="F413" t="str">
        <f>IF(AND($A413&lt;&gt;"",COUNTIF($A$2:A413,$A413)=1),$A413,"")</f>
        <v/>
      </c>
      <c r="G413" t="str">
        <f>IF($F413&lt;&gt;"",SUMPRODUCT(($F$2:F413&lt;&gt;"")*1),"")</f>
        <v/>
      </c>
    </row>
    <row r="414" spans="1:7" ht="21.95" customHeight="1">
      <c r="A414" s="11"/>
      <c r="B414" s="11"/>
      <c r="C414" s="12"/>
      <c r="D414" s="17" t="str">
        <f>IFERROR(INDEX(المواد!$B$2:$B$319,MATCH(B414,المواد!$A$2:$A$319,0)),"")</f>
        <v/>
      </c>
      <c r="E414" s="11"/>
      <c r="F414" t="str">
        <f>IF(AND($A414&lt;&gt;"",COUNTIF($A$2:A414,$A414)=1),$A414,"")</f>
        <v/>
      </c>
      <c r="G414" t="str">
        <f>IF($F414&lt;&gt;"",SUMPRODUCT(($F$2:F414&lt;&gt;"")*1),"")</f>
        <v/>
      </c>
    </row>
    <row r="415" spans="1:7" ht="21.95" customHeight="1">
      <c r="A415" s="11"/>
      <c r="B415" s="11"/>
      <c r="C415" s="12"/>
      <c r="D415" s="17" t="str">
        <f>IFERROR(INDEX(المواد!$B$2:$B$319,MATCH(B415,المواد!$A$2:$A$319,0)),"")</f>
        <v/>
      </c>
      <c r="E415" s="11"/>
      <c r="F415" t="str">
        <f>IF(AND($A415&lt;&gt;"",COUNTIF($A$2:A415,$A415)=1),$A415,"")</f>
        <v/>
      </c>
      <c r="G415" t="str">
        <f>IF($F415&lt;&gt;"",SUMPRODUCT(($F$2:F415&lt;&gt;"")*1),"")</f>
        <v/>
      </c>
    </row>
    <row r="416" spans="1:7" ht="21.95" customHeight="1">
      <c r="A416" s="11"/>
      <c r="B416" s="11"/>
      <c r="C416" s="12"/>
      <c r="D416" s="17" t="str">
        <f>IFERROR(INDEX(المواد!$B$2:$B$319,MATCH(B416,المواد!$A$2:$A$319,0)),"")</f>
        <v/>
      </c>
      <c r="E416" s="11"/>
      <c r="F416" t="str">
        <f>IF(AND($A416&lt;&gt;"",COUNTIF($A$2:A416,$A416)=1),$A416,"")</f>
        <v/>
      </c>
      <c r="G416" t="str">
        <f>IF($F416&lt;&gt;"",SUMPRODUCT(($F$2:F416&lt;&gt;"")*1),"")</f>
        <v/>
      </c>
    </row>
    <row r="417" spans="1:7" ht="21.95" customHeight="1">
      <c r="A417" s="11"/>
      <c r="B417" s="11"/>
      <c r="C417" s="12"/>
      <c r="D417" s="17" t="str">
        <f>IFERROR(INDEX(المواد!$B$2:$B$319,MATCH(B417,المواد!$A$2:$A$319,0)),"")</f>
        <v/>
      </c>
      <c r="E417" s="11"/>
      <c r="F417" t="str">
        <f>IF(AND($A417&lt;&gt;"",COUNTIF($A$2:A417,$A417)=1),$A417,"")</f>
        <v/>
      </c>
      <c r="G417" t="str">
        <f>IF($F417&lt;&gt;"",SUMPRODUCT(($F$2:F417&lt;&gt;"")*1),"")</f>
        <v/>
      </c>
    </row>
    <row r="418" spans="1:7" ht="21.95" customHeight="1">
      <c r="A418" s="11"/>
      <c r="B418" s="11"/>
      <c r="C418" s="12"/>
      <c r="D418" s="17" t="str">
        <f>IFERROR(INDEX(المواد!$B$2:$B$319,MATCH(B418,المواد!$A$2:$A$319,0)),"")</f>
        <v/>
      </c>
      <c r="E418" s="11"/>
      <c r="F418" t="str">
        <f>IF(AND($A418&lt;&gt;"",COUNTIF($A$2:A418,$A418)=1),$A418,"")</f>
        <v/>
      </c>
      <c r="G418" t="str">
        <f>IF($F418&lt;&gt;"",SUMPRODUCT(($F$2:F418&lt;&gt;"")*1),"")</f>
        <v/>
      </c>
    </row>
    <row r="419" spans="1:7" ht="21.95" customHeight="1">
      <c r="A419" s="11"/>
      <c r="B419" s="11"/>
      <c r="C419" s="12"/>
      <c r="D419" s="17" t="str">
        <f>IFERROR(INDEX(المواد!$B$2:$B$319,MATCH(B419,المواد!$A$2:$A$319,0)),"")</f>
        <v/>
      </c>
      <c r="E419" s="11"/>
      <c r="F419" t="str">
        <f>IF(AND($A419&lt;&gt;"",COUNTIF($A$2:A419,$A419)=1),$A419,"")</f>
        <v/>
      </c>
      <c r="G419" t="str">
        <f>IF($F419&lt;&gt;"",SUMPRODUCT(($F$2:F419&lt;&gt;"")*1),"")</f>
        <v/>
      </c>
    </row>
    <row r="420" spans="1:7" ht="21.95" customHeight="1">
      <c r="A420" s="11"/>
      <c r="B420" s="11"/>
      <c r="C420" s="12"/>
      <c r="D420" s="17" t="str">
        <f>IFERROR(INDEX(المواد!$B$2:$B$319,MATCH(B420,المواد!$A$2:$A$319,0)),"")</f>
        <v/>
      </c>
      <c r="E420" s="11"/>
      <c r="F420" t="str">
        <f>IF(AND($A420&lt;&gt;"",COUNTIF($A$2:A420,$A420)=1),$A420,"")</f>
        <v/>
      </c>
      <c r="G420" t="str">
        <f>IF($F420&lt;&gt;"",SUMPRODUCT(($F$2:F420&lt;&gt;"")*1),"")</f>
        <v/>
      </c>
    </row>
    <row r="421" spans="1:7" ht="21.95" customHeight="1">
      <c r="A421" s="11"/>
      <c r="B421" s="11"/>
      <c r="C421" s="12"/>
      <c r="D421" s="17" t="str">
        <f>IFERROR(INDEX(المواد!$B$2:$B$319,MATCH(B421,المواد!$A$2:$A$319,0)),"")</f>
        <v/>
      </c>
      <c r="E421" s="11"/>
      <c r="F421" t="str">
        <f>IF(AND($A421&lt;&gt;"",COUNTIF($A$2:A421,$A421)=1),$A421,"")</f>
        <v/>
      </c>
      <c r="G421" t="str">
        <f>IF($F421&lt;&gt;"",SUMPRODUCT(($F$2:F421&lt;&gt;"")*1),"")</f>
        <v/>
      </c>
    </row>
    <row r="422" spans="1:7" ht="21.95" customHeight="1">
      <c r="A422" s="11"/>
      <c r="B422" s="11"/>
      <c r="C422" s="12"/>
      <c r="D422" s="17" t="str">
        <f>IFERROR(INDEX(المواد!$B$2:$B$319,MATCH(B422,المواد!$A$2:$A$319,0)),"")</f>
        <v/>
      </c>
      <c r="E422" s="11"/>
      <c r="F422" t="str">
        <f>IF(AND($A422&lt;&gt;"",COUNTIF($A$2:A422,$A422)=1),$A422,"")</f>
        <v/>
      </c>
      <c r="G422" t="str">
        <f>IF($F422&lt;&gt;"",SUMPRODUCT(($F$2:F422&lt;&gt;"")*1),"")</f>
        <v/>
      </c>
    </row>
    <row r="423" spans="1:7" ht="21.95" customHeight="1">
      <c r="A423" s="11"/>
      <c r="B423" s="11"/>
      <c r="C423" s="12"/>
      <c r="D423" s="17" t="str">
        <f>IFERROR(INDEX(المواد!$B$2:$B$319,MATCH(B423,المواد!$A$2:$A$319,0)),"")</f>
        <v/>
      </c>
      <c r="E423" s="11"/>
      <c r="F423" t="str">
        <f>IF(AND($A423&lt;&gt;"",COUNTIF($A$2:A423,$A423)=1),$A423,"")</f>
        <v/>
      </c>
      <c r="G423" t="str">
        <f>IF($F423&lt;&gt;"",SUMPRODUCT(($F$2:F423&lt;&gt;"")*1),"")</f>
        <v/>
      </c>
    </row>
    <row r="424" spans="1:7" ht="21.95" customHeight="1">
      <c r="A424" s="11"/>
      <c r="B424" s="11"/>
      <c r="C424" s="12"/>
      <c r="D424" s="17" t="str">
        <f>IFERROR(INDEX(المواد!$B$2:$B$319,MATCH(B424,المواد!$A$2:$A$319,0)),"")</f>
        <v/>
      </c>
      <c r="E424" s="11"/>
      <c r="F424" t="str">
        <f>IF(AND($A424&lt;&gt;"",COUNTIF($A$2:A424,$A424)=1),$A424,"")</f>
        <v/>
      </c>
      <c r="G424" t="str">
        <f>IF($F424&lt;&gt;"",SUMPRODUCT(($F$2:F424&lt;&gt;"")*1),"")</f>
        <v/>
      </c>
    </row>
    <row r="425" spans="1:7" ht="21.95" customHeight="1">
      <c r="A425" s="11"/>
      <c r="B425" s="11"/>
      <c r="C425" s="12"/>
      <c r="D425" s="17" t="str">
        <f>IFERROR(INDEX(المواد!$B$2:$B$319,MATCH(B425,المواد!$A$2:$A$319,0)),"")</f>
        <v/>
      </c>
      <c r="E425" s="11"/>
      <c r="F425" t="str">
        <f>IF(AND($A425&lt;&gt;"",COUNTIF($A$2:A425,$A425)=1),$A425,"")</f>
        <v/>
      </c>
      <c r="G425" t="str">
        <f>IF($F425&lt;&gt;"",SUMPRODUCT(($F$2:F425&lt;&gt;"")*1),"")</f>
        <v/>
      </c>
    </row>
    <row r="426" spans="1:7" ht="21.95" customHeight="1">
      <c r="A426" s="11"/>
      <c r="B426" s="11"/>
      <c r="C426" s="12"/>
      <c r="D426" s="17" t="str">
        <f>IFERROR(INDEX(المواد!$B$2:$B$319,MATCH(B426,المواد!$A$2:$A$319,0)),"")</f>
        <v/>
      </c>
      <c r="E426" s="11"/>
      <c r="F426" t="str">
        <f>IF(AND($A426&lt;&gt;"",COUNTIF($A$2:A426,$A426)=1),$A426,"")</f>
        <v/>
      </c>
      <c r="G426" t="str">
        <f>IF($F426&lt;&gt;"",SUMPRODUCT(($F$2:F426&lt;&gt;"")*1),"")</f>
        <v/>
      </c>
    </row>
    <row r="427" spans="1:7" ht="21.95" customHeight="1">
      <c r="A427" s="11"/>
      <c r="B427" s="11"/>
      <c r="C427" s="12"/>
      <c r="D427" s="17" t="str">
        <f>IFERROR(INDEX(المواد!$B$2:$B$319,MATCH(B427,المواد!$A$2:$A$319,0)),"")</f>
        <v/>
      </c>
      <c r="E427" s="11"/>
      <c r="F427" t="str">
        <f>IF(AND($A427&lt;&gt;"",COUNTIF($A$2:A427,$A427)=1),$A427,"")</f>
        <v/>
      </c>
      <c r="G427" t="str">
        <f>IF($F427&lt;&gt;"",SUMPRODUCT(($F$2:F427&lt;&gt;"")*1),"")</f>
        <v/>
      </c>
    </row>
    <row r="428" spans="1:7" ht="21.95" customHeight="1">
      <c r="A428" s="11"/>
      <c r="B428" s="11"/>
      <c r="C428" s="12"/>
      <c r="D428" s="17" t="str">
        <f>IFERROR(INDEX(المواد!$B$2:$B$319,MATCH(B428,المواد!$A$2:$A$319,0)),"")</f>
        <v/>
      </c>
      <c r="E428" s="11"/>
      <c r="F428" t="str">
        <f>IF(AND($A428&lt;&gt;"",COUNTIF($A$2:A428,$A428)=1),$A428,"")</f>
        <v/>
      </c>
      <c r="G428" t="str">
        <f>IF($F428&lt;&gt;"",SUMPRODUCT(($F$2:F428&lt;&gt;"")*1),"")</f>
        <v/>
      </c>
    </row>
    <row r="429" spans="1:7" ht="21.95" customHeight="1">
      <c r="A429" s="11"/>
      <c r="B429" s="11"/>
      <c r="C429" s="12"/>
      <c r="D429" s="17" t="str">
        <f>IFERROR(INDEX(المواد!$B$2:$B$319,MATCH(B429,المواد!$A$2:$A$319,0)),"")</f>
        <v/>
      </c>
      <c r="E429" s="11"/>
      <c r="F429" t="str">
        <f>IF(AND($A429&lt;&gt;"",COUNTIF($A$2:A429,$A429)=1),$A429,"")</f>
        <v/>
      </c>
      <c r="G429" t="str">
        <f>IF($F429&lt;&gt;"",SUMPRODUCT(($F$2:F429&lt;&gt;"")*1),"")</f>
        <v/>
      </c>
    </row>
    <row r="430" spans="1:7" ht="21.95" customHeight="1">
      <c r="A430" s="11"/>
      <c r="B430" s="11"/>
      <c r="C430" s="12"/>
      <c r="D430" s="17" t="str">
        <f>IFERROR(INDEX(المواد!$B$2:$B$319,MATCH(B430,المواد!$A$2:$A$319,0)),"")</f>
        <v/>
      </c>
      <c r="E430" s="11"/>
      <c r="F430" t="str">
        <f>IF(AND($A430&lt;&gt;"",COUNTIF($A$2:A430,$A430)=1),$A430,"")</f>
        <v/>
      </c>
      <c r="G430" t="str">
        <f>IF($F430&lt;&gt;"",SUMPRODUCT(($F$2:F430&lt;&gt;"")*1),"")</f>
        <v/>
      </c>
    </row>
    <row r="431" spans="1:7" ht="21.95" customHeight="1">
      <c r="A431" s="11"/>
      <c r="B431" s="11"/>
      <c r="C431" s="12"/>
      <c r="D431" s="17" t="str">
        <f>IFERROR(INDEX(المواد!$B$2:$B$319,MATCH(B431,المواد!$A$2:$A$319,0)),"")</f>
        <v/>
      </c>
      <c r="E431" s="11"/>
      <c r="F431" t="str">
        <f>IF(AND($A431&lt;&gt;"",COUNTIF($A$2:A431,$A431)=1),$A431,"")</f>
        <v/>
      </c>
      <c r="G431" t="str">
        <f>IF($F431&lt;&gt;"",SUMPRODUCT(($F$2:F431&lt;&gt;"")*1),"")</f>
        <v/>
      </c>
    </row>
    <row r="432" spans="1:7" ht="21.95" customHeight="1">
      <c r="A432" s="11"/>
      <c r="B432" s="11"/>
      <c r="C432" s="12"/>
      <c r="D432" s="17" t="str">
        <f>IFERROR(INDEX(المواد!$B$2:$B$319,MATCH(B432,المواد!$A$2:$A$319,0)),"")</f>
        <v/>
      </c>
      <c r="E432" s="11"/>
      <c r="F432" t="str">
        <f>IF(AND($A432&lt;&gt;"",COUNTIF($A$2:A432,$A432)=1),$A432,"")</f>
        <v/>
      </c>
      <c r="G432" t="str">
        <f>IF($F432&lt;&gt;"",SUMPRODUCT(($F$2:F432&lt;&gt;"")*1),"")</f>
        <v/>
      </c>
    </row>
    <row r="433" spans="1:7" ht="21.95" customHeight="1">
      <c r="A433" s="11"/>
      <c r="B433" s="11"/>
      <c r="C433" s="12"/>
      <c r="D433" s="17" t="str">
        <f>IFERROR(INDEX(المواد!$B$2:$B$319,MATCH(B433,المواد!$A$2:$A$319,0)),"")</f>
        <v/>
      </c>
      <c r="E433" s="11"/>
      <c r="F433" t="str">
        <f>IF(AND($A433&lt;&gt;"",COUNTIF($A$2:A433,$A433)=1),$A433,"")</f>
        <v/>
      </c>
      <c r="G433" t="str">
        <f>IF($F433&lt;&gt;"",SUMPRODUCT(($F$2:F433&lt;&gt;"")*1),"")</f>
        <v/>
      </c>
    </row>
    <row r="434" spans="1:7" ht="21.95" customHeight="1">
      <c r="A434" s="11"/>
      <c r="B434" s="11"/>
      <c r="C434" s="12"/>
      <c r="D434" s="17" t="str">
        <f>IFERROR(INDEX(المواد!$B$2:$B$319,MATCH(B434,المواد!$A$2:$A$319,0)),"")</f>
        <v/>
      </c>
      <c r="E434" s="11"/>
      <c r="F434" t="str">
        <f>IF(AND($A434&lt;&gt;"",COUNTIF($A$2:A434,$A434)=1),$A434,"")</f>
        <v/>
      </c>
      <c r="G434" t="str">
        <f>IF($F434&lt;&gt;"",SUMPRODUCT(($F$2:F434&lt;&gt;"")*1),"")</f>
        <v/>
      </c>
    </row>
    <row r="435" spans="1:7" ht="21.95" customHeight="1">
      <c r="A435" s="11"/>
      <c r="B435" s="11"/>
      <c r="C435" s="12"/>
      <c r="D435" s="17" t="str">
        <f>IFERROR(INDEX(المواد!$B$2:$B$319,MATCH(B435,المواد!$A$2:$A$319,0)),"")</f>
        <v/>
      </c>
      <c r="E435" s="11"/>
      <c r="F435" t="str">
        <f>IF(AND($A435&lt;&gt;"",COUNTIF($A$2:A435,$A435)=1),$A435,"")</f>
        <v/>
      </c>
      <c r="G435" t="str">
        <f>IF($F435&lt;&gt;"",SUMPRODUCT(($F$2:F435&lt;&gt;"")*1),"")</f>
        <v/>
      </c>
    </row>
    <row r="436" spans="1:7" ht="21.95" customHeight="1">
      <c r="A436" s="11"/>
      <c r="B436" s="11"/>
      <c r="C436" s="12"/>
      <c r="D436" s="17" t="str">
        <f>IFERROR(INDEX(المواد!$B$2:$B$319,MATCH(B436,المواد!$A$2:$A$319,0)),"")</f>
        <v/>
      </c>
      <c r="E436" s="11"/>
      <c r="F436" t="str">
        <f>IF(AND($A436&lt;&gt;"",COUNTIF($A$2:A436,$A436)=1),$A436,"")</f>
        <v/>
      </c>
      <c r="G436" t="str">
        <f>IF($F436&lt;&gt;"",SUMPRODUCT(($F$2:F436&lt;&gt;"")*1),"")</f>
        <v/>
      </c>
    </row>
    <row r="437" spans="1:7" ht="21.95" customHeight="1">
      <c r="A437" s="11"/>
      <c r="B437" s="11"/>
      <c r="C437" s="12"/>
      <c r="D437" s="17" t="str">
        <f>IFERROR(INDEX(المواد!$B$2:$B$319,MATCH(B437,المواد!$A$2:$A$319,0)),"")</f>
        <v/>
      </c>
      <c r="E437" s="11"/>
      <c r="F437" t="str">
        <f>IF(AND($A437&lt;&gt;"",COUNTIF($A$2:A437,$A437)=1),$A437,"")</f>
        <v/>
      </c>
      <c r="G437" t="str">
        <f>IF($F437&lt;&gt;"",SUMPRODUCT(($F$2:F437&lt;&gt;"")*1),"")</f>
        <v/>
      </c>
    </row>
    <row r="438" spans="1:7" ht="21.95" customHeight="1">
      <c r="A438" s="11"/>
      <c r="B438" s="11"/>
      <c r="C438" s="12"/>
      <c r="D438" s="17" t="str">
        <f>IFERROR(INDEX(المواد!$B$2:$B$319,MATCH(B438,المواد!$A$2:$A$319,0)),"")</f>
        <v/>
      </c>
      <c r="E438" s="11"/>
      <c r="F438" t="str">
        <f>IF(AND($A438&lt;&gt;"",COUNTIF($A$2:A438,$A438)=1),$A438,"")</f>
        <v/>
      </c>
      <c r="G438" t="str">
        <f>IF($F438&lt;&gt;"",SUMPRODUCT(($F$2:F438&lt;&gt;"")*1),"")</f>
        <v/>
      </c>
    </row>
    <row r="439" spans="1:7" ht="21.95" customHeight="1">
      <c r="A439" s="11"/>
      <c r="B439" s="11"/>
      <c r="C439" s="12"/>
      <c r="D439" s="17" t="str">
        <f>IFERROR(INDEX(المواد!$B$2:$B$319,MATCH(B439,المواد!$A$2:$A$319,0)),"")</f>
        <v/>
      </c>
      <c r="E439" s="11"/>
      <c r="F439" t="str">
        <f>IF(AND($A439&lt;&gt;"",COUNTIF($A$2:A439,$A439)=1),$A439,"")</f>
        <v/>
      </c>
      <c r="G439" t="str">
        <f>IF($F439&lt;&gt;"",SUMPRODUCT(($F$2:F439&lt;&gt;"")*1),"")</f>
        <v/>
      </c>
    </row>
    <row r="440" spans="1:7" ht="21.95" customHeight="1">
      <c r="A440" s="11"/>
      <c r="B440" s="11"/>
      <c r="C440" s="12"/>
      <c r="D440" s="17" t="str">
        <f>IFERROR(INDEX(المواد!$B$2:$B$319,MATCH(B440,المواد!$A$2:$A$319,0)),"")</f>
        <v/>
      </c>
      <c r="E440" s="11"/>
      <c r="F440" t="str">
        <f>IF(AND($A440&lt;&gt;"",COUNTIF($A$2:A440,$A440)=1),$A440,"")</f>
        <v/>
      </c>
      <c r="G440" t="str">
        <f>IF($F440&lt;&gt;"",SUMPRODUCT(($F$2:F440&lt;&gt;"")*1),"")</f>
        <v/>
      </c>
    </row>
    <row r="441" spans="1:7" ht="21.95" customHeight="1">
      <c r="A441" s="11"/>
      <c r="B441" s="11"/>
      <c r="C441" s="12"/>
      <c r="D441" s="17" t="str">
        <f>IFERROR(INDEX(المواد!$B$2:$B$319,MATCH(B441,المواد!$A$2:$A$319,0)),"")</f>
        <v/>
      </c>
      <c r="E441" s="11"/>
      <c r="F441" t="str">
        <f>IF(AND($A441&lt;&gt;"",COUNTIF($A$2:A441,$A441)=1),$A441,"")</f>
        <v/>
      </c>
      <c r="G441" t="str">
        <f>IF($F441&lt;&gt;"",SUMPRODUCT(($F$2:F441&lt;&gt;"")*1),"")</f>
        <v/>
      </c>
    </row>
    <row r="442" spans="1:7" ht="21.95" customHeight="1">
      <c r="A442" s="11"/>
      <c r="B442" s="11"/>
      <c r="C442" s="12"/>
      <c r="D442" s="17" t="str">
        <f>IFERROR(INDEX(المواد!$B$2:$B$319,MATCH(B442,المواد!$A$2:$A$319,0)),"")</f>
        <v/>
      </c>
      <c r="E442" s="11"/>
      <c r="F442" t="str">
        <f>IF(AND($A442&lt;&gt;"",COUNTIF($A$2:A442,$A442)=1),$A442,"")</f>
        <v/>
      </c>
      <c r="G442" t="str">
        <f>IF($F442&lt;&gt;"",SUMPRODUCT(($F$2:F442&lt;&gt;"")*1),"")</f>
        <v/>
      </c>
    </row>
    <row r="443" spans="1:7" ht="21.95" customHeight="1">
      <c r="A443" s="11"/>
      <c r="B443" s="11"/>
      <c r="C443" s="12"/>
      <c r="D443" s="17" t="str">
        <f>IFERROR(INDEX(المواد!$B$2:$B$319,MATCH(B443,المواد!$A$2:$A$319,0)),"")</f>
        <v/>
      </c>
      <c r="E443" s="11"/>
      <c r="F443" t="str">
        <f>IF(AND($A443&lt;&gt;"",COUNTIF($A$2:A443,$A443)=1),$A443,"")</f>
        <v/>
      </c>
      <c r="G443" t="str">
        <f>IF($F443&lt;&gt;"",SUMPRODUCT(($F$2:F443&lt;&gt;"")*1),"")</f>
        <v/>
      </c>
    </row>
    <row r="444" spans="1:7" ht="21.95" customHeight="1">
      <c r="A444" s="11"/>
      <c r="B444" s="11"/>
      <c r="C444" s="12"/>
      <c r="D444" s="17" t="str">
        <f>IFERROR(INDEX(المواد!$B$2:$B$319,MATCH(B444,المواد!$A$2:$A$319,0)),"")</f>
        <v/>
      </c>
      <c r="E444" s="11"/>
      <c r="F444" t="str">
        <f>IF(AND($A444&lt;&gt;"",COUNTIF($A$2:A444,$A444)=1),$A444,"")</f>
        <v/>
      </c>
      <c r="G444" t="str">
        <f>IF($F444&lt;&gt;"",SUMPRODUCT(($F$2:F444&lt;&gt;"")*1),"")</f>
        <v/>
      </c>
    </row>
    <row r="445" spans="1:7" ht="21.95" customHeight="1">
      <c r="A445" s="11"/>
      <c r="B445" s="11"/>
      <c r="C445" s="12"/>
      <c r="D445" s="17" t="str">
        <f>IFERROR(INDEX(المواد!$B$2:$B$319,MATCH(B445,المواد!$A$2:$A$319,0)),"")</f>
        <v/>
      </c>
      <c r="E445" s="11"/>
      <c r="F445" t="str">
        <f>IF(AND($A445&lt;&gt;"",COUNTIF($A$2:A445,$A445)=1),$A445,"")</f>
        <v/>
      </c>
      <c r="G445" t="str">
        <f>IF($F445&lt;&gt;"",SUMPRODUCT(($F$2:F445&lt;&gt;"")*1),"")</f>
        <v/>
      </c>
    </row>
    <row r="446" spans="1:7" ht="21.95" customHeight="1">
      <c r="A446" s="11"/>
      <c r="B446" s="11"/>
      <c r="C446" s="12"/>
      <c r="D446" s="17" t="str">
        <f>IFERROR(INDEX(المواد!$B$2:$B$319,MATCH(B446,المواد!$A$2:$A$319,0)),"")</f>
        <v/>
      </c>
      <c r="E446" s="11"/>
      <c r="F446" t="str">
        <f>IF(AND($A446&lt;&gt;"",COUNTIF($A$2:A446,$A446)=1),$A446,"")</f>
        <v/>
      </c>
      <c r="G446" t="str">
        <f>IF($F446&lt;&gt;"",SUMPRODUCT(($F$2:F446&lt;&gt;"")*1),"")</f>
        <v/>
      </c>
    </row>
    <row r="447" spans="1:7" ht="21.95" customHeight="1">
      <c r="A447" s="11"/>
      <c r="B447" s="11"/>
      <c r="C447" s="12"/>
      <c r="D447" s="17" t="str">
        <f>IFERROR(INDEX(المواد!$B$2:$B$319,MATCH(B447,المواد!$A$2:$A$319,0)),"")</f>
        <v/>
      </c>
      <c r="E447" s="11"/>
      <c r="F447" t="str">
        <f>IF(AND($A447&lt;&gt;"",COUNTIF($A$2:A447,$A447)=1),$A447,"")</f>
        <v/>
      </c>
      <c r="G447" t="str">
        <f>IF($F447&lt;&gt;"",SUMPRODUCT(($F$2:F447&lt;&gt;"")*1),"")</f>
        <v/>
      </c>
    </row>
    <row r="448" spans="1:7" ht="21.95" customHeight="1">
      <c r="A448" s="11"/>
      <c r="B448" s="11"/>
      <c r="C448" s="12"/>
      <c r="D448" s="17" t="str">
        <f>IFERROR(INDEX(المواد!$B$2:$B$319,MATCH(B448,المواد!$A$2:$A$319,0)),"")</f>
        <v/>
      </c>
      <c r="E448" s="11"/>
      <c r="F448" t="str">
        <f>IF(AND($A448&lt;&gt;"",COUNTIF($A$2:A448,$A448)=1),$A448,"")</f>
        <v/>
      </c>
      <c r="G448" t="str">
        <f>IF($F448&lt;&gt;"",SUMPRODUCT(($F$2:F448&lt;&gt;"")*1),"")</f>
        <v/>
      </c>
    </row>
    <row r="449" spans="1:7" ht="21.95" customHeight="1">
      <c r="A449" s="11"/>
      <c r="B449" s="11"/>
      <c r="C449" s="12"/>
      <c r="D449" s="17" t="str">
        <f>IFERROR(INDEX(المواد!$B$2:$B$319,MATCH(B449,المواد!$A$2:$A$319,0)),"")</f>
        <v/>
      </c>
      <c r="E449" s="11"/>
      <c r="F449" t="str">
        <f>IF(AND($A449&lt;&gt;"",COUNTIF($A$2:A449,$A449)=1),$A449,"")</f>
        <v/>
      </c>
      <c r="G449" t="str">
        <f>IF($F449&lt;&gt;"",SUMPRODUCT(($F$2:F449&lt;&gt;"")*1),"")</f>
        <v/>
      </c>
    </row>
    <row r="450" spans="1:7" ht="21.95" customHeight="1">
      <c r="A450" s="11"/>
      <c r="B450" s="11"/>
      <c r="C450" s="12"/>
      <c r="D450" s="17" t="str">
        <f>IFERROR(INDEX(المواد!$B$2:$B$319,MATCH(B450,المواد!$A$2:$A$319,0)),"")</f>
        <v/>
      </c>
      <c r="E450" s="11"/>
      <c r="F450" t="str">
        <f>IF(AND($A450&lt;&gt;"",COUNTIF($A$2:A450,$A450)=1),$A450,"")</f>
        <v/>
      </c>
      <c r="G450" t="str">
        <f>IF($F450&lt;&gt;"",SUMPRODUCT(($F$2:F450&lt;&gt;"")*1),"")</f>
        <v/>
      </c>
    </row>
    <row r="451" spans="1:7" ht="21.95" customHeight="1">
      <c r="A451" s="11"/>
      <c r="B451" s="11"/>
      <c r="C451" s="12"/>
      <c r="D451" s="17" t="str">
        <f>IFERROR(INDEX(المواد!$B$2:$B$319,MATCH(B451,المواد!$A$2:$A$319,0)),"")</f>
        <v/>
      </c>
      <c r="E451" s="11"/>
      <c r="F451" t="str">
        <f>IF(AND($A451&lt;&gt;"",COUNTIF($A$2:A451,$A451)=1),$A451,"")</f>
        <v/>
      </c>
      <c r="G451" t="str">
        <f>IF($F451&lt;&gt;"",SUMPRODUCT(($F$2:F451&lt;&gt;"")*1),"")</f>
        <v/>
      </c>
    </row>
    <row r="452" spans="1:7" ht="21.95" customHeight="1">
      <c r="A452" s="11"/>
      <c r="B452" s="11"/>
      <c r="C452" s="12"/>
      <c r="D452" s="17" t="str">
        <f>IFERROR(INDEX(المواد!$B$2:$B$319,MATCH(B452,المواد!$A$2:$A$319,0)),"")</f>
        <v/>
      </c>
      <c r="E452" s="11"/>
      <c r="F452" t="str">
        <f>IF(AND($A452&lt;&gt;"",COUNTIF($A$2:A452,$A452)=1),$A452,"")</f>
        <v/>
      </c>
      <c r="G452" t="str">
        <f>IF($F452&lt;&gt;"",SUMPRODUCT(($F$2:F452&lt;&gt;"")*1),"")</f>
        <v/>
      </c>
    </row>
    <row r="453" spans="1:7" ht="21.95" customHeight="1">
      <c r="A453" s="11"/>
      <c r="B453" s="11"/>
      <c r="C453" s="12"/>
      <c r="D453" s="17" t="str">
        <f>IFERROR(INDEX(المواد!$B$2:$B$319,MATCH(B453,المواد!$A$2:$A$319,0)),"")</f>
        <v/>
      </c>
      <c r="E453" s="11"/>
      <c r="F453" t="str">
        <f>IF(AND($A453&lt;&gt;"",COUNTIF($A$2:A453,$A453)=1),$A453,"")</f>
        <v/>
      </c>
      <c r="G453" t="str">
        <f>IF($F453&lt;&gt;"",SUMPRODUCT(($F$2:F453&lt;&gt;"")*1),"")</f>
        <v/>
      </c>
    </row>
    <row r="454" spans="1:7" ht="21.95" customHeight="1">
      <c r="A454" s="11"/>
      <c r="B454" s="11"/>
      <c r="C454" s="12"/>
      <c r="D454" s="17" t="str">
        <f>IFERROR(INDEX(المواد!$B$2:$B$319,MATCH(B454,المواد!$A$2:$A$319,0)),"")</f>
        <v/>
      </c>
      <c r="E454" s="11"/>
      <c r="F454" t="str">
        <f>IF(AND($A454&lt;&gt;"",COUNTIF($A$2:A454,$A454)=1),$A454,"")</f>
        <v/>
      </c>
      <c r="G454" t="str">
        <f>IF($F454&lt;&gt;"",SUMPRODUCT(($F$2:F454&lt;&gt;"")*1),"")</f>
        <v/>
      </c>
    </row>
    <row r="455" spans="1:7" ht="21.95" customHeight="1">
      <c r="A455" s="11"/>
      <c r="B455" s="11"/>
      <c r="C455" s="12"/>
      <c r="D455" s="17" t="str">
        <f>IFERROR(INDEX(المواد!$B$2:$B$319,MATCH(B455,المواد!$A$2:$A$319,0)),"")</f>
        <v/>
      </c>
      <c r="E455" s="11"/>
      <c r="F455" t="str">
        <f>IF(AND($A455&lt;&gt;"",COUNTIF($A$2:A455,$A455)=1),$A455,"")</f>
        <v/>
      </c>
      <c r="G455" t="str">
        <f>IF($F455&lt;&gt;"",SUMPRODUCT(($F$2:F455&lt;&gt;"")*1),"")</f>
        <v/>
      </c>
    </row>
    <row r="456" spans="1:7" ht="21.95" customHeight="1">
      <c r="A456" s="11"/>
      <c r="B456" s="11"/>
      <c r="C456" s="12"/>
      <c r="D456" s="17" t="str">
        <f>IFERROR(INDEX(المواد!$B$2:$B$319,MATCH(B456,المواد!$A$2:$A$319,0)),"")</f>
        <v/>
      </c>
      <c r="E456" s="11"/>
      <c r="F456" t="str">
        <f>IF(AND($A456&lt;&gt;"",COUNTIF($A$2:A456,$A456)=1),$A456,"")</f>
        <v/>
      </c>
      <c r="G456" t="str">
        <f>IF($F456&lt;&gt;"",SUMPRODUCT(($F$2:F456&lt;&gt;"")*1),"")</f>
        <v/>
      </c>
    </row>
    <row r="457" spans="1:7" ht="21.95" customHeight="1">
      <c r="A457" s="11"/>
      <c r="B457" s="11"/>
      <c r="C457" s="12"/>
      <c r="D457" s="17" t="str">
        <f>IFERROR(INDEX(المواد!$B$2:$B$319,MATCH(B457,المواد!$A$2:$A$319,0)),"")</f>
        <v/>
      </c>
      <c r="E457" s="11"/>
      <c r="F457" t="str">
        <f>IF(AND($A457&lt;&gt;"",COUNTIF($A$2:A457,$A457)=1),$A457,"")</f>
        <v/>
      </c>
      <c r="G457" t="str">
        <f>IF($F457&lt;&gt;"",SUMPRODUCT(($F$2:F457&lt;&gt;"")*1),"")</f>
        <v/>
      </c>
    </row>
    <row r="458" spans="1:7" ht="21.95" customHeight="1">
      <c r="A458" s="11"/>
      <c r="B458" s="11"/>
      <c r="C458" s="12"/>
      <c r="D458" s="17" t="str">
        <f>IFERROR(INDEX(المواد!$B$2:$B$319,MATCH(B458,المواد!$A$2:$A$319,0)),"")</f>
        <v/>
      </c>
      <c r="E458" s="11"/>
      <c r="F458" t="str">
        <f>IF(AND($A458&lt;&gt;"",COUNTIF($A$2:A458,$A458)=1),$A458,"")</f>
        <v/>
      </c>
      <c r="G458" t="str">
        <f>IF($F458&lt;&gt;"",SUMPRODUCT(($F$2:F458&lt;&gt;"")*1),"")</f>
        <v/>
      </c>
    </row>
    <row r="459" spans="1:7" ht="21.95" customHeight="1">
      <c r="A459" s="11"/>
      <c r="B459" s="11"/>
      <c r="C459" s="12"/>
      <c r="D459" s="17" t="str">
        <f>IFERROR(INDEX(المواد!$B$2:$B$319,MATCH(B459,المواد!$A$2:$A$319,0)),"")</f>
        <v/>
      </c>
      <c r="E459" s="11"/>
      <c r="F459" t="str">
        <f>IF(AND($A459&lt;&gt;"",COUNTIF($A$2:A459,$A459)=1),$A459,"")</f>
        <v/>
      </c>
      <c r="G459" t="str">
        <f>IF($F459&lt;&gt;"",SUMPRODUCT(($F$2:F459&lt;&gt;"")*1),"")</f>
        <v/>
      </c>
    </row>
    <row r="460" spans="1:7" ht="21.95" customHeight="1">
      <c r="A460" s="11"/>
      <c r="B460" s="11"/>
      <c r="C460" s="12"/>
      <c r="D460" s="17" t="str">
        <f>IFERROR(INDEX(المواد!$B$2:$B$319,MATCH(B460,المواد!$A$2:$A$319,0)),"")</f>
        <v/>
      </c>
      <c r="E460" s="11"/>
      <c r="F460" t="str">
        <f>IF(AND($A460&lt;&gt;"",COUNTIF($A$2:A460,$A460)=1),$A460,"")</f>
        <v/>
      </c>
      <c r="G460" t="str">
        <f>IF($F460&lt;&gt;"",SUMPRODUCT(($F$2:F460&lt;&gt;"")*1),"")</f>
        <v/>
      </c>
    </row>
    <row r="461" spans="1:7" ht="21.95" customHeight="1">
      <c r="A461" s="11"/>
      <c r="B461" s="11"/>
      <c r="C461" s="12"/>
      <c r="D461" s="17" t="str">
        <f>IFERROR(INDEX(المواد!$B$2:$B$319,MATCH(B461,المواد!$A$2:$A$319,0)),"")</f>
        <v/>
      </c>
      <c r="E461" s="11"/>
      <c r="F461" t="str">
        <f>IF(AND($A461&lt;&gt;"",COUNTIF($A$2:A461,$A461)=1),$A461,"")</f>
        <v/>
      </c>
      <c r="G461" t="str">
        <f>IF($F461&lt;&gt;"",SUMPRODUCT(($F$2:F461&lt;&gt;"")*1),"")</f>
        <v/>
      </c>
    </row>
    <row r="462" spans="1:7" ht="21.95" customHeight="1">
      <c r="A462" s="11"/>
      <c r="B462" s="11"/>
      <c r="C462" s="12"/>
      <c r="D462" s="17" t="str">
        <f>IFERROR(INDEX(المواد!$B$2:$B$319,MATCH(B462,المواد!$A$2:$A$319,0)),"")</f>
        <v/>
      </c>
      <c r="E462" s="11"/>
      <c r="F462" t="str">
        <f>IF(AND($A462&lt;&gt;"",COUNTIF($A$2:A462,$A462)=1),$A462,"")</f>
        <v/>
      </c>
      <c r="G462" t="str">
        <f>IF($F462&lt;&gt;"",SUMPRODUCT(($F$2:F462&lt;&gt;"")*1),"")</f>
        <v/>
      </c>
    </row>
    <row r="463" spans="1:7" ht="21.95" customHeight="1">
      <c r="A463" s="11"/>
      <c r="B463" s="11"/>
      <c r="C463" s="12"/>
      <c r="D463" s="17" t="str">
        <f>IFERROR(INDEX(المواد!$B$2:$B$319,MATCH(B463,المواد!$A$2:$A$319,0)),"")</f>
        <v/>
      </c>
      <c r="E463" s="11"/>
      <c r="F463" t="str">
        <f>IF(AND($A463&lt;&gt;"",COUNTIF($A$2:A463,$A463)=1),$A463,"")</f>
        <v/>
      </c>
      <c r="G463" t="str">
        <f>IF($F463&lt;&gt;"",SUMPRODUCT(($F$2:F463&lt;&gt;"")*1),"")</f>
        <v/>
      </c>
    </row>
    <row r="464" spans="1:7" ht="21.95" customHeight="1">
      <c r="A464" s="11"/>
      <c r="B464" s="11"/>
      <c r="C464" s="12"/>
      <c r="D464" s="17" t="str">
        <f>IFERROR(INDEX(المواد!$B$2:$B$319,MATCH(B464,المواد!$A$2:$A$319,0)),"")</f>
        <v/>
      </c>
      <c r="E464" s="11"/>
      <c r="F464" t="str">
        <f>IF(AND($A464&lt;&gt;"",COUNTIF($A$2:A464,$A464)=1),$A464,"")</f>
        <v/>
      </c>
      <c r="G464" t="str">
        <f>IF($F464&lt;&gt;"",SUMPRODUCT(($F$2:F464&lt;&gt;"")*1),"")</f>
        <v/>
      </c>
    </row>
    <row r="465" spans="1:7" ht="21.95" customHeight="1">
      <c r="A465" s="11"/>
      <c r="B465" s="11"/>
      <c r="C465" s="12"/>
      <c r="D465" s="17" t="str">
        <f>IFERROR(INDEX(المواد!$B$2:$B$319,MATCH(B465,المواد!$A$2:$A$319,0)),"")</f>
        <v/>
      </c>
      <c r="E465" s="11"/>
      <c r="F465" t="str">
        <f>IF(AND($A465&lt;&gt;"",COUNTIF($A$2:A465,$A465)=1),$A465,"")</f>
        <v/>
      </c>
      <c r="G465" t="str">
        <f>IF($F465&lt;&gt;"",SUMPRODUCT(($F$2:F465&lt;&gt;"")*1),"")</f>
        <v/>
      </c>
    </row>
    <row r="466" spans="1:7" ht="21.95" customHeight="1">
      <c r="A466" s="11"/>
      <c r="B466" s="11"/>
      <c r="C466" s="12"/>
      <c r="D466" s="17" t="str">
        <f>IFERROR(INDEX(المواد!$B$2:$B$319,MATCH(B466,المواد!$A$2:$A$319,0)),"")</f>
        <v/>
      </c>
      <c r="E466" s="11"/>
      <c r="F466" t="str">
        <f>IF(AND($A466&lt;&gt;"",COUNTIF($A$2:A466,$A466)=1),$A466,"")</f>
        <v/>
      </c>
      <c r="G466" t="str">
        <f>IF($F466&lt;&gt;"",SUMPRODUCT(($F$2:F466&lt;&gt;"")*1),"")</f>
        <v/>
      </c>
    </row>
    <row r="467" spans="1:7" ht="21.95" customHeight="1">
      <c r="A467" s="11"/>
      <c r="B467" s="11"/>
      <c r="C467" s="12"/>
      <c r="D467" s="17" t="str">
        <f>IFERROR(INDEX(المواد!$B$2:$B$319,MATCH(B467,المواد!$A$2:$A$319,0)),"")</f>
        <v/>
      </c>
      <c r="E467" s="11"/>
      <c r="F467" t="str">
        <f>IF(AND($A467&lt;&gt;"",COUNTIF($A$2:A467,$A467)=1),$A467,"")</f>
        <v/>
      </c>
      <c r="G467" t="str">
        <f>IF($F467&lt;&gt;"",SUMPRODUCT(($F$2:F467&lt;&gt;"")*1),"")</f>
        <v/>
      </c>
    </row>
    <row r="468" spans="1:7" ht="21.95" customHeight="1">
      <c r="A468" s="11"/>
      <c r="B468" s="11"/>
      <c r="C468" s="12"/>
      <c r="D468" s="17" t="str">
        <f>IFERROR(INDEX(المواد!$B$2:$B$319,MATCH(B468,المواد!$A$2:$A$319,0)),"")</f>
        <v/>
      </c>
      <c r="E468" s="11"/>
      <c r="F468" t="str">
        <f>IF(AND($A468&lt;&gt;"",COUNTIF($A$2:A468,$A468)=1),$A468,"")</f>
        <v/>
      </c>
      <c r="G468" t="str">
        <f>IF($F468&lt;&gt;"",SUMPRODUCT(($F$2:F468&lt;&gt;"")*1),"")</f>
        <v/>
      </c>
    </row>
    <row r="469" spans="1:7" ht="21.95" customHeight="1">
      <c r="A469" s="11"/>
      <c r="B469" s="11"/>
      <c r="C469" s="12"/>
      <c r="D469" s="17" t="str">
        <f>IFERROR(INDEX(المواد!$B$2:$B$319,MATCH(B469,المواد!$A$2:$A$319,0)),"")</f>
        <v/>
      </c>
      <c r="E469" s="11"/>
      <c r="F469" t="str">
        <f>IF(AND($A469&lt;&gt;"",COUNTIF($A$2:A469,$A469)=1),$A469,"")</f>
        <v/>
      </c>
      <c r="G469" t="str">
        <f>IF($F469&lt;&gt;"",SUMPRODUCT(($F$2:F469&lt;&gt;"")*1),"")</f>
        <v/>
      </c>
    </row>
    <row r="470" spans="1:7" ht="21.95" customHeight="1">
      <c r="A470" s="11"/>
      <c r="B470" s="11"/>
      <c r="C470" s="12"/>
      <c r="D470" s="17" t="str">
        <f>IFERROR(INDEX(المواد!$B$2:$B$319,MATCH(B470,المواد!$A$2:$A$319,0)),"")</f>
        <v/>
      </c>
      <c r="E470" s="11"/>
      <c r="F470" t="str">
        <f>IF(AND($A470&lt;&gt;"",COUNTIF($A$2:A470,$A470)=1),$A470,"")</f>
        <v/>
      </c>
      <c r="G470" t="str">
        <f>IF($F470&lt;&gt;"",SUMPRODUCT(($F$2:F470&lt;&gt;"")*1),"")</f>
        <v/>
      </c>
    </row>
    <row r="471" spans="1:7" ht="21.95" customHeight="1">
      <c r="A471" s="11"/>
      <c r="B471" s="11"/>
      <c r="C471" s="12"/>
      <c r="D471" s="17" t="str">
        <f>IFERROR(INDEX(المواد!$B$2:$B$319,MATCH(B471,المواد!$A$2:$A$319,0)),"")</f>
        <v/>
      </c>
      <c r="E471" s="11"/>
      <c r="F471" t="str">
        <f>IF(AND($A471&lt;&gt;"",COUNTIF($A$2:A471,$A471)=1),$A471,"")</f>
        <v/>
      </c>
      <c r="G471" t="str">
        <f>IF($F471&lt;&gt;"",SUMPRODUCT(($F$2:F471&lt;&gt;"")*1),"")</f>
        <v/>
      </c>
    </row>
    <row r="472" spans="1:7" ht="21.95" customHeight="1">
      <c r="A472" s="11"/>
      <c r="B472" s="11"/>
      <c r="C472" s="12"/>
      <c r="D472" s="17" t="str">
        <f>IFERROR(INDEX(المواد!$B$2:$B$319,MATCH(B472,المواد!$A$2:$A$319,0)),"")</f>
        <v/>
      </c>
      <c r="E472" s="11"/>
      <c r="F472" t="str">
        <f>IF(AND($A472&lt;&gt;"",COUNTIF($A$2:A472,$A472)=1),$A472,"")</f>
        <v/>
      </c>
      <c r="G472" t="str">
        <f>IF($F472&lt;&gt;"",SUMPRODUCT(($F$2:F472&lt;&gt;"")*1),"")</f>
        <v/>
      </c>
    </row>
    <row r="473" spans="1:7" ht="21.95" customHeight="1">
      <c r="A473" s="11"/>
      <c r="B473" s="11"/>
      <c r="C473" s="12"/>
      <c r="D473" s="17" t="str">
        <f>IFERROR(INDEX(المواد!$B$2:$B$319,MATCH(B473,المواد!$A$2:$A$319,0)),"")</f>
        <v/>
      </c>
      <c r="E473" s="11"/>
      <c r="F473" t="str">
        <f>IF(AND($A473&lt;&gt;"",COUNTIF($A$2:A473,$A473)=1),$A473,"")</f>
        <v/>
      </c>
      <c r="G473" t="str">
        <f>IF($F473&lt;&gt;"",SUMPRODUCT(($F$2:F473&lt;&gt;"")*1),"")</f>
        <v/>
      </c>
    </row>
    <row r="474" spans="1:7" ht="21.95" customHeight="1">
      <c r="A474" s="11"/>
      <c r="B474" s="11"/>
      <c r="C474" s="12"/>
      <c r="D474" s="17" t="str">
        <f>IFERROR(INDEX(المواد!$B$2:$B$319,MATCH(B474,المواد!$A$2:$A$319,0)),"")</f>
        <v/>
      </c>
      <c r="E474" s="11"/>
      <c r="F474" t="str">
        <f>IF(AND($A474&lt;&gt;"",COUNTIF($A$2:A474,$A474)=1),$A474,"")</f>
        <v/>
      </c>
      <c r="G474" t="str">
        <f>IF($F474&lt;&gt;"",SUMPRODUCT(($F$2:F474&lt;&gt;"")*1),"")</f>
        <v/>
      </c>
    </row>
    <row r="475" spans="1:7" ht="21.95" customHeight="1">
      <c r="A475" s="11"/>
      <c r="B475" s="11"/>
      <c r="C475" s="12"/>
      <c r="D475" s="17" t="str">
        <f>IFERROR(INDEX(المواد!$B$2:$B$319,MATCH(B475,المواد!$A$2:$A$319,0)),"")</f>
        <v/>
      </c>
      <c r="E475" s="11"/>
      <c r="F475" t="str">
        <f>IF(AND($A475&lt;&gt;"",COUNTIF($A$2:A475,$A475)=1),$A475,"")</f>
        <v/>
      </c>
      <c r="G475" t="str">
        <f>IF($F475&lt;&gt;"",SUMPRODUCT(($F$2:F475&lt;&gt;"")*1),"")</f>
        <v/>
      </c>
    </row>
    <row r="476" spans="1:7" ht="21.95" customHeight="1">
      <c r="A476" s="11"/>
      <c r="B476" s="11"/>
      <c r="C476" s="12"/>
      <c r="D476" s="17" t="str">
        <f>IFERROR(INDEX(المواد!$B$2:$B$319,MATCH(B476,المواد!$A$2:$A$319,0)),"")</f>
        <v/>
      </c>
      <c r="E476" s="11"/>
      <c r="F476" t="str">
        <f>IF(AND($A476&lt;&gt;"",COUNTIF($A$2:A476,$A476)=1),$A476,"")</f>
        <v/>
      </c>
      <c r="G476" t="str">
        <f>IF($F476&lt;&gt;"",SUMPRODUCT(($F$2:F476&lt;&gt;"")*1),"")</f>
        <v/>
      </c>
    </row>
    <row r="477" spans="1:7" ht="21.95" customHeight="1">
      <c r="A477" s="11"/>
      <c r="B477" s="11"/>
      <c r="C477" s="12"/>
      <c r="D477" s="17" t="str">
        <f>IFERROR(INDEX(المواد!$B$2:$B$319,MATCH(B477,المواد!$A$2:$A$319,0)),"")</f>
        <v/>
      </c>
      <c r="E477" s="11"/>
      <c r="F477" t="str">
        <f>IF(AND($A477&lt;&gt;"",COUNTIF($A$2:A477,$A477)=1),$A477,"")</f>
        <v/>
      </c>
      <c r="G477" t="str">
        <f>IF($F477&lt;&gt;"",SUMPRODUCT(($F$2:F477&lt;&gt;"")*1),"")</f>
        <v/>
      </c>
    </row>
    <row r="478" spans="1:7" ht="21.95" customHeight="1">
      <c r="A478" s="11"/>
      <c r="B478" s="11"/>
      <c r="C478" s="12"/>
      <c r="D478" s="17" t="str">
        <f>IFERROR(INDEX(المواد!$B$2:$B$319,MATCH(B478,المواد!$A$2:$A$319,0)),"")</f>
        <v/>
      </c>
      <c r="E478" s="11"/>
      <c r="F478" t="str">
        <f>IF(AND($A478&lt;&gt;"",COUNTIF($A$2:A478,$A478)=1),$A478,"")</f>
        <v/>
      </c>
      <c r="G478" t="str">
        <f>IF($F478&lt;&gt;"",SUMPRODUCT(($F$2:F478&lt;&gt;"")*1),"")</f>
        <v/>
      </c>
    </row>
    <row r="479" spans="1:7" ht="21.95" customHeight="1">
      <c r="A479" s="11"/>
      <c r="B479" s="11"/>
      <c r="C479" s="12"/>
      <c r="D479" s="17" t="str">
        <f>IFERROR(INDEX(المواد!$B$2:$B$319,MATCH(B479,المواد!$A$2:$A$319,0)),"")</f>
        <v/>
      </c>
      <c r="E479" s="11"/>
      <c r="F479" t="str">
        <f>IF(AND($A479&lt;&gt;"",COUNTIF($A$2:A479,$A479)=1),$A479,"")</f>
        <v/>
      </c>
      <c r="G479" t="str">
        <f>IF($F479&lt;&gt;"",SUMPRODUCT(($F$2:F479&lt;&gt;"")*1),"")</f>
        <v/>
      </c>
    </row>
    <row r="480" spans="1:7" ht="21.95" customHeight="1">
      <c r="A480" s="11"/>
      <c r="B480" s="11"/>
      <c r="C480" s="12"/>
      <c r="D480" s="17" t="str">
        <f>IFERROR(INDEX(المواد!$B$2:$B$319,MATCH(B480,المواد!$A$2:$A$319,0)),"")</f>
        <v/>
      </c>
      <c r="E480" s="11"/>
      <c r="F480" t="str">
        <f>IF(AND($A480&lt;&gt;"",COUNTIF($A$2:A480,$A480)=1),$A480,"")</f>
        <v/>
      </c>
      <c r="G480" t="str">
        <f>IF($F480&lt;&gt;"",SUMPRODUCT(($F$2:F480&lt;&gt;"")*1),"")</f>
        <v/>
      </c>
    </row>
    <row r="481" spans="1:7" ht="21.95" customHeight="1">
      <c r="A481" s="11"/>
      <c r="B481" s="11"/>
      <c r="C481" s="12"/>
      <c r="D481" s="17" t="str">
        <f>IFERROR(INDEX(المواد!$B$2:$B$319,MATCH(B481,المواد!$A$2:$A$319,0)),"")</f>
        <v/>
      </c>
      <c r="E481" s="11"/>
      <c r="F481" t="str">
        <f>IF(AND($A481&lt;&gt;"",COUNTIF($A$2:A481,$A481)=1),$A481,"")</f>
        <v/>
      </c>
      <c r="G481" t="str">
        <f>IF($F481&lt;&gt;"",SUMPRODUCT(($F$2:F481&lt;&gt;"")*1),"")</f>
        <v/>
      </c>
    </row>
    <row r="482" spans="1:7" ht="21.95" customHeight="1">
      <c r="A482" s="11"/>
      <c r="B482" s="11"/>
      <c r="C482" s="12"/>
      <c r="D482" s="17" t="str">
        <f>IFERROR(INDEX(المواد!$B$2:$B$319,MATCH(B482,المواد!$A$2:$A$319,0)),"")</f>
        <v/>
      </c>
      <c r="E482" s="11"/>
      <c r="F482" t="str">
        <f>IF(AND($A482&lt;&gt;"",COUNTIF($A$2:A482,$A482)=1),$A482,"")</f>
        <v/>
      </c>
      <c r="G482" t="str">
        <f>IF($F482&lt;&gt;"",SUMPRODUCT(($F$2:F482&lt;&gt;"")*1),"")</f>
        <v/>
      </c>
    </row>
    <row r="483" spans="1:7" ht="21.95" customHeight="1">
      <c r="A483" s="11"/>
      <c r="B483" s="11"/>
      <c r="C483" s="12"/>
      <c r="D483" s="17" t="str">
        <f>IFERROR(INDEX(المواد!$B$2:$B$319,MATCH(B483,المواد!$A$2:$A$319,0)),"")</f>
        <v/>
      </c>
      <c r="E483" s="11"/>
      <c r="F483" t="str">
        <f>IF(AND($A483&lt;&gt;"",COUNTIF($A$2:A483,$A483)=1),$A483,"")</f>
        <v/>
      </c>
      <c r="G483" t="str">
        <f>IF($F483&lt;&gt;"",SUMPRODUCT(($F$2:F483&lt;&gt;"")*1),"")</f>
        <v/>
      </c>
    </row>
    <row r="484" spans="1:7" ht="21.95" customHeight="1">
      <c r="A484" s="11"/>
      <c r="B484" s="11"/>
      <c r="C484" s="12"/>
      <c r="D484" s="17" t="str">
        <f>IFERROR(INDEX(المواد!$B$2:$B$319,MATCH(B484,المواد!$A$2:$A$319,0)),"")</f>
        <v/>
      </c>
      <c r="E484" s="11"/>
      <c r="F484" t="str">
        <f>IF(AND($A484&lt;&gt;"",COUNTIF($A$2:A484,$A484)=1),$A484,"")</f>
        <v/>
      </c>
      <c r="G484" t="str">
        <f>IF($F484&lt;&gt;"",SUMPRODUCT(($F$2:F484&lt;&gt;"")*1),"")</f>
        <v/>
      </c>
    </row>
    <row r="485" spans="1:7" ht="21.95" customHeight="1">
      <c r="A485" s="11"/>
      <c r="B485" s="11"/>
      <c r="C485" s="12"/>
      <c r="D485" s="17" t="str">
        <f>IFERROR(INDEX(المواد!$B$2:$B$319,MATCH(B485,المواد!$A$2:$A$319,0)),"")</f>
        <v/>
      </c>
      <c r="E485" s="11"/>
      <c r="F485" t="str">
        <f>IF(AND($A485&lt;&gt;"",COUNTIF($A$2:A485,$A485)=1),$A485,"")</f>
        <v/>
      </c>
      <c r="G485" t="str">
        <f>IF($F485&lt;&gt;"",SUMPRODUCT(($F$2:F485&lt;&gt;"")*1),"")</f>
        <v/>
      </c>
    </row>
    <row r="486" spans="1:7" ht="21.95" customHeight="1">
      <c r="A486" s="11"/>
      <c r="B486" s="11"/>
      <c r="C486" s="12"/>
      <c r="D486" s="17" t="str">
        <f>IFERROR(INDEX(المواد!$B$2:$B$319,MATCH(B486,المواد!$A$2:$A$319,0)),"")</f>
        <v/>
      </c>
      <c r="E486" s="11"/>
      <c r="F486" t="str">
        <f>IF(AND($A486&lt;&gt;"",COUNTIF($A$2:A486,$A486)=1),$A486,"")</f>
        <v/>
      </c>
      <c r="G486" t="str">
        <f>IF($F486&lt;&gt;"",SUMPRODUCT(($F$2:F486&lt;&gt;"")*1),"")</f>
        <v/>
      </c>
    </row>
    <row r="487" spans="1:7" ht="21.95" customHeight="1">
      <c r="A487" s="11"/>
      <c r="B487" s="11"/>
      <c r="C487" s="12"/>
      <c r="D487" s="17" t="str">
        <f>IFERROR(INDEX(المواد!$B$2:$B$319,MATCH(B487,المواد!$A$2:$A$319,0)),"")</f>
        <v/>
      </c>
      <c r="E487" s="11"/>
      <c r="F487" t="str">
        <f>IF(AND($A487&lt;&gt;"",COUNTIF($A$2:A487,$A487)=1),$A487,"")</f>
        <v/>
      </c>
      <c r="G487" t="str">
        <f>IF($F487&lt;&gt;"",SUMPRODUCT(($F$2:F487&lt;&gt;"")*1),"")</f>
        <v/>
      </c>
    </row>
    <row r="488" spans="1:7" ht="21.95" customHeight="1">
      <c r="A488" s="11"/>
      <c r="B488" s="11"/>
      <c r="C488" s="12"/>
      <c r="D488" s="17" t="str">
        <f>IFERROR(INDEX(المواد!$B$2:$B$319,MATCH(B488,المواد!$A$2:$A$319,0)),"")</f>
        <v/>
      </c>
      <c r="E488" s="11"/>
      <c r="F488" t="str">
        <f>IF(AND($A488&lt;&gt;"",COUNTIF($A$2:A488,$A488)=1),$A488,"")</f>
        <v/>
      </c>
      <c r="G488" t="str">
        <f>IF($F488&lt;&gt;"",SUMPRODUCT(($F$2:F488&lt;&gt;"")*1),"")</f>
        <v/>
      </c>
    </row>
    <row r="489" spans="1:7" ht="21.95" customHeight="1">
      <c r="A489" s="11"/>
      <c r="B489" s="11"/>
      <c r="C489" s="12"/>
      <c r="D489" s="17" t="str">
        <f>IFERROR(INDEX(المواد!$B$2:$B$319,MATCH(B489,المواد!$A$2:$A$319,0)),"")</f>
        <v/>
      </c>
      <c r="E489" s="11"/>
      <c r="F489" t="str">
        <f>IF(AND($A489&lt;&gt;"",COUNTIF($A$2:A489,$A489)=1),$A489,"")</f>
        <v/>
      </c>
      <c r="G489" t="str">
        <f>IF($F489&lt;&gt;"",SUMPRODUCT(($F$2:F489&lt;&gt;"")*1),"")</f>
        <v/>
      </c>
    </row>
    <row r="490" spans="1:7" ht="21.95" customHeight="1">
      <c r="A490" s="11"/>
      <c r="B490" s="11"/>
      <c r="C490" s="12"/>
      <c r="D490" s="17" t="str">
        <f>IFERROR(INDEX(المواد!$B$2:$B$319,MATCH(B490,المواد!$A$2:$A$319,0)),"")</f>
        <v/>
      </c>
      <c r="E490" s="11"/>
      <c r="F490" t="str">
        <f>IF(AND($A490&lt;&gt;"",COUNTIF($A$2:A490,$A490)=1),$A490,"")</f>
        <v/>
      </c>
      <c r="G490" t="str">
        <f>IF($F490&lt;&gt;"",SUMPRODUCT(($F$2:F490&lt;&gt;"")*1),"")</f>
        <v/>
      </c>
    </row>
    <row r="491" spans="1:7" ht="21.95" customHeight="1">
      <c r="A491" s="11"/>
      <c r="B491" s="11"/>
      <c r="C491" s="12"/>
      <c r="D491" s="17" t="str">
        <f>IFERROR(INDEX(المواد!$B$2:$B$319,MATCH(B491,المواد!$A$2:$A$319,0)),"")</f>
        <v/>
      </c>
      <c r="E491" s="11"/>
      <c r="F491" t="str">
        <f>IF(AND($A491&lt;&gt;"",COUNTIF($A$2:A491,$A491)=1),$A491,"")</f>
        <v/>
      </c>
      <c r="G491" t="str">
        <f>IF($F491&lt;&gt;"",SUMPRODUCT(($F$2:F491&lt;&gt;"")*1),"")</f>
        <v/>
      </c>
    </row>
    <row r="492" spans="1:7" ht="21.95" customHeight="1">
      <c r="A492" s="11"/>
      <c r="B492" s="11"/>
      <c r="C492" s="12"/>
      <c r="D492" s="17" t="str">
        <f>IFERROR(INDEX(المواد!$B$2:$B$319,MATCH(B492,المواد!$A$2:$A$319,0)),"")</f>
        <v/>
      </c>
      <c r="E492" s="11"/>
      <c r="F492" t="str">
        <f>IF(AND($A492&lt;&gt;"",COUNTIF($A$2:A492,$A492)=1),$A492,"")</f>
        <v/>
      </c>
      <c r="G492" t="str">
        <f>IF($F492&lt;&gt;"",SUMPRODUCT(($F$2:F492&lt;&gt;"")*1),"")</f>
        <v/>
      </c>
    </row>
    <row r="493" spans="1:7" ht="21.95" customHeight="1">
      <c r="A493" s="11"/>
      <c r="B493" s="11"/>
      <c r="C493" s="12"/>
      <c r="D493" s="17" t="str">
        <f>IFERROR(INDEX(المواد!$B$2:$B$319,MATCH(B493,المواد!$A$2:$A$319,0)),"")</f>
        <v/>
      </c>
      <c r="E493" s="11"/>
      <c r="F493" t="str">
        <f>IF(AND($A493&lt;&gt;"",COUNTIF($A$2:A493,$A493)=1),$A493,"")</f>
        <v/>
      </c>
      <c r="G493" t="str">
        <f>IF($F493&lt;&gt;"",SUMPRODUCT(($F$2:F493&lt;&gt;"")*1),"")</f>
        <v/>
      </c>
    </row>
    <row r="494" spans="1:7" ht="21.95" customHeight="1">
      <c r="A494" s="11"/>
      <c r="B494" s="11"/>
      <c r="C494" s="12"/>
      <c r="D494" s="17" t="str">
        <f>IFERROR(INDEX(المواد!$B$2:$B$319,MATCH(B494,المواد!$A$2:$A$319,0)),"")</f>
        <v/>
      </c>
      <c r="E494" s="11"/>
      <c r="F494" t="str">
        <f>IF(AND($A494&lt;&gt;"",COUNTIF($A$2:A494,$A494)=1),$A494,"")</f>
        <v/>
      </c>
      <c r="G494" t="str">
        <f>IF($F494&lt;&gt;"",SUMPRODUCT(($F$2:F494&lt;&gt;"")*1),"")</f>
        <v/>
      </c>
    </row>
    <row r="495" spans="1:7" ht="21.95" customHeight="1">
      <c r="A495" s="11"/>
      <c r="B495" s="11"/>
      <c r="C495" s="12"/>
      <c r="D495" s="17" t="str">
        <f>IFERROR(INDEX(المواد!$B$2:$B$319,MATCH(B495,المواد!$A$2:$A$319,0)),"")</f>
        <v/>
      </c>
      <c r="E495" s="11"/>
      <c r="F495" t="str">
        <f>IF(AND($A495&lt;&gt;"",COUNTIF($A$2:A495,$A495)=1),$A495,"")</f>
        <v/>
      </c>
      <c r="G495" t="str">
        <f>IF($F495&lt;&gt;"",SUMPRODUCT(($F$2:F495&lt;&gt;"")*1),"")</f>
        <v/>
      </c>
    </row>
    <row r="496" spans="1:7" ht="21.95" customHeight="1">
      <c r="A496" s="11"/>
      <c r="B496" s="11"/>
      <c r="C496" s="12"/>
      <c r="D496" s="17" t="str">
        <f>IFERROR(INDEX(المواد!$B$2:$B$319,MATCH(B496,المواد!$A$2:$A$319,0)),"")</f>
        <v/>
      </c>
      <c r="E496" s="11"/>
      <c r="F496" t="str">
        <f>IF(AND($A496&lt;&gt;"",COUNTIF($A$2:A496,$A496)=1),$A496,"")</f>
        <v/>
      </c>
      <c r="G496" t="str">
        <f>IF($F496&lt;&gt;"",SUMPRODUCT(($F$2:F496&lt;&gt;"")*1),"")</f>
        <v/>
      </c>
    </row>
    <row r="497" spans="1:7" ht="21.95" customHeight="1">
      <c r="A497" s="11"/>
      <c r="B497" s="11"/>
      <c r="C497" s="12"/>
      <c r="D497" s="17" t="str">
        <f>IFERROR(INDEX(المواد!$B$2:$B$319,MATCH(B497,المواد!$A$2:$A$319,0)),"")</f>
        <v/>
      </c>
      <c r="E497" s="11"/>
      <c r="F497" t="str">
        <f>IF(AND($A497&lt;&gt;"",COUNTIF($A$2:A497,$A497)=1),$A497,"")</f>
        <v/>
      </c>
      <c r="G497" t="str">
        <f>IF($F497&lt;&gt;"",SUMPRODUCT(($F$2:F497&lt;&gt;"")*1),"")</f>
        <v/>
      </c>
    </row>
    <row r="498" spans="1:7" ht="21.95" customHeight="1">
      <c r="A498" s="11"/>
      <c r="B498" s="11"/>
      <c r="C498" s="12"/>
      <c r="D498" s="17" t="str">
        <f>IFERROR(INDEX(المواد!$B$2:$B$319,MATCH(B498,المواد!$A$2:$A$319,0)),"")</f>
        <v/>
      </c>
      <c r="E498" s="11"/>
      <c r="F498" t="str">
        <f>IF(AND($A498&lt;&gt;"",COUNTIF($A$2:A498,$A498)=1),$A498,"")</f>
        <v/>
      </c>
      <c r="G498" t="str">
        <f>IF($F498&lt;&gt;"",SUMPRODUCT(($F$2:F498&lt;&gt;"")*1),"")</f>
        <v/>
      </c>
    </row>
    <row r="499" spans="1:7" ht="21.95" customHeight="1">
      <c r="A499" s="11"/>
      <c r="B499" s="11"/>
      <c r="C499" s="12"/>
      <c r="D499" s="17" t="str">
        <f>IFERROR(INDEX(المواد!$B$2:$B$319,MATCH(B499,المواد!$A$2:$A$319,0)),"")</f>
        <v/>
      </c>
      <c r="E499" s="11"/>
      <c r="F499" t="str">
        <f>IF(AND($A499&lt;&gt;"",COUNTIF($A$2:A499,$A499)=1),$A499,"")</f>
        <v/>
      </c>
      <c r="G499" t="str">
        <f>IF($F499&lt;&gt;"",SUMPRODUCT(($F$2:F499&lt;&gt;"")*1),"")</f>
        <v/>
      </c>
    </row>
    <row r="500" spans="1:7" ht="21.95" customHeight="1">
      <c r="A500" s="11"/>
      <c r="B500" s="11"/>
      <c r="C500" s="12"/>
      <c r="D500" s="17" t="str">
        <f>IFERROR(INDEX(المواد!$B$2:$B$319,MATCH(B500,المواد!$A$2:$A$319,0)),"")</f>
        <v/>
      </c>
      <c r="E500" s="11"/>
      <c r="F500" t="str">
        <f>IF(AND($A500&lt;&gt;"",COUNTIF($A$2:A500,$A500)=1),$A500,"")</f>
        <v/>
      </c>
      <c r="G500" t="str">
        <f>IF($F500&lt;&gt;"",SUMPRODUCT(($F$2:F500&lt;&gt;"")*1),"")</f>
        <v/>
      </c>
    </row>
    <row r="501" spans="1:7" ht="21.95" customHeight="1">
      <c r="A501" s="11"/>
      <c r="B501" s="11"/>
      <c r="C501" s="12"/>
      <c r="D501" s="17" t="str">
        <f>IFERROR(INDEX(المواد!$B$2:$B$319,MATCH(B501,المواد!$A$2:$A$319,0)),"")</f>
        <v/>
      </c>
      <c r="E501" s="11"/>
      <c r="F501" t="str">
        <f>IF(AND($A501&lt;&gt;"",COUNTIF($A$2:A501,$A501)=1),$A501,"")</f>
        <v/>
      </c>
      <c r="G501" t="str">
        <f>IF($F501&lt;&gt;"",SUMPRODUCT(($F$2:F501&lt;&gt;"")*1),"")</f>
        <v/>
      </c>
    </row>
    <row r="502" spans="1:7" ht="21.95" customHeight="1">
      <c r="A502" s="11"/>
      <c r="B502" s="11"/>
      <c r="C502" s="12"/>
      <c r="D502" s="17" t="str">
        <f>IFERROR(INDEX(المواد!$B$2:$B$319,MATCH(B502,المواد!$A$2:$A$319,0)),"")</f>
        <v/>
      </c>
      <c r="E502" s="11"/>
      <c r="F502" t="str">
        <f>IF(AND($A502&lt;&gt;"",COUNTIF($A$2:A502,$A502)=1),$A502,"")</f>
        <v/>
      </c>
      <c r="G502" t="str">
        <f>IF($F502&lt;&gt;"",SUMPRODUCT(($F$2:F502&lt;&gt;"")*1),"")</f>
        <v/>
      </c>
    </row>
    <row r="503" spans="1:7" ht="21.95" customHeight="1">
      <c r="A503" s="11"/>
      <c r="B503" s="11"/>
      <c r="C503" s="12"/>
      <c r="D503" s="17" t="str">
        <f>IFERROR(INDEX(المواد!$B$2:$B$319,MATCH(B503,المواد!$A$2:$A$319,0)),"")</f>
        <v/>
      </c>
      <c r="E503" s="11"/>
      <c r="F503" t="str">
        <f>IF(AND($A503&lt;&gt;"",COUNTIF($A$2:A503,$A503)=1),$A503,"")</f>
        <v/>
      </c>
      <c r="G503" t="str">
        <f>IF($F503&lt;&gt;"",SUMPRODUCT(($F$2:F503&lt;&gt;"")*1),"")</f>
        <v/>
      </c>
    </row>
    <row r="504" spans="1:7" ht="21.95" customHeight="1">
      <c r="A504" s="11"/>
      <c r="B504" s="11"/>
      <c r="C504" s="12"/>
      <c r="D504" s="17" t="str">
        <f>IFERROR(INDEX(المواد!$B$2:$B$319,MATCH(B504,المواد!$A$2:$A$319,0)),"")</f>
        <v/>
      </c>
      <c r="E504" s="11"/>
      <c r="F504" t="str">
        <f>IF(AND($A504&lt;&gt;"",COUNTIF($A$2:A504,$A504)=1),$A504,"")</f>
        <v/>
      </c>
      <c r="G504" t="str">
        <f>IF($F504&lt;&gt;"",SUMPRODUCT(($F$2:F504&lt;&gt;"")*1),"")</f>
        <v/>
      </c>
    </row>
    <row r="505" spans="1:7" ht="21.95" customHeight="1">
      <c r="A505" s="11"/>
      <c r="B505" s="11"/>
      <c r="C505" s="12"/>
      <c r="D505" s="17" t="str">
        <f>IFERROR(INDEX(المواد!$B$2:$B$319,MATCH(B505,المواد!$A$2:$A$319,0)),"")</f>
        <v/>
      </c>
      <c r="E505" s="11"/>
      <c r="F505" t="str">
        <f>IF(AND($A505&lt;&gt;"",COUNTIF($A$2:A505,$A505)=1),$A505,"")</f>
        <v/>
      </c>
      <c r="G505" t="str">
        <f>IF($F505&lt;&gt;"",SUMPRODUCT(($F$2:F505&lt;&gt;"")*1),"")</f>
        <v/>
      </c>
    </row>
    <row r="506" spans="1:7" ht="21.95" customHeight="1">
      <c r="A506" s="11"/>
      <c r="B506" s="11"/>
      <c r="C506" s="12"/>
      <c r="D506" s="17" t="str">
        <f>IFERROR(INDEX(المواد!$B$2:$B$319,MATCH(B506,المواد!$A$2:$A$319,0)),"")</f>
        <v/>
      </c>
      <c r="E506" s="11"/>
      <c r="F506" t="str">
        <f>IF(AND($A506&lt;&gt;"",COUNTIF($A$2:A506,$A506)=1),$A506,"")</f>
        <v/>
      </c>
      <c r="G506" t="str">
        <f>IF($F506&lt;&gt;"",SUMPRODUCT(($F$2:F506&lt;&gt;"")*1),"")</f>
        <v/>
      </c>
    </row>
    <row r="507" spans="1:7" ht="21.95" customHeight="1">
      <c r="A507" s="11"/>
      <c r="B507" s="11"/>
      <c r="C507" s="12"/>
      <c r="D507" s="17" t="str">
        <f>IFERROR(INDEX(المواد!$B$2:$B$319,MATCH(B507,المواد!$A$2:$A$319,0)),"")</f>
        <v/>
      </c>
      <c r="E507" s="11"/>
      <c r="F507" t="str">
        <f>IF(AND($A507&lt;&gt;"",COUNTIF($A$2:A507,$A507)=1),$A507,"")</f>
        <v/>
      </c>
      <c r="G507" t="str">
        <f>IF($F507&lt;&gt;"",SUMPRODUCT(($F$2:F507&lt;&gt;"")*1),"")</f>
        <v/>
      </c>
    </row>
    <row r="508" spans="1:7" ht="21.95" customHeight="1">
      <c r="A508" s="11"/>
      <c r="B508" s="11"/>
      <c r="C508" s="12"/>
      <c r="D508" s="17" t="str">
        <f>IFERROR(INDEX(المواد!$B$2:$B$319,MATCH(B508,المواد!$A$2:$A$319,0)),"")</f>
        <v/>
      </c>
      <c r="E508" s="11"/>
      <c r="F508" t="str">
        <f>IF(AND($A508&lt;&gt;"",COUNTIF($A$2:A508,$A508)=1),$A508,"")</f>
        <v/>
      </c>
      <c r="G508" t="str">
        <f>IF($F508&lt;&gt;"",SUMPRODUCT(($F$2:F508&lt;&gt;"")*1),"")</f>
        <v/>
      </c>
    </row>
    <row r="509" spans="1:7" ht="21.95" customHeight="1">
      <c r="A509" s="11"/>
      <c r="B509" s="11"/>
      <c r="C509" s="12"/>
      <c r="D509" s="17" t="str">
        <f>IFERROR(INDEX(المواد!$B$2:$B$319,MATCH(B509,المواد!$A$2:$A$319,0)),"")</f>
        <v/>
      </c>
      <c r="E509" s="11"/>
      <c r="F509" t="str">
        <f>IF(AND($A509&lt;&gt;"",COUNTIF($A$2:A509,$A509)=1),$A509,"")</f>
        <v/>
      </c>
      <c r="G509" t="str">
        <f>IF($F509&lt;&gt;"",SUMPRODUCT(($F$2:F509&lt;&gt;"")*1),"")</f>
        <v/>
      </c>
    </row>
    <row r="510" spans="1:7" ht="21.95" customHeight="1">
      <c r="A510" s="11"/>
      <c r="B510" s="11"/>
      <c r="C510" s="12"/>
      <c r="D510" s="17" t="str">
        <f>IFERROR(INDEX(المواد!$B$2:$B$319,MATCH(B510,المواد!$A$2:$A$319,0)),"")</f>
        <v/>
      </c>
      <c r="E510" s="11"/>
      <c r="F510" t="str">
        <f>IF(AND($A510&lt;&gt;"",COUNTIF($A$2:A510,$A510)=1),$A510,"")</f>
        <v/>
      </c>
      <c r="G510" t="str">
        <f>IF($F510&lt;&gt;"",SUMPRODUCT(($F$2:F510&lt;&gt;"")*1),"")</f>
        <v/>
      </c>
    </row>
    <row r="511" spans="1:7" ht="21.95" customHeight="1">
      <c r="A511" s="11"/>
      <c r="B511" s="11"/>
      <c r="C511" s="12"/>
      <c r="D511" s="17" t="str">
        <f>IFERROR(INDEX(المواد!$B$2:$B$319,MATCH(B511,المواد!$A$2:$A$319,0)),"")</f>
        <v/>
      </c>
      <c r="E511" s="11"/>
      <c r="F511" t="str">
        <f>IF(AND($A511&lt;&gt;"",COUNTIF($A$2:A511,$A511)=1),$A511,"")</f>
        <v/>
      </c>
      <c r="G511" t="str">
        <f>IF($F511&lt;&gt;"",SUMPRODUCT(($F$2:F511&lt;&gt;"")*1),"")</f>
        <v/>
      </c>
    </row>
    <row r="512" spans="1:7" ht="21.95" customHeight="1">
      <c r="A512" s="11"/>
      <c r="B512" s="11"/>
      <c r="C512" s="12"/>
      <c r="D512" s="17" t="str">
        <f>IFERROR(INDEX(المواد!$B$2:$B$319,MATCH(B512,المواد!$A$2:$A$319,0)),"")</f>
        <v/>
      </c>
      <c r="E512" s="11"/>
      <c r="F512" t="str">
        <f>IF(AND($A512&lt;&gt;"",COUNTIF($A$2:A512,$A512)=1),$A512,"")</f>
        <v/>
      </c>
      <c r="G512" t="str">
        <f>IF($F512&lt;&gt;"",SUMPRODUCT(($F$2:F512&lt;&gt;"")*1),"")</f>
        <v/>
      </c>
    </row>
    <row r="513" spans="1:7" ht="21.95" customHeight="1">
      <c r="A513" s="11"/>
      <c r="B513" s="11"/>
      <c r="C513" s="12"/>
      <c r="D513" s="17" t="str">
        <f>IFERROR(INDEX(المواد!$B$2:$B$319,MATCH(B513,المواد!$A$2:$A$319,0)),"")</f>
        <v/>
      </c>
      <c r="E513" s="11"/>
      <c r="F513" t="str">
        <f>IF(AND($A513&lt;&gt;"",COUNTIF($A$2:A513,$A513)=1),$A513,"")</f>
        <v/>
      </c>
      <c r="G513" t="str">
        <f>IF($F513&lt;&gt;"",SUMPRODUCT(($F$2:F513&lt;&gt;"")*1),"")</f>
        <v/>
      </c>
    </row>
    <row r="514" spans="1:7" ht="21.95" customHeight="1">
      <c r="A514" s="11"/>
      <c r="B514" s="11"/>
      <c r="C514" s="12"/>
      <c r="D514" s="17" t="str">
        <f>IFERROR(INDEX(المواد!$B$2:$B$319,MATCH(B514,المواد!$A$2:$A$319,0)),"")</f>
        <v/>
      </c>
      <c r="E514" s="11"/>
      <c r="F514" t="str">
        <f>IF(AND($A514&lt;&gt;"",COUNTIF($A$2:A514,$A514)=1),$A514,"")</f>
        <v/>
      </c>
      <c r="G514" t="str">
        <f>IF($F514&lt;&gt;"",SUMPRODUCT(($F$2:F514&lt;&gt;"")*1),"")</f>
        <v/>
      </c>
    </row>
    <row r="515" spans="1:7" ht="21.95" customHeight="1">
      <c r="A515" s="11"/>
      <c r="B515" s="11"/>
      <c r="C515" s="12"/>
      <c r="D515" s="17" t="str">
        <f>IFERROR(INDEX(المواد!$B$2:$B$319,MATCH(B515,المواد!$A$2:$A$319,0)),"")</f>
        <v/>
      </c>
      <c r="E515" s="11"/>
      <c r="F515" t="str">
        <f>IF(AND($A515&lt;&gt;"",COUNTIF($A$2:A515,$A515)=1),$A515,"")</f>
        <v/>
      </c>
      <c r="G515" t="str">
        <f>IF($F515&lt;&gt;"",SUMPRODUCT(($F$2:F515&lt;&gt;"")*1),"")</f>
        <v/>
      </c>
    </row>
    <row r="516" spans="1:7" ht="21.95" customHeight="1">
      <c r="A516" s="11"/>
      <c r="B516" s="11"/>
      <c r="C516" s="12"/>
      <c r="D516" s="17" t="str">
        <f>IFERROR(INDEX(المواد!$B$2:$B$319,MATCH(B516,المواد!$A$2:$A$319,0)),"")</f>
        <v/>
      </c>
      <c r="E516" s="11"/>
      <c r="F516" t="str">
        <f>IF(AND($A516&lt;&gt;"",COUNTIF($A$2:A516,$A516)=1),$A516,"")</f>
        <v/>
      </c>
      <c r="G516" t="str">
        <f>IF($F516&lt;&gt;"",SUMPRODUCT(($F$2:F516&lt;&gt;"")*1),"")</f>
        <v/>
      </c>
    </row>
    <row r="517" spans="1:7" ht="21.95" customHeight="1">
      <c r="A517" s="11"/>
      <c r="B517" s="11"/>
      <c r="C517" s="12"/>
      <c r="D517" s="17" t="str">
        <f>IFERROR(INDEX(المواد!$B$2:$B$319,MATCH(B517,المواد!$A$2:$A$319,0)),"")</f>
        <v/>
      </c>
      <c r="E517" s="11"/>
      <c r="F517" t="str">
        <f>IF(AND($A517&lt;&gt;"",COUNTIF($A$2:A517,$A517)=1),$A517,"")</f>
        <v/>
      </c>
      <c r="G517" t="str">
        <f>IF($F517&lt;&gt;"",SUMPRODUCT(($F$2:F517&lt;&gt;"")*1),"")</f>
        <v/>
      </c>
    </row>
    <row r="518" spans="1:7" ht="21.95" customHeight="1">
      <c r="A518" s="11"/>
      <c r="B518" s="11"/>
      <c r="C518" s="12"/>
      <c r="D518" s="17" t="str">
        <f>IFERROR(INDEX(المواد!$B$2:$B$319,MATCH(B518,المواد!$A$2:$A$319,0)),"")</f>
        <v/>
      </c>
      <c r="E518" s="11"/>
      <c r="F518" t="str">
        <f>IF(AND($A518&lt;&gt;"",COUNTIF($A$2:A518,$A518)=1),$A518,"")</f>
        <v/>
      </c>
      <c r="G518" t="str">
        <f>IF($F518&lt;&gt;"",SUMPRODUCT(($F$2:F518&lt;&gt;"")*1),"")</f>
        <v/>
      </c>
    </row>
    <row r="519" spans="1:7" ht="21.95" customHeight="1">
      <c r="A519" s="11"/>
      <c r="B519" s="11"/>
      <c r="C519" s="12"/>
      <c r="D519" s="17" t="str">
        <f>IFERROR(INDEX(المواد!$B$2:$B$319,MATCH(B519,المواد!$A$2:$A$319,0)),"")</f>
        <v/>
      </c>
      <c r="E519" s="11"/>
      <c r="F519" t="str">
        <f>IF(AND($A519&lt;&gt;"",COUNTIF($A$2:A519,$A519)=1),$A519,"")</f>
        <v/>
      </c>
      <c r="G519" t="str">
        <f>IF($F519&lt;&gt;"",SUMPRODUCT(($F$2:F519&lt;&gt;"")*1),"")</f>
        <v/>
      </c>
    </row>
    <row r="520" spans="1:7" ht="21.95" customHeight="1">
      <c r="A520" s="11"/>
      <c r="B520" s="11"/>
      <c r="C520" s="12"/>
      <c r="D520" s="17" t="str">
        <f>IFERROR(INDEX(المواد!$B$2:$B$319,MATCH(B520,المواد!$A$2:$A$319,0)),"")</f>
        <v/>
      </c>
      <c r="E520" s="11"/>
      <c r="F520" t="str">
        <f>IF(AND($A520&lt;&gt;"",COUNTIF($A$2:A520,$A520)=1),$A520,"")</f>
        <v/>
      </c>
      <c r="G520" t="str">
        <f>IF($F520&lt;&gt;"",SUMPRODUCT(($F$2:F520&lt;&gt;"")*1),"")</f>
        <v/>
      </c>
    </row>
    <row r="521" spans="1:7" ht="21.95" customHeight="1">
      <c r="A521" s="11"/>
      <c r="B521" s="11"/>
      <c r="C521" s="12"/>
      <c r="D521" s="17" t="str">
        <f>IFERROR(INDEX(المواد!$B$2:$B$319,MATCH(B521,المواد!$A$2:$A$319,0)),"")</f>
        <v/>
      </c>
      <c r="E521" s="11"/>
      <c r="F521" t="str">
        <f>IF(AND($A521&lt;&gt;"",COUNTIF($A$2:A521,$A521)=1),$A521,"")</f>
        <v/>
      </c>
      <c r="G521" t="str">
        <f>IF($F521&lt;&gt;"",SUMPRODUCT(($F$2:F521&lt;&gt;"")*1),"")</f>
        <v/>
      </c>
    </row>
    <row r="522" spans="1:7" ht="21.95" customHeight="1">
      <c r="A522" s="11"/>
      <c r="B522" s="11"/>
      <c r="C522" s="12"/>
      <c r="D522" s="17" t="str">
        <f>IFERROR(INDEX(المواد!$B$2:$B$319,MATCH(B522,المواد!$A$2:$A$319,0)),"")</f>
        <v/>
      </c>
      <c r="E522" s="11"/>
      <c r="F522" t="str">
        <f>IF(AND($A522&lt;&gt;"",COUNTIF($A$2:A522,$A522)=1),$A522,"")</f>
        <v/>
      </c>
      <c r="G522" t="str">
        <f>IF($F522&lt;&gt;"",SUMPRODUCT(($F$2:F522&lt;&gt;"")*1),"")</f>
        <v/>
      </c>
    </row>
    <row r="523" spans="1:7" ht="21.95" customHeight="1">
      <c r="A523" s="11"/>
      <c r="B523" s="11"/>
      <c r="C523" s="12"/>
      <c r="D523" s="17" t="str">
        <f>IFERROR(INDEX(المواد!$B$2:$B$319,MATCH(B523,المواد!$A$2:$A$319,0)),"")</f>
        <v/>
      </c>
      <c r="E523" s="11"/>
      <c r="F523" t="str">
        <f>IF(AND($A523&lt;&gt;"",COUNTIF($A$2:A523,$A523)=1),$A523,"")</f>
        <v/>
      </c>
      <c r="G523" t="str">
        <f>IF($F523&lt;&gt;"",SUMPRODUCT(($F$2:F523&lt;&gt;"")*1),"")</f>
        <v/>
      </c>
    </row>
    <row r="524" spans="1:7" ht="21.95" customHeight="1">
      <c r="A524" s="11"/>
      <c r="B524" s="11"/>
      <c r="C524" s="12"/>
      <c r="D524" s="17" t="str">
        <f>IFERROR(INDEX(المواد!$B$2:$B$319,MATCH(B524,المواد!$A$2:$A$319,0)),"")</f>
        <v/>
      </c>
      <c r="E524" s="11"/>
      <c r="F524" t="str">
        <f>IF(AND($A524&lt;&gt;"",COUNTIF($A$2:A524,$A524)=1),$A524,"")</f>
        <v/>
      </c>
      <c r="G524" t="str">
        <f>IF($F524&lt;&gt;"",SUMPRODUCT(($F$2:F524&lt;&gt;"")*1),"")</f>
        <v/>
      </c>
    </row>
    <row r="525" spans="1:7" ht="21.95" customHeight="1">
      <c r="A525" s="11"/>
      <c r="B525" s="11"/>
      <c r="C525" s="12"/>
      <c r="D525" s="17" t="str">
        <f>IFERROR(INDEX(المواد!$B$2:$B$319,MATCH(B525,المواد!$A$2:$A$319,0)),"")</f>
        <v/>
      </c>
      <c r="E525" s="11"/>
      <c r="F525" t="str">
        <f>IF(AND($A525&lt;&gt;"",COUNTIF($A$2:A525,$A525)=1),$A525,"")</f>
        <v/>
      </c>
      <c r="G525" t="str">
        <f>IF($F525&lt;&gt;"",SUMPRODUCT(($F$2:F525&lt;&gt;"")*1),"")</f>
        <v/>
      </c>
    </row>
    <row r="526" spans="1:7" ht="21.95" customHeight="1">
      <c r="A526" s="11"/>
      <c r="B526" s="11"/>
      <c r="C526" s="12"/>
      <c r="D526" s="17" t="str">
        <f>IFERROR(INDEX(المواد!$B$2:$B$319,MATCH(B526,المواد!$A$2:$A$319,0)),"")</f>
        <v/>
      </c>
      <c r="E526" s="11"/>
      <c r="F526" t="str">
        <f>IF(AND($A526&lt;&gt;"",COUNTIF($A$2:A526,$A526)=1),$A526,"")</f>
        <v/>
      </c>
      <c r="G526" t="str">
        <f>IF($F526&lt;&gt;"",SUMPRODUCT(($F$2:F526&lt;&gt;"")*1),"")</f>
        <v/>
      </c>
    </row>
    <row r="527" spans="1:7" ht="21.95" customHeight="1">
      <c r="A527" s="11"/>
      <c r="B527" s="11"/>
      <c r="C527" s="12"/>
      <c r="D527" s="17" t="str">
        <f>IFERROR(INDEX(المواد!$B$2:$B$319,MATCH(B527,المواد!$A$2:$A$319,0)),"")</f>
        <v/>
      </c>
      <c r="E527" s="11"/>
      <c r="F527" t="str">
        <f>IF(AND($A527&lt;&gt;"",COUNTIF($A$2:A527,$A527)=1),$A527,"")</f>
        <v/>
      </c>
      <c r="G527" t="str">
        <f>IF($F527&lt;&gt;"",SUMPRODUCT(($F$2:F527&lt;&gt;"")*1),"")</f>
        <v/>
      </c>
    </row>
    <row r="528" spans="1:7" ht="21.95" customHeight="1">
      <c r="A528" s="11"/>
      <c r="B528" s="11"/>
      <c r="C528" s="12"/>
      <c r="D528" s="17" t="str">
        <f>IFERROR(INDEX(المواد!$B$2:$B$319,MATCH(B528,المواد!$A$2:$A$319,0)),"")</f>
        <v/>
      </c>
      <c r="E528" s="11"/>
      <c r="F528" t="str">
        <f>IF(AND($A528&lt;&gt;"",COUNTIF($A$2:A528,$A528)=1),$A528,"")</f>
        <v/>
      </c>
      <c r="G528" t="str">
        <f>IF($F528&lt;&gt;"",SUMPRODUCT(($F$2:F528&lt;&gt;"")*1),"")</f>
        <v/>
      </c>
    </row>
    <row r="529" spans="1:7" ht="21.95" customHeight="1">
      <c r="A529" s="11"/>
      <c r="B529" s="11"/>
      <c r="C529" s="12"/>
      <c r="D529" s="17" t="str">
        <f>IFERROR(INDEX(المواد!$B$2:$B$319,MATCH(B529,المواد!$A$2:$A$319,0)),"")</f>
        <v/>
      </c>
      <c r="E529" s="11"/>
      <c r="F529" t="str">
        <f>IF(AND($A529&lt;&gt;"",COUNTIF($A$2:A529,$A529)=1),$A529,"")</f>
        <v/>
      </c>
      <c r="G529" t="str">
        <f>IF($F529&lt;&gt;"",SUMPRODUCT(($F$2:F529&lt;&gt;"")*1),"")</f>
        <v/>
      </c>
    </row>
    <row r="530" spans="1:7" ht="21.95" customHeight="1">
      <c r="A530" s="11"/>
      <c r="B530" s="11"/>
      <c r="C530" s="12"/>
      <c r="D530" s="17" t="str">
        <f>IFERROR(INDEX(المواد!$B$2:$B$319,MATCH(B530,المواد!$A$2:$A$319,0)),"")</f>
        <v/>
      </c>
      <c r="E530" s="11"/>
      <c r="F530" t="str">
        <f>IF(AND($A530&lt;&gt;"",COUNTIF($A$2:A530,$A530)=1),$A530,"")</f>
        <v/>
      </c>
      <c r="G530" t="str">
        <f>IF($F530&lt;&gt;"",SUMPRODUCT(($F$2:F530&lt;&gt;"")*1),"")</f>
        <v/>
      </c>
    </row>
    <row r="531" spans="1:7" ht="21.95" customHeight="1">
      <c r="A531" s="11"/>
      <c r="B531" s="11"/>
      <c r="C531" s="12"/>
      <c r="D531" s="17" t="str">
        <f>IFERROR(INDEX(المواد!$B$2:$B$319,MATCH(B531,المواد!$A$2:$A$319,0)),"")</f>
        <v/>
      </c>
      <c r="E531" s="11"/>
      <c r="F531" t="str">
        <f>IF(AND($A531&lt;&gt;"",COUNTIF($A$2:A531,$A531)=1),$A531,"")</f>
        <v/>
      </c>
      <c r="G531" t="str">
        <f>IF($F531&lt;&gt;"",SUMPRODUCT(($F$2:F531&lt;&gt;"")*1),"")</f>
        <v/>
      </c>
    </row>
    <row r="532" spans="1:7" ht="21.95" customHeight="1">
      <c r="A532" s="11"/>
      <c r="B532" s="11"/>
      <c r="C532" s="12"/>
      <c r="D532" s="17" t="str">
        <f>IFERROR(INDEX(المواد!$B$2:$B$319,MATCH(B532,المواد!$A$2:$A$319,0)),"")</f>
        <v/>
      </c>
      <c r="E532" s="11"/>
      <c r="F532" t="str">
        <f>IF(AND($A532&lt;&gt;"",COUNTIF($A$2:A532,$A532)=1),$A532,"")</f>
        <v/>
      </c>
      <c r="G532" t="str">
        <f>IF($F532&lt;&gt;"",SUMPRODUCT(($F$2:F532&lt;&gt;"")*1),"")</f>
        <v/>
      </c>
    </row>
    <row r="533" spans="1:7" ht="21.95" customHeight="1">
      <c r="A533" s="11"/>
      <c r="B533" s="11"/>
      <c r="C533" s="12"/>
      <c r="D533" s="17" t="str">
        <f>IFERROR(INDEX(المواد!$B$2:$B$319,MATCH(B533,المواد!$A$2:$A$319,0)),"")</f>
        <v/>
      </c>
      <c r="E533" s="11"/>
      <c r="F533" t="str">
        <f>IF(AND($A533&lt;&gt;"",COUNTIF($A$2:A533,$A533)=1),$A533,"")</f>
        <v/>
      </c>
      <c r="G533" t="str">
        <f>IF($F533&lt;&gt;"",SUMPRODUCT(($F$2:F533&lt;&gt;"")*1),"")</f>
        <v/>
      </c>
    </row>
    <row r="534" spans="1:7" ht="21.95" customHeight="1">
      <c r="A534" s="11"/>
      <c r="B534" s="11"/>
      <c r="C534" s="12"/>
      <c r="D534" s="17" t="str">
        <f>IFERROR(INDEX(المواد!$B$2:$B$319,MATCH(B534,المواد!$A$2:$A$319,0)),"")</f>
        <v/>
      </c>
      <c r="E534" s="11"/>
      <c r="F534" t="str">
        <f>IF(AND($A534&lt;&gt;"",COUNTIF($A$2:A534,$A534)=1),$A534,"")</f>
        <v/>
      </c>
      <c r="G534" t="str">
        <f>IF($F534&lt;&gt;"",SUMPRODUCT(($F$2:F534&lt;&gt;"")*1),"")</f>
        <v/>
      </c>
    </row>
    <row r="535" spans="1:7" ht="21.95" customHeight="1">
      <c r="A535" s="11"/>
      <c r="B535" s="11"/>
      <c r="C535" s="12"/>
      <c r="D535" s="17" t="str">
        <f>IFERROR(INDEX(المواد!$B$2:$B$319,MATCH(B535,المواد!$A$2:$A$319,0)),"")</f>
        <v/>
      </c>
      <c r="E535" s="11"/>
      <c r="F535" t="str">
        <f>IF(AND($A535&lt;&gt;"",COUNTIF($A$2:A535,$A535)=1),$A535,"")</f>
        <v/>
      </c>
      <c r="G535" t="str">
        <f>IF($F535&lt;&gt;"",SUMPRODUCT(($F$2:F535&lt;&gt;"")*1),"")</f>
        <v/>
      </c>
    </row>
    <row r="536" spans="1:7" ht="21.95" customHeight="1">
      <c r="A536" s="11"/>
      <c r="B536" s="11"/>
      <c r="C536" s="12"/>
      <c r="D536" s="17" t="str">
        <f>IFERROR(INDEX(المواد!$B$2:$B$319,MATCH(B536,المواد!$A$2:$A$319,0)),"")</f>
        <v/>
      </c>
      <c r="E536" s="11"/>
      <c r="F536" t="str">
        <f>IF(AND($A536&lt;&gt;"",COUNTIF($A$2:A536,$A536)=1),$A536,"")</f>
        <v/>
      </c>
      <c r="G536" t="str">
        <f>IF($F536&lt;&gt;"",SUMPRODUCT(($F$2:F536&lt;&gt;"")*1),"")</f>
        <v/>
      </c>
    </row>
    <row r="537" spans="1:7" ht="21.95" customHeight="1">
      <c r="A537" s="11"/>
      <c r="B537" s="11"/>
      <c r="C537" s="12"/>
      <c r="D537" s="17" t="str">
        <f>IFERROR(INDEX(المواد!$B$2:$B$319,MATCH(B537,المواد!$A$2:$A$319,0)),"")</f>
        <v/>
      </c>
      <c r="E537" s="11"/>
      <c r="F537" t="str">
        <f>IF(AND($A537&lt;&gt;"",COUNTIF($A$2:A537,$A537)=1),$A537,"")</f>
        <v/>
      </c>
      <c r="G537" t="str">
        <f>IF($F537&lt;&gt;"",SUMPRODUCT(($F$2:F537&lt;&gt;"")*1),"")</f>
        <v/>
      </c>
    </row>
    <row r="538" spans="1:7" ht="21.95" customHeight="1">
      <c r="A538" s="11"/>
      <c r="B538" s="11"/>
      <c r="C538" s="12"/>
      <c r="D538" s="17" t="str">
        <f>IFERROR(INDEX(المواد!$B$2:$B$319,MATCH(B538,المواد!$A$2:$A$319,0)),"")</f>
        <v/>
      </c>
      <c r="E538" s="11"/>
      <c r="F538" t="str">
        <f>IF(AND($A538&lt;&gt;"",COUNTIF($A$2:A538,$A538)=1),$A538,"")</f>
        <v/>
      </c>
      <c r="G538" t="str">
        <f>IF($F538&lt;&gt;"",SUMPRODUCT(($F$2:F538&lt;&gt;"")*1),"")</f>
        <v/>
      </c>
    </row>
    <row r="539" spans="1:7" ht="21.95" customHeight="1">
      <c r="A539" s="11"/>
      <c r="B539" s="11"/>
      <c r="C539" s="12"/>
      <c r="D539" s="17" t="str">
        <f>IFERROR(INDEX(المواد!$B$2:$B$319,MATCH(B539,المواد!$A$2:$A$319,0)),"")</f>
        <v/>
      </c>
      <c r="E539" s="11"/>
      <c r="F539" t="str">
        <f>IF(AND($A539&lt;&gt;"",COUNTIF($A$2:A539,$A539)=1),$A539,"")</f>
        <v/>
      </c>
      <c r="G539" t="str">
        <f>IF($F539&lt;&gt;"",SUMPRODUCT(($F$2:F539&lt;&gt;"")*1),"")</f>
        <v/>
      </c>
    </row>
    <row r="540" spans="1:7" ht="21.95" customHeight="1">
      <c r="A540" s="11"/>
      <c r="B540" s="11"/>
      <c r="C540" s="12"/>
      <c r="D540" s="17" t="str">
        <f>IFERROR(INDEX(المواد!$B$2:$B$319,MATCH(B540,المواد!$A$2:$A$319,0)),"")</f>
        <v/>
      </c>
      <c r="E540" s="11"/>
      <c r="F540" t="str">
        <f>IF(AND($A540&lt;&gt;"",COUNTIF($A$2:A540,$A540)=1),$A540,"")</f>
        <v/>
      </c>
      <c r="G540" t="str">
        <f>IF($F540&lt;&gt;"",SUMPRODUCT(($F$2:F540&lt;&gt;"")*1),"")</f>
        <v/>
      </c>
    </row>
    <row r="541" spans="1:7" ht="21.95" customHeight="1">
      <c r="A541" s="11"/>
      <c r="B541" s="11"/>
      <c r="C541" s="12"/>
      <c r="D541" s="17" t="str">
        <f>IFERROR(INDEX(المواد!$B$2:$B$319,MATCH(B541,المواد!$A$2:$A$319,0)),"")</f>
        <v/>
      </c>
      <c r="E541" s="11"/>
      <c r="F541" t="str">
        <f>IF(AND($A541&lt;&gt;"",COUNTIF($A$2:A541,$A541)=1),$A541,"")</f>
        <v/>
      </c>
      <c r="G541" t="str">
        <f>IF($F541&lt;&gt;"",SUMPRODUCT(($F$2:F541&lt;&gt;"")*1),"")</f>
        <v/>
      </c>
    </row>
    <row r="542" spans="1:7" ht="21.95" customHeight="1">
      <c r="A542" s="11"/>
      <c r="B542" s="11"/>
      <c r="C542" s="12"/>
      <c r="D542" s="17" t="str">
        <f>IFERROR(INDEX(المواد!$B$2:$B$319,MATCH(B542,المواد!$A$2:$A$319,0)),"")</f>
        <v/>
      </c>
      <c r="E542" s="11"/>
      <c r="F542" t="str">
        <f>IF(AND($A542&lt;&gt;"",COUNTIF($A$2:A542,$A542)=1),$A542,"")</f>
        <v/>
      </c>
      <c r="G542" t="str">
        <f>IF($F542&lt;&gt;"",SUMPRODUCT(($F$2:F542&lt;&gt;"")*1),"")</f>
        <v/>
      </c>
    </row>
    <row r="543" spans="1:7" ht="21.95" customHeight="1">
      <c r="A543" s="11"/>
      <c r="B543" s="11"/>
      <c r="C543" s="12"/>
      <c r="D543" s="17" t="str">
        <f>IFERROR(INDEX(المواد!$B$2:$B$319,MATCH(B543,المواد!$A$2:$A$319,0)),"")</f>
        <v/>
      </c>
      <c r="E543" s="11"/>
      <c r="F543" t="str">
        <f>IF(AND($A543&lt;&gt;"",COUNTIF($A$2:A543,$A543)=1),$A543,"")</f>
        <v/>
      </c>
      <c r="G543" t="str">
        <f>IF($F543&lt;&gt;"",SUMPRODUCT(($F$2:F543&lt;&gt;"")*1),"")</f>
        <v/>
      </c>
    </row>
    <row r="544" spans="1:7" ht="21.95" customHeight="1">
      <c r="A544" s="11"/>
      <c r="B544" s="11"/>
      <c r="C544" s="12"/>
      <c r="D544" s="17" t="str">
        <f>IFERROR(INDEX(المواد!$B$2:$B$319,MATCH(B544,المواد!$A$2:$A$319,0)),"")</f>
        <v/>
      </c>
      <c r="E544" s="11"/>
      <c r="F544" t="str">
        <f>IF(AND($A544&lt;&gt;"",COUNTIF($A$2:A544,$A544)=1),$A544,"")</f>
        <v/>
      </c>
      <c r="G544" t="str">
        <f>IF($F544&lt;&gt;"",SUMPRODUCT(($F$2:F544&lt;&gt;"")*1),"")</f>
        <v/>
      </c>
    </row>
    <row r="545" spans="1:7" ht="21.95" customHeight="1">
      <c r="A545" s="11"/>
      <c r="B545" s="11"/>
      <c r="C545" s="12"/>
      <c r="D545" s="17" t="str">
        <f>IFERROR(INDEX(المواد!$B$2:$B$319,MATCH(B545,المواد!$A$2:$A$319,0)),"")</f>
        <v/>
      </c>
      <c r="E545" s="11"/>
      <c r="F545" t="str">
        <f>IF(AND($A545&lt;&gt;"",COUNTIF($A$2:A545,$A545)=1),$A545,"")</f>
        <v/>
      </c>
      <c r="G545" t="str">
        <f>IF($F545&lt;&gt;"",SUMPRODUCT(($F$2:F545&lt;&gt;"")*1),"")</f>
        <v/>
      </c>
    </row>
    <row r="546" spans="1:7" ht="21.95" customHeight="1">
      <c r="A546" s="11"/>
      <c r="B546" s="11"/>
      <c r="C546" s="12"/>
      <c r="D546" s="17" t="str">
        <f>IFERROR(INDEX(المواد!$B$2:$B$319,MATCH(B546,المواد!$A$2:$A$319,0)),"")</f>
        <v/>
      </c>
      <c r="E546" s="11"/>
      <c r="F546" t="str">
        <f>IF(AND($A546&lt;&gt;"",COUNTIF($A$2:A546,$A546)=1),$A546,"")</f>
        <v/>
      </c>
      <c r="G546" t="str">
        <f>IF($F546&lt;&gt;"",SUMPRODUCT(($F$2:F546&lt;&gt;"")*1),"")</f>
        <v/>
      </c>
    </row>
    <row r="547" spans="1:7" ht="21.95" customHeight="1">
      <c r="A547" s="11"/>
      <c r="B547" s="11"/>
      <c r="C547" s="12"/>
      <c r="D547" s="17" t="str">
        <f>IFERROR(INDEX(المواد!$B$2:$B$319,MATCH(B547,المواد!$A$2:$A$319,0)),"")</f>
        <v/>
      </c>
      <c r="E547" s="11"/>
      <c r="F547" t="str">
        <f>IF(AND($A547&lt;&gt;"",COUNTIF($A$2:A547,$A547)=1),$A547,"")</f>
        <v/>
      </c>
      <c r="G547" t="str">
        <f>IF($F547&lt;&gt;"",SUMPRODUCT(($F$2:F547&lt;&gt;"")*1),"")</f>
        <v/>
      </c>
    </row>
    <row r="548" spans="1:7" ht="21.95" customHeight="1">
      <c r="A548" s="11"/>
      <c r="B548" s="11"/>
      <c r="C548" s="12"/>
      <c r="D548" s="17" t="str">
        <f>IFERROR(INDEX(المواد!$B$2:$B$319,MATCH(B548,المواد!$A$2:$A$319,0)),"")</f>
        <v/>
      </c>
      <c r="E548" s="11"/>
      <c r="F548" t="str">
        <f>IF(AND($A548&lt;&gt;"",COUNTIF($A$2:A548,$A548)=1),$A548,"")</f>
        <v/>
      </c>
      <c r="G548" t="str">
        <f>IF($F548&lt;&gt;"",SUMPRODUCT(($F$2:F548&lt;&gt;"")*1),"")</f>
        <v/>
      </c>
    </row>
    <row r="549" spans="1:7" ht="21.95" customHeight="1">
      <c r="A549" s="11"/>
      <c r="B549" s="11"/>
      <c r="C549" s="12"/>
      <c r="D549" s="17" t="str">
        <f>IFERROR(INDEX(المواد!$B$2:$B$319,MATCH(B549,المواد!$A$2:$A$319,0)),"")</f>
        <v/>
      </c>
      <c r="E549" s="11"/>
      <c r="F549" t="str">
        <f>IF(AND($A549&lt;&gt;"",COUNTIF($A$2:A549,$A549)=1),$A549,"")</f>
        <v/>
      </c>
      <c r="G549" t="str">
        <f>IF($F549&lt;&gt;"",SUMPRODUCT(($F$2:F549&lt;&gt;"")*1),"")</f>
        <v/>
      </c>
    </row>
    <row r="550" spans="1:7" ht="21.95" customHeight="1">
      <c r="A550" s="11"/>
      <c r="B550" s="11"/>
      <c r="C550" s="12"/>
      <c r="D550" s="17" t="str">
        <f>IFERROR(INDEX(المواد!$B$2:$B$319,MATCH(B550,المواد!$A$2:$A$319,0)),"")</f>
        <v/>
      </c>
      <c r="E550" s="11"/>
      <c r="F550" t="str">
        <f>IF(AND($A550&lt;&gt;"",COUNTIF($A$2:A550,$A550)=1),$A550,"")</f>
        <v/>
      </c>
      <c r="G550" t="str">
        <f>IF($F550&lt;&gt;"",SUMPRODUCT(($F$2:F550&lt;&gt;"")*1),"")</f>
        <v/>
      </c>
    </row>
    <row r="551" spans="1:7" ht="21.95" customHeight="1">
      <c r="A551" s="11"/>
      <c r="B551" s="11"/>
      <c r="C551" s="12"/>
      <c r="D551" s="17" t="str">
        <f>IFERROR(INDEX(المواد!$B$2:$B$319,MATCH(B551,المواد!$A$2:$A$319,0)),"")</f>
        <v/>
      </c>
      <c r="E551" s="11"/>
      <c r="F551" t="str">
        <f>IF(AND($A551&lt;&gt;"",COUNTIF($A$2:A551,$A551)=1),$A551,"")</f>
        <v/>
      </c>
      <c r="G551" t="str">
        <f>IF($F551&lt;&gt;"",SUMPRODUCT(($F$2:F551&lt;&gt;"")*1),"")</f>
        <v/>
      </c>
    </row>
    <row r="552" spans="1:7" ht="21.95" customHeight="1">
      <c r="A552" s="11"/>
      <c r="B552" s="11"/>
      <c r="C552" s="12"/>
      <c r="D552" s="17" t="str">
        <f>IFERROR(INDEX(المواد!$B$2:$B$319,MATCH(B552,المواد!$A$2:$A$319,0)),"")</f>
        <v/>
      </c>
      <c r="E552" s="11"/>
      <c r="F552" t="str">
        <f>IF(AND($A552&lt;&gt;"",COUNTIF($A$2:A552,$A552)=1),$A552,"")</f>
        <v/>
      </c>
      <c r="G552" t="str">
        <f>IF($F552&lt;&gt;"",SUMPRODUCT(($F$2:F552&lt;&gt;"")*1),"")</f>
        <v/>
      </c>
    </row>
    <row r="553" spans="1:7" ht="21.95" customHeight="1">
      <c r="A553" s="11"/>
      <c r="B553" s="11"/>
      <c r="C553" s="12"/>
      <c r="D553" s="17" t="str">
        <f>IFERROR(INDEX(المواد!$B$2:$B$319,MATCH(B553,المواد!$A$2:$A$319,0)),"")</f>
        <v/>
      </c>
      <c r="E553" s="11"/>
      <c r="F553" t="str">
        <f>IF(AND($A553&lt;&gt;"",COUNTIF($A$2:A553,$A553)=1),$A553,"")</f>
        <v/>
      </c>
      <c r="G553" t="str">
        <f>IF($F553&lt;&gt;"",SUMPRODUCT(($F$2:F553&lt;&gt;"")*1),"")</f>
        <v/>
      </c>
    </row>
    <row r="554" spans="1:7" ht="21.95" customHeight="1">
      <c r="A554" s="11"/>
      <c r="B554" s="11"/>
      <c r="C554" s="12"/>
      <c r="D554" s="17" t="str">
        <f>IFERROR(INDEX(المواد!$B$2:$B$319,MATCH(B554,المواد!$A$2:$A$319,0)),"")</f>
        <v/>
      </c>
      <c r="E554" s="11"/>
      <c r="F554" t="str">
        <f>IF(AND($A554&lt;&gt;"",COUNTIF($A$2:A554,$A554)=1),$A554,"")</f>
        <v/>
      </c>
      <c r="G554" t="str">
        <f>IF($F554&lt;&gt;"",SUMPRODUCT(($F$2:F554&lt;&gt;"")*1),"")</f>
        <v/>
      </c>
    </row>
    <row r="555" spans="1:7" ht="21.95" customHeight="1">
      <c r="A555" s="11"/>
      <c r="B555" s="11"/>
      <c r="C555" s="12"/>
      <c r="D555" s="17" t="str">
        <f>IFERROR(INDEX(المواد!$B$2:$B$319,MATCH(B555,المواد!$A$2:$A$319,0)),"")</f>
        <v/>
      </c>
      <c r="E555" s="11"/>
      <c r="F555" t="str">
        <f>IF(AND($A555&lt;&gt;"",COUNTIF($A$2:A555,$A555)=1),$A555,"")</f>
        <v/>
      </c>
      <c r="G555" t="str">
        <f>IF($F555&lt;&gt;"",SUMPRODUCT(($F$2:F555&lt;&gt;"")*1),"")</f>
        <v/>
      </c>
    </row>
    <row r="556" spans="1:7" ht="21.95" customHeight="1">
      <c r="A556" s="11"/>
      <c r="B556" s="11"/>
      <c r="C556" s="12"/>
      <c r="D556" s="17" t="str">
        <f>IFERROR(INDEX(المواد!$B$2:$B$319,MATCH(B556,المواد!$A$2:$A$319,0)),"")</f>
        <v/>
      </c>
      <c r="E556" s="11"/>
      <c r="F556" t="str">
        <f>IF(AND($A556&lt;&gt;"",COUNTIF($A$2:A556,$A556)=1),$A556,"")</f>
        <v/>
      </c>
      <c r="G556" t="str">
        <f>IF($F556&lt;&gt;"",SUMPRODUCT(($F$2:F556&lt;&gt;"")*1),"")</f>
        <v/>
      </c>
    </row>
    <row r="557" spans="1:7" ht="21.95" customHeight="1">
      <c r="A557" s="11"/>
      <c r="B557" s="11"/>
      <c r="C557" s="12"/>
      <c r="D557" s="17" t="str">
        <f>IFERROR(INDEX(المواد!$B$2:$B$319,MATCH(B557,المواد!$A$2:$A$319,0)),"")</f>
        <v/>
      </c>
      <c r="E557" s="11"/>
      <c r="F557" t="str">
        <f>IF(AND($A557&lt;&gt;"",COUNTIF($A$2:A557,$A557)=1),$A557,"")</f>
        <v/>
      </c>
      <c r="G557" t="str">
        <f>IF($F557&lt;&gt;"",SUMPRODUCT(($F$2:F557&lt;&gt;"")*1),"")</f>
        <v/>
      </c>
    </row>
    <row r="558" spans="1:7" ht="21.95" customHeight="1">
      <c r="A558" s="11"/>
      <c r="B558" s="11"/>
      <c r="C558" s="12"/>
      <c r="D558" s="17" t="str">
        <f>IFERROR(INDEX(المواد!$B$2:$B$319,MATCH(B558,المواد!$A$2:$A$319,0)),"")</f>
        <v/>
      </c>
      <c r="E558" s="11"/>
      <c r="F558" t="str">
        <f>IF(AND($A558&lt;&gt;"",COUNTIF($A$2:A558,$A558)=1),$A558,"")</f>
        <v/>
      </c>
      <c r="G558" t="str">
        <f>IF($F558&lt;&gt;"",SUMPRODUCT(($F$2:F558&lt;&gt;"")*1),"")</f>
        <v/>
      </c>
    </row>
    <row r="559" spans="1:7" ht="21.95" customHeight="1">
      <c r="A559" s="11"/>
      <c r="B559" s="11"/>
      <c r="C559" s="12"/>
      <c r="D559" s="17" t="str">
        <f>IFERROR(INDEX(المواد!$B$2:$B$319,MATCH(B559,المواد!$A$2:$A$319,0)),"")</f>
        <v/>
      </c>
      <c r="E559" s="11"/>
      <c r="F559" t="str">
        <f>IF(AND($A559&lt;&gt;"",COUNTIF($A$2:A559,$A559)=1),$A559,"")</f>
        <v/>
      </c>
      <c r="G559" t="str">
        <f>IF($F559&lt;&gt;"",SUMPRODUCT(($F$2:F559&lt;&gt;"")*1),"")</f>
        <v/>
      </c>
    </row>
    <row r="560" spans="1:7" ht="21.95" customHeight="1">
      <c r="A560" s="11"/>
      <c r="B560" s="11"/>
      <c r="C560" s="12"/>
      <c r="D560" s="17" t="str">
        <f>IFERROR(INDEX(المواد!$B$2:$B$319,MATCH(B560,المواد!$A$2:$A$319,0)),"")</f>
        <v/>
      </c>
      <c r="E560" s="11"/>
      <c r="F560" t="str">
        <f>IF(AND($A560&lt;&gt;"",COUNTIF($A$2:A560,$A560)=1),$A560,"")</f>
        <v/>
      </c>
      <c r="G560" t="str">
        <f>IF($F560&lt;&gt;"",SUMPRODUCT(($F$2:F560&lt;&gt;"")*1),"")</f>
        <v/>
      </c>
    </row>
    <row r="561" spans="1:7" ht="21.95" customHeight="1">
      <c r="A561" s="11"/>
      <c r="B561" s="11"/>
      <c r="C561" s="12"/>
      <c r="D561" s="17" t="str">
        <f>IFERROR(INDEX(المواد!$B$2:$B$319,MATCH(B561,المواد!$A$2:$A$319,0)),"")</f>
        <v/>
      </c>
      <c r="E561" s="11"/>
      <c r="F561" t="str">
        <f>IF(AND($A561&lt;&gt;"",COUNTIF($A$2:A561,$A561)=1),$A561,"")</f>
        <v/>
      </c>
      <c r="G561" t="str">
        <f>IF($F561&lt;&gt;"",SUMPRODUCT(($F$2:F561&lt;&gt;"")*1),"")</f>
        <v/>
      </c>
    </row>
    <row r="562" spans="1:7" ht="21.95" customHeight="1">
      <c r="A562" s="11"/>
      <c r="B562" s="11"/>
      <c r="C562" s="12"/>
      <c r="D562" s="17" t="str">
        <f>IFERROR(INDEX(المواد!$B$2:$B$319,MATCH(B562,المواد!$A$2:$A$319,0)),"")</f>
        <v/>
      </c>
      <c r="E562" s="11"/>
      <c r="F562" t="str">
        <f>IF(AND($A562&lt;&gt;"",COUNTIF($A$2:A562,$A562)=1),$A562,"")</f>
        <v/>
      </c>
      <c r="G562" t="str">
        <f>IF($F562&lt;&gt;"",SUMPRODUCT(($F$2:F562&lt;&gt;"")*1),"")</f>
        <v/>
      </c>
    </row>
    <row r="563" spans="1:7" ht="21.95" customHeight="1">
      <c r="A563" s="11"/>
      <c r="B563" s="11"/>
      <c r="C563" s="12"/>
      <c r="D563" s="17" t="str">
        <f>IFERROR(INDEX(المواد!$B$2:$B$319,MATCH(B563,المواد!$A$2:$A$319,0)),"")</f>
        <v/>
      </c>
      <c r="E563" s="11"/>
      <c r="F563" t="str">
        <f>IF(AND($A563&lt;&gt;"",COUNTIF($A$2:A563,$A563)=1),$A563,"")</f>
        <v/>
      </c>
      <c r="G563" t="str">
        <f>IF($F563&lt;&gt;"",SUMPRODUCT(($F$2:F563&lt;&gt;"")*1),"")</f>
        <v/>
      </c>
    </row>
    <row r="564" spans="1:7" ht="21.95" customHeight="1">
      <c r="A564" s="11"/>
      <c r="B564" s="11"/>
      <c r="C564" s="12"/>
      <c r="D564" s="17" t="str">
        <f>IFERROR(INDEX(المواد!$B$2:$B$319,MATCH(B564,المواد!$A$2:$A$319,0)),"")</f>
        <v/>
      </c>
      <c r="E564" s="11"/>
      <c r="F564" t="str">
        <f>IF(AND($A564&lt;&gt;"",COUNTIF($A$2:A564,$A564)=1),$A564,"")</f>
        <v/>
      </c>
      <c r="G564" t="str">
        <f>IF($F564&lt;&gt;"",SUMPRODUCT(($F$2:F564&lt;&gt;"")*1),"")</f>
        <v/>
      </c>
    </row>
    <row r="565" spans="1:7" ht="21.95" customHeight="1">
      <c r="A565" s="11"/>
      <c r="B565" s="11"/>
      <c r="C565" s="12"/>
      <c r="D565" s="17" t="str">
        <f>IFERROR(INDEX(المواد!$B$2:$B$319,MATCH(B565,المواد!$A$2:$A$319,0)),"")</f>
        <v/>
      </c>
      <c r="E565" s="11"/>
      <c r="F565" t="str">
        <f>IF(AND($A565&lt;&gt;"",COUNTIF($A$2:A565,$A565)=1),$A565,"")</f>
        <v/>
      </c>
      <c r="G565" t="str">
        <f>IF($F565&lt;&gt;"",SUMPRODUCT(($F$2:F565&lt;&gt;"")*1),"")</f>
        <v/>
      </c>
    </row>
    <row r="566" spans="1:7" ht="21.95" customHeight="1">
      <c r="A566" s="11"/>
      <c r="B566" s="11"/>
      <c r="C566" s="12"/>
      <c r="D566" s="17" t="str">
        <f>IFERROR(INDEX(المواد!$B$2:$B$319,MATCH(B566,المواد!$A$2:$A$319,0)),"")</f>
        <v/>
      </c>
      <c r="E566" s="11"/>
      <c r="F566" t="str">
        <f>IF(AND($A566&lt;&gt;"",COUNTIF($A$2:A566,$A566)=1),$A566,"")</f>
        <v/>
      </c>
      <c r="G566" t="str">
        <f>IF($F566&lt;&gt;"",SUMPRODUCT(($F$2:F566&lt;&gt;"")*1),"")</f>
        <v/>
      </c>
    </row>
    <row r="567" spans="1:7" ht="21.95" customHeight="1">
      <c r="A567" s="11"/>
      <c r="B567" s="11"/>
      <c r="C567" s="12"/>
      <c r="D567" s="17" t="str">
        <f>IFERROR(INDEX(المواد!$B$2:$B$319,MATCH(B567,المواد!$A$2:$A$319,0)),"")</f>
        <v/>
      </c>
      <c r="E567" s="11"/>
      <c r="F567" t="str">
        <f>IF(AND($A567&lt;&gt;"",COUNTIF($A$2:A567,$A567)=1),$A567,"")</f>
        <v/>
      </c>
      <c r="G567" t="str">
        <f>IF($F567&lt;&gt;"",SUMPRODUCT(($F$2:F567&lt;&gt;"")*1),"")</f>
        <v/>
      </c>
    </row>
    <row r="568" spans="1:7" ht="21.95" customHeight="1">
      <c r="A568" s="11"/>
      <c r="B568" s="11"/>
      <c r="C568" s="12"/>
      <c r="D568" s="17" t="str">
        <f>IFERROR(INDEX(المواد!$B$2:$B$319,MATCH(B568,المواد!$A$2:$A$319,0)),"")</f>
        <v/>
      </c>
      <c r="E568" s="11"/>
      <c r="F568" t="str">
        <f>IF(AND($A568&lt;&gt;"",COUNTIF($A$2:A568,$A568)=1),$A568,"")</f>
        <v/>
      </c>
      <c r="G568" t="str">
        <f>IF($F568&lt;&gt;"",SUMPRODUCT(($F$2:F568&lt;&gt;"")*1),"")</f>
        <v/>
      </c>
    </row>
    <row r="569" spans="1:7" ht="21.95" customHeight="1">
      <c r="A569" s="11"/>
      <c r="B569" s="11"/>
      <c r="C569" s="12"/>
      <c r="D569" s="17" t="str">
        <f>IFERROR(INDEX(المواد!$B$2:$B$319,MATCH(B569,المواد!$A$2:$A$319,0)),"")</f>
        <v/>
      </c>
      <c r="E569" s="11"/>
      <c r="F569" t="str">
        <f>IF(AND($A569&lt;&gt;"",COUNTIF($A$2:A569,$A569)=1),$A569,"")</f>
        <v/>
      </c>
      <c r="G569" t="str">
        <f>IF($F569&lt;&gt;"",SUMPRODUCT(($F$2:F569&lt;&gt;"")*1),"")</f>
        <v/>
      </c>
    </row>
    <row r="570" spans="1:7" ht="21.95" customHeight="1">
      <c r="A570" s="11"/>
      <c r="B570" s="11"/>
      <c r="C570" s="12"/>
      <c r="D570" s="17" t="str">
        <f>IFERROR(INDEX(المواد!$B$2:$B$319,MATCH(B570,المواد!$A$2:$A$319,0)),"")</f>
        <v/>
      </c>
      <c r="E570" s="11"/>
      <c r="F570" t="str">
        <f>IF(AND($A570&lt;&gt;"",COUNTIF($A$2:A570,$A570)=1),$A570,"")</f>
        <v/>
      </c>
      <c r="G570" t="str">
        <f>IF($F570&lt;&gt;"",SUMPRODUCT(($F$2:F570&lt;&gt;"")*1),"")</f>
        <v/>
      </c>
    </row>
    <row r="571" spans="1:7" ht="21.95" customHeight="1">
      <c r="A571" s="11"/>
      <c r="B571" s="11"/>
      <c r="C571" s="12"/>
      <c r="D571" s="17" t="str">
        <f>IFERROR(INDEX(المواد!$B$2:$B$319,MATCH(B571,المواد!$A$2:$A$319,0)),"")</f>
        <v/>
      </c>
      <c r="E571" s="11"/>
      <c r="F571" t="str">
        <f>IF(AND($A571&lt;&gt;"",COUNTIF($A$2:A571,$A571)=1),$A571,"")</f>
        <v/>
      </c>
      <c r="G571" t="str">
        <f>IF($F571&lt;&gt;"",SUMPRODUCT(($F$2:F571&lt;&gt;"")*1),"")</f>
        <v/>
      </c>
    </row>
    <row r="572" spans="1:7" ht="21.95" customHeight="1">
      <c r="A572" s="11"/>
      <c r="B572" s="11"/>
      <c r="C572" s="12"/>
      <c r="D572" s="17" t="str">
        <f>IFERROR(INDEX(المواد!$B$2:$B$319,MATCH(B572,المواد!$A$2:$A$319,0)),"")</f>
        <v/>
      </c>
      <c r="E572" s="11"/>
      <c r="F572" t="str">
        <f>IF(AND($A572&lt;&gt;"",COUNTIF($A$2:A572,$A572)=1),$A572,"")</f>
        <v/>
      </c>
      <c r="G572" t="str">
        <f>IF($F572&lt;&gt;"",SUMPRODUCT(($F$2:F572&lt;&gt;"")*1),"")</f>
        <v/>
      </c>
    </row>
    <row r="573" spans="1:7" ht="21.95" customHeight="1">
      <c r="A573" s="11"/>
      <c r="B573" s="11"/>
      <c r="C573" s="12"/>
      <c r="D573" s="17" t="str">
        <f>IFERROR(INDEX(المواد!$B$2:$B$319,MATCH(B573,المواد!$A$2:$A$319,0)),"")</f>
        <v/>
      </c>
      <c r="E573" s="11"/>
      <c r="F573" t="str">
        <f>IF(AND($A573&lt;&gt;"",COUNTIF($A$2:A573,$A573)=1),$A573,"")</f>
        <v/>
      </c>
      <c r="G573" t="str">
        <f>IF($F573&lt;&gt;"",SUMPRODUCT(($F$2:F573&lt;&gt;"")*1),"")</f>
        <v/>
      </c>
    </row>
    <row r="574" spans="1:7" ht="21.95" customHeight="1">
      <c r="A574" s="11"/>
      <c r="B574" s="11"/>
      <c r="C574" s="12"/>
      <c r="D574" s="17" t="str">
        <f>IFERROR(INDEX(المواد!$B$2:$B$319,MATCH(B574,المواد!$A$2:$A$319,0)),"")</f>
        <v/>
      </c>
      <c r="E574" s="11"/>
      <c r="F574" t="str">
        <f>IF(AND($A574&lt;&gt;"",COUNTIF($A$2:A574,$A574)=1),$A574,"")</f>
        <v/>
      </c>
      <c r="G574" t="str">
        <f>IF($F574&lt;&gt;"",SUMPRODUCT(($F$2:F574&lt;&gt;"")*1),"")</f>
        <v/>
      </c>
    </row>
    <row r="575" spans="1:7" ht="21.95" customHeight="1">
      <c r="A575" s="11"/>
      <c r="B575" s="11"/>
      <c r="C575" s="12"/>
      <c r="D575" s="17" t="str">
        <f>IFERROR(INDEX(المواد!$B$2:$B$319,MATCH(B575,المواد!$A$2:$A$319,0)),"")</f>
        <v/>
      </c>
      <c r="E575" s="11"/>
      <c r="F575" t="str">
        <f>IF(AND($A575&lt;&gt;"",COUNTIF($A$2:A575,$A575)=1),$A575,"")</f>
        <v/>
      </c>
      <c r="G575" t="str">
        <f>IF($F575&lt;&gt;"",SUMPRODUCT(($F$2:F575&lt;&gt;"")*1),"")</f>
        <v/>
      </c>
    </row>
    <row r="576" spans="1:7" ht="21.95" customHeight="1">
      <c r="A576" s="11"/>
      <c r="B576" s="11"/>
      <c r="C576" s="12"/>
      <c r="D576" s="17" t="str">
        <f>IFERROR(INDEX(المواد!$B$2:$B$319,MATCH(B576,المواد!$A$2:$A$319,0)),"")</f>
        <v/>
      </c>
      <c r="E576" s="11"/>
      <c r="F576" t="str">
        <f>IF(AND($A576&lt;&gt;"",COUNTIF($A$2:A576,$A576)=1),$A576,"")</f>
        <v/>
      </c>
      <c r="G576" t="str">
        <f>IF($F576&lt;&gt;"",SUMPRODUCT(($F$2:F576&lt;&gt;"")*1),"")</f>
        <v/>
      </c>
    </row>
    <row r="577" spans="1:7" ht="21.95" customHeight="1">
      <c r="A577" s="11"/>
      <c r="B577" s="11"/>
      <c r="C577" s="12"/>
      <c r="D577" s="17" t="str">
        <f>IFERROR(INDEX(المواد!$B$2:$B$319,MATCH(B577,المواد!$A$2:$A$319,0)),"")</f>
        <v/>
      </c>
      <c r="E577" s="11"/>
      <c r="F577" t="str">
        <f>IF(AND($A577&lt;&gt;"",COUNTIF($A$2:A577,$A577)=1),$A577,"")</f>
        <v/>
      </c>
      <c r="G577" t="str">
        <f>IF($F577&lt;&gt;"",SUMPRODUCT(($F$2:F577&lt;&gt;"")*1),"")</f>
        <v/>
      </c>
    </row>
    <row r="578" spans="1:7" ht="21.95" customHeight="1">
      <c r="A578" s="11"/>
      <c r="B578" s="11"/>
      <c r="C578" s="12"/>
      <c r="D578" s="17" t="str">
        <f>IFERROR(INDEX(المواد!$B$2:$B$319,MATCH(B578,المواد!$A$2:$A$319,0)),"")</f>
        <v/>
      </c>
      <c r="E578" s="11"/>
      <c r="F578" t="str">
        <f>IF(AND($A578&lt;&gt;"",COUNTIF($A$2:A578,$A578)=1),$A578,"")</f>
        <v/>
      </c>
      <c r="G578" t="str">
        <f>IF($F578&lt;&gt;"",SUMPRODUCT(($F$2:F578&lt;&gt;"")*1),"")</f>
        <v/>
      </c>
    </row>
    <row r="579" spans="1:7" ht="21.95" customHeight="1">
      <c r="A579" s="11"/>
      <c r="B579" s="11"/>
      <c r="C579" s="12"/>
      <c r="D579" s="17" t="str">
        <f>IFERROR(INDEX(المواد!$B$2:$B$319,MATCH(B579,المواد!$A$2:$A$319,0)),"")</f>
        <v/>
      </c>
      <c r="E579" s="11"/>
      <c r="F579" t="str">
        <f>IF(AND($A579&lt;&gt;"",COUNTIF($A$2:A579,$A579)=1),$A579,"")</f>
        <v/>
      </c>
      <c r="G579" t="str">
        <f>IF($F579&lt;&gt;"",SUMPRODUCT(($F$2:F579&lt;&gt;"")*1),"")</f>
        <v/>
      </c>
    </row>
    <row r="580" spans="1:7" ht="21.95" customHeight="1">
      <c r="A580" s="11"/>
      <c r="B580" s="11"/>
      <c r="C580" s="12"/>
      <c r="D580" s="17" t="str">
        <f>IFERROR(INDEX(المواد!$B$2:$B$319,MATCH(B580,المواد!$A$2:$A$319,0)),"")</f>
        <v/>
      </c>
      <c r="E580" s="11"/>
      <c r="F580" t="str">
        <f>IF(AND($A580&lt;&gt;"",COUNTIF($A$2:A580,$A580)=1),$A580,"")</f>
        <v/>
      </c>
      <c r="G580" t="str">
        <f>IF($F580&lt;&gt;"",SUMPRODUCT(($F$2:F580&lt;&gt;"")*1),"")</f>
        <v/>
      </c>
    </row>
    <row r="581" spans="1:7" ht="21.95" customHeight="1">
      <c r="A581" s="11"/>
      <c r="B581" s="11"/>
      <c r="C581" s="12"/>
      <c r="D581" s="17" t="str">
        <f>IFERROR(INDEX(المواد!$B$2:$B$319,MATCH(B581,المواد!$A$2:$A$319,0)),"")</f>
        <v/>
      </c>
      <c r="E581" s="11"/>
      <c r="F581" t="str">
        <f>IF(AND($A581&lt;&gt;"",COUNTIF($A$2:A581,$A581)=1),$A581,"")</f>
        <v/>
      </c>
      <c r="G581" t="str">
        <f>IF($F581&lt;&gt;"",SUMPRODUCT(($F$2:F581&lt;&gt;"")*1),"")</f>
        <v/>
      </c>
    </row>
    <row r="582" spans="1:7" ht="21.95" customHeight="1">
      <c r="A582" s="11"/>
      <c r="B582" s="11"/>
      <c r="C582" s="12"/>
      <c r="D582" s="17" t="str">
        <f>IFERROR(INDEX(المواد!$B$2:$B$319,MATCH(B582,المواد!$A$2:$A$319,0)),"")</f>
        <v/>
      </c>
      <c r="E582" s="11"/>
      <c r="F582" t="str">
        <f>IF(AND($A582&lt;&gt;"",COUNTIF($A$2:A582,$A582)=1),$A582,"")</f>
        <v/>
      </c>
      <c r="G582" t="str">
        <f>IF($F582&lt;&gt;"",SUMPRODUCT(($F$2:F582&lt;&gt;"")*1),"")</f>
        <v/>
      </c>
    </row>
    <row r="583" spans="1:7" ht="21.95" customHeight="1">
      <c r="A583" s="11"/>
      <c r="B583" s="11"/>
      <c r="C583" s="12"/>
      <c r="D583" s="17" t="str">
        <f>IFERROR(INDEX(المواد!$B$2:$B$319,MATCH(B583,المواد!$A$2:$A$319,0)),"")</f>
        <v/>
      </c>
      <c r="E583" s="11"/>
      <c r="F583" t="str">
        <f>IF(AND($A583&lt;&gt;"",COUNTIF($A$2:A583,$A583)=1),$A583,"")</f>
        <v/>
      </c>
      <c r="G583" t="str">
        <f>IF($F583&lt;&gt;"",SUMPRODUCT(($F$2:F583&lt;&gt;"")*1),"")</f>
        <v/>
      </c>
    </row>
    <row r="584" spans="1:7" ht="21.95" customHeight="1">
      <c r="A584" s="11"/>
      <c r="B584" s="11"/>
      <c r="C584" s="12"/>
      <c r="D584" s="17" t="str">
        <f>IFERROR(INDEX(المواد!$B$2:$B$319,MATCH(B584,المواد!$A$2:$A$319,0)),"")</f>
        <v/>
      </c>
      <c r="E584" s="11"/>
      <c r="F584" t="str">
        <f>IF(AND($A584&lt;&gt;"",COUNTIF($A$2:A584,$A584)=1),$A584,"")</f>
        <v/>
      </c>
      <c r="G584" t="str">
        <f>IF($F584&lt;&gt;"",SUMPRODUCT(($F$2:F584&lt;&gt;"")*1),"")</f>
        <v/>
      </c>
    </row>
    <row r="585" spans="1:7" ht="21.95" customHeight="1">
      <c r="A585" s="11"/>
      <c r="B585" s="11"/>
      <c r="C585" s="12"/>
      <c r="D585" s="17" t="str">
        <f>IFERROR(INDEX(المواد!$B$2:$B$319,MATCH(B585,المواد!$A$2:$A$319,0)),"")</f>
        <v/>
      </c>
      <c r="E585" s="11"/>
      <c r="F585" t="str">
        <f>IF(AND($A585&lt;&gt;"",COUNTIF($A$2:A585,$A585)=1),$A585,"")</f>
        <v/>
      </c>
      <c r="G585" t="str">
        <f>IF($F585&lt;&gt;"",SUMPRODUCT(($F$2:F585&lt;&gt;"")*1),"")</f>
        <v/>
      </c>
    </row>
    <row r="586" spans="1:7" ht="21.95" customHeight="1">
      <c r="A586" s="11"/>
      <c r="B586" s="11"/>
      <c r="C586" s="12"/>
      <c r="D586" s="17" t="str">
        <f>IFERROR(INDEX(المواد!$B$2:$B$319,MATCH(B586,المواد!$A$2:$A$319,0)),"")</f>
        <v/>
      </c>
      <c r="E586" s="11"/>
      <c r="F586" t="str">
        <f>IF(AND($A586&lt;&gt;"",COUNTIF($A$2:A586,$A586)=1),$A586,"")</f>
        <v/>
      </c>
      <c r="G586" t="str">
        <f>IF($F586&lt;&gt;"",SUMPRODUCT(($F$2:F586&lt;&gt;"")*1),"")</f>
        <v/>
      </c>
    </row>
    <row r="587" spans="1:7" ht="21.95" customHeight="1">
      <c r="A587" s="11"/>
      <c r="B587" s="11"/>
      <c r="C587" s="12"/>
      <c r="D587" s="17" t="str">
        <f>IFERROR(INDEX(المواد!$B$2:$B$319,MATCH(B587,المواد!$A$2:$A$319,0)),"")</f>
        <v/>
      </c>
      <c r="E587" s="11"/>
      <c r="F587" t="str">
        <f>IF(AND($A587&lt;&gt;"",COUNTIF($A$2:A587,$A587)=1),$A587,"")</f>
        <v/>
      </c>
      <c r="G587" t="str">
        <f>IF($F587&lt;&gt;"",SUMPRODUCT(($F$2:F587&lt;&gt;"")*1),"")</f>
        <v/>
      </c>
    </row>
    <row r="588" spans="1:7" ht="21.95" customHeight="1">
      <c r="A588" s="11"/>
      <c r="B588" s="11"/>
      <c r="C588" s="12"/>
      <c r="D588" s="17" t="str">
        <f>IFERROR(INDEX(المواد!$B$2:$B$319,MATCH(B588,المواد!$A$2:$A$319,0)),"")</f>
        <v/>
      </c>
      <c r="E588" s="11"/>
      <c r="F588" t="str">
        <f>IF(AND($A588&lt;&gt;"",COUNTIF($A$2:A588,$A588)=1),$A588,"")</f>
        <v/>
      </c>
      <c r="G588" t="str">
        <f>IF($F588&lt;&gt;"",SUMPRODUCT(($F$2:F588&lt;&gt;"")*1),"")</f>
        <v/>
      </c>
    </row>
    <row r="589" spans="1:7" ht="21.95" customHeight="1">
      <c r="A589" s="11"/>
      <c r="B589" s="11"/>
      <c r="C589" s="12"/>
      <c r="D589" s="17" t="str">
        <f>IFERROR(INDEX(المواد!$B$2:$B$319,MATCH(B589,المواد!$A$2:$A$319,0)),"")</f>
        <v/>
      </c>
      <c r="E589" s="11"/>
      <c r="F589" t="str">
        <f>IF(AND($A589&lt;&gt;"",COUNTIF($A$2:A589,$A589)=1),$A589,"")</f>
        <v/>
      </c>
      <c r="G589" t="str">
        <f>IF($F589&lt;&gt;"",SUMPRODUCT(($F$2:F589&lt;&gt;"")*1),"")</f>
        <v/>
      </c>
    </row>
    <row r="590" spans="1:7" ht="21.95" customHeight="1">
      <c r="A590" s="11"/>
      <c r="B590" s="11"/>
      <c r="C590" s="12"/>
      <c r="D590" s="17" t="str">
        <f>IFERROR(INDEX(المواد!$B$2:$B$319,MATCH(B590,المواد!$A$2:$A$319,0)),"")</f>
        <v/>
      </c>
      <c r="E590" s="11"/>
      <c r="F590" t="str">
        <f>IF(AND($A590&lt;&gt;"",COUNTIF($A$2:A590,$A590)=1),$A590,"")</f>
        <v/>
      </c>
      <c r="G590" t="str">
        <f>IF($F590&lt;&gt;"",SUMPRODUCT(($F$2:F590&lt;&gt;"")*1),"")</f>
        <v/>
      </c>
    </row>
    <row r="591" spans="1:7" ht="21.95" customHeight="1">
      <c r="A591" s="11"/>
      <c r="B591" s="11"/>
      <c r="C591" s="12"/>
      <c r="D591" s="17" t="str">
        <f>IFERROR(INDEX(المواد!$B$2:$B$319,MATCH(B591,المواد!$A$2:$A$319,0)),"")</f>
        <v/>
      </c>
      <c r="E591" s="11"/>
      <c r="F591" t="str">
        <f>IF(AND($A591&lt;&gt;"",COUNTIF($A$2:A591,$A591)=1),$A591,"")</f>
        <v/>
      </c>
      <c r="G591" t="str">
        <f>IF($F591&lt;&gt;"",SUMPRODUCT(($F$2:F591&lt;&gt;"")*1),"")</f>
        <v/>
      </c>
    </row>
    <row r="592" spans="1:7" ht="21.95" customHeight="1">
      <c r="A592" s="11"/>
      <c r="B592" s="11"/>
      <c r="C592" s="12"/>
      <c r="D592" s="17" t="str">
        <f>IFERROR(INDEX(المواد!$B$2:$B$319,MATCH(B592,المواد!$A$2:$A$319,0)),"")</f>
        <v/>
      </c>
      <c r="E592" s="11"/>
      <c r="F592" t="str">
        <f>IF(AND($A592&lt;&gt;"",COUNTIF($A$2:A592,$A592)=1),$A592,"")</f>
        <v/>
      </c>
      <c r="G592" t="str">
        <f>IF($F592&lt;&gt;"",SUMPRODUCT(($F$2:F592&lt;&gt;"")*1),"")</f>
        <v/>
      </c>
    </row>
    <row r="593" spans="1:7" ht="21.95" customHeight="1">
      <c r="A593" s="11"/>
      <c r="B593" s="11"/>
      <c r="C593" s="12"/>
      <c r="D593" s="17" t="str">
        <f>IFERROR(INDEX(المواد!$B$2:$B$319,MATCH(B593,المواد!$A$2:$A$319,0)),"")</f>
        <v/>
      </c>
      <c r="E593" s="11"/>
      <c r="F593" t="str">
        <f>IF(AND($A593&lt;&gt;"",COUNTIF($A$2:A593,$A593)=1),$A593,"")</f>
        <v/>
      </c>
      <c r="G593" t="str">
        <f>IF($F593&lt;&gt;"",SUMPRODUCT(($F$2:F593&lt;&gt;"")*1),"")</f>
        <v/>
      </c>
    </row>
    <row r="594" spans="1:7" ht="21.95" customHeight="1">
      <c r="A594" s="11"/>
      <c r="B594" s="11"/>
      <c r="C594" s="12"/>
      <c r="D594" s="17" t="str">
        <f>IFERROR(INDEX(المواد!$B$2:$B$319,MATCH(B594,المواد!$A$2:$A$319,0)),"")</f>
        <v/>
      </c>
      <c r="E594" s="11"/>
      <c r="F594" t="str">
        <f>IF(AND($A594&lt;&gt;"",COUNTIF($A$2:A594,$A594)=1),$A594,"")</f>
        <v/>
      </c>
      <c r="G594" t="str">
        <f>IF($F594&lt;&gt;"",SUMPRODUCT(($F$2:F594&lt;&gt;"")*1),"")</f>
        <v/>
      </c>
    </row>
    <row r="595" spans="1:7" ht="21.95" customHeight="1">
      <c r="A595" s="11"/>
      <c r="B595" s="11"/>
      <c r="C595" s="12"/>
      <c r="D595" s="17" t="str">
        <f>IFERROR(INDEX(المواد!$B$2:$B$319,MATCH(B595,المواد!$A$2:$A$319,0)),"")</f>
        <v/>
      </c>
      <c r="E595" s="11"/>
      <c r="F595" t="str">
        <f>IF(AND($A595&lt;&gt;"",COUNTIF($A$2:A595,$A595)=1),$A595,"")</f>
        <v/>
      </c>
      <c r="G595" t="str">
        <f>IF($F595&lt;&gt;"",SUMPRODUCT(($F$2:F595&lt;&gt;"")*1),"")</f>
        <v/>
      </c>
    </row>
    <row r="596" spans="1:7" ht="21.95" customHeight="1">
      <c r="A596" s="11"/>
      <c r="B596" s="11"/>
      <c r="C596" s="12"/>
      <c r="D596" s="17" t="str">
        <f>IFERROR(INDEX(المواد!$B$2:$B$319,MATCH(B596,المواد!$A$2:$A$319,0)),"")</f>
        <v/>
      </c>
      <c r="E596" s="11"/>
      <c r="F596" t="str">
        <f>IF(AND($A596&lt;&gt;"",COUNTIF($A$2:A596,$A596)=1),$A596,"")</f>
        <v/>
      </c>
      <c r="G596" t="str">
        <f>IF($F596&lt;&gt;"",SUMPRODUCT(($F$2:F596&lt;&gt;"")*1),"")</f>
        <v/>
      </c>
    </row>
    <row r="597" spans="1:7" ht="21.95" customHeight="1">
      <c r="A597" s="11"/>
      <c r="B597" s="11"/>
      <c r="C597" s="12"/>
      <c r="D597" s="17" t="str">
        <f>IFERROR(INDEX(المواد!$B$2:$B$319,MATCH(B597,المواد!$A$2:$A$319,0)),"")</f>
        <v/>
      </c>
      <c r="E597" s="11"/>
      <c r="F597" t="str">
        <f>IF(AND($A597&lt;&gt;"",COUNTIF($A$2:A597,$A597)=1),$A597,"")</f>
        <v/>
      </c>
      <c r="G597" t="str">
        <f>IF($F597&lt;&gt;"",SUMPRODUCT(($F$2:F597&lt;&gt;"")*1),"")</f>
        <v/>
      </c>
    </row>
    <row r="598" spans="1:7" ht="21.95" customHeight="1">
      <c r="A598" s="11"/>
      <c r="B598" s="11"/>
      <c r="C598" s="12"/>
      <c r="D598" s="17" t="str">
        <f>IFERROR(INDEX(المواد!$B$2:$B$319,MATCH(B598,المواد!$A$2:$A$319,0)),"")</f>
        <v/>
      </c>
      <c r="E598" s="11"/>
      <c r="F598" t="str">
        <f>IF(AND($A598&lt;&gt;"",COUNTIF($A$2:A598,$A598)=1),$A598,"")</f>
        <v/>
      </c>
      <c r="G598" t="str">
        <f>IF($F598&lt;&gt;"",SUMPRODUCT(($F$2:F598&lt;&gt;"")*1),"")</f>
        <v/>
      </c>
    </row>
    <row r="599" spans="1:7" ht="21.95" customHeight="1">
      <c r="A599" s="11"/>
      <c r="B599" s="11"/>
      <c r="C599" s="12"/>
      <c r="D599" s="17" t="str">
        <f>IFERROR(INDEX(المواد!$B$2:$B$319,MATCH(B599,المواد!$A$2:$A$319,0)),"")</f>
        <v/>
      </c>
      <c r="E599" s="11"/>
      <c r="F599" t="str">
        <f>IF(AND($A599&lt;&gt;"",COUNTIF($A$2:A599,$A599)=1),$A599,"")</f>
        <v/>
      </c>
      <c r="G599" t="str">
        <f>IF($F599&lt;&gt;"",SUMPRODUCT(($F$2:F599&lt;&gt;"")*1),"")</f>
        <v/>
      </c>
    </row>
    <row r="600" spans="1:7" ht="21.95" customHeight="1">
      <c r="A600" s="11"/>
      <c r="B600" s="11"/>
      <c r="C600" s="12"/>
      <c r="D600" s="17" t="str">
        <f>IFERROR(INDEX(المواد!$B$2:$B$319,MATCH(B600,المواد!$A$2:$A$319,0)),"")</f>
        <v/>
      </c>
      <c r="E600" s="11"/>
      <c r="F600" t="str">
        <f>IF(AND($A600&lt;&gt;"",COUNTIF($A$2:A600,$A600)=1),$A600,"")</f>
        <v/>
      </c>
      <c r="G600" t="str">
        <f>IF($F600&lt;&gt;"",SUMPRODUCT(($F$2:F600&lt;&gt;"")*1),"")</f>
        <v/>
      </c>
    </row>
    <row r="601" spans="1:7" ht="21.95" customHeight="1">
      <c r="A601" s="11"/>
      <c r="B601" s="11"/>
      <c r="C601" s="12"/>
      <c r="D601" s="17" t="str">
        <f>IFERROR(INDEX(المواد!$B$2:$B$319,MATCH(B601,المواد!$A$2:$A$319,0)),"")</f>
        <v/>
      </c>
      <c r="E601" s="11"/>
      <c r="F601" t="str">
        <f>IF(AND($A601&lt;&gt;"",COUNTIF($A$2:A601,$A601)=1),$A601,"")</f>
        <v/>
      </c>
      <c r="G601" t="str">
        <f>IF($F601&lt;&gt;"",SUMPRODUCT(($F$2:F601&lt;&gt;"")*1),"")</f>
        <v/>
      </c>
    </row>
    <row r="602" spans="1:7" ht="21.95" customHeight="1">
      <c r="A602" s="11"/>
      <c r="B602" s="11"/>
      <c r="C602" s="12"/>
      <c r="D602" s="17" t="str">
        <f>IFERROR(INDEX(المواد!$B$2:$B$319,MATCH(B602,المواد!$A$2:$A$319,0)),"")</f>
        <v/>
      </c>
      <c r="E602" s="11"/>
      <c r="F602" t="str">
        <f>IF(AND($A602&lt;&gt;"",COUNTIF($A$2:A602,$A602)=1),$A602,"")</f>
        <v/>
      </c>
      <c r="G602" t="str">
        <f>IF($F602&lt;&gt;"",SUMPRODUCT(($F$2:F602&lt;&gt;"")*1),"")</f>
        <v/>
      </c>
    </row>
    <row r="603" spans="1:7" ht="21.95" customHeight="1">
      <c r="A603" s="11"/>
      <c r="B603" s="11"/>
      <c r="C603" s="12"/>
      <c r="D603" s="17" t="str">
        <f>IFERROR(INDEX(المواد!$B$2:$B$319,MATCH(B603,المواد!$A$2:$A$319,0)),"")</f>
        <v/>
      </c>
      <c r="E603" s="11"/>
      <c r="F603" t="str">
        <f>IF(AND($A603&lt;&gt;"",COUNTIF($A$2:A603,$A603)=1),$A603,"")</f>
        <v/>
      </c>
      <c r="G603" t="str">
        <f>IF($F603&lt;&gt;"",SUMPRODUCT(($F$2:F603&lt;&gt;"")*1),"")</f>
        <v/>
      </c>
    </row>
    <row r="604" spans="1:7" ht="21.95" customHeight="1">
      <c r="A604" s="11"/>
      <c r="B604" s="11"/>
      <c r="C604" s="12"/>
      <c r="D604" s="17" t="str">
        <f>IFERROR(INDEX(المواد!$B$2:$B$319,MATCH(B604,المواد!$A$2:$A$319,0)),"")</f>
        <v/>
      </c>
      <c r="E604" s="11"/>
      <c r="F604" t="str">
        <f>IF(AND($A604&lt;&gt;"",COUNTIF($A$2:A604,$A604)=1),$A604,"")</f>
        <v/>
      </c>
      <c r="G604" t="str">
        <f>IF($F604&lt;&gt;"",SUMPRODUCT(($F$2:F604&lt;&gt;"")*1),"")</f>
        <v/>
      </c>
    </row>
    <row r="605" spans="1:7" ht="21.95" customHeight="1">
      <c r="A605" s="11"/>
      <c r="B605" s="11"/>
      <c r="C605" s="12"/>
      <c r="D605" s="17" t="str">
        <f>IFERROR(INDEX(المواد!$B$2:$B$319,MATCH(B605,المواد!$A$2:$A$319,0)),"")</f>
        <v/>
      </c>
      <c r="E605" s="11"/>
      <c r="F605" t="str">
        <f>IF(AND($A605&lt;&gt;"",COUNTIF($A$2:A605,$A605)=1),$A605,"")</f>
        <v/>
      </c>
      <c r="G605" t="str">
        <f>IF($F605&lt;&gt;"",SUMPRODUCT(($F$2:F605&lt;&gt;"")*1),"")</f>
        <v/>
      </c>
    </row>
    <row r="606" spans="1:7" ht="21.95" customHeight="1">
      <c r="A606" s="11"/>
      <c r="B606" s="11"/>
      <c r="C606" s="12"/>
      <c r="D606" s="17" t="str">
        <f>IFERROR(INDEX(المواد!$B$2:$B$319,MATCH(B606,المواد!$A$2:$A$319,0)),"")</f>
        <v/>
      </c>
      <c r="E606" s="11"/>
      <c r="F606" t="str">
        <f>IF(AND($A606&lt;&gt;"",COUNTIF($A$2:A606,$A606)=1),$A606,"")</f>
        <v/>
      </c>
      <c r="G606" t="str">
        <f>IF($F606&lt;&gt;"",SUMPRODUCT(($F$2:F606&lt;&gt;"")*1),"")</f>
        <v/>
      </c>
    </row>
    <row r="607" spans="1:7" ht="21.95" customHeight="1">
      <c r="A607" s="11"/>
      <c r="B607" s="11"/>
      <c r="C607" s="12"/>
      <c r="D607" s="17" t="str">
        <f>IFERROR(INDEX(المواد!$B$2:$B$319,MATCH(B607,المواد!$A$2:$A$319,0)),"")</f>
        <v/>
      </c>
      <c r="E607" s="11"/>
      <c r="F607" t="str">
        <f>IF(AND($A607&lt;&gt;"",COUNTIF($A$2:A607,$A607)=1),$A607,"")</f>
        <v/>
      </c>
      <c r="G607" t="str">
        <f>IF($F607&lt;&gt;"",SUMPRODUCT(($F$2:F607&lt;&gt;"")*1),"")</f>
        <v/>
      </c>
    </row>
    <row r="608" spans="1:7" ht="21.95" customHeight="1">
      <c r="A608" s="11"/>
      <c r="B608" s="11"/>
      <c r="C608" s="12"/>
      <c r="D608" s="17" t="str">
        <f>IFERROR(INDEX(المواد!$B$2:$B$319,MATCH(B608,المواد!$A$2:$A$319,0)),"")</f>
        <v/>
      </c>
      <c r="E608" s="11"/>
      <c r="F608" t="str">
        <f>IF(AND($A608&lt;&gt;"",COUNTIF($A$2:A608,$A608)=1),$A608,"")</f>
        <v/>
      </c>
      <c r="G608" t="str">
        <f>IF($F608&lt;&gt;"",SUMPRODUCT(($F$2:F608&lt;&gt;"")*1),"")</f>
        <v/>
      </c>
    </row>
    <row r="609" spans="1:7" ht="21.95" customHeight="1">
      <c r="A609" s="11"/>
      <c r="B609" s="11"/>
      <c r="C609" s="12"/>
      <c r="D609" s="17" t="str">
        <f>IFERROR(INDEX(المواد!$B$2:$B$319,MATCH(B609,المواد!$A$2:$A$319,0)),"")</f>
        <v/>
      </c>
      <c r="E609" s="11"/>
      <c r="F609" t="str">
        <f>IF(AND($A609&lt;&gt;"",COUNTIF($A$2:A609,$A609)=1),$A609,"")</f>
        <v/>
      </c>
      <c r="G609" t="str">
        <f>IF($F609&lt;&gt;"",SUMPRODUCT(($F$2:F609&lt;&gt;"")*1),"")</f>
        <v/>
      </c>
    </row>
    <row r="610" spans="1:7" ht="21.95" customHeight="1">
      <c r="A610" s="11"/>
      <c r="B610" s="11"/>
      <c r="C610" s="12"/>
      <c r="D610" s="17" t="str">
        <f>IFERROR(INDEX(المواد!$B$2:$B$319,MATCH(B610,المواد!$A$2:$A$319,0)),"")</f>
        <v/>
      </c>
      <c r="E610" s="11"/>
      <c r="F610" t="str">
        <f>IF(AND($A610&lt;&gt;"",COUNTIF($A$2:A610,$A610)=1),$A610,"")</f>
        <v/>
      </c>
      <c r="G610" t="str">
        <f>IF($F610&lt;&gt;"",SUMPRODUCT(($F$2:F610&lt;&gt;"")*1),"")</f>
        <v/>
      </c>
    </row>
    <row r="611" spans="1:7" ht="21.95" customHeight="1">
      <c r="A611" s="11"/>
      <c r="B611" s="11"/>
      <c r="C611" s="12"/>
      <c r="D611" s="17" t="str">
        <f>IFERROR(INDEX(المواد!$B$2:$B$319,MATCH(B611,المواد!$A$2:$A$319,0)),"")</f>
        <v/>
      </c>
      <c r="E611" s="11"/>
      <c r="F611" t="str">
        <f>IF(AND($A611&lt;&gt;"",COUNTIF($A$2:A611,$A611)=1),$A611,"")</f>
        <v/>
      </c>
      <c r="G611" t="str">
        <f>IF($F611&lt;&gt;"",SUMPRODUCT(($F$2:F611&lt;&gt;"")*1),"")</f>
        <v/>
      </c>
    </row>
    <row r="612" spans="1:7" ht="21.95" customHeight="1">
      <c r="A612" s="11"/>
      <c r="B612" s="11"/>
      <c r="C612" s="12"/>
      <c r="D612" s="17" t="str">
        <f>IFERROR(INDEX(المواد!$B$2:$B$319,MATCH(B612,المواد!$A$2:$A$319,0)),"")</f>
        <v/>
      </c>
      <c r="E612" s="11"/>
      <c r="F612" t="str">
        <f>IF(AND($A612&lt;&gt;"",COUNTIF($A$2:A612,$A612)=1),$A612,"")</f>
        <v/>
      </c>
      <c r="G612" t="str">
        <f>IF($F612&lt;&gt;"",SUMPRODUCT(($F$2:F612&lt;&gt;"")*1),"")</f>
        <v/>
      </c>
    </row>
    <row r="613" spans="1:7" ht="21.95" customHeight="1">
      <c r="A613" s="11"/>
      <c r="B613" s="11"/>
      <c r="C613" s="12"/>
      <c r="D613" s="17" t="str">
        <f>IFERROR(INDEX(المواد!$B$2:$B$319,MATCH(B613,المواد!$A$2:$A$319,0)),"")</f>
        <v/>
      </c>
      <c r="E613" s="11"/>
      <c r="F613" t="str">
        <f>IF(AND($A613&lt;&gt;"",COUNTIF($A$2:A613,$A613)=1),$A613,"")</f>
        <v/>
      </c>
      <c r="G613" t="str">
        <f>IF($F613&lt;&gt;"",SUMPRODUCT(($F$2:F613&lt;&gt;"")*1),"")</f>
        <v/>
      </c>
    </row>
    <row r="614" spans="1:7" ht="21.95" customHeight="1">
      <c r="A614" s="11"/>
      <c r="B614" s="11"/>
      <c r="C614" s="12"/>
      <c r="D614" s="17" t="str">
        <f>IFERROR(INDEX(المواد!$B$2:$B$319,MATCH(B614,المواد!$A$2:$A$319,0)),"")</f>
        <v/>
      </c>
      <c r="E614" s="11"/>
      <c r="F614" t="str">
        <f>IF(AND($A614&lt;&gt;"",COUNTIF($A$2:A614,$A614)=1),$A614,"")</f>
        <v/>
      </c>
      <c r="G614" t="str">
        <f>IF($F614&lt;&gt;"",SUMPRODUCT(($F$2:F614&lt;&gt;"")*1),"")</f>
        <v/>
      </c>
    </row>
    <row r="615" spans="1:7" ht="21.95" customHeight="1">
      <c r="A615" s="11"/>
      <c r="B615" s="11"/>
      <c r="C615" s="12"/>
      <c r="D615" s="17" t="str">
        <f>IFERROR(INDEX(المواد!$B$2:$B$319,MATCH(B615,المواد!$A$2:$A$319,0)),"")</f>
        <v/>
      </c>
      <c r="E615" s="11"/>
      <c r="F615" t="str">
        <f>IF(AND($A615&lt;&gt;"",COUNTIF($A$2:A615,$A615)=1),$A615,"")</f>
        <v/>
      </c>
      <c r="G615" t="str">
        <f>IF($F615&lt;&gt;"",SUMPRODUCT(($F$2:F615&lt;&gt;"")*1),"")</f>
        <v/>
      </c>
    </row>
    <row r="616" spans="1:7" ht="21.95" customHeight="1">
      <c r="A616" s="11"/>
      <c r="B616" s="11"/>
      <c r="C616" s="12"/>
      <c r="D616" s="17" t="str">
        <f>IFERROR(INDEX(المواد!$B$2:$B$319,MATCH(B616,المواد!$A$2:$A$319,0)),"")</f>
        <v/>
      </c>
      <c r="E616" s="11"/>
      <c r="F616" t="str">
        <f>IF(AND($A616&lt;&gt;"",COUNTIF($A$2:A616,$A616)=1),$A616,"")</f>
        <v/>
      </c>
      <c r="G616" t="str">
        <f>IF($F616&lt;&gt;"",SUMPRODUCT(($F$2:F616&lt;&gt;"")*1),"")</f>
        <v/>
      </c>
    </row>
    <row r="617" spans="1:7" ht="21.95" customHeight="1">
      <c r="A617" s="11"/>
      <c r="B617" s="11"/>
      <c r="C617" s="12"/>
      <c r="D617" s="17" t="str">
        <f>IFERROR(INDEX(المواد!$B$2:$B$319,MATCH(B617,المواد!$A$2:$A$319,0)),"")</f>
        <v/>
      </c>
      <c r="E617" s="11"/>
      <c r="F617" t="str">
        <f>IF(AND($A617&lt;&gt;"",COUNTIF($A$2:A617,$A617)=1),$A617,"")</f>
        <v/>
      </c>
      <c r="G617" t="str">
        <f>IF($F617&lt;&gt;"",SUMPRODUCT(($F$2:F617&lt;&gt;"")*1),"")</f>
        <v/>
      </c>
    </row>
    <row r="618" spans="1:7" ht="21.95" customHeight="1">
      <c r="A618" s="11"/>
      <c r="B618" s="11"/>
      <c r="C618" s="12"/>
      <c r="D618" s="17" t="str">
        <f>IFERROR(INDEX(المواد!$B$2:$B$319,MATCH(B618,المواد!$A$2:$A$319,0)),"")</f>
        <v/>
      </c>
      <c r="E618" s="11"/>
      <c r="F618" t="str">
        <f>IF(AND($A618&lt;&gt;"",COUNTIF($A$2:A618,$A618)=1),$A618,"")</f>
        <v/>
      </c>
      <c r="G618" t="str">
        <f>IF($F618&lt;&gt;"",SUMPRODUCT(($F$2:F618&lt;&gt;"")*1),"")</f>
        <v/>
      </c>
    </row>
    <row r="619" spans="1:7" ht="21.95" customHeight="1">
      <c r="A619" s="11"/>
      <c r="B619" s="11"/>
      <c r="C619" s="12"/>
      <c r="D619" s="17" t="str">
        <f>IFERROR(INDEX(المواد!$B$2:$B$319,MATCH(B619,المواد!$A$2:$A$319,0)),"")</f>
        <v/>
      </c>
      <c r="E619" s="11"/>
      <c r="F619" t="str">
        <f>IF(AND($A619&lt;&gt;"",COUNTIF($A$2:A619,$A619)=1),$A619,"")</f>
        <v/>
      </c>
      <c r="G619" t="str">
        <f>IF($F619&lt;&gt;"",SUMPRODUCT(($F$2:F619&lt;&gt;"")*1),"")</f>
        <v/>
      </c>
    </row>
    <row r="620" spans="1:7" ht="21.95" customHeight="1">
      <c r="A620" s="11"/>
      <c r="B620" s="11"/>
      <c r="C620" s="12"/>
      <c r="D620" s="17" t="str">
        <f>IFERROR(INDEX(المواد!$B$2:$B$319,MATCH(B620,المواد!$A$2:$A$319,0)),"")</f>
        <v/>
      </c>
      <c r="E620" s="11"/>
      <c r="F620" t="str">
        <f>IF(AND($A620&lt;&gt;"",COUNTIF($A$2:A620,$A620)=1),$A620,"")</f>
        <v/>
      </c>
      <c r="G620" t="str">
        <f>IF($F620&lt;&gt;"",SUMPRODUCT(($F$2:F620&lt;&gt;"")*1),"")</f>
        <v/>
      </c>
    </row>
    <row r="621" spans="1:7" ht="21.95" customHeight="1">
      <c r="A621" s="11"/>
      <c r="B621" s="11"/>
      <c r="C621" s="12"/>
      <c r="D621" s="17" t="str">
        <f>IFERROR(INDEX(المواد!$B$2:$B$319,MATCH(B621,المواد!$A$2:$A$319,0)),"")</f>
        <v/>
      </c>
      <c r="E621" s="11"/>
      <c r="F621" t="str">
        <f>IF(AND($A621&lt;&gt;"",COUNTIF($A$2:A621,$A621)=1),$A621,"")</f>
        <v/>
      </c>
      <c r="G621" t="str">
        <f>IF($F621&lt;&gt;"",SUMPRODUCT(($F$2:F621&lt;&gt;"")*1),"")</f>
        <v/>
      </c>
    </row>
    <row r="622" spans="1:7" ht="21.95" customHeight="1">
      <c r="A622" s="11"/>
      <c r="B622" s="11"/>
      <c r="C622" s="12"/>
      <c r="D622" s="17" t="str">
        <f>IFERROR(INDEX(المواد!$B$2:$B$319,MATCH(B622,المواد!$A$2:$A$319,0)),"")</f>
        <v/>
      </c>
      <c r="E622" s="11"/>
      <c r="F622" t="str">
        <f>IF(AND($A622&lt;&gt;"",COUNTIF($A$2:A622,$A622)=1),$A622,"")</f>
        <v/>
      </c>
      <c r="G622" t="str">
        <f>IF($F622&lt;&gt;"",SUMPRODUCT(($F$2:F622&lt;&gt;"")*1),"")</f>
        <v/>
      </c>
    </row>
    <row r="623" spans="1:7" ht="21.95" customHeight="1">
      <c r="A623" s="11"/>
      <c r="B623" s="11"/>
      <c r="C623" s="12"/>
      <c r="D623" s="17" t="str">
        <f>IFERROR(INDEX(المواد!$B$2:$B$319,MATCH(B623,المواد!$A$2:$A$319,0)),"")</f>
        <v/>
      </c>
      <c r="E623" s="11"/>
      <c r="F623" t="str">
        <f>IF(AND($A623&lt;&gt;"",COUNTIF($A$2:A623,$A623)=1),$A623,"")</f>
        <v/>
      </c>
      <c r="G623" t="str">
        <f>IF($F623&lt;&gt;"",SUMPRODUCT(($F$2:F623&lt;&gt;"")*1),"")</f>
        <v/>
      </c>
    </row>
    <row r="624" spans="1:7" ht="21.95" customHeight="1">
      <c r="A624" s="11"/>
      <c r="B624" s="11"/>
      <c r="C624" s="12"/>
      <c r="D624" s="17" t="str">
        <f>IFERROR(INDEX(المواد!$B$2:$B$319,MATCH(B624,المواد!$A$2:$A$319,0)),"")</f>
        <v/>
      </c>
      <c r="E624" s="11"/>
      <c r="F624" t="str">
        <f>IF(AND($A624&lt;&gt;"",COUNTIF($A$2:A624,$A624)=1),$A624,"")</f>
        <v/>
      </c>
      <c r="G624" t="str">
        <f>IF($F624&lt;&gt;"",SUMPRODUCT(($F$2:F624&lt;&gt;"")*1),"")</f>
        <v/>
      </c>
    </row>
    <row r="625" spans="1:7" ht="21.95" customHeight="1">
      <c r="A625" s="11"/>
      <c r="B625" s="11"/>
      <c r="C625" s="12"/>
      <c r="D625" s="17" t="str">
        <f>IFERROR(INDEX(المواد!$B$2:$B$319,MATCH(B625,المواد!$A$2:$A$319,0)),"")</f>
        <v/>
      </c>
      <c r="E625" s="11"/>
      <c r="F625" t="str">
        <f>IF(AND($A625&lt;&gt;"",COUNTIF($A$2:A625,$A625)=1),$A625,"")</f>
        <v/>
      </c>
      <c r="G625" t="str">
        <f>IF($F625&lt;&gt;"",SUMPRODUCT(($F$2:F625&lt;&gt;"")*1),"")</f>
        <v/>
      </c>
    </row>
    <row r="626" spans="1:7" ht="21.95" customHeight="1">
      <c r="A626" s="11"/>
      <c r="B626" s="11"/>
      <c r="C626" s="12"/>
      <c r="D626" s="17" t="str">
        <f>IFERROR(INDEX(المواد!$B$2:$B$319,MATCH(B626,المواد!$A$2:$A$319,0)),"")</f>
        <v/>
      </c>
      <c r="E626" s="11"/>
      <c r="F626" t="str">
        <f>IF(AND($A626&lt;&gt;"",COUNTIF($A$2:A626,$A626)=1),$A626,"")</f>
        <v/>
      </c>
      <c r="G626" t="str">
        <f>IF($F626&lt;&gt;"",SUMPRODUCT(($F$2:F626&lt;&gt;"")*1),"")</f>
        <v/>
      </c>
    </row>
    <row r="627" spans="1:7" ht="21.95" customHeight="1">
      <c r="A627" s="11"/>
      <c r="B627" s="11"/>
      <c r="C627" s="12"/>
      <c r="D627" s="17" t="str">
        <f>IFERROR(INDEX(المواد!$B$2:$B$319,MATCH(B627,المواد!$A$2:$A$319,0)),"")</f>
        <v/>
      </c>
      <c r="E627" s="11"/>
      <c r="F627" t="str">
        <f>IF(AND($A627&lt;&gt;"",COUNTIF($A$2:A627,$A627)=1),$A627,"")</f>
        <v/>
      </c>
      <c r="G627" t="str">
        <f>IF($F627&lt;&gt;"",SUMPRODUCT(($F$2:F627&lt;&gt;"")*1),"")</f>
        <v/>
      </c>
    </row>
    <row r="628" spans="1:7" ht="21.95" customHeight="1">
      <c r="A628" s="11"/>
      <c r="B628" s="11"/>
      <c r="C628" s="12"/>
      <c r="D628" s="17" t="str">
        <f>IFERROR(INDEX(المواد!$B$2:$B$319,MATCH(B628,المواد!$A$2:$A$319,0)),"")</f>
        <v/>
      </c>
      <c r="E628" s="11"/>
      <c r="F628" t="str">
        <f>IF(AND($A628&lt;&gt;"",COUNTIF($A$2:A628,$A628)=1),$A628,"")</f>
        <v/>
      </c>
      <c r="G628" t="str">
        <f>IF($F628&lt;&gt;"",SUMPRODUCT(($F$2:F628&lt;&gt;"")*1),"")</f>
        <v/>
      </c>
    </row>
    <row r="629" spans="1:7" ht="21.95" customHeight="1">
      <c r="A629" s="11"/>
      <c r="B629" s="11"/>
      <c r="C629" s="12"/>
      <c r="D629" s="17" t="str">
        <f>IFERROR(INDEX(المواد!$B$2:$B$319,MATCH(B629,المواد!$A$2:$A$319,0)),"")</f>
        <v/>
      </c>
      <c r="E629" s="11"/>
      <c r="F629" t="str">
        <f>IF(AND($A629&lt;&gt;"",COUNTIF($A$2:A629,$A629)=1),$A629,"")</f>
        <v/>
      </c>
      <c r="G629" t="str">
        <f>IF($F629&lt;&gt;"",SUMPRODUCT(($F$2:F629&lt;&gt;"")*1),"")</f>
        <v/>
      </c>
    </row>
    <row r="630" spans="1:7" ht="21.95" customHeight="1">
      <c r="A630" s="11"/>
      <c r="B630" s="11"/>
      <c r="C630" s="12"/>
      <c r="D630" s="17" t="str">
        <f>IFERROR(INDEX(المواد!$B$2:$B$319,MATCH(B630,المواد!$A$2:$A$319,0)),"")</f>
        <v/>
      </c>
      <c r="E630" s="11"/>
      <c r="F630" t="str">
        <f>IF(AND($A630&lt;&gt;"",COUNTIF($A$2:A630,$A630)=1),$A630,"")</f>
        <v/>
      </c>
      <c r="G630" t="str">
        <f>IF($F630&lt;&gt;"",SUMPRODUCT(($F$2:F630&lt;&gt;"")*1),"")</f>
        <v/>
      </c>
    </row>
    <row r="631" spans="1:7" ht="21.95" customHeight="1">
      <c r="A631" s="11"/>
      <c r="B631" s="11"/>
      <c r="C631" s="12"/>
      <c r="D631" s="17" t="str">
        <f>IFERROR(INDEX(المواد!$B$2:$B$319,MATCH(B631,المواد!$A$2:$A$319,0)),"")</f>
        <v/>
      </c>
      <c r="E631" s="11"/>
      <c r="F631" t="str">
        <f>IF(AND($A631&lt;&gt;"",COUNTIF($A$2:A631,$A631)=1),$A631,"")</f>
        <v/>
      </c>
      <c r="G631" t="str">
        <f>IF($F631&lt;&gt;"",SUMPRODUCT(($F$2:F631&lt;&gt;"")*1),"")</f>
        <v/>
      </c>
    </row>
    <row r="632" spans="1:7" ht="21.95" customHeight="1">
      <c r="A632" s="11"/>
      <c r="B632" s="11"/>
      <c r="C632" s="12"/>
      <c r="D632" s="17" t="str">
        <f>IFERROR(INDEX(المواد!$B$2:$B$319,MATCH(B632,المواد!$A$2:$A$319,0)),"")</f>
        <v/>
      </c>
      <c r="E632" s="11"/>
      <c r="F632" t="str">
        <f>IF(AND($A632&lt;&gt;"",COUNTIF($A$2:A632,$A632)=1),$A632,"")</f>
        <v/>
      </c>
      <c r="G632" t="str">
        <f>IF($F632&lt;&gt;"",SUMPRODUCT(($F$2:F632&lt;&gt;"")*1),"")</f>
        <v/>
      </c>
    </row>
    <row r="633" spans="1:7" ht="21.95" customHeight="1">
      <c r="A633" s="11"/>
      <c r="B633" s="11"/>
      <c r="C633" s="12"/>
      <c r="D633" s="17" t="str">
        <f>IFERROR(INDEX(المواد!$B$2:$B$319,MATCH(B633,المواد!$A$2:$A$319,0)),"")</f>
        <v/>
      </c>
      <c r="E633" s="11"/>
      <c r="F633" t="str">
        <f>IF(AND($A633&lt;&gt;"",COUNTIF($A$2:A633,$A633)=1),$A633,"")</f>
        <v/>
      </c>
      <c r="G633" t="str">
        <f>IF($F633&lt;&gt;"",SUMPRODUCT(($F$2:F633&lt;&gt;"")*1),"")</f>
        <v/>
      </c>
    </row>
    <row r="634" spans="1:7" ht="21.95" customHeight="1">
      <c r="A634" s="11"/>
      <c r="B634" s="11"/>
      <c r="C634" s="12"/>
      <c r="D634" s="17" t="str">
        <f>IFERROR(INDEX(المواد!$B$2:$B$319,MATCH(B634,المواد!$A$2:$A$319,0)),"")</f>
        <v/>
      </c>
      <c r="E634" s="11"/>
      <c r="F634" t="str">
        <f>IF(AND($A634&lt;&gt;"",COUNTIF($A$2:A634,$A634)=1),$A634,"")</f>
        <v/>
      </c>
      <c r="G634" t="str">
        <f>IF($F634&lt;&gt;"",SUMPRODUCT(($F$2:F634&lt;&gt;"")*1),"")</f>
        <v/>
      </c>
    </row>
    <row r="635" spans="1:7" ht="21.95" customHeight="1">
      <c r="A635" s="11"/>
      <c r="B635" s="11"/>
      <c r="C635" s="12"/>
      <c r="D635" s="17" t="str">
        <f>IFERROR(INDEX(المواد!$B$2:$B$319,MATCH(B635,المواد!$A$2:$A$319,0)),"")</f>
        <v/>
      </c>
      <c r="E635" s="11"/>
      <c r="F635" t="str">
        <f>IF(AND($A635&lt;&gt;"",COUNTIF($A$2:A635,$A635)=1),$A635,"")</f>
        <v/>
      </c>
      <c r="G635" t="str">
        <f>IF($F635&lt;&gt;"",SUMPRODUCT(($F$2:F635&lt;&gt;"")*1),"")</f>
        <v/>
      </c>
    </row>
    <row r="636" spans="1:7" ht="21.95" customHeight="1">
      <c r="A636" s="11"/>
      <c r="B636" s="11"/>
      <c r="C636" s="12"/>
      <c r="D636" s="17" t="str">
        <f>IFERROR(INDEX(المواد!$B$2:$B$319,MATCH(B636,المواد!$A$2:$A$319,0)),"")</f>
        <v/>
      </c>
      <c r="E636" s="11"/>
      <c r="F636" t="str">
        <f>IF(AND($A636&lt;&gt;"",COUNTIF($A$2:A636,$A636)=1),$A636,"")</f>
        <v/>
      </c>
      <c r="G636" t="str">
        <f>IF($F636&lt;&gt;"",SUMPRODUCT(($F$2:F636&lt;&gt;"")*1),"")</f>
        <v/>
      </c>
    </row>
    <row r="637" spans="1:7" ht="21.95" customHeight="1">
      <c r="A637" s="11"/>
      <c r="B637" s="11"/>
      <c r="C637" s="12"/>
      <c r="D637" s="17" t="str">
        <f>IFERROR(INDEX(المواد!$B$2:$B$319,MATCH(B637,المواد!$A$2:$A$319,0)),"")</f>
        <v/>
      </c>
      <c r="E637" s="11"/>
      <c r="F637" t="str">
        <f>IF(AND($A637&lt;&gt;"",COUNTIF($A$2:A637,$A637)=1),$A637,"")</f>
        <v/>
      </c>
      <c r="G637" t="str">
        <f>IF($F637&lt;&gt;"",SUMPRODUCT(($F$2:F637&lt;&gt;"")*1),"")</f>
        <v/>
      </c>
    </row>
    <row r="638" spans="1:7" ht="21.95" customHeight="1">
      <c r="A638" s="11"/>
      <c r="B638" s="11"/>
      <c r="C638" s="12"/>
      <c r="D638" s="17" t="str">
        <f>IFERROR(INDEX(المواد!$B$2:$B$319,MATCH(B638,المواد!$A$2:$A$319,0)),"")</f>
        <v/>
      </c>
      <c r="E638" s="11"/>
      <c r="F638" t="str">
        <f>IF(AND($A638&lt;&gt;"",COUNTIF($A$2:A638,$A638)=1),$A638,"")</f>
        <v/>
      </c>
      <c r="G638" t="str">
        <f>IF($F638&lt;&gt;"",SUMPRODUCT(($F$2:F638&lt;&gt;"")*1),"")</f>
        <v/>
      </c>
    </row>
    <row r="639" spans="1:7" ht="21.95" customHeight="1">
      <c r="A639" s="11"/>
      <c r="B639" s="11"/>
      <c r="C639" s="12"/>
      <c r="D639" s="17" t="str">
        <f>IFERROR(INDEX(المواد!$B$2:$B$319,MATCH(B639,المواد!$A$2:$A$319,0)),"")</f>
        <v/>
      </c>
      <c r="E639" s="11"/>
      <c r="F639" t="str">
        <f>IF(AND($A639&lt;&gt;"",COUNTIF($A$2:A639,$A639)=1),$A639,"")</f>
        <v/>
      </c>
      <c r="G639" t="str">
        <f>IF($F639&lt;&gt;"",SUMPRODUCT(($F$2:F639&lt;&gt;"")*1),"")</f>
        <v/>
      </c>
    </row>
    <row r="640" spans="1:7" ht="21.95" customHeight="1">
      <c r="A640" s="11"/>
      <c r="B640" s="11"/>
      <c r="C640" s="12"/>
      <c r="D640" s="17" t="str">
        <f>IFERROR(INDEX(المواد!$B$2:$B$319,MATCH(B640,المواد!$A$2:$A$319,0)),"")</f>
        <v/>
      </c>
      <c r="E640" s="11"/>
      <c r="F640" t="str">
        <f>IF(AND($A640&lt;&gt;"",COUNTIF($A$2:A640,$A640)=1),$A640,"")</f>
        <v/>
      </c>
      <c r="G640" t="str">
        <f>IF($F640&lt;&gt;"",SUMPRODUCT(($F$2:F640&lt;&gt;"")*1),"")</f>
        <v/>
      </c>
    </row>
    <row r="641" spans="1:7" ht="21.95" customHeight="1">
      <c r="A641" s="11"/>
      <c r="B641" s="11"/>
      <c r="C641" s="12"/>
      <c r="D641" s="17" t="str">
        <f>IFERROR(INDEX(المواد!$B$2:$B$319,MATCH(B641,المواد!$A$2:$A$319,0)),"")</f>
        <v/>
      </c>
      <c r="E641" s="11"/>
      <c r="F641" t="str">
        <f>IF(AND($A641&lt;&gt;"",COUNTIF($A$2:A641,$A641)=1),$A641,"")</f>
        <v/>
      </c>
      <c r="G641" t="str">
        <f>IF($F641&lt;&gt;"",SUMPRODUCT(($F$2:F641&lt;&gt;"")*1),"")</f>
        <v/>
      </c>
    </row>
    <row r="642" spans="1:7" ht="21.95" customHeight="1">
      <c r="A642" s="11"/>
      <c r="B642" s="11"/>
      <c r="C642" s="12"/>
      <c r="D642" s="17" t="str">
        <f>IFERROR(INDEX(المواد!$B$2:$B$319,MATCH(B642,المواد!$A$2:$A$319,0)),"")</f>
        <v/>
      </c>
      <c r="E642" s="11"/>
      <c r="F642" t="str">
        <f>IF(AND($A642&lt;&gt;"",COUNTIF($A$2:A642,$A642)=1),$A642,"")</f>
        <v/>
      </c>
      <c r="G642" t="str">
        <f>IF($F642&lt;&gt;"",SUMPRODUCT(($F$2:F642&lt;&gt;"")*1),"")</f>
        <v/>
      </c>
    </row>
    <row r="643" spans="1:7" ht="21.95" customHeight="1">
      <c r="A643" s="11"/>
      <c r="B643" s="11"/>
      <c r="C643" s="12"/>
      <c r="D643" s="17" t="str">
        <f>IFERROR(INDEX(المواد!$B$2:$B$319,MATCH(B643,المواد!$A$2:$A$319,0)),"")</f>
        <v/>
      </c>
      <c r="E643" s="11"/>
      <c r="F643" t="str">
        <f>IF(AND($A643&lt;&gt;"",COUNTIF($A$2:A643,$A643)=1),$A643,"")</f>
        <v/>
      </c>
      <c r="G643" t="str">
        <f>IF($F643&lt;&gt;"",SUMPRODUCT(($F$2:F643&lt;&gt;"")*1),"")</f>
        <v/>
      </c>
    </row>
    <row r="644" spans="1:7" ht="21.95" customHeight="1">
      <c r="A644" s="11"/>
      <c r="B644" s="11"/>
      <c r="C644" s="12"/>
      <c r="D644" s="17" t="str">
        <f>IFERROR(INDEX(المواد!$B$2:$B$319,MATCH(B644,المواد!$A$2:$A$319,0)),"")</f>
        <v/>
      </c>
      <c r="E644" s="11"/>
      <c r="F644" t="str">
        <f>IF(AND($A644&lt;&gt;"",COUNTIF($A$2:A644,$A644)=1),$A644,"")</f>
        <v/>
      </c>
      <c r="G644" t="str">
        <f>IF($F644&lt;&gt;"",SUMPRODUCT(($F$2:F644&lt;&gt;"")*1),"")</f>
        <v/>
      </c>
    </row>
    <row r="645" spans="1:7" ht="21.95" customHeight="1">
      <c r="A645" s="11"/>
      <c r="B645" s="11"/>
      <c r="C645" s="12"/>
      <c r="D645" s="17" t="str">
        <f>IFERROR(INDEX(المواد!$B$2:$B$319,MATCH(B645,المواد!$A$2:$A$319,0)),"")</f>
        <v/>
      </c>
      <c r="E645" s="11"/>
      <c r="F645" t="str">
        <f>IF(AND($A645&lt;&gt;"",COUNTIF($A$2:A645,$A645)=1),$A645,"")</f>
        <v/>
      </c>
      <c r="G645" t="str">
        <f>IF($F645&lt;&gt;"",SUMPRODUCT(($F$2:F645&lt;&gt;"")*1),"")</f>
        <v/>
      </c>
    </row>
    <row r="646" spans="1:7" ht="21.95" customHeight="1">
      <c r="A646" s="11"/>
      <c r="B646" s="11"/>
      <c r="C646" s="12"/>
      <c r="D646" s="17" t="str">
        <f>IFERROR(INDEX(المواد!$B$2:$B$319,MATCH(B646,المواد!$A$2:$A$319,0)),"")</f>
        <v/>
      </c>
      <c r="E646" s="11"/>
      <c r="F646" t="str">
        <f>IF(AND($A646&lt;&gt;"",COUNTIF($A$2:A646,$A646)=1),$A646,"")</f>
        <v/>
      </c>
      <c r="G646" t="str">
        <f>IF($F646&lt;&gt;"",SUMPRODUCT(($F$2:F646&lt;&gt;"")*1),"")</f>
        <v/>
      </c>
    </row>
    <row r="647" spans="1:7" ht="21.95" customHeight="1">
      <c r="A647" s="11"/>
      <c r="B647" s="11"/>
      <c r="C647" s="12"/>
      <c r="D647" s="17" t="str">
        <f>IFERROR(INDEX(المواد!$B$2:$B$319,MATCH(B647,المواد!$A$2:$A$319,0)),"")</f>
        <v/>
      </c>
      <c r="E647" s="11"/>
      <c r="F647" t="str">
        <f>IF(AND($A647&lt;&gt;"",COUNTIF($A$2:A647,$A647)=1),$A647,"")</f>
        <v/>
      </c>
      <c r="G647" t="str">
        <f>IF($F647&lt;&gt;"",SUMPRODUCT(($F$2:F647&lt;&gt;"")*1),"")</f>
        <v/>
      </c>
    </row>
    <row r="648" spans="1:7" ht="21.95" customHeight="1">
      <c r="A648" s="11"/>
      <c r="B648" s="11"/>
      <c r="C648" s="12"/>
      <c r="D648" s="17" t="str">
        <f>IFERROR(INDEX(المواد!$B$2:$B$319,MATCH(B648,المواد!$A$2:$A$319,0)),"")</f>
        <v/>
      </c>
      <c r="E648" s="11"/>
      <c r="F648" t="str">
        <f>IF(AND($A648&lt;&gt;"",COUNTIF($A$2:A648,$A648)=1),$A648,"")</f>
        <v/>
      </c>
      <c r="G648" t="str">
        <f>IF($F648&lt;&gt;"",SUMPRODUCT(($F$2:F648&lt;&gt;"")*1),"")</f>
        <v/>
      </c>
    </row>
    <row r="649" spans="1:7" ht="21.95" customHeight="1">
      <c r="A649" s="11"/>
      <c r="B649" s="11"/>
      <c r="C649" s="12"/>
      <c r="D649" s="17" t="str">
        <f>IFERROR(INDEX(المواد!$B$2:$B$319,MATCH(B649,المواد!$A$2:$A$319,0)),"")</f>
        <v/>
      </c>
      <c r="E649" s="11"/>
      <c r="F649" t="str">
        <f>IF(AND($A649&lt;&gt;"",COUNTIF($A$2:A649,$A649)=1),$A649,"")</f>
        <v/>
      </c>
      <c r="G649" t="str">
        <f>IF($F649&lt;&gt;"",SUMPRODUCT(($F$2:F649&lt;&gt;"")*1),"")</f>
        <v/>
      </c>
    </row>
    <row r="650" spans="1:7" ht="21.95" customHeight="1">
      <c r="A650" s="11"/>
      <c r="B650" s="11"/>
      <c r="C650" s="12"/>
      <c r="D650" s="17" t="str">
        <f>IFERROR(INDEX(المواد!$B$2:$B$319,MATCH(B650,المواد!$A$2:$A$319,0)),"")</f>
        <v/>
      </c>
      <c r="E650" s="11"/>
      <c r="F650" t="str">
        <f>IF(AND($A650&lt;&gt;"",COUNTIF($A$2:A650,$A650)=1),$A650,"")</f>
        <v/>
      </c>
      <c r="G650" t="str">
        <f>IF($F650&lt;&gt;"",SUMPRODUCT(($F$2:F650&lt;&gt;"")*1),"")</f>
        <v/>
      </c>
    </row>
    <row r="651" spans="1:7" ht="21.95" customHeight="1">
      <c r="A651" s="11"/>
      <c r="B651" s="11"/>
      <c r="C651" s="12"/>
      <c r="D651" s="17" t="str">
        <f>IFERROR(INDEX(المواد!$B$2:$B$319,MATCH(B651,المواد!$A$2:$A$319,0)),"")</f>
        <v/>
      </c>
      <c r="E651" s="11"/>
      <c r="F651" t="str">
        <f>IF(AND($A651&lt;&gt;"",COUNTIF($A$2:A651,$A651)=1),$A651,"")</f>
        <v/>
      </c>
      <c r="G651" t="str">
        <f>IF($F651&lt;&gt;"",SUMPRODUCT(($F$2:F651&lt;&gt;"")*1),"")</f>
        <v/>
      </c>
    </row>
    <row r="652" spans="1:7" ht="21.95" customHeight="1">
      <c r="A652" s="11"/>
      <c r="B652" s="11"/>
      <c r="C652" s="12"/>
      <c r="D652" s="17" t="str">
        <f>IFERROR(INDEX(المواد!$B$2:$B$319,MATCH(B652,المواد!$A$2:$A$319,0)),"")</f>
        <v/>
      </c>
      <c r="E652" s="11"/>
      <c r="F652" t="str">
        <f>IF(AND($A652&lt;&gt;"",COUNTIF($A$2:A652,$A652)=1),$A652,"")</f>
        <v/>
      </c>
      <c r="G652" t="str">
        <f>IF($F652&lt;&gt;"",SUMPRODUCT(($F$2:F652&lt;&gt;"")*1),"")</f>
        <v/>
      </c>
    </row>
    <row r="653" spans="1:7" ht="21.95" customHeight="1">
      <c r="A653" s="11"/>
      <c r="B653" s="11"/>
      <c r="C653" s="12"/>
      <c r="D653" s="17" t="str">
        <f>IFERROR(INDEX(المواد!$B$2:$B$319,MATCH(B653,المواد!$A$2:$A$319,0)),"")</f>
        <v/>
      </c>
      <c r="E653" s="11"/>
      <c r="F653" t="str">
        <f>IF(AND($A653&lt;&gt;"",COUNTIF($A$2:A653,$A653)=1),$A653,"")</f>
        <v/>
      </c>
      <c r="G653" t="str">
        <f>IF($F653&lt;&gt;"",SUMPRODUCT(($F$2:F653&lt;&gt;"")*1),"")</f>
        <v/>
      </c>
    </row>
    <row r="654" spans="1:7" ht="21.95" customHeight="1">
      <c r="A654" s="11"/>
      <c r="B654" s="11"/>
      <c r="C654" s="12"/>
      <c r="D654" s="17" t="str">
        <f>IFERROR(INDEX(المواد!$B$2:$B$319,MATCH(B654,المواد!$A$2:$A$319,0)),"")</f>
        <v/>
      </c>
      <c r="E654" s="11"/>
      <c r="F654" t="str">
        <f>IF(AND($A654&lt;&gt;"",COUNTIF($A$2:A654,$A654)=1),$A654,"")</f>
        <v/>
      </c>
      <c r="G654" t="str">
        <f>IF($F654&lt;&gt;"",SUMPRODUCT(($F$2:F654&lt;&gt;"")*1),"")</f>
        <v/>
      </c>
    </row>
    <row r="655" spans="1:7" ht="21.95" customHeight="1">
      <c r="A655" s="11"/>
      <c r="B655" s="11"/>
      <c r="C655" s="12"/>
      <c r="D655" s="17" t="str">
        <f>IFERROR(INDEX(المواد!$B$2:$B$319,MATCH(B655,المواد!$A$2:$A$319,0)),"")</f>
        <v/>
      </c>
      <c r="E655" s="11"/>
      <c r="F655" t="str">
        <f>IF(AND($A655&lt;&gt;"",COUNTIF($A$2:A655,$A655)=1),$A655,"")</f>
        <v/>
      </c>
      <c r="G655" t="str">
        <f>IF($F655&lt;&gt;"",SUMPRODUCT(($F$2:F655&lt;&gt;"")*1),"")</f>
        <v/>
      </c>
    </row>
    <row r="656" spans="1:7" ht="21.95" customHeight="1">
      <c r="A656" s="11"/>
      <c r="B656" s="11"/>
      <c r="C656" s="12"/>
      <c r="D656" s="17" t="str">
        <f>IFERROR(INDEX(المواد!$B$2:$B$319,MATCH(B656,المواد!$A$2:$A$319,0)),"")</f>
        <v/>
      </c>
      <c r="E656" s="11"/>
      <c r="F656" t="str">
        <f>IF(AND($A656&lt;&gt;"",COUNTIF($A$2:A656,$A656)=1),$A656,"")</f>
        <v/>
      </c>
      <c r="G656" t="str">
        <f>IF($F656&lt;&gt;"",SUMPRODUCT(($F$2:F656&lt;&gt;"")*1),"")</f>
        <v/>
      </c>
    </row>
    <row r="657" spans="1:7" ht="21.95" customHeight="1">
      <c r="A657" s="11"/>
      <c r="B657" s="11"/>
      <c r="C657" s="12"/>
      <c r="D657" s="17" t="str">
        <f>IFERROR(INDEX(المواد!$B$2:$B$319,MATCH(B657,المواد!$A$2:$A$319,0)),"")</f>
        <v/>
      </c>
      <c r="E657" s="11"/>
      <c r="F657" t="str">
        <f>IF(AND($A657&lt;&gt;"",COUNTIF($A$2:A657,$A657)=1),$A657,"")</f>
        <v/>
      </c>
      <c r="G657" t="str">
        <f>IF($F657&lt;&gt;"",SUMPRODUCT(($F$2:F657&lt;&gt;"")*1),"")</f>
        <v/>
      </c>
    </row>
    <row r="658" spans="1:7" ht="21.95" customHeight="1">
      <c r="A658" s="11"/>
      <c r="B658" s="11"/>
      <c r="C658" s="12"/>
      <c r="D658" s="17" t="str">
        <f>IFERROR(INDEX(المواد!$B$2:$B$319,MATCH(B658,المواد!$A$2:$A$319,0)),"")</f>
        <v/>
      </c>
      <c r="E658" s="11"/>
      <c r="F658" t="str">
        <f>IF(AND($A658&lt;&gt;"",COUNTIF($A$2:A658,$A658)=1),$A658,"")</f>
        <v/>
      </c>
      <c r="G658" t="str">
        <f>IF($F658&lt;&gt;"",SUMPRODUCT(($F$2:F658&lt;&gt;"")*1),"")</f>
        <v/>
      </c>
    </row>
    <row r="659" spans="1:7" ht="21.95" customHeight="1">
      <c r="A659" s="11"/>
      <c r="B659" s="11"/>
      <c r="C659" s="12"/>
      <c r="D659" s="17" t="str">
        <f>IFERROR(INDEX(المواد!$B$2:$B$319,MATCH(B659,المواد!$A$2:$A$319,0)),"")</f>
        <v/>
      </c>
      <c r="E659" s="11"/>
      <c r="F659" t="str">
        <f>IF(AND($A659&lt;&gt;"",COUNTIF($A$2:A659,$A659)=1),$A659,"")</f>
        <v/>
      </c>
      <c r="G659" t="str">
        <f>IF($F659&lt;&gt;"",SUMPRODUCT(($F$2:F659&lt;&gt;"")*1),"")</f>
        <v/>
      </c>
    </row>
    <row r="660" spans="1:7" ht="21.95" customHeight="1">
      <c r="A660" s="11"/>
      <c r="B660" s="11"/>
      <c r="C660" s="12"/>
      <c r="D660" s="17" t="str">
        <f>IFERROR(INDEX(المواد!$B$2:$B$319,MATCH(B660,المواد!$A$2:$A$319,0)),"")</f>
        <v/>
      </c>
      <c r="E660" s="11"/>
      <c r="F660" t="str">
        <f>IF(AND($A660&lt;&gt;"",COUNTIF($A$2:A660,$A660)=1),$A660,"")</f>
        <v/>
      </c>
      <c r="G660" t="str">
        <f>IF($F660&lt;&gt;"",SUMPRODUCT(($F$2:F660&lt;&gt;"")*1),"")</f>
        <v/>
      </c>
    </row>
    <row r="661" spans="1:7" ht="21.95" customHeight="1">
      <c r="A661" s="11"/>
      <c r="B661" s="11"/>
      <c r="C661" s="12"/>
      <c r="D661" s="17" t="str">
        <f>IFERROR(INDEX(المواد!$B$2:$B$319,MATCH(B661,المواد!$A$2:$A$319,0)),"")</f>
        <v/>
      </c>
      <c r="E661" s="11"/>
      <c r="F661" t="str">
        <f>IF(AND($A661&lt;&gt;"",COUNTIF($A$2:A661,$A661)=1),$A661,"")</f>
        <v/>
      </c>
      <c r="G661" t="str">
        <f>IF($F661&lt;&gt;"",SUMPRODUCT(($F$2:F661&lt;&gt;"")*1),"")</f>
        <v/>
      </c>
    </row>
    <row r="662" spans="1:7" ht="21.95" customHeight="1">
      <c r="A662" s="11"/>
      <c r="B662" s="11"/>
      <c r="C662" s="12"/>
      <c r="D662" s="17" t="str">
        <f>IFERROR(INDEX(المواد!$B$2:$B$319,MATCH(B662,المواد!$A$2:$A$319,0)),"")</f>
        <v/>
      </c>
      <c r="E662" s="11"/>
      <c r="F662" t="str">
        <f>IF(AND($A662&lt;&gt;"",COUNTIF($A$2:A662,$A662)=1),$A662,"")</f>
        <v/>
      </c>
      <c r="G662" t="str">
        <f>IF($F662&lt;&gt;"",SUMPRODUCT(($F$2:F662&lt;&gt;"")*1),"")</f>
        <v/>
      </c>
    </row>
    <row r="663" spans="1:7" ht="21.95" customHeight="1">
      <c r="A663" s="11"/>
      <c r="B663" s="11"/>
      <c r="C663" s="12"/>
      <c r="D663" s="17" t="str">
        <f>IFERROR(INDEX(المواد!$B$2:$B$319,MATCH(B663,المواد!$A$2:$A$319,0)),"")</f>
        <v/>
      </c>
      <c r="E663" s="11"/>
      <c r="F663" t="str">
        <f>IF(AND($A663&lt;&gt;"",COUNTIF($A$2:A663,$A663)=1),$A663,"")</f>
        <v/>
      </c>
      <c r="G663" t="str">
        <f>IF($F663&lt;&gt;"",SUMPRODUCT(($F$2:F663&lt;&gt;"")*1),"")</f>
        <v/>
      </c>
    </row>
    <row r="664" spans="1:7" ht="21.95" customHeight="1">
      <c r="A664" s="11"/>
      <c r="B664" s="11"/>
      <c r="C664" s="12"/>
      <c r="D664" s="17" t="str">
        <f>IFERROR(INDEX(المواد!$B$2:$B$319,MATCH(B664,المواد!$A$2:$A$319,0)),"")</f>
        <v/>
      </c>
      <c r="E664" s="11"/>
      <c r="F664" t="str">
        <f>IF(AND($A664&lt;&gt;"",COUNTIF($A$2:A664,$A664)=1),$A664,"")</f>
        <v/>
      </c>
      <c r="G664" t="str">
        <f>IF($F664&lt;&gt;"",SUMPRODUCT(($F$2:F664&lt;&gt;"")*1),"")</f>
        <v/>
      </c>
    </row>
    <row r="665" spans="1:7" ht="21.95" customHeight="1">
      <c r="A665" s="11"/>
      <c r="B665" s="11"/>
      <c r="C665" s="12"/>
      <c r="D665" s="17" t="str">
        <f>IFERROR(INDEX(المواد!$B$2:$B$319,MATCH(B665,المواد!$A$2:$A$319,0)),"")</f>
        <v/>
      </c>
      <c r="E665" s="11"/>
      <c r="F665" t="str">
        <f>IF(AND($A665&lt;&gt;"",COUNTIF($A$2:A665,$A665)=1),$A665,"")</f>
        <v/>
      </c>
      <c r="G665" t="str">
        <f>IF($F665&lt;&gt;"",SUMPRODUCT(($F$2:F665&lt;&gt;"")*1),"")</f>
        <v/>
      </c>
    </row>
    <row r="666" spans="1:7" ht="21.95" customHeight="1">
      <c r="A666" s="11"/>
      <c r="B666" s="11"/>
      <c r="C666" s="12"/>
      <c r="D666" s="17" t="str">
        <f>IFERROR(INDEX(المواد!$B$2:$B$319,MATCH(B666,المواد!$A$2:$A$319,0)),"")</f>
        <v/>
      </c>
      <c r="E666" s="11"/>
      <c r="F666" t="str">
        <f>IF(AND($A666&lt;&gt;"",COUNTIF($A$2:A666,$A666)=1),$A666,"")</f>
        <v/>
      </c>
      <c r="G666" t="str">
        <f>IF($F666&lt;&gt;"",SUMPRODUCT(($F$2:F666&lt;&gt;"")*1),"")</f>
        <v/>
      </c>
    </row>
    <row r="667" spans="1:7" ht="21.95" customHeight="1">
      <c r="A667" s="11"/>
      <c r="B667" s="11"/>
      <c r="C667" s="12"/>
      <c r="D667" s="17" t="str">
        <f>IFERROR(INDEX(المواد!$B$2:$B$319,MATCH(B667,المواد!$A$2:$A$319,0)),"")</f>
        <v/>
      </c>
      <c r="E667" s="11"/>
      <c r="F667" t="str">
        <f>IF(AND($A667&lt;&gt;"",COUNTIF($A$2:A667,$A667)=1),$A667,"")</f>
        <v/>
      </c>
      <c r="G667" t="str">
        <f>IF($F667&lt;&gt;"",SUMPRODUCT(($F$2:F667&lt;&gt;"")*1),"")</f>
        <v/>
      </c>
    </row>
    <row r="668" spans="1:7" ht="21.95" customHeight="1">
      <c r="A668" s="11"/>
      <c r="B668" s="11"/>
      <c r="C668" s="12"/>
      <c r="D668" s="17" t="str">
        <f>IFERROR(INDEX(المواد!$B$2:$B$319,MATCH(B668,المواد!$A$2:$A$319,0)),"")</f>
        <v/>
      </c>
      <c r="E668" s="11"/>
      <c r="F668" t="str">
        <f>IF(AND($A668&lt;&gt;"",COUNTIF($A$2:A668,$A668)=1),$A668,"")</f>
        <v/>
      </c>
      <c r="G668" t="str">
        <f>IF($F668&lt;&gt;"",SUMPRODUCT(($F$2:F668&lt;&gt;"")*1),"")</f>
        <v/>
      </c>
    </row>
    <row r="669" spans="1:7" ht="21.95" customHeight="1">
      <c r="A669" s="11"/>
      <c r="B669" s="11"/>
      <c r="C669" s="12"/>
      <c r="D669" s="17" t="str">
        <f>IFERROR(INDEX(المواد!$B$2:$B$319,MATCH(B669,المواد!$A$2:$A$319,0)),"")</f>
        <v/>
      </c>
      <c r="E669" s="11"/>
      <c r="F669" t="str">
        <f>IF(AND($A669&lt;&gt;"",COUNTIF($A$2:A669,$A669)=1),$A669,"")</f>
        <v/>
      </c>
      <c r="G669" t="str">
        <f>IF($F669&lt;&gt;"",SUMPRODUCT(($F$2:F669&lt;&gt;"")*1),"")</f>
        <v/>
      </c>
    </row>
    <row r="670" spans="1:7" ht="21.95" customHeight="1">
      <c r="A670" s="11"/>
      <c r="B670" s="11"/>
      <c r="C670" s="12"/>
      <c r="D670" s="17" t="str">
        <f>IFERROR(INDEX(المواد!$B$2:$B$319,MATCH(B670,المواد!$A$2:$A$319,0)),"")</f>
        <v/>
      </c>
      <c r="E670" s="11"/>
      <c r="F670" t="str">
        <f>IF(AND($A670&lt;&gt;"",COUNTIF($A$2:A670,$A670)=1),$A670,"")</f>
        <v/>
      </c>
      <c r="G670" t="str">
        <f>IF($F670&lt;&gt;"",SUMPRODUCT(($F$2:F670&lt;&gt;"")*1),"")</f>
        <v/>
      </c>
    </row>
    <row r="671" spans="1:7" ht="21.95" customHeight="1">
      <c r="A671" s="11"/>
      <c r="B671" s="11"/>
      <c r="C671" s="12"/>
      <c r="D671" s="17" t="str">
        <f>IFERROR(INDEX(المواد!$B$2:$B$319,MATCH(B671,المواد!$A$2:$A$319,0)),"")</f>
        <v/>
      </c>
      <c r="E671" s="11"/>
      <c r="F671" t="str">
        <f>IF(AND($A671&lt;&gt;"",COUNTIF($A$2:A671,$A671)=1),$A671,"")</f>
        <v/>
      </c>
      <c r="G671" t="str">
        <f>IF($F671&lt;&gt;"",SUMPRODUCT(($F$2:F671&lt;&gt;"")*1),"")</f>
        <v/>
      </c>
    </row>
    <row r="672" spans="1:7" ht="21.95" customHeight="1">
      <c r="A672" s="11"/>
      <c r="B672" s="11"/>
      <c r="C672" s="12"/>
      <c r="D672" s="17" t="str">
        <f>IFERROR(INDEX(المواد!$B$2:$B$319,MATCH(B672,المواد!$A$2:$A$319,0)),"")</f>
        <v/>
      </c>
      <c r="E672" s="11"/>
      <c r="F672" t="str">
        <f>IF(AND($A672&lt;&gt;"",COUNTIF($A$2:A672,$A672)=1),$A672,"")</f>
        <v/>
      </c>
      <c r="G672" t="str">
        <f>IF($F672&lt;&gt;"",SUMPRODUCT(($F$2:F672&lt;&gt;"")*1),"")</f>
        <v/>
      </c>
    </row>
    <row r="673" spans="1:7" ht="21.95" customHeight="1">
      <c r="A673" s="11"/>
      <c r="B673" s="11"/>
      <c r="C673" s="12"/>
      <c r="D673" s="17" t="str">
        <f>IFERROR(INDEX(المواد!$B$2:$B$319,MATCH(B673,المواد!$A$2:$A$319,0)),"")</f>
        <v/>
      </c>
      <c r="E673" s="11"/>
      <c r="F673" t="str">
        <f>IF(AND($A673&lt;&gt;"",COUNTIF($A$2:A673,$A673)=1),$A673,"")</f>
        <v/>
      </c>
      <c r="G673" t="str">
        <f>IF($F673&lt;&gt;"",SUMPRODUCT(($F$2:F673&lt;&gt;"")*1),"")</f>
        <v/>
      </c>
    </row>
    <row r="674" spans="1:7" ht="21.95" customHeight="1">
      <c r="A674" s="11"/>
      <c r="B674" s="11"/>
      <c r="C674" s="12"/>
      <c r="D674" s="17" t="str">
        <f>IFERROR(INDEX(المواد!$B$2:$B$319,MATCH(B674,المواد!$A$2:$A$319,0)),"")</f>
        <v/>
      </c>
      <c r="E674" s="11"/>
      <c r="F674" t="str">
        <f>IF(AND($A674&lt;&gt;"",COUNTIF($A$2:A674,$A674)=1),$A674,"")</f>
        <v/>
      </c>
      <c r="G674" t="str">
        <f>IF($F674&lt;&gt;"",SUMPRODUCT(($F$2:F674&lt;&gt;"")*1),"")</f>
        <v/>
      </c>
    </row>
    <row r="675" spans="1:7" ht="21.95" customHeight="1">
      <c r="A675" s="11"/>
      <c r="B675" s="11"/>
      <c r="C675" s="12"/>
      <c r="D675" s="17" t="str">
        <f>IFERROR(INDEX(المواد!$B$2:$B$319,MATCH(B675,المواد!$A$2:$A$319,0)),"")</f>
        <v/>
      </c>
      <c r="E675" s="11"/>
      <c r="F675" t="str">
        <f>IF(AND($A675&lt;&gt;"",COUNTIF($A$2:A675,$A675)=1),$A675,"")</f>
        <v/>
      </c>
      <c r="G675" t="str">
        <f>IF($F675&lt;&gt;"",SUMPRODUCT(($F$2:F675&lt;&gt;"")*1),"")</f>
        <v/>
      </c>
    </row>
    <row r="676" spans="1:7" ht="21.95" customHeight="1">
      <c r="A676" s="11"/>
      <c r="B676" s="11"/>
      <c r="C676" s="12"/>
      <c r="D676" s="17" t="str">
        <f>IFERROR(INDEX(المواد!$B$2:$B$319,MATCH(B676,المواد!$A$2:$A$319,0)),"")</f>
        <v/>
      </c>
      <c r="E676" s="11"/>
      <c r="F676" t="str">
        <f>IF(AND($A676&lt;&gt;"",COUNTIF($A$2:A676,$A676)=1),$A676,"")</f>
        <v/>
      </c>
      <c r="G676" t="str">
        <f>IF($F676&lt;&gt;"",SUMPRODUCT(($F$2:F676&lt;&gt;"")*1),"")</f>
        <v/>
      </c>
    </row>
    <row r="677" spans="1:7" ht="21.95" customHeight="1">
      <c r="A677" s="11"/>
      <c r="B677" s="11"/>
      <c r="C677" s="12"/>
      <c r="D677" s="17" t="str">
        <f>IFERROR(INDEX(المواد!$B$2:$B$319,MATCH(B677,المواد!$A$2:$A$319,0)),"")</f>
        <v/>
      </c>
      <c r="E677" s="11"/>
      <c r="F677" t="str">
        <f>IF(AND($A677&lt;&gt;"",COUNTIF($A$2:A677,$A677)=1),$A677,"")</f>
        <v/>
      </c>
      <c r="G677" t="str">
        <f>IF($F677&lt;&gt;"",SUMPRODUCT(($F$2:F677&lt;&gt;"")*1),"")</f>
        <v/>
      </c>
    </row>
    <row r="678" spans="1:7" ht="21.95" customHeight="1">
      <c r="A678" s="11"/>
      <c r="B678" s="11"/>
      <c r="C678" s="12"/>
      <c r="D678" s="17" t="str">
        <f>IFERROR(INDEX(المواد!$B$2:$B$319,MATCH(B678,المواد!$A$2:$A$319,0)),"")</f>
        <v/>
      </c>
      <c r="E678" s="11"/>
      <c r="F678" t="str">
        <f>IF(AND($A678&lt;&gt;"",COUNTIF($A$2:A678,$A678)=1),$A678,"")</f>
        <v/>
      </c>
      <c r="G678" t="str">
        <f>IF($F678&lt;&gt;"",SUMPRODUCT(($F$2:F678&lt;&gt;"")*1),"")</f>
        <v/>
      </c>
    </row>
    <row r="679" spans="1:7" ht="21.95" customHeight="1">
      <c r="A679" s="11"/>
      <c r="B679" s="11"/>
      <c r="C679" s="12"/>
      <c r="D679" s="17" t="str">
        <f>IFERROR(INDEX(المواد!$B$2:$B$319,MATCH(B679,المواد!$A$2:$A$319,0)),"")</f>
        <v/>
      </c>
      <c r="E679" s="11"/>
      <c r="F679" t="str">
        <f>IF(AND($A679&lt;&gt;"",COUNTIF($A$2:A679,$A679)=1),$A679,"")</f>
        <v/>
      </c>
      <c r="G679" t="str">
        <f>IF($F679&lt;&gt;"",SUMPRODUCT(($F$2:F679&lt;&gt;"")*1),"")</f>
        <v/>
      </c>
    </row>
    <row r="680" spans="1:7" ht="21.95" customHeight="1">
      <c r="A680" s="11"/>
      <c r="B680" s="11"/>
      <c r="C680" s="12"/>
      <c r="D680" s="17" t="str">
        <f>IFERROR(INDEX(المواد!$B$2:$B$319,MATCH(B680,المواد!$A$2:$A$319,0)),"")</f>
        <v/>
      </c>
      <c r="E680" s="11"/>
      <c r="F680" t="str">
        <f>IF(AND($A680&lt;&gt;"",COUNTIF($A$2:A680,$A680)=1),$A680,"")</f>
        <v/>
      </c>
      <c r="G680" t="str">
        <f>IF($F680&lt;&gt;"",SUMPRODUCT(($F$2:F680&lt;&gt;"")*1),"")</f>
        <v/>
      </c>
    </row>
    <row r="681" spans="1:7" ht="21.95" customHeight="1">
      <c r="A681" s="11"/>
      <c r="B681" s="11"/>
      <c r="C681" s="12"/>
      <c r="D681" s="17" t="str">
        <f>IFERROR(INDEX(المواد!$B$2:$B$319,MATCH(B681,المواد!$A$2:$A$319,0)),"")</f>
        <v/>
      </c>
      <c r="E681" s="11"/>
      <c r="F681" t="str">
        <f>IF(AND($A681&lt;&gt;"",COUNTIF($A$2:A681,$A681)=1),$A681,"")</f>
        <v/>
      </c>
      <c r="G681" t="str">
        <f>IF($F681&lt;&gt;"",SUMPRODUCT(($F$2:F681&lt;&gt;"")*1),"")</f>
        <v/>
      </c>
    </row>
    <row r="682" spans="1:7" ht="21.95" customHeight="1">
      <c r="A682" s="11"/>
      <c r="B682" s="11"/>
      <c r="C682" s="12"/>
      <c r="D682" s="17" t="str">
        <f>IFERROR(INDEX(المواد!$B$2:$B$319,MATCH(B682,المواد!$A$2:$A$319,0)),"")</f>
        <v/>
      </c>
      <c r="E682" s="11"/>
      <c r="F682" t="str">
        <f>IF(AND($A682&lt;&gt;"",COUNTIF($A$2:A682,$A682)=1),$A682,"")</f>
        <v/>
      </c>
      <c r="G682" t="str">
        <f>IF($F682&lt;&gt;"",SUMPRODUCT(($F$2:F682&lt;&gt;"")*1),"")</f>
        <v/>
      </c>
    </row>
    <row r="683" spans="1:7" ht="21.95" customHeight="1">
      <c r="A683" s="11"/>
      <c r="B683" s="11"/>
      <c r="C683" s="12"/>
      <c r="D683" s="17" t="str">
        <f>IFERROR(INDEX(المواد!$B$2:$B$319,MATCH(B683,المواد!$A$2:$A$319,0)),"")</f>
        <v/>
      </c>
      <c r="E683" s="11"/>
      <c r="F683" t="str">
        <f>IF(AND($A683&lt;&gt;"",COUNTIF($A$2:A683,$A683)=1),$A683,"")</f>
        <v/>
      </c>
      <c r="G683" t="str">
        <f>IF($F683&lt;&gt;"",SUMPRODUCT(($F$2:F683&lt;&gt;"")*1),"")</f>
        <v/>
      </c>
    </row>
    <row r="684" spans="1:7" ht="21.95" customHeight="1">
      <c r="A684" s="11"/>
      <c r="B684" s="11"/>
      <c r="C684" s="12"/>
      <c r="D684" s="17" t="str">
        <f>IFERROR(INDEX(المواد!$B$2:$B$319,MATCH(B684,المواد!$A$2:$A$319,0)),"")</f>
        <v/>
      </c>
      <c r="E684" s="11"/>
      <c r="F684" t="str">
        <f>IF(AND($A684&lt;&gt;"",COUNTIF($A$2:A684,$A684)=1),$A684,"")</f>
        <v/>
      </c>
      <c r="G684" t="str">
        <f>IF($F684&lt;&gt;"",SUMPRODUCT(($F$2:F684&lt;&gt;"")*1),"")</f>
        <v/>
      </c>
    </row>
    <row r="685" spans="1:7" ht="21.95" customHeight="1">
      <c r="A685" s="11"/>
      <c r="B685" s="11"/>
      <c r="C685" s="12"/>
      <c r="D685" s="17" t="str">
        <f>IFERROR(INDEX(المواد!$B$2:$B$319,MATCH(B685,المواد!$A$2:$A$319,0)),"")</f>
        <v/>
      </c>
      <c r="E685" s="11"/>
      <c r="F685" t="str">
        <f>IF(AND($A685&lt;&gt;"",COUNTIF($A$2:A685,$A685)=1),$A685,"")</f>
        <v/>
      </c>
      <c r="G685" t="str">
        <f>IF($F685&lt;&gt;"",SUMPRODUCT(($F$2:F685&lt;&gt;"")*1),"")</f>
        <v/>
      </c>
    </row>
    <row r="686" spans="1:7" ht="21.95" customHeight="1">
      <c r="A686" s="11"/>
      <c r="B686" s="11"/>
      <c r="C686" s="12"/>
      <c r="D686" s="17" t="str">
        <f>IFERROR(INDEX(المواد!$B$2:$B$319,MATCH(B686,المواد!$A$2:$A$319,0)),"")</f>
        <v/>
      </c>
      <c r="E686" s="11"/>
      <c r="F686" t="str">
        <f>IF(AND($A686&lt;&gt;"",COUNTIF($A$2:A686,$A686)=1),$A686,"")</f>
        <v/>
      </c>
      <c r="G686" t="str">
        <f>IF($F686&lt;&gt;"",SUMPRODUCT(($F$2:F686&lt;&gt;"")*1),"")</f>
        <v/>
      </c>
    </row>
    <row r="687" spans="1:7" ht="21.95" customHeight="1">
      <c r="A687" s="11"/>
      <c r="B687" s="11"/>
      <c r="C687" s="12"/>
      <c r="D687" s="17" t="str">
        <f>IFERROR(INDEX(المواد!$B$2:$B$319,MATCH(B687,المواد!$A$2:$A$319,0)),"")</f>
        <v/>
      </c>
      <c r="E687" s="11"/>
      <c r="F687" t="str">
        <f>IF(AND($A687&lt;&gt;"",COUNTIF($A$2:A687,$A687)=1),$A687,"")</f>
        <v/>
      </c>
      <c r="G687" t="str">
        <f>IF($F687&lt;&gt;"",SUMPRODUCT(($F$2:F687&lt;&gt;"")*1),"")</f>
        <v/>
      </c>
    </row>
    <row r="688" spans="1:7" ht="21.95" customHeight="1">
      <c r="A688" s="11"/>
      <c r="B688" s="11"/>
      <c r="C688" s="12"/>
      <c r="D688" s="17" t="str">
        <f>IFERROR(INDEX(المواد!$B$2:$B$319,MATCH(B688,المواد!$A$2:$A$319,0)),"")</f>
        <v/>
      </c>
      <c r="E688" s="11"/>
      <c r="F688" t="str">
        <f>IF(AND($A688&lt;&gt;"",COUNTIF($A$2:A688,$A688)=1),$A688,"")</f>
        <v/>
      </c>
      <c r="G688" t="str">
        <f>IF($F688&lt;&gt;"",SUMPRODUCT(($F$2:F688&lt;&gt;"")*1),"")</f>
        <v/>
      </c>
    </row>
    <row r="689" spans="1:7" ht="21.95" customHeight="1">
      <c r="A689" s="11"/>
      <c r="B689" s="11"/>
      <c r="C689" s="12"/>
      <c r="D689" s="17" t="str">
        <f>IFERROR(INDEX(المواد!$B$2:$B$319,MATCH(B689,المواد!$A$2:$A$319,0)),"")</f>
        <v/>
      </c>
      <c r="E689" s="11"/>
      <c r="F689" t="str">
        <f>IF(AND($A689&lt;&gt;"",COUNTIF($A$2:A689,$A689)=1),$A689,"")</f>
        <v/>
      </c>
      <c r="G689" t="str">
        <f>IF($F689&lt;&gt;"",SUMPRODUCT(($F$2:F689&lt;&gt;"")*1),"")</f>
        <v/>
      </c>
    </row>
    <row r="690" spans="1:7" ht="21.95" customHeight="1">
      <c r="A690" s="11"/>
      <c r="B690" s="11"/>
      <c r="C690" s="12"/>
      <c r="D690" s="17" t="str">
        <f>IFERROR(INDEX(المواد!$B$2:$B$319,MATCH(B690,المواد!$A$2:$A$319,0)),"")</f>
        <v/>
      </c>
      <c r="E690" s="11"/>
      <c r="F690" t="str">
        <f>IF(AND($A690&lt;&gt;"",COUNTIF($A$2:A690,$A690)=1),$A690,"")</f>
        <v/>
      </c>
      <c r="G690" t="str">
        <f>IF($F690&lt;&gt;"",SUMPRODUCT(($F$2:F690&lt;&gt;"")*1),"")</f>
        <v/>
      </c>
    </row>
    <row r="691" spans="1:7" ht="21.95" customHeight="1">
      <c r="A691" s="11"/>
      <c r="B691" s="11"/>
      <c r="C691" s="12"/>
      <c r="D691" s="17" t="str">
        <f>IFERROR(INDEX(المواد!$B$2:$B$319,MATCH(B691,المواد!$A$2:$A$319,0)),"")</f>
        <v/>
      </c>
      <c r="E691" s="11"/>
      <c r="F691" t="str">
        <f>IF(AND($A691&lt;&gt;"",COUNTIF($A$2:A691,$A691)=1),$A691,"")</f>
        <v/>
      </c>
      <c r="G691" t="str">
        <f>IF($F691&lt;&gt;"",SUMPRODUCT(($F$2:F691&lt;&gt;"")*1),"")</f>
        <v/>
      </c>
    </row>
    <row r="692" spans="1:7" ht="21.95" customHeight="1">
      <c r="A692" s="11"/>
      <c r="B692" s="11"/>
      <c r="C692" s="12"/>
      <c r="D692" s="17" t="str">
        <f>IFERROR(INDEX(المواد!$B$2:$B$319,MATCH(B692,المواد!$A$2:$A$319,0)),"")</f>
        <v/>
      </c>
      <c r="E692" s="11"/>
      <c r="F692" t="str">
        <f>IF(AND($A692&lt;&gt;"",COUNTIF($A$2:A692,$A692)=1),$A692,"")</f>
        <v/>
      </c>
      <c r="G692" t="str">
        <f>IF($F692&lt;&gt;"",SUMPRODUCT(($F$2:F692&lt;&gt;"")*1),"")</f>
        <v/>
      </c>
    </row>
    <row r="693" spans="1:7" ht="21.95" customHeight="1">
      <c r="A693" s="11"/>
      <c r="B693" s="11"/>
      <c r="C693" s="12"/>
      <c r="D693" s="17" t="str">
        <f>IFERROR(INDEX(المواد!$B$2:$B$319,MATCH(B693,المواد!$A$2:$A$319,0)),"")</f>
        <v/>
      </c>
      <c r="E693" s="11"/>
      <c r="F693" t="str">
        <f>IF(AND($A693&lt;&gt;"",COUNTIF($A$2:A693,$A693)=1),$A693,"")</f>
        <v/>
      </c>
      <c r="G693" t="str">
        <f>IF($F693&lt;&gt;"",SUMPRODUCT(($F$2:F693&lt;&gt;"")*1),"")</f>
        <v/>
      </c>
    </row>
    <row r="694" spans="1:7" ht="21.95" customHeight="1">
      <c r="A694" s="11"/>
      <c r="B694" s="11"/>
      <c r="C694" s="12"/>
      <c r="D694" s="17" t="str">
        <f>IFERROR(INDEX(المواد!$B$2:$B$319,MATCH(B694,المواد!$A$2:$A$319,0)),"")</f>
        <v/>
      </c>
      <c r="E694" s="11"/>
      <c r="F694" t="str">
        <f>IF(AND($A694&lt;&gt;"",COUNTIF($A$2:A694,$A694)=1),$A694,"")</f>
        <v/>
      </c>
      <c r="G694" t="str">
        <f>IF($F694&lt;&gt;"",SUMPRODUCT(($F$2:F694&lt;&gt;"")*1),"")</f>
        <v/>
      </c>
    </row>
    <row r="695" spans="1:7" ht="21.95" customHeight="1">
      <c r="A695" s="11"/>
      <c r="B695" s="11"/>
      <c r="C695" s="12"/>
      <c r="D695" s="17" t="str">
        <f>IFERROR(INDEX(المواد!$B$2:$B$319,MATCH(B695,المواد!$A$2:$A$319,0)),"")</f>
        <v/>
      </c>
      <c r="E695" s="11"/>
      <c r="F695" t="str">
        <f>IF(AND($A695&lt;&gt;"",COUNTIF($A$2:A695,$A695)=1),$A695,"")</f>
        <v/>
      </c>
      <c r="G695" t="str">
        <f>IF($F695&lt;&gt;"",SUMPRODUCT(($F$2:F695&lt;&gt;"")*1),"")</f>
        <v/>
      </c>
    </row>
    <row r="696" spans="1:7" ht="21.95" customHeight="1">
      <c r="A696" s="11"/>
      <c r="B696" s="11"/>
      <c r="C696" s="12"/>
      <c r="D696" s="17" t="str">
        <f>IFERROR(INDEX(المواد!$B$2:$B$319,MATCH(B696,المواد!$A$2:$A$319,0)),"")</f>
        <v/>
      </c>
      <c r="E696" s="11"/>
      <c r="F696" t="str">
        <f>IF(AND($A696&lt;&gt;"",COUNTIF($A$2:A696,$A696)=1),$A696,"")</f>
        <v/>
      </c>
      <c r="G696" t="str">
        <f>IF($F696&lt;&gt;"",SUMPRODUCT(($F$2:F696&lt;&gt;"")*1),"")</f>
        <v/>
      </c>
    </row>
    <row r="697" spans="1:7" ht="21.95" customHeight="1">
      <c r="A697" s="11"/>
      <c r="B697" s="11"/>
      <c r="C697" s="12"/>
      <c r="D697" s="17" t="str">
        <f>IFERROR(INDEX(المواد!$B$2:$B$319,MATCH(B697,المواد!$A$2:$A$319,0)),"")</f>
        <v/>
      </c>
      <c r="E697" s="11"/>
      <c r="F697" t="str">
        <f>IF(AND($A697&lt;&gt;"",COUNTIF($A$2:A697,$A697)=1),$A697,"")</f>
        <v/>
      </c>
      <c r="G697" t="str">
        <f>IF($F697&lt;&gt;"",SUMPRODUCT(($F$2:F697&lt;&gt;"")*1),"")</f>
        <v/>
      </c>
    </row>
    <row r="698" spans="1:7" ht="21.95" customHeight="1">
      <c r="A698" s="11"/>
      <c r="B698" s="11"/>
      <c r="C698" s="12"/>
      <c r="D698" s="17" t="str">
        <f>IFERROR(INDEX(المواد!$B$2:$B$319,MATCH(B698,المواد!$A$2:$A$319,0)),"")</f>
        <v/>
      </c>
      <c r="E698" s="11"/>
      <c r="F698" t="str">
        <f>IF(AND($A698&lt;&gt;"",COUNTIF($A$2:A698,$A698)=1),$A698,"")</f>
        <v/>
      </c>
      <c r="G698" t="str">
        <f>IF($F698&lt;&gt;"",SUMPRODUCT(($F$2:F698&lt;&gt;"")*1),"")</f>
        <v/>
      </c>
    </row>
    <row r="699" spans="1:7" ht="21.95" customHeight="1">
      <c r="A699" s="11"/>
      <c r="B699" s="11"/>
      <c r="C699" s="12"/>
      <c r="D699" s="17" t="str">
        <f>IFERROR(INDEX(المواد!$B$2:$B$319,MATCH(B699,المواد!$A$2:$A$319,0)),"")</f>
        <v/>
      </c>
      <c r="E699" s="11"/>
      <c r="F699" t="str">
        <f>IF(AND($A699&lt;&gt;"",COUNTIF($A$2:A699,$A699)=1),$A699,"")</f>
        <v/>
      </c>
      <c r="G699" t="str">
        <f>IF($F699&lt;&gt;"",SUMPRODUCT(($F$2:F699&lt;&gt;"")*1),"")</f>
        <v/>
      </c>
    </row>
    <row r="700" spans="1:7" ht="21.95" customHeight="1">
      <c r="A700" s="11"/>
      <c r="B700" s="11"/>
      <c r="C700" s="12"/>
      <c r="D700" s="17" t="str">
        <f>IFERROR(INDEX(المواد!$B$2:$B$319,MATCH(B700,المواد!$A$2:$A$319,0)),"")</f>
        <v/>
      </c>
      <c r="E700" s="11"/>
      <c r="F700" t="str">
        <f>IF(AND($A700&lt;&gt;"",COUNTIF($A$2:A700,$A700)=1),$A700,"")</f>
        <v/>
      </c>
      <c r="G700" t="str">
        <f>IF($F700&lt;&gt;"",SUMPRODUCT(($F$2:F700&lt;&gt;"")*1),"")</f>
        <v/>
      </c>
    </row>
    <row r="701" spans="1:7" ht="21.95" customHeight="1">
      <c r="A701" s="11"/>
      <c r="B701" s="11"/>
      <c r="C701" s="12"/>
      <c r="D701" s="17" t="str">
        <f>IFERROR(INDEX(المواد!$B$2:$B$319,MATCH(B701,المواد!$A$2:$A$319,0)),"")</f>
        <v/>
      </c>
      <c r="E701" s="11"/>
      <c r="F701" t="str">
        <f>IF(AND($A701&lt;&gt;"",COUNTIF($A$2:A701,$A701)=1),$A701,"")</f>
        <v/>
      </c>
      <c r="G701" t="str">
        <f>IF($F701&lt;&gt;"",SUMPRODUCT(($F$2:F701&lt;&gt;"")*1),"")</f>
        <v/>
      </c>
    </row>
    <row r="702" spans="1:7" ht="21.95" customHeight="1">
      <c r="A702" s="11"/>
      <c r="B702" s="11"/>
      <c r="C702" s="12"/>
      <c r="D702" s="17" t="str">
        <f>IFERROR(INDEX(المواد!$B$2:$B$319,MATCH(B702,المواد!$A$2:$A$319,0)),"")</f>
        <v/>
      </c>
      <c r="E702" s="11"/>
      <c r="F702" t="str">
        <f>IF(AND($A702&lt;&gt;"",COUNTIF($A$2:A702,$A702)=1),$A702,"")</f>
        <v/>
      </c>
      <c r="G702" t="str">
        <f>IF($F702&lt;&gt;"",SUMPRODUCT(($F$2:F702&lt;&gt;"")*1),"")</f>
        <v/>
      </c>
    </row>
    <row r="703" spans="1:7" ht="21.95" customHeight="1">
      <c r="A703" s="11"/>
      <c r="B703" s="11"/>
      <c r="C703" s="12"/>
      <c r="D703" s="17" t="str">
        <f>IFERROR(INDEX(المواد!$B$2:$B$319,MATCH(B703,المواد!$A$2:$A$319,0)),"")</f>
        <v/>
      </c>
      <c r="E703" s="11"/>
      <c r="F703" t="str">
        <f>IF(AND($A703&lt;&gt;"",COUNTIF($A$2:A703,$A703)=1),$A703,"")</f>
        <v/>
      </c>
      <c r="G703" t="str">
        <f>IF($F703&lt;&gt;"",SUMPRODUCT(($F$2:F703&lt;&gt;"")*1),"")</f>
        <v/>
      </c>
    </row>
    <row r="704" spans="1:7" ht="21.95" customHeight="1">
      <c r="A704" s="11"/>
      <c r="B704" s="11"/>
      <c r="C704" s="12"/>
      <c r="D704" s="17" t="str">
        <f>IFERROR(INDEX(المواد!$B$2:$B$319,MATCH(B704,المواد!$A$2:$A$319,0)),"")</f>
        <v/>
      </c>
      <c r="E704" s="11"/>
      <c r="F704" t="str">
        <f>IF(AND($A704&lt;&gt;"",COUNTIF($A$2:A704,$A704)=1),$A704,"")</f>
        <v/>
      </c>
      <c r="G704" t="str">
        <f>IF($F704&lt;&gt;"",SUMPRODUCT(($F$2:F704&lt;&gt;"")*1),"")</f>
        <v/>
      </c>
    </row>
    <row r="705" spans="1:7" ht="21.95" customHeight="1">
      <c r="A705" s="11"/>
      <c r="B705" s="11"/>
      <c r="C705" s="12"/>
      <c r="D705" s="17" t="str">
        <f>IFERROR(INDEX(المواد!$B$2:$B$319,MATCH(B705,المواد!$A$2:$A$319,0)),"")</f>
        <v/>
      </c>
      <c r="E705" s="11"/>
      <c r="F705" t="str">
        <f>IF(AND($A705&lt;&gt;"",COUNTIF($A$2:A705,$A705)=1),$A705,"")</f>
        <v/>
      </c>
      <c r="G705" t="str">
        <f>IF($F705&lt;&gt;"",SUMPRODUCT(($F$2:F705&lt;&gt;"")*1),"")</f>
        <v/>
      </c>
    </row>
    <row r="706" spans="1:7" ht="21.95" customHeight="1">
      <c r="A706" s="11"/>
      <c r="B706" s="11"/>
      <c r="C706" s="12"/>
      <c r="D706" s="17" t="str">
        <f>IFERROR(INDEX(المواد!$B$2:$B$319,MATCH(B706,المواد!$A$2:$A$319,0)),"")</f>
        <v/>
      </c>
      <c r="E706" s="11"/>
      <c r="F706" t="str">
        <f>IF(AND($A706&lt;&gt;"",COUNTIF($A$2:A706,$A706)=1),$A706,"")</f>
        <v/>
      </c>
      <c r="G706" t="str">
        <f>IF($F706&lt;&gt;"",SUMPRODUCT(($F$2:F706&lt;&gt;"")*1),"")</f>
        <v/>
      </c>
    </row>
    <row r="707" spans="1:7" ht="21.95" customHeight="1">
      <c r="A707" s="11"/>
      <c r="B707" s="11"/>
      <c r="C707" s="12"/>
      <c r="D707" s="17" t="str">
        <f>IFERROR(INDEX(المواد!$B$2:$B$319,MATCH(B707,المواد!$A$2:$A$319,0)),"")</f>
        <v/>
      </c>
      <c r="E707" s="11"/>
      <c r="F707" t="str">
        <f>IF(AND($A707&lt;&gt;"",COUNTIF($A$2:A707,$A707)=1),$A707,"")</f>
        <v/>
      </c>
      <c r="G707" t="str">
        <f>IF($F707&lt;&gt;"",SUMPRODUCT(($F$2:F707&lt;&gt;"")*1),"")</f>
        <v/>
      </c>
    </row>
    <row r="708" spans="1:7" ht="21.95" customHeight="1">
      <c r="A708" s="11"/>
      <c r="B708" s="11"/>
      <c r="C708" s="12"/>
      <c r="D708" s="17" t="str">
        <f>IFERROR(INDEX(المواد!$B$2:$B$319,MATCH(B708,المواد!$A$2:$A$319,0)),"")</f>
        <v/>
      </c>
      <c r="E708" s="11"/>
      <c r="F708" t="str">
        <f>IF(AND($A708&lt;&gt;"",COUNTIF($A$2:A708,$A708)=1),$A708,"")</f>
        <v/>
      </c>
      <c r="G708" t="str">
        <f>IF($F708&lt;&gt;"",SUMPRODUCT(($F$2:F708&lt;&gt;"")*1),"")</f>
        <v/>
      </c>
    </row>
    <row r="709" spans="1:7" ht="21.95" customHeight="1">
      <c r="A709" s="11"/>
      <c r="B709" s="11"/>
      <c r="C709" s="12"/>
      <c r="D709" s="17" t="str">
        <f>IFERROR(INDEX(المواد!$B$2:$B$319,MATCH(B709,المواد!$A$2:$A$319,0)),"")</f>
        <v/>
      </c>
      <c r="E709" s="11"/>
      <c r="F709" t="str">
        <f>IF(AND($A709&lt;&gt;"",COUNTIF($A$2:A709,$A709)=1),$A709,"")</f>
        <v/>
      </c>
      <c r="G709" t="str">
        <f>IF($F709&lt;&gt;"",SUMPRODUCT(($F$2:F709&lt;&gt;"")*1),"")</f>
        <v/>
      </c>
    </row>
    <row r="710" spans="1:7" ht="21.95" customHeight="1">
      <c r="A710" s="11"/>
      <c r="B710" s="11"/>
      <c r="C710" s="12"/>
      <c r="D710" s="17" t="str">
        <f>IFERROR(INDEX(المواد!$B$2:$B$319,MATCH(B710,المواد!$A$2:$A$319,0)),"")</f>
        <v/>
      </c>
      <c r="E710" s="11"/>
      <c r="F710" t="str">
        <f>IF(AND($A710&lt;&gt;"",COUNTIF($A$2:A710,$A710)=1),$A710,"")</f>
        <v/>
      </c>
      <c r="G710" t="str">
        <f>IF($F710&lt;&gt;"",SUMPRODUCT(($F$2:F710&lt;&gt;"")*1),"")</f>
        <v/>
      </c>
    </row>
    <row r="711" spans="1:7" ht="21.95" customHeight="1">
      <c r="A711" s="11"/>
      <c r="B711" s="11"/>
      <c r="C711" s="12"/>
      <c r="D711" s="17" t="str">
        <f>IFERROR(INDEX(المواد!$B$2:$B$319,MATCH(B711,المواد!$A$2:$A$319,0)),"")</f>
        <v/>
      </c>
      <c r="E711" s="11"/>
      <c r="F711" t="str">
        <f>IF(AND($A711&lt;&gt;"",COUNTIF($A$2:A711,$A711)=1),$A711,"")</f>
        <v/>
      </c>
      <c r="G711" t="str">
        <f>IF($F711&lt;&gt;"",SUMPRODUCT(($F$2:F711&lt;&gt;"")*1),"")</f>
        <v/>
      </c>
    </row>
    <row r="712" spans="1:7" ht="21.95" customHeight="1">
      <c r="A712" s="11"/>
      <c r="B712" s="11"/>
      <c r="C712" s="12"/>
      <c r="D712" s="17" t="str">
        <f>IFERROR(INDEX(المواد!$B$2:$B$319,MATCH(B712,المواد!$A$2:$A$319,0)),"")</f>
        <v/>
      </c>
      <c r="E712" s="11"/>
      <c r="F712" t="str">
        <f>IF(AND($A712&lt;&gt;"",COUNTIF($A$2:A712,$A712)=1),$A712,"")</f>
        <v/>
      </c>
      <c r="G712" t="str">
        <f>IF($F712&lt;&gt;"",SUMPRODUCT(($F$2:F712&lt;&gt;"")*1),"")</f>
        <v/>
      </c>
    </row>
    <row r="713" spans="1:7" ht="21.95" customHeight="1">
      <c r="A713" s="11"/>
      <c r="B713" s="11"/>
      <c r="C713" s="12"/>
      <c r="D713" s="17" t="str">
        <f>IFERROR(INDEX(المواد!$B$2:$B$319,MATCH(B713,المواد!$A$2:$A$319,0)),"")</f>
        <v/>
      </c>
      <c r="E713" s="11"/>
      <c r="F713" t="str">
        <f>IF(AND($A713&lt;&gt;"",COUNTIF($A$2:A713,$A713)=1),$A713,"")</f>
        <v/>
      </c>
      <c r="G713" t="str">
        <f>IF($F713&lt;&gt;"",SUMPRODUCT(($F$2:F713&lt;&gt;"")*1),"")</f>
        <v/>
      </c>
    </row>
    <row r="714" spans="1:7" ht="21.95" customHeight="1">
      <c r="A714" s="11"/>
      <c r="B714" s="11"/>
      <c r="C714" s="12"/>
      <c r="D714" s="17" t="str">
        <f>IFERROR(INDEX(المواد!$B$2:$B$319,MATCH(B714,المواد!$A$2:$A$319,0)),"")</f>
        <v/>
      </c>
      <c r="E714" s="11"/>
      <c r="F714" t="str">
        <f>IF(AND($A714&lt;&gt;"",COUNTIF($A$2:A714,$A714)=1),$A714,"")</f>
        <v/>
      </c>
      <c r="G714" t="str">
        <f>IF($F714&lt;&gt;"",SUMPRODUCT(($F$2:F714&lt;&gt;"")*1),"")</f>
        <v/>
      </c>
    </row>
    <row r="715" spans="1:7" ht="21.95" customHeight="1">
      <c r="A715" s="11"/>
      <c r="B715" s="11"/>
      <c r="C715" s="12"/>
      <c r="D715" s="17" t="str">
        <f>IFERROR(INDEX(المواد!$B$2:$B$319,MATCH(B715,المواد!$A$2:$A$319,0)),"")</f>
        <v/>
      </c>
      <c r="E715" s="11"/>
      <c r="F715" t="str">
        <f>IF(AND($A715&lt;&gt;"",COUNTIF($A$2:A715,$A715)=1),$A715,"")</f>
        <v/>
      </c>
      <c r="G715" t="str">
        <f>IF($F715&lt;&gt;"",SUMPRODUCT(($F$2:F715&lt;&gt;"")*1),"")</f>
        <v/>
      </c>
    </row>
    <row r="716" spans="1:7" ht="21.95" customHeight="1">
      <c r="A716" s="11"/>
      <c r="B716" s="11"/>
      <c r="C716" s="12"/>
      <c r="D716" s="17" t="str">
        <f>IFERROR(INDEX(المواد!$B$2:$B$319,MATCH(B716,المواد!$A$2:$A$319,0)),"")</f>
        <v/>
      </c>
      <c r="E716" s="11"/>
      <c r="F716" t="str">
        <f>IF(AND($A716&lt;&gt;"",COUNTIF($A$2:A716,$A716)=1),$A716,"")</f>
        <v/>
      </c>
      <c r="G716" t="str">
        <f>IF($F716&lt;&gt;"",SUMPRODUCT(($F$2:F716&lt;&gt;"")*1),"")</f>
        <v/>
      </c>
    </row>
    <row r="717" spans="1:7" ht="21.95" customHeight="1">
      <c r="A717" s="11"/>
      <c r="B717" s="11"/>
      <c r="C717" s="12"/>
      <c r="D717" s="17" t="str">
        <f>IFERROR(INDEX(المواد!$B$2:$B$319,MATCH(B717,المواد!$A$2:$A$319,0)),"")</f>
        <v/>
      </c>
      <c r="E717" s="11"/>
      <c r="F717" t="str">
        <f>IF(AND($A717&lt;&gt;"",COUNTIF($A$2:A717,$A717)=1),$A717,"")</f>
        <v/>
      </c>
      <c r="G717" t="str">
        <f>IF($F717&lt;&gt;"",SUMPRODUCT(($F$2:F717&lt;&gt;"")*1),"")</f>
        <v/>
      </c>
    </row>
    <row r="718" spans="1:7" ht="21.95" customHeight="1">
      <c r="A718" s="11"/>
      <c r="B718" s="11"/>
      <c r="C718" s="12"/>
      <c r="D718" s="17" t="str">
        <f>IFERROR(INDEX(المواد!$B$2:$B$319,MATCH(B718,المواد!$A$2:$A$319,0)),"")</f>
        <v/>
      </c>
      <c r="E718" s="11"/>
      <c r="F718" t="str">
        <f>IF(AND($A718&lt;&gt;"",COUNTIF($A$2:A718,$A718)=1),$A718,"")</f>
        <v/>
      </c>
      <c r="G718" t="str">
        <f>IF($F718&lt;&gt;"",SUMPRODUCT(($F$2:F718&lt;&gt;"")*1),"")</f>
        <v/>
      </c>
    </row>
    <row r="719" spans="1:7" ht="21.95" customHeight="1">
      <c r="A719" s="11"/>
      <c r="B719" s="11"/>
      <c r="C719" s="12"/>
      <c r="D719" s="17" t="str">
        <f>IFERROR(INDEX(المواد!$B$2:$B$319,MATCH(B719,المواد!$A$2:$A$319,0)),"")</f>
        <v/>
      </c>
      <c r="E719" s="11"/>
      <c r="F719" t="str">
        <f>IF(AND($A719&lt;&gt;"",COUNTIF($A$2:A719,$A719)=1),$A719,"")</f>
        <v/>
      </c>
      <c r="G719" t="str">
        <f>IF($F719&lt;&gt;"",SUMPRODUCT(($F$2:F719&lt;&gt;"")*1),"")</f>
        <v/>
      </c>
    </row>
    <row r="720" spans="1:7" ht="21.95" customHeight="1">
      <c r="A720" s="11"/>
      <c r="B720" s="11"/>
      <c r="C720" s="12"/>
      <c r="D720" s="17" t="str">
        <f>IFERROR(INDEX(المواد!$B$2:$B$319,MATCH(B720,المواد!$A$2:$A$319,0)),"")</f>
        <v/>
      </c>
      <c r="E720" s="11"/>
      <c r="F720" t="str">
        <f>IF(AND($A720&lt;&gt;"",COUNTIF($A$2:A720,$A720)=1),$A720,"")</f>
        <v/>
      </c>
      <c r="G720" t="str">
        <f>IF($F720&lt;&gt;"",SUMPRODUCT(($F$2:F720&lt;&gt;"")*1),"")</f>
        <v/>
      </c>
    </row>
    <row r="721" spans="1:7" ht="21.95" customHeight="1">
      <c r="A721" s="11"/>
      <c r="B721" s="11"/>
      <c r="C721" s="12"/>
      <c r="D721" s="17" t="str">
        <f>IFERROR(INDEX(المواد!$B$2:$B$319,MATCH(B721,المواد!$A$2:$A$319,0)),"")</f>
        <v/>
      </c>
      <c r="E721" s="11"/>
      <c r="F721" t="str">
        <f>IF(AND($A721&lt;&gt;"",COUNTIF($A$2:A721,$A721)=1),$A721,"")</f>
        <v/>
      </c>
      <c r="G721" t="str">
        <f>IF($F721&lt;&gt;"",SUMPRODUCT(($F$2:F721&lt;&gt;"")*1),"")</f>
        <v/>
      </c>
    </row>
    <row r="722" spans="1:7" ht="21.95" customHeight="1">
      <c r="A722" s="11"/>
      <c r="B722" s="11"/>
      <c r="C722" s="12"/>
      <c r="D722" s="17" t="str">
        <f>IFERROR(INDEX(المواد!$B$2:$B$319,MATCH(B722,المواد!$A$2:$A$319,0)),"")</f>
        <v/>
      </c>
      <c r="E722" s="11"/>
      <c r="F722" t="str">
        <f>IF(AND($A722&lt;&gt;"",COUNTIF($A$2:A722,$A722)=1),$A722,"")</f>
        <v/>
      </c>
      <c r="G722" t="str">
        <f>IF($F722&lt;&gt;"",SUMPRODUCT(($F$2:F722&lt;&gt;"")*1),"")</f>
        <v/>
      </c>
    </row>
    <row r="723" spans="1:7" ht="21.95" customHeight="1">
      <c r="A723" s="11"/>
      <c r="B723" s="11"/>
      <c r="C723" s="12"/>
      <c r="D723" s="17" t="str">
        <f>IFERROR(INDEX(المواد!$B$2:$B$319,MATCH(B723,المواد!$A$2:$A$319,0)),"")</f>
        <v/>
      </c>
      <c r="E723" s="11"/>
      <c r="F723" t="str">
        <f>IF(AND($A723&lt;&gt;"",COUNTIF($A$2:A723,$A723)=1),$A723,"")</f>
        <v/>
      </c>
      <c r="G723" t="str">
        <f>IF($F723&lt;&gt;"",SUMPRODUCT(($F$2:F723&lt;&gt;"")*1),"")</f>
        <v/>
      </c>
    </row>
    <row r="724" spans="1:7" ht="21.95" customHeight="1">
      <c r="A724" s="11"/>
      <c r="B724" s="11"/>
      <c r="C724" s="12"/>
      <c r="D724" s="17" t="str">
        <f>IFERROR(INDEX(المواد!$B$2:$B$319,MATCH(B724,المواد!$A$2:$A$319,0)),"")</f>
        <v/>
      </c>
      <c r="E724" s="11"/>
      <c r="F724" t="str">
        <f>IF(AND($A724&lt;&gt;"",COUNTIF($A$2:A724,$A724)=1),$A724,"")</f>
        <v/>
      </c>
      <c r="G724" t="str">
        <f>IF($F724&lt;&gt;"",SUMPRODUCT(($F$2:F724&lt;&gt;"")*1),"")</f>
        <v/>
      </c>
    </row>
    <row r="725" spans="1:7" ht="21.95" customHeight="1">
      <c r="A725" s="11"/>
      <c r="B725" s="11"/>
      <c r="C725" s="12"/>
      <c r="D725" s="17" t="str">
        <f>IFERROR(INDEX(المواد!$B$2:$B$319,MATCH(B725,المواد!$A$2:$A$319,0)),"")</f>
        <v/>
      </c>
      <c r="E725" s="11"/>
      <c r="F725" t="str">
        <f>IF(AND($A725&lt;&gt;"",COUNTIF($A$2:A725,$A725)=1),$A725,"")</f>
        <v/>
      </c>
      <c r="G725" t="str">
        <f>IF($F725&lt;&gt;"",SUMPRODUCT(($F$2:F725&lt;&gt;"")*1),"")</f>
        <v/>
      </c>
    </row>
    <row r="726" spans="1:7" ht="21.95" customHeight="1">
      <c r="A726" s="11"/>
      <c r="B726" s="11"/>
      <c r="C726" s="12"/>
      <c r="D726" s="17" t="str">
        <f>IFERROR(INDEX(المواد!$B$2:$B$319,MATCH(B726,المواد!$A$2:$A$319,0)),"")</f>
        <v/>
      </c>
      <c r="E726" s="11"/>
      <c r="F726" t="str">
        <f>IF(AND($A726&lt;&gt;"",COUNTIF($A$2:A726,$A726)=1),$A726,"")</f>
        <v/>
      </c>
      <c r="G726" t="str">
        <f>IF($F726&lt;&gt;"",SUMPRODUCT(($F$2:F726&lt;&gt;"")*1),"")</f>
        <v/>
      </c>
    </row>
    <row r="727" spans="1:7" ht="21.95" customHeight="1">
      <c r="A727" s="11"/>
      <c r="B727" s="11"/>
      <c r="C727" s="12"/>
      <c r="D727" s="17" t="str">
        <f>IFERROR(INDEX(المواد!$B$2:$B$319,MATCH(B727,المواد!$A$2:$A$319,0)),"")</f>
        <v/>
      </c>
      <c r="E727" s="11"/>
      <c r="F727" t="str">
        <f>IF(AND($A727&lt;&gt;"",COUNTIF($A$2:A727,$A727)=1),$A727,"")</f>
        <v/>
      </c>
      <c r="G727" t="str">
        <f>IF($F727&lt;&gt;"",SUMPRODUCT(($F$2:F727&lt;&gt;"")*1),"")</f>
        <v/>
      </c>
    </row>
    <row r="728" spans="1:7" ht="21.95" customHeight="1">
      <c r="A728" s="11"/>
      <c r="B728" s="11"/>
      <c r="C728" s="12"/>
      <c r="D728" s="17" t="str">
        <f>IFERROR(INDEX(المواد!$B$2:$B$319,MATCH(B728,المواد!$A$2:$A$319,0)),"")</f>
        <v/>
      </c>
      <c r="E728" s="11"/>
      <c r="F728" t="str">
        <f>IF(AND($A728&lt;&gt;"",COUNTIF($A$2:A728,$A728)=1),$A728,"")</f>
        <v/>
      </c>
      <c r="G728" t="str">
        <f>IF($F728&lt;&gt;"",SUMPRODUCT(($F$2:F728&lt;&gt;"")*1),"")</f>
        <v/>
      </c>
    </row>
    <row r="729" spans="1:7" ht="21.95" customHeight="1">
      <c r="A729" s="11"/>
      <c r="B729" s="11"/>
      <c r="C729" s="12"/>
      <c r="D729" s="17" t="str">
        <f>IFERROR(INDEX(المواد!$B$2:$B$319,MATCH(B729,المواد!$A$2:$A$319,0)),"")</f>
        <v/>
      </c>
      <c r="E729" s="11"/>
      <c r="F729" t="str">
        <f>IF(AND($A729&lt;&gt;"",COUNTIF($A$2:A729,$A729)=1),$A729,"")</f>
        <v/>
      </c>
      <c r="G729" t="str">
        <f>IF($F729&lt;&gt;"",SUMPRODUCT(($F$2:F729&lt;&gt;"")*1),"")</f>
        <v/>
      </c>
    </row>
    <row r="730" spans="1:7" ht="21.95" customHeight="1">
      <c r="A730" s="11"/>
      <c r="B730" s="11"/>
      <c r="C730" s="12"/>
      <c r="D730" s="17" t="str">
        <f>IFERROR(INDEX(المواد!$B$2:$B$319,MATCH(B730,المواد!$A$2:$A$319,0)),"")</f>
        <v/>
      </c>
      <c r="E730" s="11"/>
      <c r="F730" t="str">
        <f>IF(AND($A730&lt;&gt;"",COUNTIF($A$2:A730,$A730)=1),$A730,"")</f>
        <v/>
      </c>
      <c r="G730" t="str">
        <f>IF($F730&lt;&gt;"",SUMPRODUCT(($F$2:F730&lt;&gt;"")*1),"")</f>
        <v/>
      </c>
    </row>
    <row r="731" spans="1:7" ht="21.95" customHeight="1">
      <c r="A731" s="11"/>
      <c r="B731" s="11"/>
      <c r="C731" s="12"/>
      <c r="D731" s="17" t="str">
        <f>IFERROR(INDEX(المواد!$B$2:$B$319,MATCH(B731,المواد!$A$2:$A$319,0)),"")</f>
        <v/>
      </c>
      <c r="E731" s="11"/>
      <c r="F731" t="str">
        <f>IF(AND($A731&lt;&gt;"",COUNTIF($A$2:A731,$A731)=1),$A731,"")</f>
        <v/>
      </c>
      <c r="G731" t="str">
        <f>IF($F731&lt;&gt;"",SUMPRODUCT(($F$2:F731&lt;&gt;"")*1),"")</f>
        <v/>
      </c>
    </row>
    <row r="732" spans="1:7" ht="21.95" customHeight="1">
      <c r="A732" s="11"/>
      <c r="B732" s="11"/>
      <c r="C732" s="12"/>
      <c r="D732" s="17" t="str">
        <f>IFERROR(INDEX(المواد!$B$2:$B$319,MATCH(B732,المواد!$A$2:$A$319,0)),"")</f>
        <v/>
      </c>
      <c r="E732" s="11"/>
      <c r="F732" t="str">
        <f>IF(AND($A732&lt;&gt;"",COUNTIF($A$2:A732,$A732)=1),$A732,"")</f>
        <v/>
      </c>
      <c r="G732" t="str">
        <f>IF($F732&lt;&gt;"",SUMPRODUCT(($F$2:F732&lt;&gt;"")*1),"")</f>
        <v/>
      </c>
    </row>
    <row r="733" spans="1:7" ht="21.95" customHeight="1">
      <c r="A733" s="11"/>
      <c r="B733" s="11"/>
      <c r="C733" s="12"/>
      <c r="D733" s="17" t="str">
        <f>IFERROR(INDEX(المواد!$B$2:$B$319,MATCH(B733,المواد!$A$2:$A$319,0)),"")</f>
        <v/>
      </c>
      <c r="E733" s="11"/>
      <c r="F733" t="str">
        <f>IF(AND($A733&lt;&gt;"",COUNTIF($A$2:A733,$A733)=1),$A733,"")</f>
        <v/>
      </c>
      <c r="G733" t="str">
        <f>IF($F733&lt;&gt;"",SUMPRODUCT(($F$2:F733&lt;&gt;"")*1),"")</f>
        <v/>
      </c>
    </row>
    <row r="734" spans="1:7" ht="21.95" customHeight="1">
      <c r="A734" s="11"/>
      <c r="B734" s="11"/>
      <c r="C734" s="12"/>
      <c r="D734" s="17" t="str">
        <f>IFERROR(INDEX(المواد!$B$2:$B$319,MATCH(B734,المواد!$A$2:$A$319,0)),"")</f>
        <v/>
      </c>
      <c r="E734" s="11"/>
      <c r="F734" t="str">
        <f>IF(AND($A734&lt;&gt;"",COUNTIF($A$2:A734,$A734)=1),$A734,"")</f>
        <v/>
      </c>
      <c r="G734" t="str">
        <f>IF($F734&lt;&gt;"",SUMPRODUCT(($F$2:F734&lt;&gt;"")*1),"")</f>
        <v/>
      </c>
    </row>
    <row r="735" spans="1:7" ht="21.95" customHeight="1">
      <c r="A735" s="11"/>
      <c r="B735" s="11"/>
      <c r="C735" s="12"/>
      <c r="D735" s="17" t="str">
        <f>IFERROR(INDEX(المواد!$B$2:$B$319,MATCH(B735,المواد!$A$2:$A$319,0)),"")</f>
        <v/>
      </c>
      <c r="E735" s="11"/>
      <c r="F735" t="str">
        <f>IF(AND($A735&lt;&gt;"",COUNTIF($A$2:A735,$A735)=1),$A735,"")</f>
        <v/>
      </c>
      <c r="G735" t="str">
        <f>IF($F735&lt;&gt;"",SUMPRODUCT(($F$2:F735&lt;&gt;"")*1),"")</f>
        <v/>
      </c>
    </row>
    <row r="736" spans="1:7" ht="21.95" customHeight="1">
      <c r="A736" s="11"/>
      <c r="B736" s="11"/>
      <c r="C736" s="12"/>
      <c r="D736" s="17" t="str">
        <f>IFERROR(INDEX(المواد!$B$2:$B$319,MATCH(B736,المواد!$A$2:$A$319,0)),"")</f>
        <v/>
      </c>
      <c r="E736" s="11"/>
      <c r="F736" t="str">
        <f>IF(AND($A736&lt;&gt;"",COUNTIF($A$2:A736,$A736)=1),$A736,"")</f>
        <v/>
      </c>
      <c r="G736" t="str">
        <f>IF($F736&lt;&gt;"",SUMPRODUCT(($F$2:F736&lt;&gt;"")*1),"")</f>
        <v/>
      </c>
    </row>
    <row r="737" spans="1:7" ht="21.95" customHeight="1">
      <c r="A737" s="11"/>
      <c r="B737" s="11"/>
      <c r="C737" s="12"/>
      <c r="D737" s="17" t="str">
        <f>IFERROR(INDEX(المواد!$B$2:$B$319,MATCH(B737,المواد!$A$2:$A$319,0)),"")</f>
        <v/>
      </c>
      <c r="E737" s="11"/>
      <c r="F737" t="str">
        <f>IF(AND($A737&lt;&gt;"",COUNTIF($A$2:A737,$A737)=1),$A737,"")</f>
        <v/>
      </c>
      <c r="G737" t="str">
        <f>IF($F737&lt;&gt;"",SUMPRODUCT(($F$2:F737&lt;&gt;"")*1),"")</f>
        <v/>
      </c>
    </row>
    <row r="738" spans="1:7" ht="21.95" customHeight="1">
      <c r="A738" s="11"/>
      <c r="B738" s="11"/>
      <c r="C738" s="12"/>
      <c r="D738" s="17" t="str">
        <f>IFERROR(INDEX(المواد!$B$2:$B$319,MATCH(B738,المواد!$A$2:$A$319,0)),"")</f>
        <v/>
      </c>
      <c r="E738" s="11"/>
      <c r="F738" t="str">
        <f>IF(AND($A738&lt;&gt;"",COUNTIF($A$2:A738,$A738)=1),$A738,"")</f>
        <v/>
      </c>
      <c r="G738" t="str">
        <f>IF($F738&lt;&gt;"",SUMPRODUCT(($F$2:F738&lt;&gt;"")*1),"")</f>
        <v/>
      </c>
    </row>
    <row r="739" spans="1:7" ht="21.95" customHeight="1">
      <c r="A739" s="11"/>
      <c r="B739" s="11"/>
      <c r="C739" s="12"/>
      <c r="D739" s="17" t="str">
        <f>IFERROR(INDEX(المواد!$B$2:$B$319,MATCH(B739,المواد!$A$2:$A$319,0)),"")</f>
        <v/>
      </c>
      <c r="E739" s="11"/>
      <c r="F739" t="str">
        <f>IF(AND($A739&lt;&gt;"",COUNTIF($A$2:A739,$A739)=1),$A739,"")</f>
        <v/>
      </c>
      <c r="G739" t="str">
        <f>IF($F739&lt;&gt;"",SUMPRODUCT(($F$2:F739&lt;&gt;"")*1),"")</f>
        <v/>
      </c>
    </row>
    <row r="740" spans="1:7" ht="21.95" customHeight="1">
      <c r="A740" s="11"/>
      <c r="B740" s="11"/>
      <c r="C740" s="12"/>
      <c r="D740" s="17" t="str">
        <f>IFERROR(INDEX(المواد!$B$2:$B$319,MATCH(B740,المواد!$A$2:$A$319,0)),"")</f>
        <v/>
      </c>
      <c r="E740" s="11"/>
      <c r="F740" t="str">
        <f>IF(AND($A740&lt;&gt;"",COUNTIF($A$2:A740,$A740)=1),$A740,"")</f>
        <v/>
      </c>
      <c r="G740" t="str">
        <f>IF($F740&lt;&gt;"",SUMPRODUCT(($F$2:F740&lt;&gt;"")*1),"")</f>
        <v/>
      </c>
    </row>
    <row r="741" spans="1:7" ht="21.95" customHeight="1">
      <c r="A741" s="11"/>
      <c r="B741" s="11"/>
      <c r="C741" s="12"/>
      <c r="D741" s="17" t="str">
        <f>IFERROR(INDEX(المواد!$B$2:$B$319,MATCH(B741,المواد!$A$2:$A$319,0)),"")</f>
        <v/>
      </c>
      <c r="E741" s="11"/>
      <c r="F741" t="str">
        <f>IF(AND($A741&lt;&gt;"",COUNTIF($A$2:A741,$A741)=1),$A741,"")</f>
        <v/>
      </c>
      <c r="G741" t="str">
        <f>IF($F741&lt;&gt;"",SUMPRODUCT(($F$2:F741&lt;&gt;"")*1),"")</f>
        <v/>
      </c>
    </row>
    <row r="742" spans="1:7" ht="21.95" customHeight="1">
      <c r="A742" s="11"/>
      <c r="B742" s="11"/>
      <c r="C742" s="12"/>
      <c r="D742" s="17" t="str">
        <f>IFERROR(INDEX(المواد!$B$2:$B$319,MATCH(B742,المواد!$A$2:$A$319,0)),"")</f>
        <v/>
      </c>
      <c r="E742" s="11"/>
      <c r="F742" t="str">
        <f>IF(AND($A742&lt;&gt;"",COUNTIF($A$2:A742,$A742)=1),$A742,"")</f>
        <v/>
      </c>
      <c r="G742" t="str">
        <f>IF($F742&lt;&gt;"",SUMPRODUCT(($F$2:F742&lt;&gt;"")*1),"")</f>
        <v/>
      </c>
    </row>
    <row r="743" spans="1:7" ht="21.95" customHeight="1">
      <c r="A743" s="11"/>
      <c r="B743" s="11"/>
      <c r="C743" s="12"/>
      <c r="D743" s="17" t="str">
        <f>IFERROR(INDEX(المواد!$B$2:$B$319,MATCH(B743,المواد!$A$2:$A$319,0)),"")</f>
        <v/>
      </c>
      <c r="E743" s="11"/>
      <c r="F743" t="str">
        <f>IF(AND($A743&lt;&gt;"",COUNTIF($A$2:A743,$A743)=1),$A743,"")</f>
        <v/>
      </c>
      <c r="G743" t="str">
        <f>IF($F743&lt;&gt;"",SUMPRODUCT(($F$2:F743&lt;&gt;"")*1),"")</f>
        <v/>
      </c>
    </row>
    <row r="744" spans="1:7" ht="21.95" customHeight="1">
      <c r="A744" s="11"/>
      <c r="B744" s="11"/>
      <c r="C744" s="12"/>
      <c r="D744" s="17" t="str">
        <f>IFERROR(INDEX(المواد!$B$2:$B$319,MATCH(B744,المواد!$A$2:$A$319,0)),"")</f>
        <v/>
      </c>
      <c r="E744" s="11"/>
      <c r="F744" t="str">
        <f>IF(AND($A744&lt;&gt;"",COUNTIF($A$2:A744,$A744)=1),$A744,"")</f>
        <v/>
      </c>
      <c r="G744" t="str">
        <f>IF($F744&lt;&gt;"",SUMPRODUCT(($F$2:F744&lt;&gt;"")*1),"")</f>
        <v/>
      </c>
    </row>
    <row r="745" spans="1:7" ht="21.95" customHeight="1">
      <c r="A745" s="11"/>
      <c r="B745" s="11"/>
      <c r="C745" s="12"/>
      <c r="D745" s="17" t="str">
        <f>IFERROR(INDEX(المواد!$B$2:$B$319,MATCH(B745,المواد!$A$2:$A$319,0)),"")</f>
        <v/>
      </c>
      <c r="E745" s="11"/>
      <c r="F745" t="str">
        <f>IF(AND($A745&lt;&gt;"",COUNTIF($A$2:A745,$A745)=1),$A745,"")</f>
        <v/>
      </c>
      <c r="G745" t="str">
        <f>IF($F745&lt;&gt;"",SUMPRODUCT(($F$2:F745&lt;&gt;"")*1),"")</f>
        <v/>
      </c>
    </row>
    <row r="746" spans="1:7" ht="21.95" customHeight="1">
      <c r="A746" s="11"/>
      <c r="B746" s="11"/>
      <c r="C746" s="12"/>
      <c r="D746" s="17" t="str">
        <f>IFERROR(INDEX(المواد!$B$2:$B$319,MATCH(B746,المواد!$A$2:$A$319,0)),"")</f>
        <v/>
      </c>
      <c r="E746" s="11"/>
      <c r="F746" t="str">
        <f>IF(AND($A746&lt;&gt;"",COUNTIF($A$2:A746,$A746)=1),$A746,"")</f>
        <v/>
      </c>
      <c r="G746" t="str">
        <f>IF($F746&lt;&gt;"",SUMPRODUCT(($F$2:F746&lt;&gt;"")*1),"")</f>
        <v/>
      </c>
    </row>
    <row r="747" spans="1:7" ht="21.95" customHeight="1">
      <c r="A747" s="11"/>
      <c r="B747" s="11"/>
      <c r="C747" s="12"/>
      <c r="D747" s="17" t="str">
        <f>IFERROR(INDEX(المواد!$B$2:$B$319,MATCH(B747,المواد!$A$2:$A$319,0)),"")</f>
        <v/>
      </c>
      <c r="E747" s="11"/>
      <c r="F747" t="str">
        <f>IF(AND($A747&lt;&gt;"",COUNTIF($A$2:A747,$A747)=1),$A747,"")</f>
        <v/>
      </c>
      <c r="G747" t="str">
        <f>IF($F747&lt;&gt;"",SUMPRODUCT(($F$2:F747&lt;&gt;"")*1),"")</f>
        <v/>
      </c>
    </row>
    <row r="748" spans="1:7" ht="21.95" customHeight="1">
      <c r="A748" s="11"/>
      <c r="B748" s="11"/>
      <c r="C748" s="12"/>
      <c r="D748" s="17" t="str">
        <f>IFERROR(INDEX(المواد!$B$2:$B$319,MATCH(B748,المواد!$A$2:$A$319,0)),"")</f>
        <v/>
      </c>
      <c r="E748" s="11"/>
      <c r="F748" t="str">
        <f>IF(AND($A748&lt;&gt;"",COUNTIF($A$2:A748,$A748)=1),$A748,"")</f>
        <v/>
      </c>
      <c r="G748" t="str">
        <f>IF($F748&lt;&gt;"",SUMPRODUCT(($F$2:F748&lt;&gt;"")*1),"")</f>
        <v/>
      </c>
    </row>
    <row r="749" spans="1:7" ht="21.95" customHeight="1">
      <c r="A749" s="11"/>
      <c r="B749" s="11"/>
      <c r="C749" s="12"/>
      <c r="D749" s="17" t="str">
        <f>IFERROR(INDEX(المواد!$B$2:$B$319,MATCH(B749,المواد!$A$2:$A$319,0)),"")</f>
        <v/>
      </c>
      <c r="E749" s="11"/>
      <c r="F749" t="str">
        <f>IF(AND($A749&lt;&gt;"",COUNTIF($A$2:A749,$A749)=1),$A749,"")</f>
        <v/>
      </c>
      <c r="G749" t="str">
        <f>IF($F749&lt;&gt;"",SUMPRODUCT(($F$2:F749&lt;&gt;"")*1),"")</f>
        <v/>
      </c>
    </row>
    <row r="750" spans="1:7" ht="21.95" customHeight="1">
      <c r="A750" s="11"/>
      <c r="B750" s="11"/>
      <c r="C750" s="12"/>
      <c r="D750" s="17" t="str">
        <f>IFERROR(INDEX(المواد!$B$2:$B$319,MATCH(B750,المواد!$A$2:$A$319,0)),"")</f>
        <v/>
      </c>
      <c r="E750" s="11"/>
      <c r="F750" t="str">
        <f>IF(AND($A750&lt;&gt;"",COUNTIF($A$2:A750,$A750)=1),$A750,"")</f>
        <v/>
      </c>
      <c r="G750" t="str">
        <f>IF($F750&lt;&gt;"",SUMPRODUCT(($F$2:F750&lt;&gt;"")*1),"")</f>
        <v/>
      </c>
    </row>
    <row r="751" spans="1:7" ht="21.95" customHeight="1">
      <c r="A751" s="11"/>
      <c r="B751" s="11"/>
      <c r="C751" s="12"/>
      <c r="D751" s="17" t="str">
        <f>IFERROR(INDEX(المواد!$B$2:$B$319,MATCH(B751,المواد!$A$2:$A$319,0)),"")</f>
        <v/>
      </c>
      <c r="E751" s="11"/>
      <c r="F751" t="str">
        <f>IF(AND($A751&lt;&gt;"",COUNTIF($A$2:A751,$A751)=1),$A751,"")</f>
        <v/>
      </c>
      <c r="G751" t="str">
        <f>IF($F751&lt;&gt;"",SUMPRODUCT(($F$2:F751&lt;&gt;"")*1),"")</f>
        <v/>
      </c>
    </row>
    <row r="752" spans="1:7" ht="21.95" customHeight="1">
      <c r="A752" s="11"/>
      <c r="B752" s="11"/>
      <c r="C752" s="12"/>
      <c r="D752" s="17" t="str">
        <f>IFERROR(INDEX(المواد!$B$2:$B$319,MATCH(B752,المواد!$A$2:$A$319,0)),"")</f>
        <v/>
      </c>
      <c r="E752" s="11"/>
      <c r="F752" t="str">
        <f>IF(AND($A752&lt;&gt;"",COUNTIF($A$2:A752,$A752)=1),$A752,"")</f>
        <v/>
      </c>
      <c r="G752" t="str">
        <f>IF($F752&lt;&gt;"",SUMPRODUCT(($F$2:F752&lt;&gt;"")*1),"")</f>
        <v/>
      </c>
    </row>
    <row r="753" spans="1:7" ht="21.95" customHeight="1">
      <c r="A753" s="11"/>
      <c r="B753" s="11"/>
      <c r="C753" s="12"/>
      <c r="D753" s="17" t="str">
        <f>IFERROR(INDEX(المواد!$B$2:$B$319,MATCH(B753,المواد!$A$2:$A$319,0)),"")</f>
        <v/>
      </c>
      <c r="E753" s="11"/>
      <c r="F753" t="str">
        <f>IF(AND($A753&lt;&gt;"",COUNTIF($A$2:A753,$A753)=1),$A753,"")</f>
        <v/>
      </c>
      <c r="G753" t="str">
        <f>IF($F753&lt;&gt;"",SUMPRODUCT(($F$2:F753&lt;&gt;"")*1),"")</f>
        <v/>
      </c>
    </row>
    <row r="754" spans="1:7" ht="21.95" customHeight="1">
      <c r="A754" s="11"/>
      <c r="B754" s="11"/>
      <c r="C754" s="12"/>
      <c r="D754" s="17" t="str">
        <f>IFERROR(INDEX(المواد!$B$2:$B$319,MATCH(B754,المواد!$A$2:$A$319,0)),"")</f>
        <v/>
      </c>
      <c r="E754" s="11"/>
      <c r="F754" t="str">
        <f>IF(AND($A754&lt;&gt;"",COUNTIF($A$2:A754,$A754)=1),$A754,"")</f>
        <v/>
      </c>
      <c r="G754" t="str">
        <f>IF($F754&lt;&gt;"",SUMPRODUCT(($F$2:F754&lt;&gt;"")*1),"")</f>
        <v/>
      </c>
    </row>
    <row r="755" spans="1:7" ht="21.95" customHeight="1">
      <c r="A755" s="11"/>
      <c r="B755" s="11"/>
      <c r="C755" s="12"/>
      <c r="D755" s="17" t="str">
        <f>IFERROR(INDEX(المواد!$B$2:$B$319,MATCH(B755,المواد!$A$2:$A$319,0)),"")</f>
        <v/>
      </c>
      <c r="E755" s="11"/>
      <c r="F755" t="str">
        <f>IF(AND($A755&lt;&gt;"",COUNTIF($A$2:A755,$A755)=1),$A755,"")</f>
        <v/>
      </c>
      <c r="G755" t="str">
        <f>IF($F755&lt;&gt;"",SUMPRODUCT(($F$2:F755&lt;&gt;"")*1),"")</f>
        <v/>
      </c>
    </row>
    <row r="756" spans="1:7" ht="21.95" customHeight="1">
      <c r="A756" s="11"/>
      <c r="B756" s="11"/>
      <c r="C756" s="12"/>
      <c r="D756" s="17" t="str">
        <f>IFERROR(INDEX(المواد!$B$2:$B$319,MATCH(B756,المواد!$A$2:$A$319,0)),"")</f>
        <v/>
      </c>
      <c r="E756" s="11"/>
      <c r="F756" t="str">
        <f>IF(AND($A756&lt;&gt;"",COUNTIF($A$2:A756,$A756)=1),$A756,"")</f>
        <v/>
      </c>
      <c r="G756" t="str">
        <f>IF($F756&lt;&gt;"",SUMPRODUCT(($F$2:F756&lt;&gt;"")*1),"")</f>
        <v/>
      </c>
    </row>
    <row r="757" spans="1:7" ht="21.95" customHeight="1">
      <c r="A757" s="11"/>
      <c r="B757" s="11"/>
      <c r="C757" s="12"/>
      <c r="D757" s="17" t="str">
        <f>IFERROR(INDEX(المواد!$B$2:$B$319,MATCH(B757,المواد!$A$2:$A$319,0)),"")</f>
        <v/>
      </c>
      <c r="E757" s="11"/>
      <c r="F757" t="str">
        <f>IF(AND($A757&lt;&gt;"",COUNTIF($A$2:A757,$A757)=1),$A757,"")</f>
        <v/>
      </c>
      <c r="G757" t="str">
        <f>IF($F757&lt;&gt;"",SUMPRODUCT(($F$2:F757&lt;&gt;"")*1),"")</f>
        <v/>
      </c>
    </row>
    <row r="758" spans="1:7" ht="21.95" customHeight="1">
      <c r="A758" s="11"/>
      <c r="B758" s="11"/>
      <c r="C758" s="12"/>
      <c r="D758" s="17" t="str">
        <f>IFERROR(INDEX(المواد!$B$2:$B$319,MATCH(B758,المواد!$A$2:$A$319,0)),"")</f>
        <v/>
      </c>
      <c r="E758" s="11"/>
      <c r="F758" t="str">
        <f>IF(AND($A758&lt;&gt;"",COUNTIF($A$2:A758,$A758)=1),$A758,"")</f>
        <v/>
      </c>
      <c r="G758" t="str">
        <f>IF($F758&lt;&gt;"",SUMPRODUCT(($F$2:F758&lt;&gt;"")*1),"")</f>
        <v/>
      </c>
    </row>
    <row r="759" spans="1:7" ht="21.95" customHeight="1">
      <c r="A759" s="11"/>
      <c r="B759" s="11"/>
      <c r="C759" s="12"/>
      <c r="D759" s="17" t="str">
        <f>IFERROR(INDEX(المواد!$B$2:$B$319,MATCH(B759,المواد!$A$2:$A$319,0)),"")</f>
        <v/>
      </c>
      <c r="E759" s="11"/>
      <c r="F759" t="str">
        <f>IF(AND($A759&lt;&gt;"",COUNTIF($A$2:A759,$A759)=1),$A759,"")</f>
        <v/>
      </c>
      <c r="G759" t="str">
        <f>IF($F759&lt;&gt;"",SUMPRODUCT(($F$2:F759&lt;&gt;"")*1),"")</f>
        <v/>
      </c>
    </row>
    <row r="760" spans="1:7" ht="21.95" customHeight="1">
      <c r="A760" s="11"/>
      <c r="B760" s="11"/>
      <c r="C760" s="12"/>
      <c r="D760" s="17" t="str">
        <f>IFERROR(INDEX(المواد!$B$2:$B$319,MATCH(B760,المواد!$A$2:$A$319,0)),"")</f>
        <v/>
      </c>
      <c r="E760" s="11"/>
      <c r="F760" t="str">
        <f>IF(AND($A760&lt;&gt;"",COUNTIF($A$2:A760,$A760)=1),$A760,"")</f>
        <v/>
      </c>
      <c r="G760" t="str">
        <f>IF($F760&lt;&gt;"",SUMPRODUCT(($F$2:F760&lt;&gt;"")*1),"")</f>
        <v/>
      </c>
    </row>
    <row r="761" spans="1:7" ht="21.95" customHeight="1">
      <c r="A761" s="11"/>
      <c r="B761" s="11"/>
      <c r="C761" s="12"/>
      <c r="D761" s="17" t="str">
        <f>IFERROR(INDEX(المواد!$B$2:$B$319,MATCH(B761,المواد!$A$2:$A$319,0)),"")</f>
        <v/>
      </c>
      <c r="E761" s="11"/>
      <c r="F761" t="str">
        <f>IF(AND($A761&lt;&gt;"",COUNTIF($A$2:A761,$A761)=1),$A761,"")</f>
        <v/>
      </c>
      <c r="G761" t="str">
        <f>IF($F761&lt;&gt;"",SUMPRODUCT(($F$2:F761&lt;&gt;"")*1),"")</f>
        <v/>
      </c>
    </row>
    <row r="762" spans="1:7" ht="21.95" customHeight="1">
      <c r="A762" s="11"/>
      <c r="B762" s="11"/>
      <c r="C762" s="12"/>
      <c r="D762" s="17" t="str">
        <f>IFERROR(INDEX(المواد!$B$2:$B$319,MATCH(B762,المواد!$A$2:$A$319,0)),"")</f>
        <v/>
      </c>
      <c r="E762" s="11"/>
      <c r="F762" t="str">
        <f>IF(AND($A762&lt;&gt;"",COUNTIF($A$2:A762,$A762)=1),$A762,"")</f>
        <v/>
      </c>
      <c r="G762" t="str">
        <f>IF($F762&lt;&gt;"",SUMPRODUCT(($F$2:F762&lt;&gt;"")*1),"")</f>
        <v/>
      </c>
    </row>
    <row r="763" spans="1:7" ht="21.95" customHeight="1">
      <c r="A763" s="11"/>
      <c r="B763" s="11"/>
      <c r="C763" s="12"/>
      <c r="D763" s="17" t="str">
        <f>IFERROR(INDEX(المواد!$B$2:$B$319,MATCH(B763,المواد!$A$2:$A$319,0)),"")</f>
        <v/>
      </c>
      <c r="E763" s="11"/>
      <c r="F763" t="str">
        <f>IF(AND($A763&lt;&gt;"",COUNTIF($A$2:A763,$A763)=1),$A763,"")</f>
        <v/>
      </c>
      <c r="G763" t="str">
        <f>IF($F763&lt;&gt;"",SUMPRODUCT(($F$2:F763&lt;&gt;"")*1),"")</f>
        <v/>
      </c>
    </row>
    <row r="764" spans="1:7" ht="21.95" customHeight="1">
      <c r="A764" s="11"/>
      <c r="B764" s="11"/>
      <c r="C764" s="12"/>
      <c r="D764" s="17" t="str">
        <f>IFERROR(INDEX(المواد!$B$2:$B$319,MATCH(B764,المواد!$A$2:$A$319,0)),"")</f>
        <v/>
      </c>
      <c r="E764" s="11"/>
      <c r="F764" t="str">
        <f>IF(AND($A764&lt;&gt;"",COUNTIF($A$2:A764,$A764)=1),$A764,"")</f>
        <v/>
      </c>
      <c r="G764" t="str">
        <f>IF($F764&lt;&gt;"",SUMPRODUCT(($F$2:F764&lt;&gt;"")*1),"")</f>
        <v/>
      </c>
    </row>
    <row r="765" spans="1:7" ht="21.95" customHeight="1">
      <c r="A765" s="11"/>
      <c r="B765" s="11"/>
      <c r="C765" s="12"/>
      <c r="D765" s="17" t="str">
        <f>IFERROR(INDEX(المواد!$B$2:$B$319,MATCH(B765,المواد!$A$2:$A$319,0)),"")</f>
        <v/>
      </c>
      <c r="E765" s="11"/>
      <c r="F765" t="str">
        <f>IF(AND($A765&lt;&gt;"",COUNTIF($A$2:A765,$A765)=1),$A765,"")</f>
        <v/>
      </c>
      <c r="G765" t="str">
        <f>IF($F765&lt;&gt;"",SUMPRODUCT(($F$2:F765&lt;&gt;"")*1),"")</f>
        <v/>
      </c>
    </row>
    <row r="766" spans="1:7" ht="21.95" customHeight="1">
      <c r="A766" s="11"/>
      <c r="B766" s="11"/>
      <c r="C766" s="12"/>
      <c r="D766" s="17" t="str">
        <f>IFERROR(INDEX(المواد!$B$2:$B$319,MATCH(B766,المواد!$A$2:$A$319,0)),"")</f>
        <v/>
      </c>
      <c r="E766" s="11"/>
      <c r="F766" t="str">
        <f>IF(AND($A766&lt;&gt;"",COUNTIF($A$2:A766,$A766)=1),$A766,"")</f>
        <v/>
      </c>
      <c r="G766" t="str">
        <f>IF($F766&lt;&gt;"",SUMPRODUCT(($F$2:F766&lt;&gt;"")*1),"")</f>
        <v/>
      </c>
    </row>
    <row r="767" spans="1:7" ht="21.95" customHeight="1">
      <c r="A767" s="11"/>
      <c r="B767" s="11"/>
      <c r="C767" s="12"/>
      <c r="D767" s="17" t="str">
        <f>IFERROR(INDEX(المواد!$B$2:$B$319,MATCH(B767,المواد!$A$2:$A$319,0)),"")</f>
        <v/>
      </c>
      <c r="E767" s="11"/>
      <c r="F767" t="str">
        <f>IF(AND($A767&lt;&gt;"",COUNTIF($A$2:A767,$A767)=1),$A767,"")</f>
        <v/>
      </c>
      <c r="G767" t="str">
        <f>IF($F767&lt;&gt;"",SUMPRODUCT(($F$2:F767&lt;&gt;"")*1),"")</f>
        <v/>
      </c>
    </row>
    <row r="768" spans="1:7" ht="21.95" customHeight="1">
      <c r="A768" s="11"/>
      <c r="B768" s="11"/>
      <c r="C768" s="12"/>
      <c r="D768" s="17" t="str">
        <f>IFERROR(INDEX(المواد!$B$2:$B$319,MATCH(B768,المواد!$A$2:$A$319,0)),"")</f>
        <v/>
      </c>
      <c r="E768" s="11"/>
      <c r="F768" t="str">
        <f>IF(AND($A768&lt;&gt;"",COUNTIF($A$2:A768,$A768)=1),$A768,"")</f>
        <v/>
      </c>
      <c r="G768" t="str">
        <f>IF($F768&lt;&gt;"",SUMPRODUCT(($F$2:F768&lt;&gt;"")*1),"")</f>
        <v/>
      </c>
    </row>
    <row r="769" spans="1:7" ht="21.95" customHeight="1">
      <c r="A769" s="11"/>
      <c r="B769" s="11"/>
      <c r="C769" s="12"/>
      <c r="D769" s="17" t="str">
        <f>IFERROR(INDEX(المواد!$B$2:$B$319,MATCH(B769,المواد!$A$2:$A$319,0)),"")</f>
        <v/>
      </c>
      <c r="E769" s="11"/>
      <c r="F769" t="str">
        <f>IF(AND($A769&lt;&gt;"",COUNTIF($A$2:A769,$A769)=1),$A769,"")</f>
        <v/>
      </c>
      <c r="G769" t="str">
        <f>IF($F769&lt;&gt;"",SUMPRODUCT(($F$2:F769&lt;&gt;"")*1),"")</f>
        <v/>
      </c>
    </row>
    <row r="770" spans="1:7" ht="21.95" customHeight="1">
      <c r="A770" s="11"/>
      <c r="B770" s="11"/>
      <c r="C770" s="12"/>
      <c r="D770" s="17" t="str">
        <f>IFERROR(INDEX(المواد!$B$2:$B$319,MATCH(B770,المواد!$A$2:$A$319,0)),"")</f>
        <v/>
      </c>
      <c r="E770" s="11"/>
      <c r="F770" t="str">
        <f>IF(AND($A770&lt;&gt;"",COUNTIF($A$2:A770,$A770)=1),$A770,"")</f>
        <v/>
      </c>
      <c r="G770" t="str">
        <f>IF($F770&lt;&gt;"",SUMPRODUCT(($F$2:F770&lt;&gt;"")*1),"")</f>
        <v/>
      </c>
    </row>
    <row r="771" spans="1:7" ht="21.95" customHeight="1">
      <c r="A771" s="11"/>
      <c r="B771" s="11"/>
      <c r="C771" s="12"/>
      <c r="D771" s="17" t="str">
        <f>IFERROR(INDEX(المواد!$B$2:$B$319,MATCH(B771,المواد!$A$2:$A$319,0)),"")</f>
        <v/>
      </c>
      <c r="E771" s="11"/>
      <c r="F771" t="str">
        <f>IF(AND($A771&lt;&gt;"",COUNTIF($A$2:A771,$A771)=1),$A771,"")</f>
        <v/>
      </c>
      <c r="G771" t="str">
        <f>IF($F771&lt;&gt;"",SUMPRODUCT(($F$2:F771&lt;&gt;"")*1),"")</f>
        <v/>
      </c>
    </row>
    <row r="772" spans="1:7" ht="21.95" customHeight="1">
      <c r="A772" s="11"/>
      <c r="B772" s="11"/>
      <c r="C772" s="12"/>
      <c r="D772" s="17" t="str">
        <f>IFERROR(INDEX(المواد!$B$2:$B$319,MATCH(B772,المواد!$A$2:$A$319,0)),"")</f>
        <v/>
      </c>
      <c r="E772" s="11"/>
      <c r="F772" t="str">
        <f>IF(AND($A772&lt;&gt;"",COUNTIF($A$2:A772,$A772)=1),$A772,"")</f>
        <v/>
      </c>
      <c r="G772" t="str">
        <f>IF($F772&lt;&gt;"",SUMPRODUCT(($F$2:F772&lt;&gt;"")*1),"")</f>
        <v/>
      </c>
    </row>
    <row r="773" spans="1:7" ht="21.95" customHeight="1">
      <c r="A773" s="11"/>
      <c r="B773" s="11"/>
      <c r="C773" s="12"/>
      <c r="D773" s="17" t="str">
        <f>IFERROR(INDEX(المواد!$B$2:$B$319,MATCH(B773,المواد!$A$2:$A$319,0)),"")</f>
        <v/>
      </c>
      <c r="E773" s="11"/>
      <c r="F773" t="str">
        <f>IF(AND($A773&lt;&gt;"",COUNTIF($A$2:A773,$A773)=1),$A773,"")</f>
        <v/>
      </c>
      <c r="G773" t="str">
        <f>IF($F773&lt;&gt;"",SUMPRODUCT(($F$2:F773&lt;&gt;"")*1),"")</f>
        <v/>
      </c>
    </row>
    <row r="774" spans="1:7" ht="21.95" customHeight="1">
      <c r="A774" s="11"/>
      <c r="B774" s="11"/>
      <c r="C774" s="12"/>
      <c r="D774" s="17" t="str">
        <f>IFERROR(INDEX(المواد!$B$2:$B$319,MATCH(B774,المواد!$A$2:$A$319,0)),"")</f>
        <v/>
      </c>
      <c r="E774" s="11"/>
      <c r="F774" t="str">
        <f>IF(AND($A774&lt;&gt;"",COUNTIF($A$2:A774,$A774)=1),$A774,"")</f>
        <v/>
      </c>
      <c r="G774" t="str">
        <f>IF($F774&lt;&gt;"",SUMPRODUCT(($F$2:F774&lt;&gt;"")*1),"")</f>
        <v/>
      </c>
    </row>
    <row r="775" spans="1:7" ht="21.95" customHeight="1">
      <c r="A775" s="11"/>
      <c r="B775" s="11"/>
      <c r="C775" s="12"/>
      <c r="D775" s="17" t="str">
        <f>IFERROR(INDEX(المواد!$B$2:$B$319,MATCH(B775,المواد!$A$2:$A$319,0)),"")</f>
        <v/>
      </c>
      <c r="E775" s="11"/>
      <c r="F775" t="str">
        <f>IF(AND($A775&lt;&gt;"",COUNTIF($A$2:A775,$A775)=1),$A775,"")</f>
        <v/>
      </c>
      <c r="G775" t="str">
        <f>IF($F775&lt;&gt;"",SUMPRODUCT(($F$2:F775&lt;&gt;"")*1),"")</f>
        <v/>
      </c>
    </row>
    <row r="776" spans="1:7" ht="21.95" customHeight="1">
      <c r="A776" s="11"/>
      <c r="B776" s="11"/>
      <c r="C776" s="12"/>
      <c r="D776" s="17" t="str">
        <f>IFERROR(INDEX(المواد!$B$2:$B$319,MATCH(B776,المواد!$A$2:$A$319,0)),"")</f>
        <v/>
      </c>
      <c r="E776" s="11"/>
      <c r="F776" t="str">
        <f>IF(AND($A776&lt;&gt;"",COUNTIF($A$2:A776,$A776)=1),$A776,"")</f>
        <v/>
      </c>
      <c r="G776" t="str">
        <f>IF($F776&lt;&gt;"",SUMPRODUCT(($F$2:F776&lt;&gt;"")*1),"")</f>
        <v/>
      </c>
    </row>
    <row r="777" spans="1:7" ht="21.95" customHeight="1">
      <c r="A777" s="11"/>
      <c r="B777" s="11"/>
      <c r="C777" s="12"/>
      <c r="D777" s="17" t="str">
        <f>IFERROR(INDEX(المواد!$B$2:$B$319,MATCH(B777,المواد!$A$2:$A$319,0)),"")</f>
        <v/>
      </c>
      <c r="E777" s="11"/>
      <c r="F777" t="str">
        <f>IF(AND($A777&lt;&gt;"",COUNTIF($A$2:A777,$A777)=1),$A777,"")</f>
        <v/>
      </c>
      <c r="G777" t="str">
        <f>IF($F777&lt;&gt;"",SUMPRODUCT(($F$2:F777&lt;&gt;"")*1),"")</f>
        <v/>
      </c>
    </row>
    <row r="778" spans="1:7" ht="21.95" customHeight="1">
      <c r="A778" s="11"/>
      <c r="B778" s="11"/>
      <c r="C778" s="12"/>
      <c r="D778" s="17" t="str">
        <f>IFERROR(INDEX(المواد!$B$2:$B$319,MATCH(B778,المواد!$A$2:$A$319,0)),"")</f>
        <v/>
      </c>
      <c r="E778" s="11"/>
      <c r="F778" t="str">
        <f>IF(AND($A778&lt;&gt;"",COUNTIF($A$2:A778,$A778)=1),$A778,"")</f>
        <v/>
      </c>
      <c r="G778" t="str">
        <f>IF($F778&lt;&gt;"",SUMPRODUCT(($F$2:F778&lt;&gt;"")*1),"")</f>
        <v/>
      </c>
    </row>
    <row r="779" spans="1:7" ht="21.95" customHeight="1">
      <c r="A779" s="11"/>
      <c r="B779" s="11"/>
      <c r="C779" s="12"/>
      <c r="D779" s="17" t="str">
        <f>IFERROR(INDEX(المواد!$B$2:$B$319,MATCH(B779,المواد!$A$2:$A$319,0)),"")</f>
        <v/>
      </c>
      <c r="E779" s="11"/>
      <c r="F779" t="str">
        <f>IF(AND($A779&lt;&gt;"",COUNTIF($A$2:A779,$A779)=1),$A779,"")</f>
        <v/>
      </c>
      <c r="G779" t="str">
        <f>IF($F779&lt;&gt;"",SUMPRODUCT(($F$2:F779&lt;&gt;"")*1),"")</f>
        <v/>
      </c>
    </row>
    <row r="780" spans="1:7" ht="21.95" customHeight="1">
      <c r="A780" s="11"/>
      <c r="B780" s="11"/>
      <c r="C780" s="12"/>
      <c r="D780" s="17" t="str">
        <f>IFERROR(INDEX(المواد!$B$2:$B$319,MATCH(B780,المواد!$A$2:$A$319,0)),"")</f>
        <v/>
      </c>
      <c r="E780" s="11"/>
      <c r="F780" t="str">
        <f>IF(AND($A780&lt;&gt;"",COUNTIF($A$2:A780,$A780)=1),$A780,"")</f>
        <v/>
      </c>
      <c r="G780" t="str">
        <f>IF($F780&lt;&gt;"",SUMPRODUCT(($F$2:F780&lt;&gt;"")*1),"")</f>
        <v/>
      </c>
    </row>
    <row r="781" spans="1:7" ht="21.95" customHeight="1">
      <c r="A781" s="11"/>
      <c r="B781" s="11"/>
      <c r="C781" s="12"/>
      <c r="D781" s="17" t="str">
        <f>IFERROR(INDEX(المواد!$B$2:$B$319,MATCH(B781,المواد!$A$2:$A$319,0)),"")</f>
        <v/>
      </c>
      <c r="E781" s="11"/>
      <c r="F781" t="str">
        <f>IF(AND($A781&lt;&gt;"",COUNTIF($A$2:A781,$A781)=1),$A781,"")</f>
        <v/>
      </c>
      <c r="G781" t="str">
        <f>IF($F781&lt;&gt;"",SUMPRODUCT(($F$2:F781&lt;&gt;"")*1),"")</f>
        <v/>
      </c>
    </row>
    <row r="782" spans="1:7" ht="21.95" customHeight="1">
      <c r="A782" s="11"/>
      <c r="B782" s="11"/>
      <c r="C782" s="12"/>
      <c r="D782" s="17" t="str">
        <f>IFERROR(INDEX(المواد!$B$2:$B$319,MATCH(B782,المواد!$A$2:$A$319,0)),"")</f>
        <v/>
      </c>
      <c r="E782" s="11"/>
      <c r="F782" t="str">
        <f>IF(AND($A782&lt;&gt;"",COUNTIF($A$2:A782,$A782)=1),$A782,"")</f>
        <v/>
      </c>
      <c r="G782" t="str">
        <f>IF($F782&lt;&gt;"",SUMPRODUCT(($F$2:F782&lt;&gt;"")*1),"")</f>
        <v/>
      </c>
    </row>
    <row r="783" spans="1:7" ht="21.95" customHeight="1">
      <c r="A783" s="11"/>
      <c r="B783" s="11"/>
      <c r="C783" s="12"/>
      <c r="D783" s="17" t="str">
        <f>IFERROR(INDEX(المواد!$B$2:$B$319,MATCH(B783,المواد!$A$2:$A$319,0)),"")</f>
        <v/>
      </c>
      <c r="E783" s="11"/>
      <c r="F783" t="str">
        <f>IF(AND($A783&lt;&gt;"",COUNTIF($A$2:A783,$A783)=1),$A783,"")</f>
        <v/>
      </c>
      <c r="G783" t="str">
        <f>IF($F783&lt;&gt;"",SUMPRODUCT(($F$2:F783&lt;&gt;"")*1),"")</f>
        <v/>
      </c>
    </row>
    <row r="784" spans="1:7" ht="21.95" customHeight="1">
      <c r="A784" s="11"/>
      <c r="B784" s="11"/>
      <c r="C784" s="12"/>
      <c r="D784" s="17" t="str">
        <f>IFERROR(INDEX(المواد!$B$2:$B$319,MATCH(B784,المواد!$A$2:$A$319,0)),"")</f>
        <v/>
      </c>
      <c r="E784" s="11"/>
      <c r="F784" t="str">
        <f>IF(AND($A784&lt;&gt;"",COUNTIF($A$2:A784,$A784)=1),$A784,"")</f>
        <v/>
      </c>
      <c r="G784" t="str">
        <f>IF($F784&lt;&gt;"",SUMPRODUCT(($F$2:F784&lt;&gt;"")*1),"")</f>
        <v/>
      </c>
    </row>
    <row r="785" spans="1:7" ht="21.95" customHeight="1">
      <c r="A785" s="11"/>
      <c r="B785" s="11"/>
      <c r="C785" s="12"/>
      <c r="D785" s="17" t="str">
        <f>IFERROR(INDEX(المواد!$B$2:$B$319,MATCH(B785,المواد!$A$2:$A$319,0)),"")</f>
        <v/>
      </c>
      <c r="E785" s="11"/>
      <c r="F785" t="str">
        <f>IF(AND($A785&lt;&gt;"",COUNTIF($A$2:A785,$A785)=1),$A785,"")</f>
        <v/>
      </c>
      <c r="G785" t="str">
        <f>IF($F785&lt;&gt;"",SUMPRODUCT(($F$2:F785&lt;&gt;"")*1),"")</f>
        <v/>
      </c>
    </row>
    <row r="786" spans="1:7" ht="21.95" customHeight="1">
      <c r="A786" s="11"/>
      <c r="B786" s="11"/>
      <c r="C786" s="12"/>
      <c r="D786" s="17" t="str">
        <f>IFERROR(INDEX(المواد!$B$2:$B$319,MATCH(B786,المواد!$A$2:$A$319,0)),"")</f>
        <v/>
      </c>
      <c r="E786" s="11"/>
      <c r="F786" t="str">
        <f>IF(AND($A786&lt;&gt;"",COUNTIF($A$2:A786,$A786)=1),$A786,"")</f>
        <v/>
      </c>
      <c r="G786" t="str">
        <f>IF($F786&lt;&gt;"",SUMPRODUCT(($F$2:F786&lt;&gt;"")*1),"")</f>
        <v/>
      </c>
    </row>
    <row r="787" spans="1:7" ht="21.95" customHeight="1">
      <c r="A787" s="11"/>
      <c r="B787" s="11"/>
      <c r="C787" s="12"/>
      <c r="D787" s="17" t="str">
        <f>IFERROR(INDEX(المواد!$B$2:$B$319,MATCH(B787,المواد!$A$2:$A$319,0)),"")</f>
        <v/>
      </c>
      <c r="E787" s="11"/>
      <c r="F787" t="str">
        <f>IF(AND($A787&lt;&gt;"",COUNTIF($A$2:A787,$A787)=1),$A787,"")</f>
        <v/>
      </c>
      <c r="G787" t="str">
        <f>IF($F787&lt;&gt;"",SUMPRODUCT(($F$2:F787&lt;&gt;"")*1),"")</f>
        <v/>
      </c>
    </row>
    <row r="788" spans="1:7" ht="21.95" customHeight="1">
      <c r="A788" s="11"/>
      <c r="B788" s="11"/>
      <c r="C788" s="12"/>
      <c r="D788" s="17" t="str">
        <f>IFERROR(INDEX(المواد!$B$2:$B$319,MATCH(B788,المواد!$A$2:$A$319,0)),"")</f>
        <v/>
      </c>
      <c r="E788" s="11"/>
      <c r="F788" t="str">
        <f>IF(AND($A788&lt;&gt;"",COUNTIF($A$2:A788,$A788)=1),$A788,"")</f>
        <v/>
      </c>
      <c r="G788" t="str">
        <f>IF($F788&lt;&gt;"",SUMPRODUCT(($F$2:F788&lt;&gt;"")*1),"")</f>
        <v/>
      </c>
    </row>
    <row r="789" spans="1:7" ht="21.95" customHeight="1">
      <c r="A789" s="11"/>
      <c r="B789" s="11"/>
      <c r="C789" s="12"/>
      <c r="D789" s="17" t="str">
        <f>IFERROR(INDEX(المواد!$B$2:$B$319,MATCH(B789,المواد!$A$2:$A$319,0)),"")</f>
        <v/>
      </c>
      <c r="E789" s="11"/>
      <c r="F789" t="str">
        <f>IF(AND($A789&lt;&gt;"",COUNTIF($A$2:A789,$A789)=1),$A789,"")</f>
        <v/>
      </c>
      <c r="G789" t="str">
        <f>IF($F789&lt;&gt;"",SUMPRODUCT(($F$2:F789&lt;&gt;"")*1),"")</f>
        <v/>
      </c>
    </row>
    <row r="790" spans="1:7" ht="21.95" customHeight="1">
      <c r="A790" s="11"/>
      <c r="B790" s="11"/>
      <c r="C790" s="12"/>
      <c r="D790" s="17" t="str">
        <f>IFERROR(INDEX(المواد!$B$2:$B$319,MATCH(B790,المواد!$A$2:$A$319,0)),"")</f>
        <v/>
      </c>
      <c r="E790" s="11"/>
      <c r="F790" t="str">
        <f>IF(AND($A790&lt;&gt;"",COUNTIF($A$2:A790,$A790)=1),$A790,"")</f>
        <v/>
      </c>
      <c r="G790" t="str">
        <f>IF($F790&lt;&gt;"",SUMPRODUCT(($F$2:F790&lt;&gt;"")*1),"")</f>
        <v/>
      </c>
    </row>
    <row r="791" spans="1:7" ht="21.95" customHeight="1">
      <c r="A791" s="11"/>
      <c r="B791" s="11"/>
      <c r="C791" s="12"/>
      <c r="D791" s="17" t="str">
        <f>IFERROR(INDEX(المواد!$B$2:$B$319,MATCH(B791,المواد!$A$2:$A$319,0)),"")</f>
        <v/>
      </c>
      <c r="E791" s="11"/>
      <c r="F791" t="str">
        <f>IF(AND($A791&lt;&gt;"",COUNTIF($A$2:A791,$A791)=1),$A791,"")</f>
        <v/>
      </c>
      <c r="G791" t="str">
        <f>IF($F791&lt;&gt;"",SUMPRODUCT(($F$2:F791&lt;&gt;"")*1),"")</f>
        <v/>
      </c>
    </row>
    <row r="792" spans="1:7" ht="21.95" customHeight="1">
      <c r="A792" s="11"/>
      <c r="B792" s="11"/>
      <c r="C792" s="12"/>
      <c r="D792" s="17" t="str">
        <f>IFERROR(INDEX(المواد!$B$2:$B$319,MATCH(B792,المواد!$A$2:$A$319,0)),"")</f>
        <v/>
      </c>
      <c r="E792" s="11"/>
      <c r="F792" t="str">
        <f>IF(AND($A792&lt;&gt;"",COUNTIF($A$2:A792,$A792)=1),$A792,"")</f>
        <v/>
      </c>
      <c r="G792" t="str">
        <f>IF($F792&lt;&gt;"",SUMPRODUCT(($F$2:F792&lt;&gt;"")*1),"")</f>
        <v/>
      </c>
    </row>
    <row r="793" spans="1:7" ht="21.95" customHeight="1">
      <c r="A793" s="11"/>
      <c r="B793" s="11"/>
      <c r="C793" s="12"/>
      <c r="D793" s="17" t="str">
        <f>IFERROR(INDEX(المواد!$B$2:$B$319,MATCH(B793,المواد!$A$2:$A$319,0)),"")</f>
        <v/>
      </c>
      <c r="E793" s="11"/>
      <c r="F793" t="str">
        <f>IF(AND($A793&lt;&gt;"",COUNTIF($A$2:A793,$A793)=1),$A793,"")</f>
        <v/>
      </c>
      <c r="G793" t="str">
        <f>IF($F793&lt;&gt;"",SUMPRODUCT(($F$2:F793&lt;&gt;"")*1),"")</f>
        <v/>
      </c>
    </row>
    <row r="794" spans="1:7" ht="21.95" customHeight="1">
      <c r="A794" s="11"/>
      <c r="B794" s="11"/>
      <c r="C794" s="12"/>
      <c r="D794" s="17" t="str">
        <f>IFERROR(INDEX(المواد!$B$2:$B$319,MATCH(B794,المواد!$A$2:$A$319,0)),"")</f>
        <v/>
      </c>
      <c r="E794" s="11"/>
      <c r="F794" t="str">
        <f>IF(AND($A794&lt;&gt;"",COUNTIF($A$2:A794,$A794)=1),$A794,"")</f>
        <v/>
      </c>
      <c r="G794" t="str">
        <f>IF($F794&lt;&gt;"",SUMPRODUCT(($F$2:F794&lt;&gt;"")*1),"")</f>
        <v/>
      </c>
    </row>
    <row r="795" spans="1:7" ht="21.95" customHeight="1">
      <c r="A795" s="11"/>
      <c r="B795" s="11"/>
      <c r="C795" s="12"/>
      <c r="D795" s="17" t="str">
        <f>IFERROR(INDEX(المواد!$B$2:$B$319,MATCH(B795,المواد!$A$2:$A$319,0)),"")</f>
        <v/>
      </c>
      <c r="E795" s="11"/>
      <c r="F795" t="str">
        <f>IF(AND($A795&lt;&gt;"",COUNTIF($A$2:A795,$A795)=1),$A795,"")</f>
        <v/>
      </c>
      <c r="G795" t="str">
        <f>IF($F795&lt;&gt;"",SUMPRODUCT(($F$2:F795&lt;&gt;"")*1),"")</f>
        <v/>
      </c>
    </row>
    <row r="796" spans="1:7" ht="21.95" customHeight="1">
      <c r="A796" s="11"/>
      <c r="B796" s="11"/>
      <c r="C796" s="12"/>
      <c r="D796" s="17" t="str">
        <f>IFERROR(INDEX(المواد!$B$2:$B$319,MATCH(B796,المواد!$A$2:$A$319,0)),"")</f>
        <v/>
      </c>
      <c r="E796" s="11"/>
      <c r="F796" t="str">
        <f>IF(AND($A796&lt;&gt;"",COUNTIF($A$2:A796,$A796)=1),$A796,"")</f>
        <v/>
      </c>
      <c r="G796" t="str">
        <f>IF($F796&lt;&gt;"",SUMPRODUCT(($F$2:F796&lt;&gt;"")*1),"")</f>
        <v/>
      </c>
    </row>
    <row r="797" spans="1:7" ht="21.95" customHeight="1">
      <c r="A797" s="11"/>
      <c r="B797" s="11"/>
      <c r="C797" s="12"/>
      <c r="D797" s="17" t="str">
        <f>IFERROR(INDEX(المواد!$B$2:$B$319,MATCH(B797,المواد!$A$2:$A$319,0)),"")</f>
        <v/>
      </c>
      <c r="E797" s="11"/>
      <c r="F797" t="str">
        <f>IF(AND($A797&lt;&gt;"",COUNTIF($A$2:A797,$A797)=1),$A797,"")</f>
        <v/>
      </c>
      <c r="G797" t="str">
        <f>IF($F797&lt;&gt;"",SUMPRODUCT(($F$2:F797&lt;&gt;"")*1),"")</f>
        <v/>
      </c>
    </row>
    <row r="798" spans="1:7" ht="21.95" customHeight="1">
      <c r="A798" s="11"/>
      <c r="B798" s="11"/>
      <c r="C798" s="12"/>
      <c r="D798" s="17" t="str">
        <f>IFERROR(INDEX(المواد!$B$2:$B$319,MATCH(B798,المواد!$A$2:$A$319,0)),"")</f>
        <v/>
      </c>
      <c r="E798" s="11"/>
      <c r="F798" t="str">
        <f>IF(AND($A798&lt;&gt;"",COUNTIF($A$2:A798,$A798)=1),$A798,"")</f>
        <v/>
      </c>
      <c r="G798" t="str">
        <f>IF($F798&lt;&gt;"",SUMPRODUCT(($F$2:F798&lt;&gt;"")*1),"")</f>
        <v/>
      </c>
    </row>
    <row r="799" spans="1:7" ht="21.95" customHeight="1">
      <c r="A799" s="11"/>
      <c r="B799" s="11"/>
      <c r="C799" s="12"/>
      <c r="D799" s="17" t="str">
        <f>IFERROR(INDEX(المواد!$B$2:$B$319,MATCH(B799,المواد!$A$2:$A$319,0)),"")</f>
        <v/>
      </c>
      <c r="E799" s="11"/>
      <c r="F799" t="str">
        <f>IF(AND($A799&lt;&gt;"",COUNTIF($A$2:A799,$A799)=1),$A799,"")</f>
        <v/>
      </c>
      <c r="G799" t="str">
        <f>IF($F799&lt;&gt;"",SUMPRODUCT(($F$2:F799&lt;&gt;"")*1),"")</f>
        <v/>
      </c>
    </row>
    <row r="800" spans="1:7" ht="21.95" customHeight="1">
      <c r="A800" s="11"/>
      <c r="B800" s="11"/>
      <c r="C800" s="12"/>
      <c r="D800" s="17" t="str">
        <f>IFERROR(INDEX(المواد!$B$2:$B$319,MATCH(B800,المواد!$A$2:$A$319,0)),"")</f>
        <v/>
      </c>
      <c r="E800" s="11"/>
      <c r="F800" t="str">
        <f>IF(AND($A800&lt;&gt;"",COUNTIF($A$2:A800,$A800)=1),$A800,"")</f>
        <v/>
      </c>
      <c r="G800" t="str">
        <f>IF($F800&lt;&gt;"",SUMPRODUCT(($F$2:F800&lt;&gt;"")*1),"")</f>
        <v/>
      </c>
    </row>
    <row r="801" spans="1:7" ht="21.95" customHeight="1">
      <c r="A801" s="11"/>
      <c r="B801" s="11"/>
      <c r="C801" s="12"/>
      <c r="D801" s="17" t="str">
        <f>IFERROR(INDEX(المواد!$B$2:$B$319,MATCH(B801,المواد!$A$2:$A$319,0)),"")</f>
        <v/>
      </c>
      <c r="E801" s="11"/>
      <c r="F801" t="str">
        <f>IF(AND($A801&lt;&gt;"",COUNTIF($A$2:A801,$A801)=1),$A801,"")</f>
        <v/>
      </c>
      <c r="G801" t="str">
        <f>IF($F801&lt;&gt;"",SUMPRODUCT(($F$2:F801&lt;&gt;"")*1),"")</f>
        <v/>
      </c>
    </row>
    <row r="802" spans="1:7" ht="21.95" customHeight="1">
      <c r="A802" s="11"/>
      <c r="B802" s="11"/>
      <c r="C802" s="12"/>
      <c r="D802" s="17" t="str">
        <f>IFERROR(INDEX(المواد!$B$2:$B$319,MATCH(B802,المواد!$A$2:$A$319,0)),"")</f>
        <v/>
      </c>
      <c r="E802" s="11"/>
      <c r="F802" t="str">
        <f>IF(AND($A802&lt;&gt;"",COUNTIF($A$2:A802,$A802)=1),$A802,"")</f>
        <v/>
      </c>
      <c r="G802" t="str">
        <f>IF($F802&lt;&gt;"",SUMPRODUCT(($F$2:F802&lt;&gt;"")*1),"")</f>
        <v/>
      </c>
    </row>
    <row r="803" spans="1:7" ht="21.95" customHeight="1">
      <c r="A803" s="11"/>
      <c r="B803" s="11"/>
      <c r="C803" s="12"/>
      <c r="D803" s="17" t="str">
        <f>IFERROR(INDEX(المواد!$B$2:$B$319,MATCH(B803,المواد!$A$2:$A$319,0)),"")</f>
        <v/>
      </c>
      <c r="E803" s="11"/>
      <c r="F803" t="str">
        <f>IF(AND($A803&lt;&gt;"",COUNTIF($A$2:A803,$A803)=1),$A803,"")</f>
        <v/>
      </c>
      <c r="G803" t="str">
        <f>IF($F803&lt;&gt;"",SUMPRODUCT(($F$2:F803&lt;&gt;"")*1),"")</f>
        <v/>
      </c>
    </row>
    <row r="804" spans="1:7" ht="21.95" customHeight="1">
      <c r="A804" s="11"/>
      <c r="B804" s="11"/>
      <c r="C804" s="12"/>
      <c r="D804" s="17" t="str">
        <f>IFERROR(INDEX(المواد!$B$2:$B$319,MATCH(B804,المواد!$A$2:$A$319,0)),"")</f>
        <v/>
      </c>
      <c r="E804" s="11"/>
      <c r="F804" t="str">
        <f>IF(AND($A804&lt;&gt;"",COUNTIF($A$2:A804,$A804)=1),$A804,"")</f>
        <v/>
      </c>
      <c r="G804" t="str">
        <f>IF($F804&lt;&gt;"",SUMPRODUCT(($F$2:F804&lt;&gt;"")*1),"")</f>
        <v/>
      </c>
    </row>
    <row r="805" spans="1:7" ht="21.95" customHeight="1">
      <c r="A805" s="11"/>
      <c r="B805" s="11"/>
      <c r="C805" s="12"/>
      <c r="D805" s="17" t="str">
        <f>IFERROR(INDEX(المواد!$B$2:$B$319,MATCH(B805,المواد!$A$2:$A$319,0)),"")</f>
        <v/>
      </c>
      <c r="E805" s="11"/>
      <c r="F805" t="str">
        <f>IF(AND($A805&lt;&gt;"",COUNTIF($A$2:A805,$A805)=1),$A805,"")</f>
        <v/>
      </c>
      <c r="G805" t="str">
        <f>IF($F805&lt;&gt;"",SUMPRODUCT(($F$2:F805&lt;&gt;"")*1),"")</f>
        <v/>
      </c>
    </row>
    <row r="806" spans="1:7" ht="21.95" customHeight="1">
      <c r="A806" s="11"/>
      <c r="B806" s="11"/>
      <c r="C806" s="12"/>
      <c r="D806" s="17" t="str">
        <f>IFERROR(INDEX(المواد!$B$2:$B$319,MATCH(B806,المواد!$A$2:$A$319,0)),"")</f>
        <v/>
      </c>
      <c r="E806" s="11"/>
      <c r="F806" t="str">
        <f>IF(AND($A806&lt;&gt;"",COUNTIF($A$2:A806,$A806)=1),$A806,"")</f>
        <v/>
      </c>
      <c r="G806" t="str">
        <f>IF($F806&lt;&gt;"",SUMPRODUCT(($F$2:F806&lt;&gt;"")*1),"")</f>
        <v/>
      </c>
    </row>
    <row r="807" spans="1:7" ht="21.95" customHeight="1">
      <c r="A807" s="11"/>
      <c r="B807" s="11"/>
      <c r="C807" s="12"/>
      <c r="D807" s="17" t="str">
        <f>IFERROR(INDEX(المواد!$B$2:$B$319,MATCH(B807,المواد!$A$2:$A$319,0)),"")</f>
        <v/>
      </c>
      <c r="E807" s="11"/>
      <c r="F807" t="str">
        <f>IF(AND($A807&lt;&gt;"",COUNTIF($A$2:A807,$A807)=1),$A807,"")</f>
        <v/>
      </c>
      <c r="G807" t="str">
        <f>IF($F807&lt;&gt;"",SUMPRODUCT(($F$2:F807&lt;&gt;"")*1),"")</f>
        <v/>
      </c>
    </row>
    <row r="808" spans="1:7" ht="21.95" customHeight="1">
      <c r="A808" s="11"/>
      <c r="B808" s="11"/>
      <c r="C808" s="12"/>
      <c r="D808" s="17" t="str">
        <f>IFERROR(INDEX(المواد!$B$2:$B$319,MATCH(B808,المواد!$A$2:$A$319,0)),"")</f>
        <v/>
      </c>
      <c r="E808" s="11"/>
      <c r="F808" t="str">
        <f>IF(AND($A808&lt;&gt;"",COUNTIF($A$2:A808,$A808)=1),$A808,"")</f>
        <v/>
      </c>
      <c r="G808" t="str">
        <f>IF($F808&lt;&gt;"",SUMPRODUCT(($F$2:F808&lt;&gt;"")*1),"")</f>
        <v/>
      </c>
    </row>
    <row r="809" spans="1:7" ht="21.95" customHeight="1">
      <c r="A809" s="11"/>
      <c r="B809" s="11"/>
      <c r="C809" s="12"/>
      <c r="D809" s="17" t="str">
        <f>IFERROR(INDEX(المواد!$B$2:$B$319,MATCH(B809,المواد!$A$2:$A$319,0)),"")</f>
        <v/>
      </c>
      <c r="E809" s="11"/>
      <c r="F809" t="str">
        <f>IF(AND($A809&lt;&gt;"",COUNTIF($A$2:A809,$A809)=1),$A809,"")</f>
        <v/>
      </c>
      <c r="G809" t="str">
        <f>IF($F809&lt;&gt;"",SUMPRODUCT(($F$2:F809&lt;&gt;"")*1),"")</f>
        <v/>
      </c>
    </row>
    <row r="810" spans="1:7" ht="21.95" customHeight="1">
      <c r="A810" s="11"/>
      <c r="B810" s="11"/>
      <c r="C810" s="12"/>
      <c r="D810" s="17" t="str">
        <f>IFERROR(INDEX(المواد!$B$2:$B$319,MATCH(B810,المواد!$A$2:$A$319,0)),"")</f>
        <v/>
      </c>
      <c r="E810" s="11"/>
      <c r="F810" t="str">
        <f>IF(AND($A810&lt;&gt;"",COUNTIF($A$2:A810,$A810)=1),$A810,"")</f>
        <v/>
      </c>
      <c r="G810" t="str">
        <f>IF($F810&lt;&gt;"",SUMPRODUCT(($F$2:F810&lt;&gt;"")*1),"")</f>
        <v/>
      </c>
    </row>
    <row r="811" spans="1:7" ht="21.95" customHeight="1">
      <c r="A811" s="11"/>
      <c r="B811" s="11"/>
      <c r="C811" s="12"/>
      <c r="D811" s="17" t="str">
        <f>IFERROR(INDEX(المواد!$B$2:$B$319,MATCH(B811,المواد!$A$2:$A$319,0)),"")</f>
        <v/>
      </c>
      <c r="E811" s="11"/>
      <c r="F811" t="str">
        <f>IF(AND($A811&lt;&gt;"",COUNTIF($A$2:A811,$A811)=1),$A811,"")</f>
        <v/>
      </c>
      <c r="G811" t="str">
        <f>IF($F811&lt;&gt;"",SUMPRODUCT(($F$2:F811&lt;&gt;"")*1),"")</f>
        <v/>
      </c>
    </row>
    <row r="812" spans="1:7" ht="21.95" customHeight="1">
      <c r="A812" s="11"/>
      <c r="B812" s="11"/>
      <c r="C812" s="12"/>
      <c r="D812" s="17" t="str">
        <f>IFERROR(INDEX(المواد!$B$2:$B$319,MATCH(B812,المواد!$A$2:$A$319,0)),"")</f>
        <v/>
      </c>
      <c r="E812" s="11"/>
      <c r="F812" t="str">
        <f>IF(AND($A812&lt;&gt;"",COUNTIF($A$2:A812,$A812)=1),$A812,"")</f>
        <v/>
      </c>
      <c r="G812" t="str">
        <f>IF($F812&lt;&gt;"",SUMPRODUCT(($F$2:F812&lt;&gt;"")*1),"")</f>
        <v/>
      </c>
    </row>
    <row r="813" spans="1:7" ht="21.95" customHeight="1">
      <c r="A813" s="11"/>
      <c r="B813" s="11"/>
      <c r="C813" s="12"/>
      <c r="D813" s="17" t="str">
        <f>IFERROR(INDEX(المواد!$B$2:$B$319,MATCH(B813,المواد!$A$2:$A$319,0)),"")</f>
        <v/>
      </c>
      <c r="E813" s="11"/>
      <c r="F813" t="str">
        <f>IF(AND($A813&lt;&gt;"",COUNTIF($A$2:A813,$A813)=1),$A813,"")</f>
        <v/>
      </c>
      <c r="G813" t="str">
        <f>IF($F813&lt;&gt;"",SUMPRODUCT(($F$2:F813&lt;&gt;"")*1),"")</f>
        <v/>
      </c>
    </row>
    <row r="814" spans="1:7" ht="21.95" customHeight="1">
      <c r="A814" s="11"/>
      <c r="B814" s="11"/>
      <c r="C814" s="12"/>
      <c r="D814" s="17" t="str">
        <f>IFERROR(INDEX(المواد!$B$2:$B$319,MATCH(B814,المواد!$A$2:$A$319,0)),"")</f>
        <v/>
      </c>
      <c r="E814" s="11"/>
      <c r="F814" t="str">
        <f>IF(AND($A814&lt;&gt;"",COUNTIF($A$2:A814,$A814)=1),$A814,"")</f>
        <v/>
      </c>
      <c r="G814" t="str">
        <f>IF($F814&lt;&gt;"",SUMPRODUCT(($F$2:F814&lt;&gt;"")*1),"")</f>
        <v/>
      </c>
    </row>
    <row r="815" spans="1:7" ht="21.95" customHeight="1">
      <c r="A815" s="11"/>
      <c r="B815" s="11"/>
      <c r="C815" s="12"/>
      <c r="D815" s="17" t="str">
        <f>IFERROR(INDEX(المواد!$B$2:$B$319,MATCH(B815,المواد!$A$2:$A$319,0)),"")</f>
        <v/>
      </c>
      <c r="E815" s="11"/>
      <c r="F815" t="str">
        <f>IF(AND($A815&lt;&gt;"",COUNTIF($A$2:A815,$A815)=1),$A815,"")</f>
        <v/>
      </c>
      <c r="G815" t="str">
        <f>IF($F815&lt;&gt;"",SUMPRODUCT(($F$2:F815&lt;&gt;"")*1),"")</f>
        <v/>
      </c>
    </row>
    <row r="816" spans="1:7" ht="21.95" customHeight="1">
      <c r="A816" s="11"/>
      <c r="B816" s="11"/>
      <c r="C816" s="12"/>
      <c r="D816" s="17" t="str">
        <f>IFERROR(INDEX(المواد!$B$2:$B$319,MATCH(B816,المواد!$A$2:$A$319,0)),"")</f>
        <v/>
      </c>
      <c r="E816" s="11"/>
      <c r="F816" t="str">
        <f>IF(AND($A816&lt;&gt;"",COUNTIF($A$2:A816,$A816)=1),$A816,"")</f>
        <v/>
      </c>
      <c r="G816" t="str">
        <f>IF($F816&lt;&gt;"",SUMPRODUCT(($F$2:F816&lt;&gt;"")*1),"")</f>
        <v/>
      </c>
    </row>
    <row r="817" spans="1:7" ht="21.95" customHeight="1">
      <c r="A817" s="11"/>
      <c r="B817" s="11"/>
      <c r="C817" s="12"/>
      <c r="D817" s="17" t="str">
        <f>IFERROR(INDEX(المواد!$B$2:$B$319,MATCH(B817,المواد!$A$2:$A$319,0)),"")</f>
        <v/>
      </c>
      <c r="E817" s="11"/>
      <c r="F817" t="str">
        <f>IF(AND($A817&lt;&gt;"",COUNTIF($A$2:A817,$A817)=1),$A817,"")</f>
        <v/>
      </c>
      <c r="G817" t="str">
        <f>IF($F817&lt;&gt;"",SUMPRODUCT(($F$2:F817&lt;&gt;"")*1),"")</f>
        <v/>
      </c>
    </row>
    <row r="818" spans="1:7" ht="21.95" customHeight="1">
      <c r="A818" s="11"/>
      <c r="B818" s="11"/>
      <c r="C818" s="12"/>
      <c r="D818" s="17" t="str">
        <f>IFERROR(INDEX(المواد!$B$2:$B$319,MATCH(B818,المواد!$A$2:$A$319,0)),"")</f>
        <v/>
      </c>
      <c r="E818" s="11"/>
      <c r="F818" t="str">
        <f>IF(AND($A818&lt;&gt;"",COUNTIF($A$2:A818,$A818)=1),$A818,"")</f>
        <v/>
      </c>
      <c r="G818" t="str">
        <f>IF($F818&lt;&gt;"",SUMPRODUCT(($F$2:F818&lt;&gt;"")*1),"")</f>
        <v/>
      </c>
    </row>
    <row r="819" spans="1:7" ht="21.95" customHeight="1">
      <c r="A819" s="11"/>
      <c r="B819" s="11"/>
      <c r="C819" s="12"/>
      <c r="D819" s="17" t="str">
        <f>IFERROR(INDEX(المواد!$B$2:$B$319,MATCH(B819,المواد!$A$2:$A$319,0)),"")</f>
        <v/>
      </c>
      <c r="E819" s="11"/>
      <c r="F819" t="str">
        <f>IF(AND($A819&lt;&gt;"",COUNTIF($A$2:A819,$A819)=1),$A819,"")</f>
        <v/>
      </c>
      <c r="G819" t="str">
        <f>IF($F819&lt;&gt;"",SUMPRODUCT(($F$2:F819&lt;&gt;"")*1),"")</f>
        <v/>
      </c>
    </row>
    <row r="820" spans="1:7" ht="21.95" customHeight="1">
      <c r="A820" s="11"/>
      <c r="B820" s="11"/>
      <c r="C820" s="12"/>
      <c r="D820" s="17" t="str">
        <f>IFERROR(INDEX(المواد!$B$2:$B$319,MATCH(B820,المواد!$A$2:$A$319,0)),"")</f>
        <v/>
      </c>
      <c r="E820" s="11"/>
      <c r="F820" t="str">
        <f>IF(AND($A820&lt;&gt;"",COUNTIF($A$2:A820,$A820)=1),$A820,"")</f>
        <v/>
      </c>
      <c r="G820" t="str">
        <f>IF($F820&lt;&gt;"",SUMPRODUCT(($F$2:F820&lt;&gt;"")*1),"")</f>
        <v/>
      </c>
    </row>
    <row r="821" spans="1:7" ht="21.95" customHeight="1">
      <c r="A821" s="11"/>
      <c r="B821" s="11"/>
      <c r="C821" s="12"/>
      <c r="D821" s="17" t="str">
        <f>IFERROR(INDEX(المواد!$B$2:$B$319,MATCH(B821,المواد!$A$2:$A$319,0)),"")</f>
        <v/>
      </c>
      <c r="E821" s="11"/>
      <c r="F821" t="str">
        <f>IF(AND($A821&lt;&gt;"",COUNTIF($A$2:A821,$A821)=1),$A821,"")</f>
        <v/>
      </c>
      <c r="G821" t="str">
        <f>IF($F821&lt;&gt;"",SUMPRODUCT(($F$2:F821&lt;&gt;"")*1),"")</f>
        <v/>
      </c>
    </row>
    <row r="822" spans="1:7" ht="21.95" customHeight="1">
      <c r="A822" s="11"/>
      <c r="B822" s="11"/>
      <c r="C822" s="12"/>
      <c r="D822" s="17" t="str">
        <f>IFERROR(INDEX(المواد!$B$2:$B$319,MATCH(B822,المواد!$A$2:$A$319,0)),"")</f>
        <v/>
      </c>
      <c r="E822" s="11"/>
      <c r="F822" t="str">
        <f>IF(AND($A822&lt;&gt;"",COUNTIF($A$2:A822,$A822)=1),$A822,"")</f>
        <v/>
      </c>
      <c r="G822" t="str">
        <f>IF($F822&lt;&gt;"",SUMPRODUCT(($F$2:F822&lt;&gt;"")*1),"")</f>
        <v/>
      </c>
    </row>
    <row r="823" spans="1:7" ht="21.95" customHeight="1">
      <c r="A823" s="11"/>
      <c r="B823" s="11"/>
      <c r="C823" s="12"/>
      <c r="D823" s="17" t="str">
        <f>IFERROR(INDEX(المواد!$B$2:$B$319,MATCH(B823,المواد!$A$2:$A$319,0)),"")</f>
        <v/>
      </c>
      <c r="E823" s="11"/>
      <c r="F823" t="str">
        <f>IF(AND($A823&lt;&gt;"",COUNTIF($A$2:A823,$A823)=1),$A823,"")</f>
        <v/>
      </c>
      <c r="G823" t="str">
        <f>IF($F823&lt;&gt;"",SUMPRODUCT(($F$2:F823&lt;&gt;"")*1),"")</f>
        <v/>
      </c>
    </row>
    <row r="824" spans="1:7" ht="21.95" customHeight="1">
      <c r="A824" s="11"/>
      <c r="B824" s="11"/>
      <c r="C824" s="12"/>
      <c r="D824" s="17" t="str">
        <f>IFERROR(INDEX(المواد!$B$2:$B$319,MATCH(B824,المواد!$A$2:$A$319,0)),"")</f>
        <v/>
      </c>
      <c r="E824" s="11"/>
      <c r="F824" t="str">
        <f>IF(AND($A824&lt;&gt;"",COUNTIF($A$2:A824,$A824)=1),$A824,"")</f>
        <v/>
      </c>
      <c r="G824" t="str">
        <f>IF($F824&lt;&gt;"",SUMPRODUCT(($F$2:F824&lt;&gt;"")*1),"")</f>
        <v/>
      </c>
    </row>
    <row r="825" spans="1:7" ht="21.95" customHeight="1">
      <c r="A825" s="11"/>
      <c r="B825" s="11"/>
      <c r="C825" s="12"/>
      <c r="D825" s="17" t="str">
        <f>IFERROR(INDEX(المواد!$B$2:$B$319,MATCH(B825,المواد!$A$2:$A$319,0)),"")</f>
        <v/>
      </c>
      <c r="E825" s="11"/>
      <c r="F825" t="str">
        <f>IF(AND($A825&lt;&gt;"",COUNTIF($A$2:A825,$A825)=1),$A825,"")</f>
        <v/>
      </c>
      <c r="G825" t="str">
        <f>IF($F825&lt;&gt;"",SUMPRODUCT(($F$2:F825&lt;&gt;"")*1),"")</f>
        <v/>
      </c>
    </row>
    <row r="826" spans="1:7" ht="21.95" customHeight="1">
      <c r="A826" s="11"/>
      <c r="B826" s="11"/>
      <c r="C826" s="12"/>
      <c r="D826" s="17" t="str">
        <f>IFERROR(INDEX(المواد!$B$2:$B$319,MATCH(B826,المواد!$A$2:$A$319,0)),"")</f>
        <v/>
      </c>
      <c r="E826" s="11"/>
      <c r="F826" t="str">
        <f>IF(AND($A826&lt;&gt;"",COUNTIF($A$2:A826,$A826)=1),$A826,"")</f>
        <v/>
      </c>
      <c r="G826" t="str">
        <f>IF($F826&lt;&gt;"",SUMPRODUCT(($F$2:F826&lt;&gt;"")*1),"")</f>
        <v/>
      </c>
    </row>
    <row r="827" spans="1:7" ht="21.95" customHeight="1">
      <c r="A827" s="11"/>
      <c r="B827" s="11"/>
      <c r="C827" s="12"/>
      <c r="D827" s="17" t="str">
        <f>IFERROR(INDEX(المواد!$B$2:$B$319,MATCH(B827,المواد!$A$2:$A$319,0)),"")</f>
        <v/>
      </c>
      <c r="E827" s="11"/>
      <c r="F827" t="str">
        <f>IF(AND($A827&lt;&gt;"",COUNTIF($A$2:A827,$A827)=1),$A827,"")</f>
        <v/>
      </c>
      <c r="G827" t="str">
        <f>IF($F827&lt;&gt;"",SUMPRODUCT(($F$2:F827&lt;&gt;"")*1),"")</f>
        <v/>
      </c>
    </row>
    <row r="828" spans="1:7" ht="21.95" customHeight="1">
      <c r="A828" s="11"/>
      <c r="B828" s="11"/>
      <c r="C828" s="12"/>
      <c r="D828" s="17" t="str">
        <f>IFERROR(INDEX(المواد!$B$2:$B$319,MATCH(B828,المواد!$A$2:$A$319,0)),"")</f>
        <v/>
      </c>
      <c r="E828" s="11"/>
      <c r="F828" t="str">
        <f>IF(AND($A828&lt;&gt;"",COUNTIF($A$2:A828,$A828)=1),$A828,"")</f>
        <v/>
      </c>
      <c r="G828" t="str">
        <f>IF($F828&lt;&gt;"",SUMPRODUCT(($F$2:F828&lt;&gt;"")*1),"")</f>
        <v/>
      </c>
    </row>
    <row r="829" spans="1:7" ht="21.95" customHeight="1">
      <c r="A829" s="11"/>
      <c r="B829" s="11"/>
      <c r="C829" s="12"/>
      <c r="D829" s="17" t="str">
        <f>IFERROR(INDEX(المواد!$B$2:$B$319,MATCH(B829,المواد!$A$2:$A$319,0)),"")</f>
        <v/>
      </c>
      <c r="E829" s="11"/>
      <c r="F829" t="str">
        <f>IF(AND($A829&lt;&gt;"",COUNTIF($A$2:A829,$A829)=1),$A829,"")</f>
        <v/>
      </c>
      <c r="G829" t="str">
        <f>IF($F829&lt;&gt;"",SUMPRODUCT(($F$2:F829&lt;&gt;"")*1),"")</f>
        <v/>
      </c>
    </row>
    <row r="830" spans="1:7" ht="21.95" customHeight="1">
      <c r="A830" s="11"/>
      <c r="B830" s="11"/>
      <c r="C830" s="12"/>
      <c r="D830" s="17" t="str">
        <f>IFERROR(INDEX(المواد!$B$2:$B$319,MATCH(B830,المواد!$A$2:$A$319,0)),"")</f>
        <v/>
      </c>
      <c r="E830" s="11"/>
      <c r="F830" t="str">
        <f>IF(AND($A830&lt;&gt;"",COUNTIF($A$2:A830,$A830)=1),$A830,"")</f>
        <v/>
      </c>
      <c r="G830" t="str">
        <f>IF($F830&lt;&gt;"",SUMPRODUCT(($F$2:F830&lt;&gt;"")*1),"")</f>
        <v/>
      </c>
    </row>
    <row r="831" spans="1:7" ht="21.95" customHeight="1">
      <c r="A831" s="11"/>
      <c r="B831" s="11"/>
      <c r="C831" s="12"/>
      <c r="D831" s="17" t="str">
        <f>IFERROR(INDEX(المواد!$B$2:$B$319,MATCH(B831,المواد!$A$2:$A$319,0)),"")</f>
        <v/>
      </c>
      <c r="E831" s="11"/>
      <c r="F831" t="str">
        <f>IF(AND($A831&lt;&gt;"",COUNTIF($A$2:A831,$A831)=1),$A831,"")</f>
        <v/>
      </c>
      <c r="G831" t="str">
        <f>IF($F831&lt;&gt;"",SUMPRODUCT(($F$2:F831&lt;&gt;"")*1),"")</f>
        <v/>
      </c>
    </row>
    <row r="832" spans="1:7" ht="21.95" customHeight="1">
      <c r="A832" s="11"/>
      <c r="B832" s="11"/>
      <c r="C832" s="12"/>
      <c r="D832" s="17" t="str">
        <f>IFERROR(INDEX(المواد!$B$2:$B$319,MATCH(B832,المواد!$A$2:$A$319,0)),"")</f>
        <v/>
      </c>
      <c r="E832" s="11"/>
      <c r="F832" t="str">
        <f>IF(AND($A832&lt;&gt;"",COUNTIF($A$2:A832,$A832)=1),$A832,"")</f>
        <v/>
      </c>
      <c r="G832" t="str">
        <f>IF($F832&lt;&gt;"",SUMPRODUCT(($F$2:F832&lt;&gt;"")*1),"")</f>
        <v/>
      </c>
    </row>
    <row r="833" spans="1:7" ht="21.95" customHeight="1">
      <c r="A833" s="11"/>
      <c r="B833" s="11"/>
      <c r="C833" s="12"/>
      <c r="D833" s="17" t="str">
        <f>IFERROR(INDEX(المواد!$B$2:$B$319,MATCH(B833,المواد!$A$2:$A$319,0)),"")</f>
        <v/>
      </c>
      <c r="E833" s="11"/>
      <c r="F833" t="str">
        <f>IF(AND($A833&lt;&gt;"",COUNTIF($A$2:A833,$A833)=1),$A833,"")</f>
        <v/>
      </c>
      <c r="G833" t="str">
        <f>IF($F833&lt;&gt;"",SUMPRODUCT(($F$2:F833&lt;&gt;"")*1),"")</f>
        <v/>
      </c>
    </row>
    <row r="834" spans="1:7" ht="21.95" customHeight="1">
      <c r="A834" s="11"/>
      <c r="B834" s="11"/>
      <c r="C834" s="12"/>
      <c r="D834" s="17" t="str">
        <f>IFERROR(INDEX(المواد!$B$2:$B$319,MATCH(B834,المواد!$A$2:$A$319,0)),"")</f>
        <v/>
      </c>
      <c r="E834" s="11"/>
      <c r="F834" t="str">
        <f>IF(AND($A834&lt;&gt;"",COUNTIF($A$2:A834,$A834)=1),$A834,"")</f>
        <v/>
      </c>
      <c r="G834" t="str">
        <f>IF($F834&lt;&gt;"",SUMPRODUCT(($F$2:F834&lt;&gt;"")*1),"")</f>
        <v/>
      </c>
    </row>
    <row r="835" spans="1:7" ht="21.95" customHeight="1">
      <c r="A835" s="11"/>
      <c r="B835" s="11"/>
      <c r="C835" s="12"/>
      <c r="D835" s="17" t="str">
        <f>IFERROR(INDEX(المواد!$B$2:$B$319,MATCH(B835,المواد!$A$2:$A$319,0)),"")</f>
        <v/>
      </c>
      <c r="E835" s="11"/>
      <c r="F835" t="str">
        <f>IF(AND($A835&lt;&gt;"",COUNTIF($A$2:A835,$A835)=1),$A835,"")</f>
        <v/>
      </c>
      <c r="G835" t="str">
        <f>IF($F835&lt;&gt;"",SUMPRODUCT(($F$2:F835&lt;&gt;"")*1),"")</f>
        <v/>
      </c>
    </row>
    <row r="836" spans="1:7" ht="21.95" customHeight="1">
      <c r="A836" s="11"/>
      <c r="B836" s="11"/>
      <c r="C836" s="12"/>
      <c r="D836" s="17" t="str">
        <f>IFERROR(INDEX(المواد!$B$2:$B$319,MATCH(B836,المواد!$A$2:$A$319,0)),"")</f>
        <v/>
      </c>
      <c r="E836" s="11"/>
      <c r="F836" t="str">
        <f>IF(AND($A836&lt;&gt;"",COUNTIF($A$2:A836,$A836)=1),$A836,"")</f>
        <v/>
      </c>
      <c r="G836" t="str">
        <f>IF($F836&lt;&gt;"",SUMPRODUCT(($F$2:F836&lt;&gt;"")*1),"")</f>
        <v/>
      </c>
    </row>
    <row r="837" spans="1:7" ht="21.95" customHeight="1">
      <c r="A837" s="11"/>
      <c r="B837" s="11"/>
      <c r="C837" s="12"/>
      <c r="D837" s="17" t="str">
        <f>IFERROR(INDEX(المواد!$B$2:$B$319,MATCH(B837,المواد!$A$2:$A$319,0)),"")</f>
        <v/>
      </c>
      <c r="E837" s="11"/>
      <c r="F837" t="str">
        <f>IF(AND($A837&lt;&gt;"",COUNTIF($A$2:A837,$A837)=1),$A837,"")</f>
        <v/>
      </c>
      <c r="G837" t="str">
        <f>IF($F837&lt;&gt;"",SUMPRODUCT(($F$2:F837&lt;&gt;"")*1),"")</f>
        <v/>
      </c>
    </row>
    <row r="838" spans="1:7" ht="21.95" customHeight="1">
      <c r="A838" s="11"/>
      <c r="B838" s="11"/>
      <c r="C838" s="12"/>
      <c r="D838" s="17" t="str">
        <f>IFERROR(INDEX(المواد!$B$2:$B$319,MATCH(B838,المواد!$A$2:$A$319,0)),"")</f>
        <v/>
      </c>
      <c r="E838" s="11"/>
      <c r="F838" t="str">
        <f>IF(AND($A838&lt;&gt;"",COUNTIF($A$2:A838,$A838)=1),$A838,"")</f>
        <v/>
      </c>
      <c r="G838" t="str">
        <f>IF($F838&lt;&gt;"",SUMPRODUCT(($F$2:F838&lt;&gt;"")*1),"")</f>
        <v/>
      </c>
    </row>
    <row r="839" spans="1:7" ht="21.95" customHeight="1">
      <c r="A839" s="11"/>
      <c r="B839" s="11"/>
      <c r="C839" s="12"/>
      <c r="D839" s="17" t="str">
        <f>IFERROR(INDEX(المواد!$B$2:$B$319,MATCH(B839,المواد!$A$2:$A$319,0)),"")</f>
        <v/>
      </c>
      <c r="E839" s="11"/>
      <c r="F839" t="str">
        <f>IF(AND($A839&lt;&gt;"",COUNTIF($A$2:A839,$A839)=1),$A839,"")</f>
        <v/>
      </c>
      <c r="G839" t="str">
        <f>IF($F839&lt;&gt;"",SUMPRODUCT(($F$2:F839&lt;&gt;"")*1),"")</f>
        <v/>
      </c>
    </row>
    <row r="840" spans="1:7" ht="21.95" customHeight="1">
      <c r="A840" s="11"/>
      <c r="B840" s="11"/>
      <c r="C840" s="12"/>
      <c r="D840" s="17" t="str">
        <f>IFERROR(INDEX(المواد!$B$2:$B$319,MATCH(B840,المواد!$A$2:$A$319,0)),"")</f>
        <v/>
      </c>
      <c r="E840" s="11"/>
      <c r="F840" t="str">
        <f>IF(AND($A840&lt;&gt;"",COUNTIF($A$2:A840,$A840)=1),$A840,"")</f>
        <v/>
      </c>
      <c r="G840" t="str">
        <f>IF($F840&lt;&gt;"",SUMPRODUCT(($F$2:F840&lt;&gt;"")*1),"")</f>
        <v/>
      </c>
    </row>
    <row r="841" spans="1:7" ht="21.95" customHeight="1">
      <c r="A841" s="11"/>
      <c r="B841" s="11"/>
      <c r="C841" s="12"/>
      <c r="D841" s="17" t="str">
        <f>IFERROR(INDEX(المواد!$B$2:$B$319,MATCH(B841,المواد!$A$2:$A$319,0)),"")</f>
        <v/>
      </c>
      <c r="E841" s="11"/>
      <c r="F841" t="str">
        <f>IF(AND($A841&lt;&gt;"",COUNTIF($A$2:A841,$A841)=1),$A841,"")</f>
        <v/>
      </c>
      <c r="G841" t="str">
        <f>IF($F841&lt;&gt;"",SUMPRODUCT(($F$2:F841&lt;&gt;"")*1),"")</f>
        <v/>
      </c>
    </row>
    <row r="842" spans="1:7" ht="21.95" customHeight="1">
      <c r="A842" s="11"/>
      <c r="B842" s="11"/>
      <c r="C842" s="12"/>
      <c r="D842" s="17" t="str">
        <f>IFERROR(INDEX(المواد!$B$2:$B$319,MATCH(B842,المواد!$A$2:$A$319,0)),"")</f>
        <v/>
      </c>
      <c r="E842" s="11"/>
      <c r="F842" t="str">
        <f>IF(AND($A842&lt;&gt;"",COUNTIF($A$2:A842,$A842)=1),$A842,"")</f>
        <v/>
      </c>
      <c r="G842" t="str">
        <f>IF($F842&lt;&gt;"",SUMPRODUCT(($F$2:F842&lt;&gt;"")*1),"")</f>
        <v/>
      </c>
    </row>
    <row r="843" spans="1:7" ht="21.95" customHeight="1">
      <c r="A843" s="11"/>
      <c r="B843" s="11"/>
      <c r="C843" s="12"/>
      <c r="D843" s="17" t="str">
        <f>IFERROR(INDEX(المواد!$B$2:$B$319,MATCH(B843,المواد!$A$2:$A$319,0)),"")</f>
        <v/>
      </c>
      <c r="E843" s="11"/>
      <c r="F843" t="str">
        <f>IF(AND($A843&lt;&gt;"",COUNTIF($A$2:A843,$A843)=1),$A843,"")</f>
        <v/>
      </c>
      <c r="G843" t="str">
        <f>IF($F843&lt;&gt;"",SUMPRODUCT(($F$2:F843&lt;&gt;"")*1),"")</f>
        <v/>
      </c>
    </row>
    <row r="844" spans="1:7" ht="21.95" customHeight="1">
      <c r="A844" s="11"/>
      <c r="B844" s="11"/>
      <c r="C844" s="12"/>
      <c r="D844" s="17" t="str">
        <f>IFERROR(INDEX(المواد!$B$2:$B$319,MATCH(B844,المواد!$A$2:$A$319,0)),"")</f>
        <v/>
      </c>
      <c r="E844" s="11"/>
      <c r="F844" t="str">
        <f>IF(AND($A844&lt;&gt;"",COUNTIF($A$2:A844,$A844)=1),$A844,"")</f>
        <v/>
      </c>
      <c r="G844" t="str">
        <f>IF($F844&lt;&gt;"",SUMPRODUCT(($F$2:F844&lt;&gt;"")*1),"")</f>
        <v/>
      </c>
    </row>
    <row r="845" spans="1:7" ht="21.95" customHeight="1">
      <c r="A845" s="11"/>
      <c r="B845" s="11"/>
      <c r="C845" s="12"/>
      <c r="D845" s="17" t="str">
        <f>IFERROR(INDEX(المواد!$B$2:$B$319,MATCH(B845,المواد!$A$2:$A$319,0)),"")</f>
        <v/>
      </c>
      <c r="E845" s="11"/>
      <c r="F845" t="str">
        <f>IF(AND($A845&lt;&gt;"",COUNTIF($A$2:A845,$A845)=1),$A845,"")</f>
        <v/>
      </c>
      <c r="G845" t="str">
        <f>IF($F845&lt;&gt;"",SUMPRODUCT(($F$2:F845&lt;&gt;"")*1),"")</f>
        <v/>
      </c>
    </row>
    <row r="846" spans="1:7" ht="21.95" customHeight="1">
      <c r="A846" s="11"/>
      <c r="B846" s="11"/>
      <c r="C846" s="12"/>
      <c r="D846" s="17" t="str">
        <f>IFERROR(INDEX(المواد!$B$2:$B$319,MATCH(B846,المواد!$A$2:$A$319,0)),"")</f>
        <v/>
      </c>
      <c r="E846" s="11"/>
      <c r="F846" t="str">
        <f>IF(AND($A846&lt;&gt;"",COUNTIF($A$2:A846,$A846)=1),$A846,"")</f>
        <v/>
      </c>
      <c r="G846" t="str">
        <f>IF($F846&lt;&gt;"",SUMPRODUCT(($F$2:F846&lt;&gt;"")*1),"")</f>
        <v/>
      </c>
    </row>
    <row r="847" spans="1:7" ht="21.95" customHeight="1">
      <c r="A847" s="11"/>
      <c r="B847" s="11"/>
      <c r="C847" s="12"/>
      <c r="D847" s="17" t="str">
        <f>IFERROR(INDEX(المواد!$B$2:$B$319,MATCH(B847,المواد!$A$2:$A$319,0)),"")</f>
        <v/>
      </c>
      <c r="E847" s="11"/>
      <c r="F847" t="str">
        <f>IF(AND($A847&lt;&gt;"",COUNTIF($A$2:A847,$A847)=1),$A847,"")</f>
        <v/>
      </c>
      <c r="G847" t="str">
        <f>IF($F847&lt;&gt;"",SUMPRODUCT(($F$2:F847&lt;&gt;"")*1),"")</f>
        <v/>
      </c>
    </row>
    <row r="848" spans="1:7" ht="21.95" customHeight="1">
      <c r="A848" s="11"/>
      <c r="B848" s="11"/>
      <c r="C848" s="12"/>
      <c r="D848" s="17" t="str">
        <f>IFERROR(INDEX(المواد!$B$2:$B$319,MATCH(B848,المواد!$A$2:$A$319,0)),"")</f>
        <v/>
      </c>
      <c r="E848" s="11"/>
      <c r="F848" t="str">
        <f>IF(AND($A848&lt;&gt;"",COUNTIF($A$2:A848,$A848)=1),$A848,"")</f>
        <v/>
      </c>
      <c r="G848" t="str">
        <f>IF($F848&lt;&gt;"",SUMPRODUCT(($F$2:F848&lt;&gt;"")*1),"")</f>
        <v/>
      </c>
    </row>
    <row r="849" spans="1:7" ht="21.95" customHeight="1">
      <c r="A849" s="11"/>
      <c r="B849" s="11"/>
      <c r="C849" s="12"/>
      <c r="D849" s="17" t="str">
        <f>IFERROR(INDEX(المواد!$B$2:$B$319,MATCH(B849,المواد!$A$2:$A$319,0)),"")</f>
        <v/>
      </c>
      <c r="E849" s="11"/>
      <c r="F849" t="str">
        <f>IF(AND($A849&lt;&gt;"",COUNTIF($A$2:A849,$A849)=1),$A849,"")</f>
        <v/>
      </c>
      <c r="G849" t="str">
        <f>IF($F849&lt;&gt;"",SUMPRODUCT(($F$2:F849&lt;&gt;"")*1),"")</f>
        <v/>
      </c>
    </row>
    <row r="850" spans="1:7" ht="21.95" customHeight="1">
      <c r="A850" s="11"/>
      <c r="B850" s="11"/>
      <c r="C850" s="12"/>
      <c r="D850" s="17" t="str">
        <f>IFERROR(INDEX(المواد!$B$2:$B$319,MATCH(B850,المواد!$A$2:$A$319,0)),"")</f>
        <v/>
      </c>
      <c r="E850" s="11"/>
      <c r="F850" t="str">
        <f>IF(AND($A850&lt;&gt;"",COUNTIF($A$2:A850,$A850)=1),$A850,"")</f>
        <v/>
      </c>
      <c r="G850" t="str">
        <f>IF($F850&lt;&gt;"",SUMPRODUCT(($F$2:F850&lt;&gt;"")*1),"")</f>
        <v/>
      </c>
    </row>
    <row r="851" spans="1:7" ht="21.95" customHeight="1">
      <c r="A851" s="11"/>
      <c r="B851" s="11"/>
      <c r="C851" s="12"/>
      <c r="D851" s="17" t="str">
        <f>IFERROR(INDEX(المواد!$B$2:$B$319,MATCH(B851,المواد!$A$2:$A$319,0)),"")</f>
        <v/>
      </c>
      <c r="E851" s="11"/>
      <c r="F851" t="str">
        <f>IF(AND($A851&lt;&gt;"",COUNTIF($A$2:A851,$A851)=1),$A851,"")</f>
        <v/>
      </c>
      <c r="G851" t="str">
        <f>IF($F851&lt;&gt;"",SUMPRODUCT(($F$2:F851&lt;&gt;"")*1),"")</f>
        <v/>
      </c>
    </row>
    <row r="852" spans="1:7" ht="21.95" customHeight="1">
      <c r="A852" s="11"/>
      <c r="B852" s="11"/>
      <c r="C852" s="12"/>
      <c r="D852" s="17" t="str">
        <f>IFERROR(INDEX(المواد!$B$2:$B$319,MATCH(B852,المواد!$A$2:$A$319,0)),"")</f>
        <v/>
      </c>
      <c r="E852" s="11"/>
      <c r="F852" t="str">
        <f>IF(AND($A852&lt;&gt;"",COUNTIF($A$2:A852,$A852)=1),$A852,"")</f>
        <v/>
      </c>
      <c r="G852" t="str">
        <f>IF($F852&lt;&gt;"",SUMPRODUCT(($F$2:F852&lt;&gt;"")*1),"")</f>
        <v/>
      </c>
    </row>
    <row r="853" spans="1:7" ht="21.95" customHeight="1">
      <c r="A853" s="11"/>
      <c r="B853" s="11"/>
      <c r="C853" s="12"/>
      <c r="D853" s="17" t="str">
        <f>IFERROR(INDEX(المواد!$B$2:$B$319,MATCH(B853,المواد!$A$2:$A$319,0)),"")</f>
        <v/>
      </c>
      <c r="E853" s="11"/>
      <c r="F853" t="str">
        <f>IF(AND($A853&lt;&gt;"",COUNTIF($A$2:A853,$A853)=1),$A853,"")</f>
        <v/>
      </c>
      <c r="G853" t="str">
        <f>IF($F853&lt;&gt;"",SUMPRODUCT(($F$2:F853&lt;&gt;"")*1),"")</f>
        <v/>
      </c>
    </row>
    <row r="854" spans="1:7" ht="21.95" customHeight="1">
      <c r="A854" s="11"/>
      <c r="B854" s="11"/>
      <c r="C854" s="12"/>
      <c r="D854" s="17" t="str">
        <f>IFERROR(INDEX(المواد!$B$2:$B$319,MATCH(B854,المواد!$A$2:$A$319,0)),"")</f>
        <v/>
      </c>
      <c r="E854" s="11"/>
      <c r="F854" t="str">
        <f>IF(AND($A854&lt;&gt;"",COUNTIF($A$2:A854,$A854)=1),$A854,"")</f>
        <v/>
      </c>
      <c r="G854" t="str">
        <f>IF($F854&lt;&gt;"",SUMPRODUCT(($F$2:F854&lt;&gt;"")*1),"")</f>
        <v/>
      </c>
    </row>
    <row r="855" spans="1:7" ht="21.95" customHeight="1">
      <c r="A855" s="11"/>
      <c r="B855" s="11"/>
      <c r="C855" s="12"/>
      <c r="D855" s="17" t="str">
        <f>IFERROR(INDEX(المواد!$B$2:$B$319,MATCH(B855,المواد!$A$2:$A$319,0)),"")</f>
        <v/>
      </c>
      <c r="E855" s="11"/>
      <c r="F855" t="str">
        <f>IF(AND($A855&lt;&gt;"",COUNTIF($A$2:A855,$A855)=1),$A855,"")</f>
        <v/>
      </c>
      <c r="G855" t="str">
        <f>IF($F855&lt;&gt;"",SUMPRODUCT(($F$2:F855&lt;&gt;"")*1),"")</f>
        <v/>
      </c>
    </row>
    <row r="856" spans="1:7" ht="21.95" customHeight="1">
      <c r="A856" s="11"/>
      <c r="B856" s="11"/>
      <c r="C856" s="12"/>
      <c r="D856" s="17" t="str">
        <f>IFERROR(INDEX(المواد!$B$2:$B$319,MATCH(B856,المواد!$A$2:$A$319,0)),"")</f>
        <v/>
      </c>
      <c r="E856" s="11"/>
      <c r="F856" t="str">
        <f>IF(AND($A856&lt;&gt;"",COUNTIF($A$2:A856,$A856)=1),$A856,"")</f>
        <v/>
      </c>
      <c r="G856" t="str">
        <f>IF($F856&lt;&gt;"",SUMPRODUCT(($F$2:F856&lt;&gt;"")*1),"")</f>
        <v/>
      </c>
    </row>
    <row r="857" spans="1:7" ht="21.95" customHeight="1">
      <c r="A857" s="11"/>
      <c r="B857" s="11"/>
      <c r="C857" s="12"/>
      <c r="D857" s="17" t="str">
        <f>IFERROR(INDEX(المواد!$B$2:$B$319,MATCH(B857,المواد!$A$2:$A$319,0)),"")</f>
        <v/>
      </c>
      <c r="E857" s="11"/>
      <c r="F857" t="str">
        <f>IF(AND($A857&lt;&gt;"",COUNTIF($A$2:A857,$A857)=1),$A857,"")</f>
        <v/>
      </c>
      <c r="G857" t="str">
        <f>IF($F857&lt;&gt;"",SUMPRODUCT(($F$2:F857&lt;&gt;"")*1),"")</f>
        <v/>
      </c>
    </row>
    <row r="858" spans="1:7" ht="21.95" customHeight="1">
      <c r="A858" s="11"/>
      <c r="B858" s="11"/>
      <c r="C858" s="12"/>
      <c r="D858" s="17" t="str">
        <f>IFERROR(INDEX(المواد!$B$2:$B$319,MATCH(B858,المواد!$A$2:$A$319,0)),"")</f>
        <v/>
      </c>
      <c r="E858" s="11"/>
      <c r="F858" t="str">
        <f>IF(AND($A858&lt;&gt;"",COUNTIF($A$2:A858,$A858)=1),$A858,"")</f>
        <v/>
      </c>
      <c r="G858" t="str">
        <f>IF($F858&lt;&gt;"",SUMPRODUCT(($F$2:F858&lt;&gt;"")*1),"")</f>
        <v/>
      </c>
    </row>
    <row r="859" spans="1:7" ht="21.95" customHeight="1">
      <c r="A859" s="11"/>
      <c r="B859" s="11"/>
      <c r="C859" s="12"/>
      <c r="D859" s="17" t="str">
        <f>IFERROR(INDEX(المواد!$B$2:$B$319,MATCH(B859,المواد!$A$2:$A$319,0)),"")</f>
        <v/>
      </c>
      <c r="E859" s="11"/>
      <c r="F859" t="str">
        <f>IF(AND($A859&lt;&gt;"",COUNTIF($A$2:A859,$A859)=1),$A859,"")</f>
        <v/>
      </c>
      <c r="G859" t="str">
        <f>IF($F859&lt;&gt;"",SUMPRODUCT(($F$2:F859&lt;&gt;"")*1),"")</f>
        <v/>
      </c>
    </row>
    <row r="860" spans="1:7" ht="21.95" customHeight="1">
      <c r="A860" s="11"/>
      <c r="B860" s="11"/>
      <c r="C860" s="12"/>
      <c r="D860" s="17" t="str">
        <f>IFERROR(INDEX(المواد!$B$2:$B$319,MATCH(B860,المواد!$A$2:$A$319,0)),"")</f>
        <v/>
      </c>
      <c r="E860" s="11"/>
      <c r="F860" t="str">
        <f>IF(AND($A860&lt;&gt;"",COUNTIF($A$2:A860,$A860)=1),$A860,"")</f>
        <v/>
      </c>
      <c r="G860" t="str">
        <f>IF($F860&lt;&gt;"",SUMPRODUCT(($F$2:F860&lt;&gt;"")*1),"")</f>
        <v/>
      </c>
    </row>
    <row r="861" spans="1:7" ht="21.95" customHeight="1">
      <c r="A861" s="11"/>
      <c r="B861" s="11"/>
      <c r="C861" s="12"/>
      <c r="D861" s="17" t="str">
        <f>IFERROR(INDEX(المواد!$B$2:$B$319,MATCH(B861,المواد!$A$2:$A$319,0)),"")</f>
        <v/>
      </c>
      <c r="E861" s="11"/>
      <c r="F861" t="str">
        <f>IF(AND($A861&lt;&gt;"",COUNTIF($A$2:A861,$A861)=1),$A861,"")</f>
        <v/>
      </c>
      <c r="G861" t="str">
        <f>IF($F861&lt;&gt;"",SUMPRODUCT(($F$2:F861&lt;&gt;"")*1),"")</f>
        <v/>
      </c>
    </row>
    <row r="862" spans="1:7" ht="21.95" customHeight="1">
      <c r="A862" s="11"/>
      <c r="B862" s="11"/>
      <c r="C862" s="12"/>
      <c r="D862" s="17" t="str">
        <f>IFERROR(INDEX(المواد!$B$2:$B$319,MATCH(B862,المواد!$A$2:$A$319,0)),"")</f>
        <v/>
      </c>
      <c r="E862" s="11"/>
      <c r="F862" t="str">
        <f>IF(AND($A862&lt;&gt;"",COUNTIF($A$2:A862,$A862)=1),$A862,"")</f>
        <v/>
      </c>
      <c r="G862" t="str">
        <f>IF($F862&lt;&gt;"",SUMPRODUCT(($F$2:F862&lt;&gt;"")*1),"")</f>
        <v/>
      </c>
    </row>
    <row r="863" spans="1:7" ht="21.95" customHeight="1">
      <c r="A863" s="11"/>
      <c r="B863" s="11"/>
      <c r="C863" s="12"/>
      <c r="D863" s="17" t="str">
        <f>IFERROR(INDEX(المواد!$B$2:$B$319,MATCH(B863,المواد!$A$2:$A$319,0)),"")</f>
        <v/>
      </c>
      <c r="E863" s="11"/>
      <c r="F863" t="str">
        <f>IF(AND($A863&lt;&gt;"",COUNTIF($A$2:A863,$A863)=1),$A863,"")</f>
        <v/>
      </c>
      <c r="G863" t="str">
        <f>IF($F863&lt;&gt;"",SUMPRODUCT(($F$2:F863&lt;&gt;"")*1),"")</f>
        <v/>
      </c>
    </row>
    <row r="864" spans="1:7" ht="21.95" customHeight="1">
      <c r="A864" s="11"/>
      <c r="B864" s="11"/>
      <c r="C864" s="12"/>
      <c r="D864" s="17" t="str">
        <f>IFERROR(INDEX(المواد!$B$2:$B$319,MATCH(B864,المواد!$A$2:$A$319,0)),"")</f>
        <v/>
      </c>
      <c r="E864" s="11"/>
      <c r="F864" t="str">
        <f>IF(AND($A864&lt;&gt;"",COUNTIF($A$2:A864,$A864)=1),$A864,"")</f>
        <v/>
      </c>
      <c r="G864" t="str">
        <f>IF($F864&lt;&gt;"",SUMPRODUCT(($F$2:F864&lt;&gt;"")*1),"")</f>
        <v/>
      </c>
    </row>
    <row r="865" spans="1:7" ht="21.95" customHeight="1">
      <c r="A865" s="11"/>
      <c r="B865" s="11"/>
      <c r="C865" s="12"/>
      <c r="D865" s="17" t="str">
        <f>IFERROR(INDEX(المواد!$B$2:$B$319,MATCH(B865,المواد!$A$2:$A$319,0)),"")</f>
        <v/>
      </c>
      <c r="E865" s="11"/>
      <c r="F865" t="str">
        <f>IF(AND($A865&lt;&gt;"",COUNTIF($A$2:A865,$A865)=1),$A865,"")</f>
        <v/>
      </c>
      <c r="G865" t="str">
        <f>IF($F865&lt;&gt;"",SUMPRODUCT(($F$2:F865&lt;&gt;"")*1),"")</f>
        <v/>
      </c>
    </row>
    <row r="866" spans="1:7" ht="21.95" customHeight="1">
      <c r="A866" s="11"/>
      <c r="B866" s="11"/>
      <c r="C866" s="12"/>
      <c r="D866" s="17" t="str">
        <f>IFERROR(INDEX(المواد!$B$2:$B$319,MATCH(B866,المواد!$A$2:$A$319,0)),"")</f>
        <v/>
      </c>
      <c r="E866" s="11"/>
      <c r="F866" t="str">
        <f>IF(AND($A866&lt;&gt;"",COUNTIF($A$2:A866,$A866)=1),$A866,"")</f>
        <v/>
      </c>
      <c r="G866" t="str">
        <f>IF($F866&lt;&gt;"",SUMPRODUCT(($F$2:F866&lt;&gt;"")*1),"")</f>
        <v/>
      </c>
    </row>
    <row r="867" spans="1:7" ht="21.95" customHeight="1">
      <c r="A867" s="11"/>
      <c r="B867" s="11"/>
      <c r="C867" s="12"/>
      <c r="D867" s="17" t="str">
        <f>IFERROR(INDEX(المواد!$B$2:$B$319,MATCH(B867,المواد!$A$2:$A$319,0)),"")</f>
        <v/>
      </c>
      <c r="E867" s="11"/>
      <c r="F867" t="str">
        <f>IF(AND($A867&lt;&gt;"",COUNTIF($A$2:A867,$A867)=1),$A867,"")</f>
        <v/>
      </c>
      <c r="G867" t="str">
        <f>IF($F867&lt;&gt;"",SUMPRODUCT(($F$2:F867&lt;&gt;"")*1),"")</f>
        <v/>
      </c>
    </row>
    <row r="868" spans="1:7" ht="21.95" customHeight="1">
      <c r="A868" s="11"/>
      <c r="B868" s="11"/>
      <c r="C868" s="12"/>
      <c r="D868" s="17" t="str">
        <f>IFERROR(INDEX(المواد!$B$2:$B$319,MATCH(B868,المواد!$A$2:$A$319,0)),"")</f>
        <v/>
      </c>
      <c r="E868" s="11"/>
      <c r="F868" t="str">
        <f>IF(AND($A868&lt;&gt;"",COUNTIF($A$2:A868,$A868)=1),$A868,"")</f>
        <v/>
      </c>
      <c r="G868" t="str">
        <f>IF($F868&lt;&gt;"",SUMPRODUCT(($F$2:F868&lt;&gt;"")*1),"")</f>
        <v/>
      </c>
    </row>
    <row r="869" spans="1:7" ht="21.95" customHeight="1">
      <c r="A869" s="11"/>
      <c r="B869" s="11"/>
      <c r="C869" s="12"/>
      <c r="D869" s="17" t="str">
        <f>IFERROR(INDEX(المواد!$B$2:$B$319,MATCH(B869,المواد!$A$2:$A$319,0)),"")</f>
        <v/>
      </c>
      <c r="E869" s="11"/>
      <c r="F869" t="str">
        <f>IF(AND($A869&lt;&gt;"",COUNTIF($A$2:A869,$A869)=1),$A869,"")</f>
        <v/>
      </c>
      <c r="G869" t="str">
        <f>IF($F869&lt;&gt;"",SUMPRODUCT(($F$2:F869&lt;&gt;"")*1),"")</f>
        <v/>
      </c>
    </row>
    <row r="870" spans="1:7" ht="21.95" customHeight="1">
      <c r="A870" s="11"/>
      <c r="B870" s="11"/>
      <c r="C870" s="12"/>
      <c r="D870" s="17" t="str">
        <f>IFERROR(INDEX(المواد!$B$2:$B$319,MATCH(B870,المواد!$A$2:$A$319,0)),"")</f>
        <v/>
      </c>
      <c r="E870" s="11"/>
      <c r="F870" t="str">
        <f>IF(AND($A870&lt;&gt;"",COUNTIF($A$2:A870,$A870)=1),$A870,"")</f>
        <v/>
      </c>
      <c r="G870" t="str">
        <f>IF($F870&lt;&gt;"",SUMPRODUCT(($F$2:F870&lt;&gt;"")*1),"")</f>
        <v/>
      </c>
    </row>
    <row r="871" spans="1:7" ht="21.95" customHeight="1">
      <c r="A871" s="11"/>
      <c r="B871" s="11"/>
      <c r="C871" s="12"/>
      <c r="D871" s="17" t="str">
        <f>IFERROR(INDEX(المواد!$B$2:$B$319,MATCH(B871,المواد!$A$2:$A$319,0)),"")</f>
        <v/>
      </c>
      <c r="E871" s="11"/>
      <c r="F871" t="str">
        <f>IF(AND($A871&lt;&gt;"",COUNTIF($A$2:A871,$A871)=1),$A871,"")</f>
        <v/>
      </c>
      <c r="G871" t="str">
        <f>IF($F871&lt;&gt;"",SUMPRODUCT(($F$2:F871&lt;&gt;"")*1),"")</f>
        <v/>
      </c>
    </row>
    <row r="872" spans="1:7" ht="21.95" customHeight="1">
      <c r="A872" s="11"/>
      <c r="B872" s="11"/>
      <c r="C872" s="12"/>
      <c r="D872" s="17" t="str">
        <f>IFERROR(INDEX(المواد!$B$2:$B$319,MATCH(B872,المواد!$A$2:$A$319,0)),"")</f>
        <v/>
      </c>
      <c r="E872" s="11"/>
      <c r="F872" t="str">
        <f>IF(AND($A872&lt;&gt;"",COUNTIF($A$2:A872,$A872)=1),$A872,"")</f>
        <v/>
      </c>
      <c r="G872" t="str">
        <f>IF($F872&lt;&gt;"",SUMPRODUCT(($F$2:F872&lt;&gt;"")*1),"")</f>
        <v/>
      </c>
    </row>
    <row r="873" spans="1:7" ht="21.95" customHeight="1">
      <c r="A873" s="11"/>
      <c r="B873" s="11"/>
      <c r="C873" s="12"/>
      <c r="D873" s="17" t="str">
        <f>IFERROR(INDEX(المواد!$B$2:$B$319,MATCH(B873,المواد!$A$2:$A$319,0)),"")</f>
        <v/>
      </c>
      <c r="E873" s="11"/>
      <c r="F873" t="str">
        <f>IF(AND($A873&lt;&gt;"",COUNTIF($A$2:A873,$A873)=1),$A873,"")</f>
        <v/>
      </c>
      <c r="G873" t="str">
        <f>IF($F873&lt;&gt;"",SUMPRODUCT(($F$2:F873&lt;&gt;"")*1),"")</f>
        <v/>
      </c>
    </row>
    <row r="874" spans="1:7" ht="21.95" customHeight="1">
      <c r="A874" s="11"/>
      <c r="B874" s="11"/>
      <c r="C874" s="12"/>
      <c r="D874" s="17" t="str">
        <f>IFERROR(INDEX(المواد!$B$2:$B$319,MATCH(B874,المواد!$A$2:$A$319,0)),"")</f>
        <v/>
      </c>
      <c r="E874" s="11"/>
      <c r="F874" t="str">
        <f>IF(AND($A874&lt;&gt;"",COUNTIF($A$2:A874,$A874)=1),$A874,"")</f>
        <v/>
      </c>
      <c r="G874" t="str">
        <f>IF($F874&lt;&gt;"",SUMPRODUCT(($F$2:F874&lt;&gt;"")*1),"")</f>
        <v/>
      </c>
    </row>
    <row r="875" spans="1:7" ht="21.95" customHeight="1">
      <c r="A875" s="11"/>
      <c r="B875" s="11"/>
      <c r="C875" s="12"/>
      <c r="D875" s="17" t="str">
        <f>IFERROR(INDEX(المواد!$B$2:$B$319,MATCH(B875,المواد!$A$2:$A$319,0)),"")</f>
        <v/>
      </c>
      <c r="E875" s="11"/>
      <c r="F875" t="str">
        <f>IF(AND($A875&lt;&gt;"",COUNTIF($A$2:A875,$A875)=1),$A875,"")</f>
        <v/>
      </c>
      <c r="G875" t="str">
        <f>IF($F875&lt;&gt;"",SUMPRODUCT(($F$2:F875&lt;&gt;"")*1),"")</f>
        <v/>
      </c>
    </row>
    <row r="876" spans="1:7" ht="21.95" customHeight="1">
      <c r="A876" s="11"/>
      <c r="B876" s="11"/>
      <c r="C876" s="12"/>
      <c r="D876" s="17" t="str">
        <f>IFERROR(INDEX(المواد!$B$2:$B$319,MATCH(B876,المواد!$A$2:$A$319,0)),"")</f>
        <v/>
      </c>
      <c r="E876" s="11"/>
      <c r="F876" t="str">
        <f>IF(AND($A876&lt;&gt;"",COUNTIF($A$2:A876,$A876)=1),$A876,"")</f>
        <v/>
      </c>
      <c r="G876" t="str">
        <f>IF($F876&lt;&gt;"",SUMPRODUCT(($F$2:F876&lt;&gt;"")*1),"")</f>
        <v/>
      </c>
    </row>
    <row r="877" spans="1:7" ht="21.95" customHeight="1">
      <c r="A877" s="11"/>
      <c r="B877" s="11"/>
      <c r="C877" s="12"/>
      <c r="D877" s="17" t="str">
        <f>IFERROR(INDEX(المواد!$B$2:$B$319,MATCH(B877,المواد!$A$2:$A$319,0)),"")</f>
        <v/>
      </c>
      <c r="E877" s="11"/>
      <c r="F877" t="str">
        <f>IF(AND($A877&lt;&gt;"",COUNTIF($A$2:A877,$A877)=1),$A877,"")</f>
        <v/>
      </c>
      <c r="G877" t="str">
        <f>IF($F877&lt;&gt;"",SUMPRODUCT(($F$2:F877&lt;&gt;"")*1),"")</f>
        <v/>
      </c>
    </row>
    <row r="878" spans="1:7" ht="21.95" customHeight="1">
      <c r="A878" s="11"/>
      <c r="B878" s="11"/>
      <c r="C878" s="12"/>
      <c r="D878" s="17" t="str">
        <f>IFERROR(INDEX(المواد!$B$2:$B$319,MATCH(B878,المواد!$A$2:$A$319,0)),"")</f>
        <v/>
      </c>
      <c r="E878" s="11"/>
      <c r="F878" t="str">
        <f>IF(AND($A878&lt;&gt;"",COUNTIF($A$2:A878,$A878)=1),$A878,"")</f>
        <v/>
      </c>
      <c r="G878" t="str">
        <f>IF($F878&lt;&gt;"",SUMPRODUCT(($F$2:F878&lt;&gt;"")*1),"")</f>
        <v/>
      </c>
    </row>
    <row r="879" spans="1:7" ht="21.95" customHeight="1">
      <c r="A879" s="11"/>
      <c r="B879" s="11"/>
      <c r="C879" s="12"/>
      <c r="D879" s="17" t="str">
        <f>IFERROR(INDEX(المواد!$B$2:$B$319,MATCH(B879,المواد!$A$2:$A$319,0)),"")</f>
        <v/>
      </c>
      <c r="E879" s="11"/>
      <c r="F879" t="str">
        <f>IF(AND($A879&lt;&gt;"",COUNTIF($A$2:A879,$A879)=1),$A879,"")</f>
        <v/>
      </c>
      <c r="G879" t="str">
        <f>IF($F879&lt;&gt;"",SUMPRODUCT(($F$2:F879&lt;&gt;"")*1),"")</f>
        <v/>
      </c>
    </row>
    <row r="880" spans="1:7" ht="21.95" customHeight="1">
      <c r="A880" s="11"/>
      <c r="B880" s="11"/>
      <c r="C880" s="12"/>
      <c r="D880" s="17" t="str">
        <f>IFERROR(INDEX(المواد!$B$2:$B$319,MATCH(B880,المواد!$A$2:$A$319,0)),"")</f>
        <v/>
      </c>
      <c r="E880" s="11"/>
      <c r="F880" t="str">
        <f>IF(AND($A880&lt;&gt;"",COUNTIF($A$2:A880,$A880)=1),$A880,"")</f>
        <v/>
      </c>
      <c r="G880" t="str">
        <f>IF($F880&lt;&gt;"",SUMPRODUCT(($F$2:F880&lt;&gt;"")*1),"")</f>
        <v/>
      </c>
    </row>
    <row r="881" spans="1:7" ht="21.95" customHeight="1">
      <c r="A881" s="11"/>
      <c r="B881" s="11"/>
      <c r="C881" s="12"/>
      <c r="D881" s="17" t="str">
        <f>IFERROR(INDEX(المواد!$B$2:$B$319,MATCH(B881,المواد!$A$2:$A$319,0)),"")</f>
        <v/>
      </c>
      <c r="E881" s="11"/>
      <c r="F881" t="str">
        <f>IF(AND($A881&lt;&gt;"",COUNTIF($A$2:A881,$A881)=1),$A881,"")</f>
        <v/>
      </c>
      <c r="G881" t="str">
        <f>IF($F881&lt;&gt;"",SUMPRODUCT(($F$2:F881&lt;&gt;"")*1),"")</f>
        <v/>
      </c>
    </row>
    <row r="882" spans="1:7" ht="21.95" customHeight="1">
      <c r="A882" s="11"/>
      <c r="B882" s="11"/>
      <c r="C882" s="12"/>
      <c r="D882" s="17" t="str">
        <f>IFERROR(INDEX(المواد!$B$2:$B$319,MATCH(B882,المواد!$A$2:$A$319,0)),"")</f>
        <v/>
      </c>
      <c r="E882" s="11"/>
      <c r="F882" t="str">
        <f>IF(AND($A882&lt;&gt;"",COUNTIF($A$2:A882,$A882)=1),$A882,"")</f>
        <v/>
      </c>
      <c r="G882" t="str">
        <f>IF($F882&lt;&gt;"",SUMPRODUCT(($F$2:F882&lt;&gt;"")*1),"")</f>
        <v/>
      </c>
    </row>
    <row r="883" spans="1:7" ht="21.95" customHeight="1">
      <c r="A883" s="11"/>
      <c r="B883" s="11"/>
      <c r="C883" s="12"/>
      <c r="D883" s="17" t="str">
        <f>IFERROR(INDEX(المواد!$B$2:$B$319,MATCH(B883,المواد!$A$2:$A$319,0)),"")</f>
        <v/>
      </c>
      <c r="E883" s="11"/>
      <c r="F883" t="str">
        <f>IF(AND($A883&lt;&gt;"",COUNTIF($A$2:A883,$A883)=1),$A883,"")</f>
        <v/>
      </c>
      <c r="G883" t="str">
        <f>IF($F883&lt;&gt;"",SUMPRODUCT(($F$2:F883&lt;&gt;"")*1),"")</f>
        <v/>
      </c>
    </row>
    <row r="884" spans="1:7" ht="21.95" customHeight="1">
      <c r="A884" s="11"/>
      <c r="B884" s="11"/>
      <c r="C884" s="12"/>
      <c r="D884" s="17" t="str">
        <f>IFERROR(INDEX(المواد!$B$2:$B$319,MATCH(B884,المواد!$A$2:$A$319,0)),"")</f>
        <v/>
      </c>
      <c r="E884" s="11"/>
      <c r="F884" t="str">
        <f>IF(AND($A884&lt;&gt;"",COUNTIF($A$2:A884,$A884)=1),$A884,"")</f>
        <v/>
      </c>
      <c r="G884" t="str">
        <f>IF($F884&lt;&gt;"",SUMPRODUCT(($F$2:F884&lt;&gt;"")*1),"")</f>
        <v/>
      </c>
    </row>
    <row r="885" spans="1:7" ht="21.95" customHeight="1">
      <c r="A885" s="11"/>
      <c r="B885" s="11"/>
      <c r="C885" s="12"/>
      <c r="D885" s="17" t="str">
        <f>IFERROR(INDEX(المواد!$B$2:$B$319,MATCH(B885,المواد!$A$2:$A$319,0)),"")</f>
        <v/>
      </c>
      <c r="E885" s="11"/>
      <c r="F885" t="str">
        <f>IF(AND($A885&lt;&gt;"",COUNTIF($A$2:A885,$A885)=1),$A885,"")</f>
        <v/>
      </c>
      <c r="G885" t="str">
        <f>IF($F885&lt;&gt;"",SUMPRODUCT(($F$2:F885&lt;&gt;"")*1),"")</f>
        <v/>
      </c>
    </row>
    <row r="886" spans="1:7" ht="21.95" customHeight="1">
      <c r="A886" s="11"/>
      <c r="B886" s="11"/>
      <c r="C886" s="12"/>
      <c r="D886" s="17" t="str">
        <f>IFERROR(INDEX(المواد!$B$2:$B$319,MATCH(B886,المواد!$A$2:$A$319,0)),"")</f>
        <v/>
      </c>
      <c r="E886" s="11"/>
      <c r="F886" t="str">
        <f>IF(AND($A886&lt;&gt;"",COUNTIF($A$2:A886,$A886)=1),$A886,"")</f>
        <v/>
      </c>
      <c r="G886" t="str">
        <f>IF($F886&lt;&gt;"",SUMPRODUCT(($F$2:F886&lt;&gt;"")*1),"")</f>
        <v/>
      </c>
    </row>
    <row r="887" spans="1:7" ht="21.95" customHeight="1">
      <c r="A887" s="11"/>
      <c r="B887" s="11"/>
      <c r="C887" s="12"/>
      <c r="D887" s="17" t="str">
        <f>IFERROR(INDEX(المواد!$B$2:$B$319,MATCH(B887,المواد!$A$2:$A$319,0)),"")</f>
        <v/>
      </c>
      <c r="E887" s="11"/>
      <c r="F887" t="str">
        <f>IF(AND($A887&lt;&gt;"",COUNTIF($A$2:A887,$A887)=1),$A887,"")</f>
        <v/>
      </c>
      <c r="G887" t="str">
        <f>IF($F887&lt;&gt;"",SUMPRODUCT(($F$2:F887&lt;&gt;"")*1),"")</f>
        <v/>
      </c>
    </row>
    <row r="888" spans="1:7" ht="21.95" customHeight="1">
      <c r="A888" s="11"/>
      <c r="B888" s="11"/>
      <c r="C888" s="12"/>
      <c r="D888" s="17" t="str">
        <f>IFERROR(INDEX(المواد!$B$2:$B$319,MATCH(B888,المواد!$A$2:$A$319,0)),"")</f>
        <v/>
      </c>
      <c r="E888" s="11"/>
      <c r="F888" t="str">
        <f>IF(AND($A888&lt;&gt;"",COUNTIF($A$2:A888,$A888)=1),$A888,"")</f>
        <v/>
      </c>
      <c r="G888" t="str">
        <f>IF($F888&lt;&gt;"",SUMPRODUCT(($F$2:F888&lt;&gt;"")*1),"")</f>
        <v/>
      </c>
    </row>
    <row r="889" spans="1:7" ht="21.95" customHeight="1">
      <c r="A889" s="11"/>
      <c r="B889" s="11"/>
      <c r="C889" s="12"/>
      <c r="D889" s="17" t="str">
        <f>IFERROR(INDEX(المواد!$B$2:$B$319,MATCH(B889,المواد!$A$2:$A$319,0)),"")</f>
        <v/>
      </c>
      <c r="E889" s="11"/>
      <c r="F889" t="str">
        <f>IF(AND($A889&lt;&gt;"",COUNTIF($A$2:A889,$A889)=1),$A889,"")</f>
        <v/>
      </c>
      <c r="G889" t="str">
        <f>IF($F889&lt;&gt;"",SUMPRODUCT(($F$2:F889&lt;&gt;"")*1),"")</f>
        <v/>
      </c>
    </row>
    <row r="890" spans="1:7" ht="21.95" customHeight="1">
      <c r="A890" s="11"/>
      <c r="B890" s="11"/>
      <c r="C890" s="12"/>
      <c r="D890" s="17" t="str">
        <f>IFERROR(INDEX(المواد!$B$2:$B$319,MATCH(B890,المواد!$A$2:$A$319,0)),"")</f>
        <v/>
      </c>
      <c r="E890" s="11"/>
      <c r="F890" t="str">
        <f>IF(AND($A890&lt;&gt;"",COUNTIF($A$2:A890,$A890)=1),$A890,"")</f>
        <v/>
      </c>
      <c r="G890" t="str">
        <f>IF($F890&lt;&gt;"",SUMPRODUCT(($F$2:F890&lt;&gt;"")*1),"")</f>
        <v/>
      </c>
    </row>
    <row r="891" spans="1:7" ht="21.95" customHeight="1">
      <c r="A891" s="11"/>
      <c r="B891" s="11"/>
      <c r="C891" s="12"/>
      <c r="D891" s="17" t="str">
        <f>IFERROR(INDEX(المواد!$B$2:$B$319,MATCH(B891,المواد!$A$2:$A$319,0)),"")</f>
        <v/>
      </c>
      <c r="E891" s="11"/>
      <c r="F891" t="str">
        <f>IF(AND($A891&lt;&gt;"",COUNTIF($A$2:A891,$A891)=1),$A891,"")</f>
        <v/>
      </c>
      <c r="G891" t="str">
        <f>IF($F891&lt;&gt;"",SUMPRODUCT(($F$2:F891&lt;&gt;"")*1),"")</f>
        <v/>
      </c>
    </row>
    <row r="892" spans="1:7" ht="21.95" customHeight="1">
      <c r="A892" s="11"/>
      <c r="B892" s="11"/>
      <c r="C892" s="12"/>
      <c r="D892" s="17" t="str">
        <f>IFERROR(INDEX(المواد!$B$2:$B$319,MATCH(B892,المواد!$A$2:$A$319,0)),"")</f>
        <v/>
      </c>
      <c r="E892" s="11"/>
      <c r="F892" t="str">
        <f>IF(AND($A892&lt;&gt;"",COUNTIF($A$2:A892,$A892)=1),$A892,"")</f>
        <v/>
      </c>
      <c r="G892" t="str">
        <f>IF($F892&lt;&gt;"",SUMPRODUCT(($F$2:F892&lt;&gt;"")*1),"")</f>
        <v/>
      </c>
    </row>
    <row r="893" spans="1:7" ht="21.95" customHeight="1">
      <c r="A893" s="11"/>
      <c r="B893" s="11"/>
      <c r="C893" s="12"/>
      <c r="D893" s="17" t="str">
        <f>IFERROR(INDEX(المواد!$B$2:$B$319,MATCH(B893,المواد!$A$2:$A$319,0)),"")</f>
        <v/>
      </c>
      <c r="E893" s="11"/>
      <c r="F893" t="str">
        <f>IF(AND($A893&lt;&gt;"",COUNTIF($A$2:A893,$A893)=1),$A893,"")</f>
        <v/>
      </c>
      <c r="G893" t="str">
        <f>IF($F893&lt;&gt;"",SUMPRODUCT(($F$2:F893&lt;&gt;"")*1),"")</f>
        <v/>
      </c>
    </row>
    <row r="894" spans="1:7" ht="21.95" customHeight="1">
      <c r="A894" s="11"/>
      <c r="B894" s="11"/>
      <c r="C894" s="12"/>
      <c r="D894" s="17" t="str">
        <f>IFERROR(INDEX(المواد!$B$2:$B$319,MATCH(B894,المواد!$A$2:$A$319,0)),"")</f>
        <v/>
      </c>
      <c r="E894" s="11"/>
      <c r="F894" t="str">
        <f>IF(AND($A894&lt;&gt;"",COUNTIF($A$2:A894,$A894)=1),$A894,"")</f>
        <v/>
      </c>
      <c r="G894" t="str">
        <f>IF($F894&lt;&gt;"",SUMPRODUCT(($F$2:F894&lt;&gt;"")*1),"")</f>
        <v/>
      </c>
    </row>
    <row r="895" spans="1:7" ht="21.95" customHeight="1">
      <c r="A895" s="11"/>
      <c r="B895" s="11"/>
      <c r="C895" s="12"/>
      <c r="D895" s="17" t="str">
        <f>IFERROR(INDEX(المواد!$B$2:$B$319,MATCH(B895,المواد!$A$2:$A$319,0)),"")</f>
        <v/>
      </c>
      <c r="E895" s="11"/>
      <c r="F895" t="str">
        <f>IF(AND($A895&lt;&gt;"",COUNTIF($A$2:A895,$A895)=1),$A895,"")</f>
        <v/>
      </c>
      <c r="G895" t="str">
        <f>IF($F895&lt;&gt;"",SUMPRODUCT(($F$2:F895&lt;&gt;"")*1),"")</f>
        <v/>
      </c>
    </row>
    <row r="896" spans="1:7" ht="21.95" customHeight="1">
      <c r="A896" s="11"/>
      <c r="B896" s="11"/>
      <c r="C896" s="12"/>
      <c r="D896" s="17" t="str">
        <f>IFERROR(INDEX(المواد!$B$2:$B$319,MATCH(B896,المواد!$A$2:$A$319,0)),"")</f>
        <v/>
      </c>
      <c r="E896" s="11"/>
      <c r="F896" t="str">
        <f>IF(AND($A896&lt;&gt;"",COUNTIF($A$2:A896,$A896)=1),$A896,"")</f>
        <v/>
      </c>
      <c r="G896" t="str">
        <f>IF($F896&lt;&gt;"",SUMPRODUCT(($F$2:F896&lt;&gt;"")*1),"")</f>
        <v/>
      </c>
    </row>
    <row r="897" spans="1:7" ht="21.95" customHeight="1">
      <c r="A897" s="11"/>
      <c r="B897" s="11"/>
      <c r="C897" s="12"/>
      <c r="D897" s="17" t="str">
        <f>IFERROR(INDEX(المواد!$B$2:$B$319,MATCH(B897,المواد!$A$2:$A$319,0)),"")</f>
        <v/>
      </c>
      <c r="E897" s="11"/>
      <c r="F897" t="str">
        <f>IF(AND($A897&lt;&gt;"",COUNTIF($A$2:A897,$A897)=1),$A897,"")</f>
        <v/>
      </c>
      <c r="G897" t="str">
        <f>IF($F897&lt;&gt;"",SUMPRODUCT(($F$2:F897&lt;&gt;"")*1),"")</f>
        <v/>
      </c>
    </row>
    <row r="898" spans="1:7" ht="21.95" customHeight="1">
      <c r="A898" s="11"/>
      <c r="B898" s="11"/>
      <c r="C898" s="12"/>
      <c r="D898" s="17" t="str">
        <f>IFERROR(INDEX(المواد!$B$2:$B$319,MATCH(B898,المواد!$A$2:$A$319,0)),"")</f>
        <v/>
      </c>
      <c r="E898" s="11"/>
      <c r="F898" t="str">
        <f>IF(AND($A898&lt;&gt;"",COUNTIF($A$2:A898,$A898)=1),$A898,"")</f>
        <v/>
      </c>
      <c r="G898" t="str">
        <f>IF($F898&lt;&gt;"",SUMPRODUCT(($F$2:F898&lt;&gt;"")*1),"")</f>
        <v/>
      </c>
    </row>
    <row r="899" spans="1:7" ht="21.95" customHeight="1">
      <c r="A899" s="11"/>
      <c r="B899" s="11"/>
      <c r="C899" s="12"/>
      <c r="D899" s="17" t="str">
        <f>IFERROR(INDEX(المواد!$B$2:$B$319,MATCH(B899,المواد!$A$2:$A$319,0)),"")</f>
        <v/>
      </c>
      <c r="E899" s="11"/>
      <c r="F899" t="str">
        <f>IF(AND($A899&lt;&gt;"",COUNTIF($A$2:A899,$A899)=1),$A899,"")</f>
        <v/>
      </c>
      <c r="G899" t="str">
        <f>IF($F899&lt;&gt;"",SUMPRODUCT(($F$2:F899&lt;&gt;"")*1),"")</f>
        <v/>
      </c>
    </row>
    <row r="900" spans="1:7" ht="21.95" customHeight="1">
      <c r="A900" s="11"/>
      <c r="B900" s="11"/>
      <c r="C900" s="12"/>
      <c r="D900" s="17" t="str">
        <f>IFERROR(INDEX(المواد!$B$2:$B$319,MATCH(B900,المواد!$A$2:$A$319,0)),"")</f>
        <v/>
      </c>
      <c r="E900" s="11"/>
      <c r="F900" t="str">
        <f>IF(AND($A900&lt;&gt;"",COUNTIF($A$2:A900,$A900)=1),$A900,"")</f>
        <v/>
      </c>
      <c r="G900" t="str">
        <f>IF($F900&lt;&gt;"",SUMPRODUCT(($F$2:F900&lt;&gt;"")*1),"")</f>
        <v/>
      </c>
    </row>
  </sheetData>
  <autoFilter ref="A1:E900" xr:uid="{00000000-0009-0000-0000-000002000000}"/>
  <conditionalFormatting sqref="A2:E900">
    <cfRule type="expression" dxfId="1" priority="1">
      <formula>AND($A2&lt;&gt;"",$B2&lt;&gt;"",COUNTIFS($A$2:$A2,$A2,$B$2:$B2,$B2)&gt;1)</formula>
    </cfRule>
  </conditionalFormatting>
  <dataValidations count="1">
    <dataValidation type="decimal" operator="greaterThanOrEqual" allowBlank="1" showErrorMessage="1" errorTitle="كمية غير صحيحة" error="لا يسمح بإدخال كمية سالبة" sqref="C2:C900" xr:uid="{00000000-0002-0000-0200-000001000000}">
      <formula1>0</formula1>
    </dataValidation>
  </dataValidations>
  <pageMargins left="0.75" right="0.75" top="1" bottom="1" header="0.5" footer="0.5"/>
  <extLst>
    <ext xmlns:x14="http://schemas.microsoft.com/office/spreadsheetml/2009/9/main" uri="{78C0D931-6437-407d-A8EE-F0AAD7539E65}">
      <x14:conditionalFormattings>
        <x14:conditionalFormatting xmlns:xm="http://schemas.microsoft.com/office/excel/2006/main">
          <x14:cfRule type="expression" priority="2" id="{00000000-000E-0000-0200-000002000000}">
            <xm:f>AND($B2&lt;&gt;"",COUNTIF(المواد!$A$2:$A$319,$B2)=0)</xm:f>
            <x14:dxf>
              <fill>
                <patternFill patternType="solid">
                  <fgColor rgb="FFFCEBCB"/>
                </patternFill>
              </fill>
            </x14:dxf>
          </x14:cfRule>
          <xm:sqref>A2:E900</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ErrorMessage="1" errorTitle="مادة غير موجودة" error="الرجاء اختيار مادة موجودة في صفحة المواد فقط" xr:uid="{00000000-0002-0000-0200-000000000000}">
          <x14:formula1>
            <xm:f>المواد!$A$2:$A$319</xm:f>
          </x14:formula1>
          <xm:sqref>B2:B900</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7F7F7F"/>
  </sheetPr>
  <dimension ref="A1:B50"/>
  <sheetViews>
    <sheetView showGridLines="0" rightToLeft="1" topLeftCell="A19" workbookViewId="0">
      <selection sqref="A1:B1"/>
    </sheetView>
  </sheetViews>
  <sheetFormatPr defaultRowHeight="14.25"/>
  <cols>
    <col min="1" max="1" width="4" customWidth="1"/>
    <col min="2" max="2" width="105" customWidth="1"/>
  </cols>
  <sheetData>
    <row r="1" spans="1:2" ht="36" customHeight="1">
      <c r="A1" s="25" t="s">
        <v>167</v>
      </c>
      <c r="B1" s="26"/>
    </row>
    <row r="4" spans="1:2" ht="18">
      <c r="B4" s="1" t="s">
        <v>168</v>
      </c>
    </row>
    <row r="5" spans="1:2" ht="39.950000000000003" customHeight="1">
      <c r="B5" s="22" t="s">
        <v>169</v>
      </c>
    </row>
    <row r="7" spans="1:2" ht="18">
      <c r="B7" s="1" t="s">
        <v>170</v>
      </c>
    </row>
    <row r="8" spans="1:2" ht="39.950000000000003" customHeight="1">
      <c r="B8" s="22" t="s">
        <v>171</v>
      </c>
    </row>
    <row r="9" spans="1:2" ht="39.950000000000003" customHeight="1">
      <c r="B9" s="22" t="s">
        <v>172</v>
      </c>
    </row>
    <row r="10" spans="1:2" ht="39.950000000000003" customHeight="1">
      <c r="B10" s="22" t="s">
        <v>173</v>
      </c>
    </row>
    <row r="11" spans="1:2" ht="39.950000000000003" customHeight="1">
      <c r="B11" s="22" t="s">
        <v>174</v>
      </c>
    </row>
    <row r="12" spans="1:2" ht="39.950000000000003" customHeight="1">
      <c r="B12" s="22" t="s">
        <v>175</v>
      </c>
    </row>
    <row r="14" spans="1:2" ht="18">
      <c r="B14" s="1" t="s">
        <v>176</v>
      </c>
    </row>
    <row r="15" spans="1:2" ht="39.950000000000003" customHeight="1">
      <c r="B15" s="22" t="s">
        <v>177</v>
      </c>
    </row>
    <row r="16" spans="1:2" ht="39.950000000000003" customHeight="1">
      <c r="B16" s="22" t="s">
        <v>178</v>
      </c>
    </row>
    <row r="18" spans="2:2" ht="18">
      <c r="B18" s="1" t="s">
        <v>179</v>
      </c>
    </row>
    <row r="19" spans="2:2" ht="39.950000000000003" customHeight="1">
      <c r="B19" s="22" t="s">
        <v>180</v>
      </c>
    </row>
    <row r="20" spans="2:2" ht="39.950000000000003" customHeight="1">
      <c r="B20" s="22" t="s">
        <v>181</v>
      </c>
    </row>
    <row r="21" spans="2:2" ht="39.950000000000003" customHeight="1">
      <c r="B21" s="22" t="s">
        <v>182</v>
      </c>
    </row>
    <row r="23" spans="2:2" ht="18">
      <c r="B23" s="1" t="s">
        <v>183</v>
      </c>
    </row>
    <row r="24" spans="2:2" ht="39.950000000000003" customHeight="1">
      <c r="B24" s="22" t="s">
        <v>184</v>
      </c>
    </row>
    <row r="25" spans="2:2" ht="39.950000000000003" customHeight="1">
      <c r="B25" s="22" t="s">
        <v>185</v>
      </c>
    </row>
    <row r="26" spans="2:2" ht="39.950000000000003" customHeight="1">
      <c r="B26" s="22" t="s">
        <v>186</v>
      </c>
    </row>
    <row r="28" spans="2:2" ht="18">
      <c r="B28" s="1" t="s">
        <v>187</v>
      </c>
    </row>
    <row r="29" spans="2:2" ht="39.950000000000003" customHeight="1">
      <c r="B29" s="22" t="s">
        <v>188</v>
      </c>
    </row>
    <row r="31" spans="2:2" ht="18">
      <c r="B31" s="1" t="s">
        <v>189</v>
      </c>
    </row>
    <row r="32" spans="2:2" ht="39.950000000000003" customHeight="1">
      <c r="B32" s="22" t="s">
        <v>190</v>
      </c>
    </row>
    <row r="34" spans="2:2" ht="18">
      <c r="B34" s="1" t="s">
        <v>191</v>
      </c>
    </row>
    <row r="35" spans="2:2" ht="39.950000000000003" customHeight="1">
      <c r="B35" s="22" t="s">
        <v>192</v>
      </c>
    </row>
    <row r="36" spans="2:2" ht="39.950000000000003" customHeight="1">
      <c r="B36" s="22" t="s">
        <v>193</v>
      </c>
    </row>
    <row r="37" spans="2:2" ht="39.950000000000003" customHeight="1">
      <c r="B37" s="22" t="s">
        <v>194</v>
      </c>
    </row>
    <row r="38" spans="2:2" ht="39.950000000000003" customHeight="1">
      <c r="B38" s="22" t="s">
        <v>195</v>
      </c>
    </row>
    <row r="39" spans="2:2" ht="39.950000000000003" customHeight="1">
      <c r="B39" s="22" t="s">
        <v>196</v>
      </c>
    </row>
    <row r="40" spans="2:2" ht="39.950000000000003" customHeight="1">
      <c r="B40" s="22" t="s">
        <v>197</v>
      </c>
    </row>
    <row r="42" spans="2:2" ht="18">
      <c r="B42" s="1" t="s">
        <v>198</v>
      </c>
    </row>
    <row r="43" spans="2:2" ht="39.950000000000003" customHeight="1">
      <c r="B43" s="22" t="s">
        <v>199</v>
      </c>
    </row>
    <row r="45" spans="2:2" ht="18">
      <c r="B45" s="1" t="s">
        <v>200</v>
      </c>
    </row>
    <row r="46" spans="2:2" ht="39.950000000000003" customHeight="1">
      <c r="B46" s="22" t="s">
        <v>201</v>
      </c>
    </row>
    <row r="48" spans="2:2" ht="18">
      <c r="B48" s="1" t="s">
        <v>202</v>
      </c>
    </row>
    <row r="49" spans="2:2" ht="39.950000000000003" customHeight="1">
      <c r="B49" s="22" t="s">
        <v>203</v>
      </c>
    </row>
    <row r="50" spans="2:2" ht="39.950000000000003" customHeight="1">
      <c r="B50" s="22" t="s">
        <v>204</v>
      </c>
    </row>
  </sheetData>
  <mergeCells count="1">
    <mergeCell ref="A1:B1"/>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320"/>
  <sheetViews>
    <sheetView rightToLeft="1" topLeftCell="A58" workbookViewId="0"/>
  </sheetViews>
  <sheetFormatPr defaultRowHeight="14.25"/>
  <cols>
    <col min="1" max="1" width="28" customWidth="1"/>
    <col min="2" max="2" width="36" customWidth="1"/>
    <col min="3" max="3" width="4" customWidth="1"/>
    <col min="4" max="4" width="16" customWidth="1"/>
    <col min="5" max="5" width="4" customWidth="1"/>
    <col min="6" max="6" width="18" customWidth="1"/>
  </cols>
  <sheetData>
    <row r="1" spans="1:6" ht="33">
      <c r="A1" s="14" t="s">
        <v>205</v>
      </c>
      <c r="B1" s="14" t="s">
        <v>206</v>
      </c>
      <c r="C1" s="14"/>
      <c r="D1" s="14" t="s">
        <v>207</v>
      </c>
      <c r="E1" s="14"/>
      <c r="F1" s="14" t="s">
        <v>208</v>
      </c>
    </row>
    <row r="2" spans="1:6">
      <c r="A2" t="str">
        <f>المواد!A2</f>
        <v>ملح</v>
      </c>
      <c r="B2" t="str">
        <f>IFERROR(INDEX(الطبخات!$F$2:$F$900,MATCH(1,الطبخات!$G$2:$G$900,0)),"")</f>
        <v>دوا غسيل بودرا 157 كغ - ببوري</v>
      </c>
      <c r="D2">
        <f>IF($B2="","",COUNTIF('سجل الإنتاج'!$C$2:$C$501,$B2))</f>
        <v>0</v>
      </c>
      <c r="F2">
        <f>IF($A2="","",ROUND(SUMIFS('الصرف المباشر'!$D$2:$D$501,'الصرف المباشر'!$C$2:$C$501,$A2)+SUMPRODUCT((الطبخات!$B$2:$B$900=$A2)*الطبخات!$C$2:$C$900*COUNTIF('سجل الإنتاج'!$C$2:$C$501,الطبخات!$A$2:$A$900)),3))</f>
        <v>10</v>
      </c>
    </row>
    <row r="3" spans="1:6">
      <c r="A3" t="str">
        <f>المواد!A3</f>
        <v>مقصب</v>
      </c>
      <c r="B3" t="str">
        <f>IFERROR(INDEX(الطبخات!$F$2:$F$900,MATCH(2,الطبخات!$G$2:$G$900,0)),"")</f>
        <v>دوا غسيل بودرا 45كغ مصنع</v>
      </c>
      <c r="D3">
        <f>IF($B3="","",COUNTIF('سجل الإنتاج'!$C$2:$C$501,$B3))</f>
        <v>0</v>
      </c>
      <c r="F3">
        <f>IF($A3="","",ROUND(SUMIFS('الصرف المباشر'!$D$2:$D$501,'الصرف المباشر'!$C$2:$C$501,$A3)+SUMPRODUCT((الطبخات!$B$2:$B$900=$A3)*الطبخات!$C$2:$C$900*COUNTIF('سجل الإنتاج'!$C$2:$C$501,الطبخات!$A$2:$A$900)),3))</f>
        <v>0</v>
      </c>
    </row>
    <row r="4" spans="1:6">
      <c r="A4" t="str">
        <f>المواد!A4</f>
        <v>مجمد</v>
      </c>
      <c r="B4" t="str">
        <f>IFERROR(INDEX(الطبخات!$F$2:$F$900,MATCH(3,الطبخات!$G$2:$G$900,0)),"")</f>
        <v>دوا غسيل بودرا 60 كغ -عطر ببوري</v>
      </c>
      <c r="D4">
        <f>IF($B4="","",COUNTIF('سجل الإنتاج'!$C$2:$C$501,$B4))</f>
        <v>0</v>
      </c>
      <c r="F4">
        <f>IF($A4="","",ROUND(SUMIFS('الصرف المباشر'!$D$2:$D$501,'الصرف المباشر'!$C$2:$C$501,$A4)+SUMPRODUCT((الطبخات!$B$2:$B$900=$A4)*الطبخات!$C$2:$C$900*COUNTIF('سجل الإنتاج'!$C$2:$C$501,الطبخات!$A$2:$A$900)),3))</f>
        <v>0</v>
      </c>
    </row>
    <row r="5" spans="1:6">
      <c r="A5" t="str">
        <f>المواد!A5</f>
        <v>مانع رغوة مائي</v>
      </c>
      <c r="B5" t="str">
        <f>IFERROR(INDEX(الطبخات!$F$2:$F$900,MATCH(4,الطبخات!$G$2:$G$900,0)),"")</f>
        <v>صابون سائل رمان - لافندر</v>
      </c>
      <c r="D5">
        <f>IF($B5="","",COUNTIF('سجل الإنتاج'!$C$2:$C$501,$B5))</f>
        <v>0</v>
      </c>
      <c r="F5">
        <f>IF($A5="","",ROUND(SUMIFS('الصرف المباشر'!$D$2:$D$501,'الصرف المباشر'!$C$2:$C$501,$A5)+SUMPRODUCT((الطبخات!$B$2:$B$900=$A5)*الطبخات!$C$2:$C$900*COUNTIF('سجل الإنتاج'!$C$2:$C$501,الطبخات!$A$2:$A$900)),3))</f>
        <v>0</v>
      </c>
    </row>
    <row r="6" spans="1:6">
      <c r="A6" t="str">
        <f>المواد!A6</f>
        <v>مانع رغوة سيليكون</v>
      </c>
      <c r="B6" t="str">
        <f>IFERROR(INDEX(الطبخات!$F$2:$F$900,MATCH(5,الطبخات!$G$2:$G$900,0)),"")</f>
        <v>صابون سائل عود</v>
      </c>
      <c r="D6">
        <f>IF($B6="","",COUNTIF('سجل الإنتاج'!$C$2:$C$501,$B6))</f>
        <v>0</v>
      </c>
      <c r="F6">
        <f>IF($A6="","",ROUND(SUMIFS('الصرف المباشر'!$D$2:$D$501,'الصرف المباشر'!$C$2:$C$501,$A6)+SUMPRODUCT((الطبخات!$B$2:$B$900=$A6)*الطبخات!$C$2:$C$900*COUNTIF('سجل الإنتاج'!$C$2:$C$501,الطبخات!$A$2:$A$900)),3))</f>
        <v>0</v>
      </c>
    </row>
    <row r="7" spans="1:6">
      <c r="A7" t="str">
        <f>المواد!A7</f>
        <v>ماء مقطرة</v>
      </c>
      <c r="B7" t="str">
        <f>IFERROR(INDEX(الطبخات!$F$2:$F$900,MATCH(6,الطبخات!$G$2:$G$900,0)),"")</f>
        <v>صابون سائل ماء الذهب</v>
      </c>
      <c r="D7">
        <f>IF($B7="","",COUNTIF('سجل الإنتاج'!$C$2:$C$501,$B7))</f>
        <v>0</v>
      </c>
      <c r="F7">
        <f>IF($A7="","",ROUND(SUMIFS('الصرف المباشر'!$D$2:$D$501,'الصرف المباشر'!$C$2:$C$501,$A7)+SUMPRODUCT((الطبخات!$B$2:$B$900=$A7)*الطبخات!$C$2:$C$900*COUNTIF('سجل الإنتاج'!$C$2:$C$501,الطبخات!$A$2:$A$900)),3))</f>
        <v>675</v>
      </c>
    </row>
    <row r="8" spans="1:6">
      <c r="A8" t="str">
        <f>المواد!A8</f>
        <v>ماء بلسم</v>
      </c>
      <c r="B8" t="str">
        <f>IFERROR(INDEX(الطبخات!$F$2:$F$900,MATCH(7,الطبخات!$G$2:$G$900,0)),"")</f>
        <v>صابون سادة</v>
      </c>
      <c r="D8">
        <f>IF($B8="","",COUNTIF('سجل الإنتاج'!$C$2:$C$501,$B8))</f>
        <v>0</v>
      </c>
      <c r="F8">
        <f>IF($A8="","",ROUND(SUMIFS('الصرف المباشر'!$D$2:$D$501,'الصرف المباشر'!$C$2:$C$501,$A8)+SUMPRODUCT((الطبخات!$B$2:$B$900=$A8)*الطبخات!$C$2:$C$900*COUNTIF('سجل الإنتاج'!$C$2:$C$501,الطبخات!$A$2:$A$900)),3))</f>
        <v>0</v>
      </c>
    </row>
    <row r="9" spans="1:6">
      <c r="A9" t="str">
        <f>المواد!A9</f>
        <v>لانيت 16 ماليزي</v>
      </c>
      <c r="B9" t="str">
        <f>IFERROR(INDEX(الطبخات!$F$2:$F$900,MATCH(8,الطبخات!$G$2:$G$900,0)),"")</f>
        <v>زيت الصنوبر</v>
      </c>
      <c r="D9">
        <f>IF($B9="","",COUNTIF('سجل الإنتاج'!$C$2:$C$501,$B9))</f>
        <v>0</v>
      </c>
      <c r="F9">
        <f>IF($A9="","",ROUND(SUMIFS('الصرف المباشر'!$D$2:$D$501,'الصرف المباشر'!$C$2:$C$501,$A9)+SUMPRODUCT((الطبخات!$B$2:$B$900=$A9)*الطبخات!$C$2:$C$900*COUNTIF('سجل الإنتاج'!$C$2:$C$501,الطبخات!$A$2:$A$900)),3))</f>
        <v>0</v>
      </c>
    </row>
    <row r="10" spans="1:6">
      <c r="A10" t="str">
        <f>المواد!A10</f>
        <v>كوستيك-قطرونة</v>
      </c>
      <c r="B10" t="str">
        <f>IFERROR(INDEX(الطبخات!$F$2:$F$900,MATCH(9,الطبخات!$G$2:$G$900,0)),"")</f>
        <v>طبخة الشامبو</v>
      </c>
      <c r="D10">
        <f>IF($B10="","",COUNTIF('سجل الإنتاج'!$C$2:$C$501,$B10))</f>
        <v>0</v>
      </c>
      <c r="F10">
        <f>IF($A10="","",ROUND(SUMIFS('الصرف المباشر'!$D$2:$D$501,'الصرف المباشر'!$C$2:$C$501,$A10)+SUMPRODUCT((الطبخات!$B$2:$B$900=$A10)*الطبخات!$C$2:$C$900*COUNTIF('سجل الإنتاج'!$C$2:$C$501,الطبخات!$A$2:$A$900)),3))</f>
        <v>19</v>
      </c>
    </row>
    <row r="11" spans="1:6">
      <c r="A11" t="str">
        <f>المواد!A11</f>
        <v>كمبرلان</v>
      </c>
      <c r="B11" t="str">
        <f>IFERROR(INDEX(الطبخات!$F$2:$F$900,MATCH(10,الطبخات!$G$2:$G$900,0)),"")</f>
        <v>طبخة دوا غسيل بودرا</v>
      </c>
      <c r="D11">
        <f>IF($B11="","",COUNTIF('سجل الإنتاج'!$C$2:$C$501,$B11))</f>
        <v>0</v>
      </c>
      <c r="F11">
        <f>IF($A11="","",ROUND(SUMIFS('الصرف المباشر'!$D$2:$D$501,'الصرف المباشر'!$C$2:$C$501,$A11)+SUMPRODUCT((الطبخات!$B$2:$B$900=$A11)*الطبخات!$C$2:$C$900*COUNTIF('سجل الإنتاج'!$C$2:$C$501,الطبخات!$A$2:$A$900)),3))</f>
        <v>0</v>
      </c>
    </row>
    <row r="12" spans="1:6">
      <c r="A12" t="str">
        <f>المواد!A12</f>
        <v>كليمازول</v>
      </c>
      <c r="B12" t="str">
        <f>IFERROR(INDEX(الطبخات!$F$2:$F$900,MATCH(11,الطبخات!$G$2:$G$900,0)),"")</f>
        <v>طبخة قاشط</v>
      </c>
      <c r="D12">
        <f>IF($B12="","",COUNTIF('سجل الإنتاج'!$C$2:$C$501,$B12))</f>
        <v>0</v>
      </c>
      <c r="F12">
        <f>IF($A12="","",ROUND(SUMIFS('الصرف المباشر'!$D$2:$D$501,'الصرف المباشر'!$C$2:$C$501,$A12)+SUMPRODUCT((الطبخات!$B$2:$B$900=$A12)*الطبخات!$C$2:$C$900*COUNTIF('سجل الإنتاج'!$C$2:$C$501,الطبخات!$A$2:$A$900)),3))</f>
        <v>0</v>
      </c>
    </row>
    <row r="13" spans="1:6">
      <c r="A13" t="str">
        <f>المواد!A13</f>
        <v>كلور خام</v>
      </c>
      <c r="B13" t="str">
        <f>IFERROR(INDEX(الطبخات!$F$2:$F$900,MATCH(12,الطبخات!$G$2:$G$900,0)),"")</f>
        <v>عملاق 200 كغ</v>
      </c>
      <c r="D13">
        <f>IF($B13="","",COUNTIF('سجل الإنتاج'!$C$2:$C$501,$B13))</f>
        <v>0</v>
      </c>
      <c r="F13">
        <f>IF($A13="","",ROUND(SUMIFS('الصرف المباشر'!$D$2:$D$501,'الصرف المباشر'!$C$2:$C$501,$A13)+SUMPRODUCT((الطبخات!$B$2:$B$900=$A13)*الطبخات!$C$2:$C$900*COUNTIF('سجل الإنتاج'!$C$2:$C$501,الطبخات!$A$2:$A$900)),3))</f>
        <v>0</v>
      </c>
    </row>
    <row r="14" spans="1:6">
      <c r="A14" t="str">
        <f>المواد!A14</f>
        <v>كحول (ايثانول)</v>
      </c>
      <c r="B14" t="str">
        <f>IFERROR(INDEX(الطبخات!$F$2:$F$900,MATCH(13,الطبخات!$G$2:$G$900,0)),"")</f>
        <v>لودلين تفاح أول</v>
      </c>
      <c r="D14">
        <f>IF($B14="","",COUNTIF('سجل الإنتاج'!$C$2:$C$501,$B14))</f>
        <v>0</v>
      </c>
      <c r="F14">
        <f>IF($A14="","",ROUND(SUMIFS('الصرف المباشر'!$D$2:$D$501,'الصرف المباشر'!$C$2:$C$501,$A14)+SUMPRODUCT((الطبخات!$B$2:$B$900=$A14)*الطبخات!$C$2:$C$900*COUNTIF('سجل الإنتاج'!$C$2:$C$501,الطبخات!$A$2:$A$900)),3))</f>
        <v>0</v>
      </c>
    </row>
    <row r="15" spans="1:6">
      <c r="A15" t="str">
        <f>المواد!A15</f>
        <v>فورمول ( سم )</v>
      </c>
      <c r="B15" t="str">
        <f>IFERROR(INDEX(الطبخات!$F$2:$F$900,MATCH(14,الطبخات!$G$2:$G$900,0)),"")</f>
        <v>لودلين تفاح ثالث</v>
      </c>
      <c r="D15">
        <f>IF($B15="","",COUNTIF('سجل الإنتاج'!$C$2:$C$501,$B15))</f>
        <v>0</v>
      </c>
      <c r="F15">
        <f>IF($A15="","",ROUND(SUMIFS('الصرف المباشر'!$D$2:$D$501,'الصرف المباشر'!$C$2:$C$501,$A15)+SUMPRODUCT((الطبخات!$B$2:$B$900=$A15)*الطبخات!$C$2:$C$900*COUNTIF('سجل الإنتاج'!$C$2:$C$501,الطبخات!$A$2:$A$900)),3))</f>
        <v>1.5</v>
      </c>
    </row>
    <row r="16" spans="1:6">
      <c r="A16" t="str">
        <f>المواد!A16</f>
        <v>فاتي كحول</v>
      </c>
      <c r="B16" t="str">
        <f>IFERROR(INDEX(الطبخات!$F$2:$F$900,MATCH(15,الطبخات!$G$2:$G$900,0)),"")</f>
        <v>لودلين تفاح ثاني</v>
      </c>
      <c r="D16">
        <f>IF($B16="","",COUNTIF('سجل الإنتاج'!$C$2:$C$501,$B16))</f>
        <v>0</v>
      </c>
      <c r="F16">
        <f>IF($A16="","",ROUND(SUMIFS('الصرف المباشر'!$D$2:$D$501,'الصرف المباشر'!$C$2:$C$501,$A16)+SUMPRODUCT((الطبخات!$B$2:$B$900=$A16)*الطبخات!$C$2:$C$900*COUNTIF('سجل الإنتاج'!$C$2:$C$501,الطبخات!$A$2:$A$900)),3))</f>
        <v>0</v>
      </c>
    </row>
    <row r="17" spans="1:6">
      <c r="A17" t="str">
        <f>المواد!A17</f>
        <v>غليسيرين</v>
      </c>
      <c r="B17" t="str">
        <f>IFERROR(INDEX(الطبخات!$F$2:$F$900,MATCH(16,الطبخات!$G$2:$G$900,0)),"")</f>
        <v>لودلين تفاح رابع</v>
      </c>
      <c r="D17">
        <f>IF($B17="","",COUNTIF('سجل الإنتاج'!$C$2:$C$501,$B17))</f>
        <v>0</v>
      </c>
      <c r="F17">
        <f>IF($A17="","",ROUND(SUMIFS('الصرف المباشر'!$D$2:$D$501,'الصرف المباشر'!$C$2:$C$501,$A17)+SUMPRODUCT((الطبخات!$B$2:$B$900=$A17)*الطبخات!$C$2:$C$900*COUNTIF('سجل الإنتاج'!$C$2:$C$501,الطبخات!$A$2:$A$900)),3))</f>
        <v>5</v>
      </c>
    </row>
    <row r="18" spans="1:6">
      <c r="A18" t="str">
        <f>المواد!A18</f>
        <v xml:space="preserve">عطر-نسيم-المحيط ocean-breeze - 327993 </v>
      </c>
      <c r="B18" t="str">
        <f>IFERROR(INDEX(الطبخات!$F$2:$F$900,MATCH(17,الطبخات!$G$2:$G$900,0)),"")</f>
        <v>لودلين سادة أول</v>
      </c>
      <c r="D18">
        <f>IF($B18="","",COUNTIF('سجل الإنتاج'!$C$2:$C$501,$B18))</f>
        <v>0</v>
      </c>
      <c r="F18">
        <f>IF($A18="","",ROUND(SUMIFS('الصرف المباشر'!$D$2:$D$501,'الصرف المباشر'!$C$2:$C$501,$A18)+SUMPRODUCT((الطبخات!$B$2:$B$900=$A18)*الطبخات!$C$2:$C$900*COUNTIF('سجل الإنتاج'!$C$2:$C$501,الطبخات!$A$2:$A$900)),3))</f>
        <v>0</v>
      </c>
    </row>
    <row r="19" spans="1:6">
      <c r="A19" t="str">
        <f>المواد!A19</f>
        <v>عطر-ليمون shiny-star - 485764</v>
      </c>
      <c r="B19" t="str">
        <f>IFERROR(INDEX(الطبخات!$F$2:$F$900,MATCH(18,الطبخات!$G$2:$G$900,0)),"")</f>
        <v>لودلين سادة أول 500 كغ</v>
      </c>
      <c r="D19">
        <f>IF($B19="","",COUNTIF('سجل الإنتاج'!$C$2:$C$501,$B19))</f>
        <v>0</v>
      </c>
      <c r="F19">
        <f>IF($A19="","",ROUND(SUMIFS('الصرف المباشر'!$D$2:$D$501,'الصرف المباشر'!$C$2:$C$501,$A19)+SUMPRODUCT((الطبخات!$B$2:$B$900=$A19)*الطبخات!$C$2:$C$900*COUNTIF('سجل الإنتاج'!$C$2:$C$501,الطبخات!$A$2:$A$900)),3))</f>
        <v>0</v>
      </c>
    </row>
    <row r="20" spans="1:6">
      <c r="A20" t="str">
        <f>المواد!A20</f>
        <v>عطر-ليمون citrus lemon new - 321639</v>
      </c>
      <c r="B20" t="str">
        <f>IFERROR(INDEX(الطبخات!$F$2:$F$900,MATCH(19,الطبخات!$G$2:$G$900,0)),"")</f>
        <v>لودلين سادة ثالث</v>
      </c>
      <c r="D20">
        <f>IF($B20="","",COUNTIF('سجل الإنتاج'!$C$2:$C$501,$B20))</f>
        <v>0</v>
      </c>
      <c r="F20">
        <f>IF($A20="","",ROUND(SUMIFS('الصرف المباشر'!$D$2:$D$501,'الصرف المباشر'!$C$2:$C$501,$A20)+SUMPRODUCT((الطبخات!$B$2:$B$900=$A20)*الطبخات!$C$2:$C$900*COUNTIF('سجل الإنتاج'!$C$2:$C$501,الطبخات!$A$2:$A$900)),3))</f>
        <v>0</v>
      </c>
    </row>
    <row r="21" spans="1:6">
      <c r="A21" t="str">
        <f>المواد!A21</f>
        <v>عطر-ليلك ariel-sensation - 318728</v>
      </c>
      <c r="B21" t="str">
        <f>IFERROR(INDEX(الطبخات!$F$2:$F$900,MATCH(20,الطبخات!$G$2:$G$900,0)),"")</f>
        <v>لودلين سادة ثاني</v>
      </c>
      <c r="D21">
        <f>IF($B21="","",COUNTIF('سجل الإنتاج'!$C$2:$C$501,$B21))</f>
        <v>0</v>
      </c>
      <c r="F21">
        <f>IF($A21="","",ROUND(SUMIFS('الصرف المباشر'!$D$2:$D$501,'الصرف المباشر'!$C$2:$C$501,$A21)+SUMPRODUCT((الطبخات!$B$2:$B$900=$A21)*الطبخات!$C$2:$C$900*COUNTIF('سجل الإنتاج'!$C$2:$C$501,الطبخات!$A$2:$A$900)),3))</f>
        <v>0</v>
      </c>
    </row>
    <row r="22" spans="1:6">
      <c r="A22" t="str">
        <f>المواد!A22</f>
        <v xml:space="preserve">عطر-سلطان </v>
      </c>
      <c r="B22" t="str">
        <f>IFERROR(INDEX(الطبخات!$F$2:$F$900,MATCH(21,الطبخات!$G$2:$G$900,0)),"")</f>
        <v>لودلين سادة رابع</v>
      </c>
      <c r="D22">
        <f>IF($B22="","",COUNTIF('سجل الإنتاج'!$C$2:$C$501,$B22))</f>
        <v>0</v>
      </c>
      <c r="F22">
        <f>IF($A22="","",ROUND(SUMIFS('الصرف المباشر'!$D$2:$D$501,'الصرف المباشر'!$C$2:$C$501,$A22)+SUMPRODUCT((الطبخات!$B$2:$B$900=$A22)*الطبخات!$C$2:$C$900*COUNTIF('سجل الإنتاج'!$C$2:$C$501,الطبخات!$A$2:$A$900)),3))</f>
        <v>0</v>
      </c>
    </row>
    <row r="23" spans="1:6">
      <c r="A23" t="str">
        <f>المواد!A23</f>
        <v>عطر-زهور lovely-petals - 485718</v>
      </c>
      <c r="B23" t="str">
        <f>IFERROR(INDEX(الطبخات!$F$2:$F$900,MATCH(22,الطبخات!$G$2:$G$900,0)),"")</f>
        <v>لودلين فريز أول</v>
      </c>
      <c r="D23">
        <f>IF($B23="","",COUNTIF('سجل الإنتاج'!$C$2:$C$501,$B23))</f>
        <v>1</v>
      </c>
      <c r="F23">
        <f>IF($A23="","",ROUND(SUMIFS('الصرف المباشر'!$D$2:$D$501,'الصرف المباشر'!$C$2:$C$501,$A23)+SUMPRODUCT((الطبخات!$B$2:$B$900=$A23)*الطبخات!$C$2:$C$900*COUNTIF('سجل الإنتاج'!$C$2:$C$501,الطبخات!$A$2:$A$900)),3))</f>
        <v>0</v>
      </c>
    </row>
    <row r="24" spans="1:6">
      <c r="A24" t="str">
        <f>المواد!A24</f>
        <v>عطر-رمان apple grandada - 322730</v>
      </c>
      <c r="B24" t="str">
        <f>IFERROR(INDEX(الطبخات!$F$2:$F$900,MATCH(23,الطبخات!$G$2:$G$900,0)),"")</f>
        <v>لودلين فريز ثالث</v>
      </c>
      <c r="D24">
        <f>IF($B24="","",COUNTIF('سجل الإنتاج'!$C$2:$C$501,$B24))</f>
        <v>0</v>
      </c>
      <c r="F24">
        <f>IF($A24="","",ROUND(SUMIFS('الصرف المباشر'!$D$2:$D$501,'الصرف المباشر'!$C$2:$C$501,$A24)+SUMPRODUCT((الطبخات!$B$2:$B$900=$A24)*الطبخات!$C$2:$C$900*COUNTIF('سجل الإنتاج'!$C$2:$C$501,الطبخات!$A$2:$A$900)),3))</f>
        <v>2</v>
      </c>
    </row>
    <row r="25" spans="1:6">
      <c r="A25" t="str">
        <f>المواد!A25</f>
        <v>عطر-توليب fresh-scent-amour - 485833</v>
      </c>
      <c r="B25" t="str">
        <f>IFERROR(INDEX(الطبخات!$F$2:$F$900,MATCH(24,الطبخات!$G$2:$G$900,0)),"")</f>
        <v>لودلين فريز ثاني</v>
      </c>
      <c r="D25">
        <f>IF($B25="","",COUNTIF('سجل الإنتاج'!$C$2:$C$501,$B25))</f>
        <v>0</v>
      </c>
      <c r="F25">
        <f>IF($A25="","",ROUND(SUMIFS('الصرف المباشر'!$D$2:$D$501,'الصرف المباشر'!$C$2:$C$501,$A25)+SUMPRODUCT((الطبخات!$B$2:$B$900=$A25)*الطبخات!$C$2:$C$900*COUNTIF('سجل الإنتاج'!$C$2:$C$501,الطبخات!$A$2:$A$900)),3))</f>
        <v>0</v>
      </c>
    </row>
    <row r="26" spans="1:6">
      <c r="A26" t="str">
        <f>المواد!A26</f>
        <v xml:space="preserve">عطر-تفاح apple - 317691 </v>
      </c>
      <c r="B26" t="str">
        <f>IFERROR(INDEX(الطبخات!$F$2:$F$900,MATCH(25,الطبخات!$G$2:$G$900,0)),"")</f>
        <v>لودلين فريز رابع</v>
      </c>
      <c r="D26">
        <f>IF($B26="","",COUNTIF('سجل الإنتاج'!$C$2:$C$501,$B26))</f>
        <v>0</v>
      </c>
      <c r="F26">
        <f>IF($A26="","",ROUND(SUMIFS('الصرف المباشر'!$D$2:$D$501,'الصرف المباشر'!$C$2:$C$501,$A26)+SUMPRODUCT((الطبخات!$B$2:$B$900=$A26)*الطبخات!$C$2:$C$900*COUNTIF('سجل الإنتاج'!$C$2:$C$501,الطبخات!$A$2:$A$900)),3))</f>
        <v>0</v>
      </c>
    </row>
    <row r="27" spans="1:6">
      <c r="A27" t="str">
        <f>المواد!A27</f>
        <v>عطر-برنس</v>
      </c>
      <c r="B27" t="str">
        <f>IFERROR(INDEX(الطبخات!$F$2:$F$900,MATCH(26,الطبخات!$G$2:$G$900,0)),"")</f>
        <v>لودلين ليلك أول</v>
      </c>
      <c r="D27">
        <f>IF($B27="","",COUNTIF('سجل الإنتاج'!$C$2:$C$501,$B27))</f>
        <v>0</v>
      </c>
      <c r="F27">
        <f>IF($A27="","",ROUND(SUMIFS('الصرف المباشر'!$D$2:$D$501,'الصرف المباشر'!$C$2:$C$501,$A27)+SUMPRODUCT((الطبخات!$B$2:$B$900=$A27)*الطبخات!$C$2:$C$900*COUNTIF('سجل الإنتاج'!$C$2:$C$501,الطبخات!$A$2:$A$900)),3))</f>
        <v>0</v>
      </c>
    </row>
    <row r="28" spans="1:6">
      <c r="A28" t="str">
        <f>المواد!A28</f>
        <v>عطر-ببوري ultimate-mixture - 485797</v>
      </c>
      <c r="B28" t="str">
        <f>IFERROR(INDEX(الطبخات!$F$2:$F$900,MATCH(27,الطبخات!$G$2:$G$900,0)),"")</f>
        <v>لودلين ليلك ثالث</v>
      </c>
      <c r="D28">
        <f>IF($B28="","",COUNTIF('سجل الإنتاج'!$C$2:$C$501,$B28))</f>
        <v>0</v>
      </c>
      <c r="F28">
        <f>IF($A28="","",ROUND(SUMIFS('الصرف المباشر'!$D$2:$D$501,'الصرف المباشر'!$C$2:$C$501,$A28)+SUMPRODUCT((الطبخات!$B$2:$B$900=$A28)*الطبخات!$C$2:$C$900*COUNTIF('سجل الإنتاج'!$C$2:$C$501,الطبخات!$A$2:$A$900)),3))</f>
        <v>0</v>
      </c>
    </row>
    <row r="29" spans="1:6">
      <c r="A29" t="str">
        <f>المواد!A29</f>
        <v>عطر-ازهار-الربيع spring - 318643</v>
      </c>
      <c r="B29" t="str">
        <f>IFERROR(INDEX(الطبخات!$F$2:$F$900,MATCH(28,الطبخات!$G$2:$G$900,0)),"")</f>
        <v>لودلين ليلك ثاني</v>
      </c>
      <c r="D29">
        <f>IF($B29="","",COUNTIF('سجل الإنتاج'!$C$2:$C$501,$B29))</f>
        <v>0</v>
      </c>
      <c r="F29">
        <f>IF($A29="","",ROUND(SUMIFS('الصرف المباشر'!$D$2:$D$501,'الصرف المباشر'!$C$2:$C$501,$A29)+SUMPRODUCT((الطبخات!$B$2:$B$900=$A29)*الطبخات!$C$2:$C$900*COUNTIF('سجل الإنتاج'!$C$2:$C$501,الطبخات!$A$2:$A$900)),3))</f>
        <v>0</v>
      </c>
    </row>
    <row r="30" spans="1:6">
      <c r="A30" t="str">
        <f>المواد!A30</f>
        <v>عطر هامول</v>
      </c>
      <c r="B30" t="str">
        <f>IFERROR(INDEX(الطبخات!$F$2:$F$900,MATCH(29,الطبخات!$G$2:$G$900,0)),"")</f>
        <v>لودلين ليلك رابع</v>
      </c>
      <c r="D30">
        <f>IF($B30="","",COUNTIF('سجل الإنتاج'!$C$2:$C$501,$B30))</f>
        <v>0</v>
      </c>
      <c r="F30">
        <f>IF($A30="","",ROUND(SUMIFS('الصرف المباشر'!$D$2:$D$501,'الصرف المباشر'!$C$2:$C$501,$A30)+SUMPRODUCT((الطبخات!$B$2:$B$900=$A30)*الطبخات!$C$2:$C$900*COUNTIF('سجل الإنتاج'!$C$2:$C$501,الطبخات!$A$2:$A$900)),3))</f>
        <v>0</v>
      </c>
    </row>
    <row r="31" spans="1:6">
      <c r="A31" t="str">
        <f>المواد!A31</f>
        <v>عطر مسك احمر</v>
      </c>
      <c r="B31" t="str">
        <f>IFERROR(INDEX(الطبخات!$F$2:$F$900,MATCH(30,الطبخات!$G$2:$G$900,0)),"")</f>
        <v>لودلين ليمون أول</v>
      </c>
      <c r="D31">
        <f>IF($B31="","",COUNTIF('سجل الإنتاج'!$C$2:$C$501,$B31))</f>
        <v>0</v>
      </c>
      <c r="F31">
        <f>IF($A31="","",ROUND(SUMIFS('الصرف المباشر'!$D$2:$D$501,'الصرف المباشر'!$C$2:$C$501,$A31)+SUMPRODUCT((الطبخات!$B$2:$B$900=$A31)*الطبخات!$C$2:$C$900*COUNTIF('سجل الإنتاج'!$C$2:$C$501,الطبخات!$A$2:$A$900)),3))</f>
        <v>0</v>
      </c>
    </row>
    <row r="32" spans="1:6">
      <c r="A32" t="str">
        <f>المواد!A32</f>
        <v>عطر مسك</v>
      </c>
      <c r="B32" t="str">
        <f>IFERROR(INDEX(الطبخات!$F$2:$F$900,MATCH(31,الطبخات!$G$2:$G$900,0)),"")</f>
        <v>لودلين ليمون ثالث</v>
      </c>
      <c r="D32">
        <f>IF($B32="","",COUNTIF('سجل الإنتاج'!$C$2:$C$501,$B32))</f>
        <v>0</v>
      </c>
      <c r="F32">
        <f>IF($A32="","",ROUND(SUMIFS('الصرف المباشر'!$D$2:$D$501,'الصرف المباشر'!$C$2:$C$501,$A32)+SUMPRODUCT((الطبخات!$B$2:$B$900=$A32)*الطبخات!$C$2:$C$900*COUNTIF('سجل الإنتاج'!$C$2:$C$501,الطبخات!$A$2:$A$900)),3))</f>
        <v>0</v>
      </c>
    </row>
    <row r="33" spans="1:6">
      <c r="A33" t="str">
        <f>المواد!A33</f>
        <v>عطر ليمون ماكسي</v>
      </c>
      <c r="B33" t="str">
        <f>IFERROR(INDEX(الطبخات!$F$2:$F$900,MATCH(32,الطبخات!$G$2:$G$900,0)),"")</f>
        <v>لودلين ليمون ثاني</v>
      </c>
      <c r="D33">
        <f>IF($B33="","",COUNTIF('سجل الإنتاج'!$C$2:$C$501,$B33))</f>
        <v>0</v>
      </c>
      <c r="F33">
        <f>IF($A33="","",ROUND(SUMIFS('الصرف المباشر'!$D$2:$D$501,'الصرف المباشر'!$C$2:$C$501,$A33)+SUMPRODUCT((الطبخات!$B$2:$B$900=$A33)*الطبخات!$C$2:$C$900*COUNTIF('سجل الإنتاج'!$C$2:$C$501,الطبخات!$A$2:$A$900)),3))</f>
        <v>0</v>
      </c>
    </row>
    <row r="34" spans="1:6">
      <c r="A34" t="str">
        <f>المواد!A34</f>
        <v>عطر عسل</v>
      </c>
      <c r="B34" t="str">
        <f>IFERROR(INDEX(الطبخات!$F$2:$F$900,MATCH(33,الطبخات!$G$2:$G$900,0)),"")</f>
        <v>لودلين ليمون رابع</v>
      </c>
      <c r="D34">
        <f>IF($B34="","",COUNTIF('سجل الإنتاج'!$C$2:$C$501,$B34))</f>
        <v>0</v>
      </c>
      <c r="F34">
        <f>IF($A34="","",ROUND(SUMIFS('الصرف المباشر'!$D$2:$D$501,'الصرف المباشر'!$C$2:$C$501,$A34)+SUMPRODUCT((الطبخات!$B$2:$B$900=$A34)*الطبخات!$C$2:$C$900*COUNTIF('سجل الإنتاج'!$C$2:$C$501,الطبخات!$A$2:$A$900)),3))</f>
        <v>0</v>
      </c>
    </row>
    <row r="35" spans="1:6">
      <c r="A35" t="str">
        <f>المواد!A35</f>
        <v>عطر جوز الهند</v>
      </c>
      <c r="B35" t="str">
        <f>IFERROR(INDEX(الطبخات!$F$2:$F$900,MATCH(34,الطبخات!$G$2:$G$900,0)),"")</f>
        <v>معطر ارضيات أبيض - ازهار النرجس</v>
      </c>
      <c r="D35">
        <f>IF($B35="","",COUNTIF('سجل الإنتاج'!$C$2:$C$501,$B35))</f>
        <v>0</v>
      </c>
      <c r="F35">
        <f>IF($A35="","",ROUND(SUMIFS('الصرف المباشر'!$D$2:$D$501,'الصرف المباشر'!$C$2:$C$501,$A35)+SUMPRODUCT((الطبخات!$B$2:$B$900=$A35)*الطبخات!$C$2:$C$900*COUNTIF('سجل الإنتاج'!$C$2:$C$501,الطبخات!$A$2:$A$900)),3))</f>
        <v>0</v>
      </c>
    </row>
    <row r="36" spans="1:6">
      <c r="A36" t="str">
        <f>المواد!A36</f>
        <v>عطر بانتين</v>
      </c>
      <c r="B36" t="str">
        <f>IFERROR(INDEX(الطبخات!$F$2:$F$900,MATCH(35,الطبخات!$G$2:$G$900,0)),"")</f>
        <v>معطر ارضيات ازرق - نسيم المحيط</v>
      </c>
      <c r="D36">
        <f>IF($B36="","",COUNTIF('سجل الإنتاج'!$C$2:$C$501,$B36))</f>
        <v>0</v>
      </c>
      <c r="F36">
        <f>IF($A36="","",ROUND(SUMIFS('الصرف المباشر'!$D$2:$D$501,'الصرف المباشر'!$C$2:$C$501,$A36)+SUMPRODUCT((الطبخات!$B$2:$B$900=$A36)*الطبخات!$C$2:$C$900*COUNTIF('سجل الإنتاج'!$C$2:$C$501,الطبخات!$A$2:$A$900)),3))</f>
        <v>0</v>
      </c>
    </row>
    <row r="37" spans="1:6">
      <c r="A37" t="str">
        <f>المواد!A37</f>
        <v>عطر اوليفا</v>
      </c>
      <c r="B37" t="str">
        <f>IFERROR(INDEX(الطبخات!$F$2:$F$900,MATCH(36,الطبخات!$G$2:$G$900,0)),"")</f>
        <v>معطر ارضيات الليمون المنعش</v>
      </c>
      <c r="D37">
        <f>IF($B37="","",COUNTIF('سجل الإنتاج'!$C$2:$C$501,$B37))</f>
        <v>0</v>
      </c>
      <c r="F37">
        <f>IF($A37="","",ROUND(SUMIFS('الصرف المباشر'!$D$2:$D$501,'الصرف المباشر'!$C$2:$C$501,$A37)+SUMPRODUCT((الطبخات!$B$2:$B$900=$A37)*الطبخات!$C$2:$C$900*COUNTIF('سجل الإنتاج'!$C$2:$C$501,الطبخات!$A$2:$A$900)),3))</f>
        <v>0</v>
      </c>
    </row>
    <row r="38" spans="1:6">
      <c r="A38" t="str">
        <f>المواد!A38</f>
        <v>عطر ramani-kodi-000110</v>
      </c>
      <c r="B38" t="str">
        <f>IFERROR(INDEX(الطبخات!$F$2:$F$900,MATCH(37,الطبخات!$G$2:$G$900,0)),"")</f>
        <v>معطر ارضيات ببوري</v>
      </c>
      <c r="D38">
        <f>IF($B38="","",COUNTIF('سجل الإنتاج'!$C$2:$C$501,$B38))</f>
        <v>0</v>
      </c>
      <c r="F38">
        <f>IF($A38="","",ROUND(SUMIFS('الصرف المباشر'!$D$2:$D$501,'الصرف المباشر'!$C$2:$C$501,$A38)+SUMPRODUCT((الطبخات!$B$2:$B$900=$A38)*الطبخات!$C$2:$C$900*COUNTIF('سجل الإنتاج'!$C$2:$C$501,الطبخات!$A$2:$A$900)),3))</f>
        <v>0</v>
      </c>
    </row>
    <row r="39" spans="1:6">
      <c r="A39" t="str">
        <f>المواد!A39</f>
        <v>عطر magic sprel - 6168581</v>
      </c>
      <c r="B39" t="str">
        <f>IFERROR(INDEX(الطبخات!$F$2:$F$900,MATCH(38,الطبخات!$G$2:$G$900,0)),"")</f>
        <v>معطر ارضيات رائحة الجوري</v>
      </c>
      <c r="D39">
        <f>IF($B39="","",COUNTIF('سجل الإنتاج'!$C$2:$C$501,$B39))</f>
        <v>0</v>
      </c>
      <c r="F39">
        <f>IF($A39="","",ROUND(SUMIFS('الصرف المباشر'!$D$2:$D$501,'الصرف المباشر'!$C$2:$C$501,$A39)+SUMPRODUCT((الطبخات!$B$2:$B$900=$A39)*الطبخات!$C$2:$C$900*COUNTIF('سجل الإنتاج'!$C$2:$C$501,الطبخات!$A$2:$A$900)),3))</f>
        <v>0</v>
      </c>
    </row>
    <row r="40" spans="1:6">
      <c r="A40" t="str">
        <f>المواد!A40</f>
        <v>عطر kavien-clein-eforia-000020</v>
      </c>
      <c r="B40" t="str">
        <f>IFERROR(INDEX(الطبخات!$F$2:$F$900,MATCH(39,الطبخات!$G$2:$G$900,0)),"")</f>
        <v>معطر ارضيات زهرة التوليب</v>
      </c>
      <c r="D40">
        <f>IF($B40="","",COUNTIF('سجل الإنتاج'!$C$2:$C$501,$B40))</f>
        <v>0</v>
      </c>
      <c r="F40">
        <f>IF($A40="","",ROUND(SUMIFS('الصرف المباشر'!$D$2:$D$501,'الصرف المباشر'!$C$2:$C$501,$A40)+SUMPRODUCT((الطبخات!$B$2:$B$900=$A40)*الطبخات!$C$2:$C$900*COUNTIF('سجل الإنتاج'!$C$2:$C$501,الطبخات!$A$2:$A$900)),3))</f>
        <v>0</v>
      </c>
    </row>
    <row r="41" spans="1:6">
      <c r="A41" t="str">
        <f>المواد!A41</f>
        <v>عطر energy-000400</v>
      </c>
      <c r="B41" t="str">
        <f>IFERROR(INDEX(الطبخات!$F$2:$F$900,MATCH(40,الطبخات!$G$2:$G$900,0)),"")</f>
        <v>معطر ارضيات موف او ليلك</v>
      </c>
      <c r="D41">
        <f>IF($B41="","",COUNTIF('سجل الإنتاج'!$C$2:$C$501,$B41))</f>
        <v>0</v>
      </c>
      <c r="F41">
        <f>IF($A41="","",ROUND(SUMIFS('الصرف المباشر'!$D$2:$D$501,'الصرف المباشر'!$C$2:$C$501,$A41)+SUMPRODUCT((الطبخات!$B$2:$B$900=$A41)*الطبخات!$C$2:$C$900*COUNTIF('سجل الإنتاج'!$C$2:$C$501,الطبخات!$A$2:$A$900)),3))</f>
        <v>0</v>
      </c>
    </row>
    <row r="42" spans="1:6">
      <c r="A42" t="str">
        <f>المواد!A42</f>
        <v>عطر Blue APC - 0001198620</v>
      </c>
      <c r="B42" t="str">
        <f>IFERROR(INDEX(الطبخات!$F$2:$F$900,MATCH(41,الطبخات!$G$2:$G$900,0)),"")</f>
        <v>ملمع دواليب</v>
      </c>
      <c r="D42">
        <f>IF($B42="","",COUNTIF('سجل الإنتاج'!$C$2:$C$501,$B42))</f>
        <v>0</v>
      </c>
      <c r="F42">
        <f>IF($A42="","",ROUND(SUMIFS('الصرف المباشر'!$D$2:$D$501,'الصرف المباشر'!$C$2:$C$501,$A42)+SUMPRODUCT((الطبخات!$B$2:$B$900=$A42)*الطبخات!$C$2:$C$900*COUNTIF('سجل الإنتاج'!$C$2:$C$501,الطبخات!$A$2:$A$900)),3))</f>
        <v>0</v>
      </c>
    </row>
    <row r="43" spans="1:6">
      <c r="A43" t="str">
        <f>المواد!A43</f>
        <v>عطر billionair-000250</v>
      </c>
      <c r="B43" t="str">
        <f>IFERROR(INDEX(الطبخات!$F$2:$F$900,MATCH(42,الطبخات!$G$2:$G$900,0)),"")</f>
        <v>ملمع زجاج 1000 كغ</v>
      </c>
      <c r="D43">
        <f>IF($B43="","",COUNTIF('سجل الإنتاج'!$C$2:$C$501,$B43))</f>
        <v>0</v>
      </c>
      <c r="F43">
        <f>IF($A43="","",ROUND(SUMIFS('الصرف المباشر'!$D$2:$D$501,'الصرف المباشر'!$C$2:$C$501,$A43)+SUMPRODUCT((الطبخات!$B$2:$B$900=$A43)*الطبخات!$C$2:$C$900*COUNTIF('سجل الإنتاج'!$C$2:$C$501,الطبخات!$A$2:$A$900)),3))</f>
        <v>0</v>
      </c>
    </row>
    <row r="44" spans="1:6">
      <c r="A44" t="str">
        <f>المواد!A44</f>
        <v>عطر be-apple-000320</v>
      </c>
      <c r="B44" t="str">
        <f>IFERROR(INDEX(الطبخات!$F$2:$F$900,MATCH(43,الطبخات!$G$2:$G$900,0)),"")</f>
        <v>ملمع زجاج 150كغ</v>
      </c>
      <c r="D44">
        <f>IF($B44="","",COUNTIF('سجل الإنتاج'!$C$2:$C$501,$B44))</f>
        <v>0</v>
      </c>
      <c r="F44">
        <f>IF($A44="","",ROUND(SUMIFS('الصرف المباشر'!$D$2:$D$501,'الصرف المباشر'!$C$2:$C$501,$A44)+SUMPRODUCT((الطبخات!$B$2:$B$900=$A44)*الطبخات!$C$2:$C$900*COUNTIF('سجل الإنتاج'!$C$2:$C$501,الطبخات!$A$2:$A$900)),3))</f>
        <v>0</v>
      </c>
    </row>
    <row r="45" spans="1:6">
      <c r="A45" t="str">
        <f>المواد!A45</f>
        <v xml:space="preserve">عبوة 1 لتر </v>
      </c>
      <c r="B45" t="str">
        <f>IFERROR(INDEX(الطبخات!$F$2:$F$900,MATCH(44,الطبخات!$G$2:$G$900,0)),"")</f>
        <v>ملمع زجاج 750 كغ</v>
      </c>
      <c r="D45">
        <f>IF($B45="","",COUNTIF('سجل الإنتاج'!$C$2:$C$501,$B45))</f>
        <v>0</v>
      </c>
      <c r="F45">
        <f>IF($A45="","",ROUND(SUMIFS('الصرف المباشر'!$D$2:$D$501,'الصرف المباشر'!$C$2:$C$501,$A45)+SUMPRODUCT((الطبخات!$B$2:$B$900=$A45)*الطبخات!$C$2:$C$900*COUNTIF('سجل الإنتاج'!$C$2:$C$501,الطبخات!$A$2:$A$900)),3))</f>
        <v>0</v>
      </c>
    </row>
    <row r="46" spans="1:6">
      <c r="A46" t="str">
        <f>المواد!A46</f>
        <v>طبالي خشب</v>
      </c>
      <c r="B46" t="str">
        <f>IFERROR(INDEX(الطبخات!$F$2:$F$900,MATCH(45,الطبخات!$G$2:$G$900,0)),"")</f>
        <v>طبخة الاندومي</v>
      </c>
      <c r="D46">
        <f>IF($B46="","",COUNTIF('سجل الإنتاج'!$C$2:$C$501,$B46))</f>
        <v>0</v>
      </c>
      <c r="F46">
        <f>IF($A46="","",ROUND(SUMIFS('الصرف المباشر'!$D$2:$D$501,'الصرف المباشر'!$C$2:$C$501,$A46)+SUMPRODUCT((الطبخات!$B$2:$B$900=$A46)*الطبخات!$C$2:$C$900*COUNTIF('سجل الإنتاج'!$C$2:$C$501,الطبخات!$A$2:$A$900)),3))</f>
        <v>0</v>
      </c>
    </row>
    <row r="47" spans="1:6">
      <c r="A47" t="str">
        <f>المواد!A47</f>
        <v xml:space="preserve">صودا أش </v>
      </c>
      <c r="B47" t="str">
        <f>IFERROR(INDEX(الطبخات!$F$2:$F$900,MATCH(46,الطبخات!$G$2:$G$900,0)),"")</f>
        <v/>
      </c>
      <c r="D47" t="str">
        <f>IF($B47="","",COUNTIF('سجل الإنتاج'!$C$2:$C$501,$B47))</f>
        <v/>
      </c>
      <c r="F47">
        <f>IF($A47="","",ROUND(SUMIFS('الصرف المباشر'!$D$2:$D$501,'الصرف المباشر'!$C$2:$C$501,$A47)+SUMPRODUCT((الطبخات!$B$2:$B$900=$A47)*الطبخات!$C$2:$C$900*COUNTIF('سجل الإنتاج'!$C$2:$C$501,الطبخات!$A$2:$A$900)),3))</f>
        <v>0</v>
      </c>
    </row>
    <row r="48" spans="1:6">
      <c r="A48" t="str">
        <f>المواد!A48</f>
        <v>صبغة</v>
      </c>
      <c r="B48" t="str">
        <f>IFERROR(INDEX(الطبخات!$F$2:$F$900,MATCH(47,الطبخات!$G$2:$G$900,0)),"")</f>
        <v/>
      </c>
      <c r="D48" t="str">
        <f>IF($B48="","",COUNTIF('سجل الإنتاج'!$C$2:$C$501,$B48))</f>
        <v/>
      </c>
      <c r="F48">
        <f>IF($A48="","",ROUND(SUMIFS('الصرف المباشر'!$D$2:$D$501,'الصرف المباشر'!$C$2:$C$501,$A48)+SUMPRODUCT((الطبخات!$B$2:$B$900=$A48)*الطبخات!$C$2:$C$900*COUNTIF('سجل الإنتاج'!$C$2:$C$501,الطبخات!$A$2:$A$900)),3))</f>
        <v>25</v>
      </c>
    </row>
    <row r="49" spans="1:6">
      <c r="A49" t="str">
        <f>المواد!A49</f>
        <v xml:space="preserve">سيليكات سائلة </v>
      </c>
      <c r="B49" t="str">
        <f>IFERROR(INDEX(الطبخات!$F$2:$F$900,MATCH(48,الطبخات!$G$2:$G$900,0)),"")</f>
        <v/>
      </c>
      <c r="D49" t="str">
        <f>IF($B49="","",COUNTIF('سجل الإنتاج'!$C$2:$C$501,$B49))</f>
        <v/>
      </c>
      <c r="F49">
        <f>IF($A49="","",ROUND(SUMIFS('الصرف المباشر'!$D$2:$D$501,'الصرف المباشر'!$C$2:$C$501,$A49)+SUMPRODUCT((الطبخات!$B$2:$B$900=$A49)*الطبخات!$C$2:$C$900*COUNTIF('سجل الإنتاج'!$C$2:$C$501,الطبخات!$A$2:$A$900)),3))</f>
        <v>0</v>
      </c>
    </row>
    <row r="50" spans="1:6">
      <c r="A50" t="str">
        <f>المواد!A50</f>
        <v>زيت الصنوبر</v>
      </c>
      <c r="B50" t="str">
        <f>IFERROR(INDEX(الطبخات!$F$2:$F$900,MATCH(49,الطبخات!$G$2:$G$900,0)),"")</f>
        <v/>
      </c>
      <c r="D50" t="str">
        <f>IF($B50="","",COUNTIF('سجل الإنتاج'!$C$2:$C$501,$B50))</f>
        <v/>
      </c>
      <c r="F50">
        <f>IF($A50="","",ROUND(SUMIFS('الصرف المباشر'!$D$2:$D$501,'الصرف المباشر'!$C$2:$C$501,$A50)+SUMPRODUCT((الطبخات!$B$2:$B$900=$A50)*الطبخات!$C$2:$C$900*COUNTIF('سجل الإنتاج'!$C$2:$C$501,الطبخات!$A$2:$A$900)),3))</f>
        <v>0</v>
      </c>
    </row>
    <row r="51" spans="1:6">
      <c r="A51" t="str">
        <f>المواد!A51</f>
        <v>زفتة</v>
      </c>
      <c r="B51" t="str">
        <f>IFERROR(INDEX(الطبخات!$F$2:$F$900,MATCH(50,الطبخات!$G$2:$G$900,0)),"")</f>
        <v/>
      </c>
      <c r="D51" t="str">
        <f>IF($B51="","",COUNTIF('سجل الإنتاج'!$C$2:$C$501,$B51))</f>
        <v/>
      </c>
      <c r="F51">
        <f>IF($A51="","",ROUND(SUMIFS('الصرف المباشر'!$D$2:$D$501,'الصرف المباشر'!$C$2:$C$501,$A51)+SUMPRODUCT((الطبخات!$B$2:$B$900=$A51)*الطبخات!$C$2:$C$900*COUNTIF('سجل الإنتاج'!$C$2:$C$501,الطبخات!$A$2:$A$900)),3))</f>
        <v>150</v>
      </c>
    </row>
    <row r="52" spans="1:6">
      <c r="A52" t="str">
        <f>المواد!A52</f>
        <v>ديباتيول فينب</v>
      </c>
      <c r="B52" t="str">
        <f>IFERROR(INDEX(الطبخات!$F$2:$F$900,MATCH(51,الطبخات!$G$2:$G$900,0)),"")</f>
        <v/>
      </c>
      <c r="D52" t="str">
        <f>IF($B52="","",COUNTIF('سجل الإنتاج'!$C$2:$C$501,$B52))</f>
        <v/>
      </c>
      <c r="F52">
        <f>IF($A52="","",ROUND(SUMIFS('الصرف المباشر'!$D$2:$D$501,'الصرف المباشر'!$C$2:$C$501,$A52)+SUMPRODUCT((الطبخات!$B$2:$B$900=$A52)*الطبخات!$C$2:$C$900*COUNTIF('سجل الإنتاج'!$C$2:$C$501,الطبخات!$A$2:$A$900)),3))</f>
        <v>0</v>
      </c>
    </row>
    <row r="53" spans="1:6">
      <c r="A53" t="str">
        <f>المواد!A53</f>
        <v>دواء غسيل نصف مصنع</v>
      </c>
      <c r="B53" t="str">
        <f>IFERROR(INDEX(الطبخات!$F$2:$F$900,MATCH(52,الطبخات!$G$2:$G$900,0)),"")</f>
        <v/>
      </c>
      <c r="D53" t="str">
        <f>IF($B53="","",COUNTIF('سجل الإنتاج'!$C$2:$C$501,$B53))</f>
        <v/>
      </c>
      <c r="F53">
        <f>IF($A53="","",ROUND(SUMIFS('الصرف المباشر'!$D$2:$D$501,'الصرف المباشر'!$C$2:$C$501,$A53)+SUMPRODUCT((الطبخات!$B$2:$B$900=$A53)*الطبخات!$C$2:$C$900*COUNTIF('سجل الإنتاج'!$C$2:$C$501,الطبخات!$A$2:$A$900)),3))</f>
        <v>0</v>
      </c>
    </row>
    <row r="54" spans="1:6">
      <c r="A54" t="str">
        <f>المواد!A54</f>
        <v>حمض الليمون</v>
      </c>
      <c r="B54" t="str">
        <f>IFERROR(INDEX(الطبخات!$F$2:$F$900,MATCH(53,الطبخات!$G$2:$G$900,0)),"")</f>
        <v/>
      </c>
      <c r="D54" t="str">
        <f>IF($B54="","",COUNTIF('سجل الإنتاج'!$C$2:$C$501,$B54))</f>
        <v/>
      </c>
      <c r="F54">
        <f>IF($A54="","",ROUND(SUMIFS('الصرف المباشر'!$D$2:$D$501,'الصرف المباشر'!$C$2:$C$501,$A54)+SUMPRODUCT((الطبخات!$B$2:$B$900=$A54)*الطبخات!$C$2:$C$900*COUNTIF('سجل الإنتاج'!$C$2:$C$501,الطبخات!$A$2:$A$900)),3))</f>
        <v>0</v>
      </c>
    </row>
    <row r="55" spans="1:6">
      <c r="A55" t="str">
        <f>المواد!A55</f>
        <v>حمض الكبريت</v>
      </c>
      <c r="B55" t="str">
        <f>IFERROR(INDEX(الطبخات!$F$2:$F$900,MATCH(54,الطبخات!$G$2:$G$900,0)),"")</f>
        <v/>
      </c>
      <c r="D55" t="str">
        <f>IF($B55="","",COUNTIF('سجل الإنتاج'!$C$2:$C$501,$B55))</f>
        <v/>
      </c>
      <c r="F55">
        <f>IF($A55="","",ROUND(SUMIFS('الصرف المباشر'!$D$2:$D$501,'الصرف المباشر'!$C$2:$C$501,$A55)+SUMPRODUCT((الطبخات!$B$2:$B$900=$A55)*الطبخات!$C$2:$C$900*COUNTIF('سجل الإنتاج'!$C$2:$C$501,الطبخات!$A$2:$A$900)),3))</f>
        <v>0</v>
      </c>
    </row>
    <row r="56" spans="1:6">
      <c r="A56" t="str">
        <f>المواد!A56</f>
        <v>حمض الخل</v>
      </c>
      <c r="B56" t="str">
        <f>IFERROR(INDEX(الطبخات!$F$2:$F$900,MATCH(55,الطبخات!$G$2:$G$900,0)),"")</f>
        <v/>
      </c>
      <c r="D56" t="str">
        <f>IF($B56="","",COUNTIF('سجل الإنتاج'!$C$2:$C$501,$B56))</f>
        <v/>
      </c>
      <c r="F56">
        <f>IF($A56="","",ROUND(SUMIFS('الصرف المباشر'!$D$2:$D$501,'الصرف المباشر'!$C$2:$C$501,$A56)+SUMPRODUCT((الطبخات!$B$2:$B$900=$A56)*الطبخات!$C$2:$C$900*COUNTIF('سجل الإنتاج'!$C$2:$C$501,الطبخات!$A$2:$A$900)),3))</f>
        <v>0</v>
      </c>
    </row>
    <row r="57" spans="1:6">
      <c r="A57" t="str">
        <f>المواد!A57</f>
        <v>حليب التين</v>
      </c>
      <c r="B57" t="str">
        <f>IFERROR(INDEX(الطبخات!$F$2:$F$900,MATCH(56,الطبخات!$G$2:$G$900,0)),"")</f>
        <v/>
      </c>
      <c r="D57" t="str">
        <f>IF($B57="","",COUNTIF('سجل الإنتاج'!$C$2:$C$501,$B57))</f>
        <v/>
      </c>
      <c r="F57">
        <f>IF($A57="","",ROUND(SUMIFS('الصرف المباشر'!$D$2:$D$501,'الصرف المباشر'!$C$2:$C$501,$A57)+SUMPRODUCT((الطبخات!$B$2:$B$900=$A57)*الطبخات!$C$2:$C$900*COUNTIF('سجل الإنتاج'!$C$2:$C$501,الطبخات!$A$2:$A$900)),3))</f>
        <v>0</v>
      </c>
    </row>
    <row r="58" spans="1:6">
      <c r="A58" t="str">
        <f>المواد!A58</f>
        <v>طبخة الشامبو</v>
      </c>
      <c r="B58" t="str">
        <f>IFERROR(INDEX(الطبخات!$F$2:$F$900,MATCH(57,الطبخات!$G$2:$G$900,0)),"")</f>
        <v/>
      </c>
      <c r="D58" t="str">
        <f>IF($B58="","",COUNTIF('سجل الإنتاج'!$C$2:$C$501,$B58))</f>
        <v/>
      </c>
      <c r="F58">
        <f>IF($A58="","",ROUND(SUMIFS('الصرف المباشر'!$D$2:$D$501,'الصرف المباشر'!$C$2:$C$501,$A58)+SUMPRODUCT((الطبخات!$B$2:$B$900=$A58)*الطبخات!$C$2:$C$900*COUNTIF('سجل الإنتاج'!$C$2:$C$501,الطبخات!$A$2:$A$900)),3))</f>
        <v>0</v>
      </c>
    </row>
    <row r="59" spans="1:6">
      <c r="A59" t="str">
        <f>المواد!A59</f>
        <v>تكسبون</v>
      </c>
      <c r="B59" t="str">
        <f>IFERROR(INDEX(الطبخات!$F$2:$F$900,MATCH(58,الطبخات!$G$2:$G$900,0)),"")</f>
        <v/>
      </c>
      <c r="D59" t="str">
        <f>IF($B59="","",COUNTIF('سجل الإنتاج'!$C$2:$C$501,$B59))</f>
        <v/>
      </c>
      <c r="F59">
        <f>IF($A59="","",ROUND(SUMIFS('الصرف المباشر'!$D$2:$D$501,'الصرف المباشر'!$C$2:$C$501,$A59)+SUMPRODUCT((الطبخات!$B$2:$B$900=$A59)*الطبخات!$C$2:$C$900*COUNTIF('سجل الإنتاج'!$C$2:$C$501,الطبخات!$A$2:$A$900)),3))</f>
        <v>100</v>
      </c>
    </row>
    <row r="60" spans="1:6">
      <c r="A60" t="str">
        <f>المواد!A60</f>
        <v xml:space="preserve">بيدون 4 لتر </v>
      </c>
      <c r="B60" t="str">
        <f>IFERROR(INDEX(الطبخات!$F$2:$F$900,MATCH(59,الطبخات!$G$2:$G$900,0)),"")</f>
        <v/>
      </c>
      <c r="D60" t="str">
        <f>IF($B60="","",COUNTIF('سجل الإنتاج'!$C$2:$C$501,$B60))</f>
        <v/>
      </c>
      <c r="F60">
        <f>IF($A60="","",ROUND(SUMIFS('الصرف المباشر'!$D$2:$D$501,'الصرف المباشر'!$C$2:$C$501,$A60)+SUMPRODUCT((الطبخات!$B$2:$B$900=$A60)*الطبخات!$C$2:$C$900*COUNTIF('سجل الإنتاج'!$C$2:$C$501,الطبخات!$A$2:$A$900)),3))</f>
        <v>0</v>
      </c>
    </row>
    <row r="61" spans="1:6">
      <c r="A61" t="str">
        <f>المواد!A61</f>
        <v>بيتائين</v>
      </c>
      <c r="B61" t="str">
        <f>IFERROR(INDEX(الطبخات!$F$2:$F$900,MATCH(60,الطبخات!$G$2:$G$900,0)),"")</f>
        <v/>
      </c>
      <c r="D61" t="str">
        <f>IF($B61="","",COUNTIF('سجل الإنتاج'!$C$2:$C$501,$B61))</f>
        <v/>
      </c>
      <c r="F61">
        <f>IF($A61="","",ROUND(SUMIFS('الصرف المباشر'!$D$2:$D$501,'الصرف المباشر'!$C$2:$C$501,$A61)+SUMPRODUCT((الطبخات!$B$2:$B$900=$A61)*الطبخات!$C$2:$C$900*COUNTIF('سجل الإنتاج'!$C$2:$C$501,الطبخات!$A$2:$A$900)),3))</f>
        <v>50</v>
      </c>
    </row>
    <row r="62" spans="1:6">
      <c r="A62" t="str">
        <f>المواد!A62</f>
        <v>بوتيل غليكول</v>
      </c>
      <c r="B62" t="str">
        <f>IFERROR(INDEX(الطبخات!$F$2:$F$900,MATCH(61,الطبخات!$G$2:$G$900,0)),"")</f>
        <v/>
      </c>
      <c r="D62" t="str">
        <f>IF($B62="","",COUNTIF('سجل الإنتاج'!$C$2:$C$501,$B62))</f>
        <v/>
      </c>
      <c r="F62">
        <f>IF($A62="","",ROUND(SUMIFS('الصرف المباشر'!$D$2:$D$501,'الصرف المباشر'!$C$2:$C$501,$A62)+SUMPRODUCT((الطبخات!$B$2:$B$900=$A62)*الطبخات!$C$2:$C$900*COUNTIF('سجل الإنتاج'!$C$2:$C$501,الطبخات!$A$2:$A$900)),3))</f>
        <v>0</v>
      </c>
    </row>
    <row r="63" spans="1:6">
      <c r="A63" t="str">
        <f>المواد!A63</f>
        <v>بلسم جامد</v>
      </c>
      <c r="B63" t="str">
        <f>IFERROR(INDEX(الطبخات!$F$2:$F$900,MATCH(62,الطبخات!$G$2:$G$900,0)),"")</f>
        <v/>
      </c>
      <c r="D63" t="str">
        <f>IF($B63="","",COUNTIF('سجل الإنتاج'!$C$2:$C$501,$B63))</f>
        <v/>
      </c>
      <c r="F63">
        <f>IF($A63="","",ROUND(SUMIFS('الصرف المباشر'!$D$2:$D$501,'الصرف المباشر'!$C$2:$C$501,$A63)+SUMPRODUCT((الطبخات!$B$2:$B$900=$A63)*الطبخات!$C$2:$C$900*COUNTIF('سجل الإنتاج'!$C$2:$C$501,الطبخات!$A$2:$A$900)),3))</f>
        <v>0</v>
      </c>
    </row>
    <row r="64" spans="1:6">
      <c r="A64" t="str">
        <f>المواد!A64</f>
        <v>بروبلين - فينب</v>
      </c>
      <c r="B64" t="str">
        <f>IFERROR(INDEX(الطبخات!$F$2:$F$900,MATCH(63,الطبخات!$G$2:$G$900,0)),"")</f>
        <v/>
      </c>
      <c r="D64" t="str">
        <f>IF($B64="","",COUNTIF('سجل الإنتاج'!$C$2:$C$501,$B64))</f>
        <v/>
      </c>
      <c r="F64">
        <f>IF($A64="","",ROUND(SUMIFS('الصرف المباشر'!$D$2:$D$501,'الصرف المباشر'!$C$2:$C$501,$A64)+SUMPRODUCT((الطبخات!$B$2:$B$900=$A64)*الطبخات!$C$2:$C$900*COUNTIF('سجل الإنتاج'!$C$2:$C$501,الطبخات!$A$2:$A$900)),3))</f>
        <v>0</v>
      </c>
    </row>
    <row r="65" spans="1:6">
      <c r="A65" t="str">
        <f>المواد!A65</f>
        <v>ايمولجين</v>
      </c>
      <c r="B65" t="str">
        <f>IFERROR(INDEX(الطبخات!$F$2:$F$900,MATCH(64,الطبخات!$G$2:$G$900,0)),"")</f>
        <v/>
      </c>
      <c r="D65" t="str">
        <f>IF($B65="","",COUNTIF('سجل الإنتاج'!$C$2:$C$501,$B65))</f>
        <v/>
      </c>
      <c r="F65">
        <f>IF($A65="","",ROUND(SUMIFS('الصرف المباشر'!$D$2:$D$501,'الصرف المباشر'!$C$2:$C$501,$A65)+SUMPRODUCT((الطبخات!$B$2:$B$900=$A65)*الطبخات!$C$2:$C$900*COUNTIF('سجل الإنتاج'!$C$2:$C$501,الطبخات!$A$2:$A$900)),3))</f>
        <v>0</v>
      </c>
    </row>
    <row r="66" spans="1:6">
      <c r="A66" t="str">
        <f>المواد!A66</f>
        <v>ايديتا</v>
      </c>
      <c r="B66" t="str">
        <f>IFERROR(INDEX(الطبخات!$F$2:$F$900,MATCH(65,الطبخات!$G$2:$G$900,0)),"")</f>
        <v/>
      </c>
      <c r="D66" t="str">
        <f>IF($B66="","",COUNTIF('سجل الإنتاج'!$C$2:$C$501,$B66))</f>
        <v/>
      </c>
      <c r="F66">
        <f>IF($A66="","",ROUND(SUMIFS('الصرف المباشر'!$D$2:$D$501,'الصرف المباشر'!$C$2:$C$501,$A66)+SUMPRODUCT((الطبخات!$B$2:$B$900=$A66)*الطبخات!$C$2:$C$900*COUNTIF('سجل الإنتاج'!$C$2:$C$501,الطبخات!$A$2:$A$900)),3))</f>
        <v>0</v>
      </c>
    </row>
    <row r="67" spans="1:6">
      <c r="A67" t="str">
        <f>المواد!A67</f>
        <v>اسيد - روح الملح - حمض كلور الماء</v>
      </c>
      <c r="B67" t="str">
        <f>IFERROR(INDEX(الطبخات!$F$2:$F$900,MATCH(66,الطبخات!$G$2:$G$900,0)),"")</f>
        <v/>
      </c>
      <c r="D67" t="str">
        <f>IF($B67="","",COUNTIF('سجل الإنتاج'!$C$2:$C$501,$B67))</f>
        <v/>
      </c>
      <c r="F67">
        <f>IF($A67="","",ROUND(SUMIFS('الصرف المباشر'!$D$2:$D$501,'الصرف المباشر'!$C$2:$C$501,$A67)+SUMPRODUCT((الطبخات!$B$2:$B$900=$A67)*الطبخات!$C$2:$C$900*COUNTIF('سجل الإنتاج'!$C$2:$C$501,الطبخات!$A$2:$A$900)),3))</f>
        <v>0</v>
      </c>
    </row>
    <row r="68" spans="1:6">
      <c r="A68" t="str">
        <f>المواد!A68</f>
        <v>اسيتون</v>
      </c>
      <c r="B68" t="str">
        <f>IFERROR(INDEX(الطبخات!$F$2:$F$900,MATCH(67,الطبخات!$G$2:$G$900,0)),"")</f>
        <v/>
      </c>
      <c r="D68" t="str">
        <f>IF($B68="","",COUNTIF('سجل الإنتاج'!$C$2:$C$501,$B68))</f>
        <v/>
      </c>
      <c r="F68">
        <f>IF($A68="","",ROUND(SUMIFS('الصرف المباشر'!$D$2:$D$501,'الصرف المباشر'!$C$2:$C$501,$A68)+SUMPRODUCT((الطبخات!$B$2:$B$900=$A68)*الطبخات!$C$2:$C$900*COUNTIF('سجل الإنتاج'!$C$2:$C$501,الطبخات!$A$2:$A$900)),3))</f>
        <v>0</v>
      </c>
    </row>
    <row r="69" spans="1:6">
      <c r="A69" t="str">
        <f>المواد!A69</f>
        <v>لصاقة طابعة</v>
      </c>
      <c r="B69" t="str">
        <f>IFERROR(INDEX(الطبخات!$F$2:$F$900,MATCH(68,الطبخات!$G$2:$G$900,0)),"")</f>
        <v/>
      </c>
      <c r="D69" t="str">
        <f>IF($B69="","",COUNTIF('سجل الإنتاج'!$C$2:$C$501,$B69))</f>
        <v/>
      </c>
      <c r="F69">
        <f>IF($A69="","",ROUND(SUMIFS('الصرف المباشر'!$D$2:$D$501,'الصرف المباشر'!$C$2:$C$501,$A69)+SUMPRODUCT((الطبخات!$B$2:$B$900=$A69)*الطبخات!$C$2:$C$900*COUNTIF('سجل الإنتاج'!$C$2:$C$501,الطبخات!$A$2:$A$900)),3))</f>
        <v>0</v>
      </c>
    </row>
    <row r="70" spans="1:6">
      <c r="A70" t="str">
        <f>المواد!A70</f>
        <v>كريك بلاستيك</v>
      </c>
      <c r="B70" t="str">
        <f>IFERROR(INDEX(الطبخات!$F$2:$F$900,MATCH(69,الطبخات!$G$2:$G$900,0)),"")</f>
        <v/>
      </c>
      <c r="D70" t="str">
        <f>IF($B70="","",COUNTIF('سجل الإنتاج'!$C$2:$C$501,$B70))</f>
        <v/>
      </c>
      <c r="F70">
        <f>IF($A70="","",ROUND(SUMIFS('الصرف المباشر'!$D$2:$D$501,'الصرف المباشر'!$C$2:$C$501,$A70)+SUMPRODUCT((الطبخات!$B$2:$B$900=$A70)*الطبخات!$C$2:$C$900*COUNTIF('سجل الإنتاج'!$C$2:$C$501,الطبخات!$A$2:$A$900)),3))</f>
        <v>0</v>
      </c>
    </row>
    <row r="71" spans="1:6">
      <c r="A71" t="str">
        <f>المواد!A71</f>
        <v>فازلين</v>
      </c>
      <c r="B71" t="str">
        <f>IFERROR(INDEX(الطبخات!$F$2:$F$900,MATCH(70,الطبخات!$G$2:$G$900,0)),"")</f>
        <v/>
      </c>
      <c r="D71" t="str">
        <f>IF($B71="","",COUNTIF('سجل الإنتاج'!$C$2:$C$501,$B71))</f>
        <v/>
      </c>
      <c r="F71">
        <f>IF($A71="","",ROUND(SUMIFS('الصرف المباشر'!$D$2:$D$501,'الصرف المباشر'!$C$2:$C$501,$A71)+SUMPRODUCT((الطبخات!$B$2:$B$900=$A71)*الطبخات!$C$2:$C$900*COUNTIF('سجل الإنتاج'!$C$2:$C$501,الطبخات!$A$2:$A$900)),3))</f>
        <v>0</v>
      </c>
    </row>
    <row r="72" spans="1:6">
      <c r="A72" t="str">
        <f>المواد!A72</f>
        <v xml:space="preserve">عبوات كلور + فلاش فارغة </v>
      </c>
      <c r="B72" t="str">
        <f>IFERROR(INDEX(الطبخات!$F$2:$F$900,MATCH(71,الطبخات!$G$2:$G$900,0)),"")</f>
        <v/>
      </c>
      <c r="D72" t="str">
        <f>IF($B72="","",COUNTIF('سجل الإنتاج'!$C$2:$C$501,$B72))</f>
        <v/>
      </c>
      <c r="F72">
        <f>IF($A72="","",ROUND(SUMIFS('الصرف المباشر'!$D$2:$D$501,'الصرف المباشر'!$C$2:$C$501,$A72)+SUMPRODUCT((الطبخات!$B$2:$B$900=$A72)*الطبخات!$C$2:$C$900*COUNTIF('سجل الإنتاج'!$C$2:$C$501,الطبخات!$A$2:$A$900)),3))</f>
        <v>0</v>
      </c>
    </row>
    <row r="73" spans="1:6">
      <c r="A73" t="str">
        <f>المواد!A73</f>
        <v>عبوات شفافة 3 لتر</v>
      </c>
      <c r="B73" t="str">
        <f>IFERROR(INDEX(الطبخات!$F$2:$F$900,MATCH(72,الطبخات!$G$2:$G$900,0)),"")</f>
        <v/>
      </c>
      <c r="D73" t="str">
        <f>IF($B73="","",COUNTIF('سجل الإنتاج'!$C$2:$C$501,$B73))</f>
        <v/>
      </c>
      <c r="F73">
        <f>IF($A73="","",ROUND(SUMIFS('الصرف المباشر'!$D$2:$D$501,'الصرف المباشر'!$C$2:$C$501,$A73)+SUMPRODUCT((الطبخات!$B$2:$B$900=$A73)*الطبخات!$C$2:$C$900*COUNTIF('سجل الإنتاج'!$C$2:$C$501,الطبخات!$A$2:$A$900)),3))</f>
        <v>0</v>
      </c>
    </row>
    <row r="74" spans="1:6">
      <c r="A74" t="str">
        <f>المواد!A74</f>
        <v>عبوات حليبي</v>
      </c>
      <c r="B74" t="str">
        <f>IFERROR(INDEX(الطبخات!$F$2:$F$900,MATCH(73,الطبخات!$G$2:$G$900,0)),"")</f>
        <v/>
      </c>
      <c r="D74" t="str">
        <f>IF($B74="","",COUNTIF('سجل الإنتاج'!$C$2:$C$501,$B74))</f>
        <v/>
      </c>
      <c r="F74">
        <f>IF($A74="","",ROUND(SUMIFS('الصرف المباشر'!$D$2:$D$501,'الصرف المباشر'!$C$2:$C$501,$A74)+SUMPRODUCT((الطبخات!$B$2:$B$900=$A74)*الطبخات!$C$2:$C$900*COUNTIF('سجل الإنتاج'!$C$2:$C$501,الطبخات!$A$2:$A$900)),3))</f>
        <v>0</v>
      </c>
    </row>
    <row r="75" spans="1:6">
      <c r="A75" t="e">
        <f>المواد!#REF!</f>
        <v>#REF!</v>
      </c>
      <c r="B75" t="str">
        <f>IFERROR(INDEX(الطبخات!$F$2:$F$900,MATCH(74,الطبخات!$G$2:$G$900,0)),"")</f>
        <v/>
      </c>
      <c r="D75" t="str">
        <f>IF($B75="","",COUNTIF('سجل الإنتاج'!$C$2:$C$501,$B75))</f>
        <v/>
      </c>
      <c r="F75" t="e">
        <f>IF($A75="","",ROUND(SUMIFS('الصرف المباشر'!$D$2:$D$501,'الصرف المباشر'!$C$2:$C$501,$A75)+SUMPRODUCT((الطبخات!$B$2:$B$900=$A75)*الطبخات!$C$2:$C$900*COUNTIF('سجل الإنتاج'!$C$2:$C$501,الطبخات!$A$2:$A$900)),3))</f>
        <v>#REF!</v>
      </c>
    </row>
    <row r="76" spans="1:6">
      <c r="A76" t="str">
        <f>المواد!A75</f>
        <v>عطر عود</v>
      </c>
      <c r="B76" t="str">
        <f>IFERROR(INDEX(الطبخات!$F$2:$F$900,MATCH(75,الطبخات!$G$2:$G$900,0)),"")</f>
        <v/>
      </c>
      <c r="D76" t="str">
        <f>IF($B76="","",COUNTIF('سجل الإنتاج'!$C$2:$C$501,$B76))</f>
        <v/>
      </c>
      <c r="F76">
        <f>IF($A76="","",ROUND(SUMIFS('الصرف المباشر'!$D$2:$D$501,'الصرف المباشر'!$C$2:$C$501,$A76)+SUMPRODUCT((الطبخات!$B$2:$B$900=$A76)*الطبخات!$C$2:$C$900*COUNTIF('سجل الإنتاج'!$C$2:$C$501,الطبخات!$A$2:$A$900)),3))</f>
        <v>0</v>
      </c>
    </row>
    <row r="77" spans="1:6">
      <c r="A77" t="str">
        <f>المواد!A76</f>
        <v>بربولين غيلمول</v>
      </c>
      <c r="B77" t="str">
        <f>IFERROR(INDEX(الطبخات!$F$2:$F$900,MATCH(76,الطبخات!$G$2:$G$900,0)),"")</f>
        <v/>
      </c>
      <c r="D77" t="str">
        <f>IF($B77="","",COUNTIF('سجل الإنتاج'!$C$2:$C$501,$B77))</f>
        <v/>
      </c>
      <c r="F77">
        <f>IF($A77="","",ROUND(SUMIFS('الصرف المباشر'!$D$2:$D$501,'الصرف المباشر'!$C$2:$C$501,$A77)+SUMPRODUCT((الطبخات!$B$2:$B$900=$A77)*الطبخات!$C$2:$C$900*COUNTIF('سجل الإنتاج'!$C$2:$C$501,الطبخات!$A$2:$A$900)),3))</f>
        <v>0</v>
      </c>
    </row>
    <row r="78" spans="1:6">
      <c r="A78" t="str">
        <f>المواد!A77</f>
        <v>حبيبات ملونة</v>
      </c>
      <c r="B78" t="str">
        <f>IFERROR(INDEX(الطبخات!$F$2:$F$900,MATCH(77,الطبخات!$G$2:$G$900,0)),"")</f>
        <v/>
      </c>
      <c r="D78" t="str">
        <f>IF($B78="","",COUNTIF('سجل الإنتاج'!$C$2:$C$501,$B78))</f>
        <v/>
      </c>
      <c r="F78">
        <f>IF($A78="","",ROUND(SUMIFS('الصرف المباشر'!$D$2:$D$501,'الصرف المباشر'!$C$2:$C$501,$A78)+SUMPRODUCT((الطبخات!$B$2:$B$900=$A78)*الطبخات!$C$2:$C$900*COUNTIF('سجل الإنتاج'!$C$2:$C$501,الطبخات!$A$2:$A$900)),3))</f>
        <v>0</v>
      </c>
    </row>
    <row r="79" spans="1:6">
      <c r="A79" t="str">
        <f>المواد!A78</f>
        <v>غطا عبوة 3لتر</v>
      </c>
      <c r="B79" t="str">
        <f>IFERROR(INDEX(الطبخات!$F$2:$F$900,MATCH(78,الطبخات!$G$2:$G$900,0)),"")</f>
        <v/>
      </c>
      <c r="D79" t="str">
        <f>IF($B79="","",COUNTIF('سجل الإنتاج'!$C$2:$C$501,$B79))</f>
        <v/>
      </c>
      <c r="F79">
        <f>IF($A79="","",ROUND(SUMIFS('الصرف المباشر'!$D$2:$D$501,'الصرف المباشر'!$C$2:$C$501,$A79)+SUMPRODUCT((الطبخات!$B$2:$B$900=$A79)*الطبخات!$C$2:$C$900*COUNTIF('سجل الإنتاج'!$C$2:$C$501,الطبخات!$A$2:$A$900)),3))</f>
        <v>0</v>
      </c>
    </row>
    <row r="80" spans="1:6">
      <c r="A80" t="str">
        <f>المواد!A79</f>
        <v>مياه مقطرة 4 لتر</v>
      </c>
      <c r="B80" t="str">
        <f>IFERROR(INDEX(الطبخات!$F$2:$F$900,MATCH(79,الطبخات!$G$2:$G$900,0)),"")</f>
        <v/>
      </c>
      <c r="D80" t="str">
        <f>IF($B80="","",COUNTIF('سجل الإنتاج'!$C$2:$C$501,$B80))</f>
        <v/>
      </c>
      <c r="F80">
        <f>IF($A80="","",ROUND(SUMIFS('الصرف المباشر'!$D$2:$D$501,'الصرف المباشر'!$C$2:$C$501,$A80)+SUMPRODUCT((الطبخات!$B$2:$B$900=$A80)*الطبخات!$C$2:$C$900*COUNTIF('سجل الإنتاج'!$C$2:$C$501,الطبخات!$A$2:$A$900)),3))</f>
        <v>0</v>
      </c>
    </row>
    <row r="81" spans="1:6">
      <c r="A81" t="str">
        <f>المواد!A80</f>
        <v>مياه مقطرة 1 لتر</v>
      </c>
      <c r="B81" t="str">
        <f>IFERROR(INDEX(الطبخات!$F$2:$F$900,MATCH(80,الطبخات!$G$2:$G$900,0)),"")</f>
        <v/>
      </c>
      <c r="D81" t="str">
        <f>IF($B81="","",COUNTIF('سجل الإنتاج'!$C$2:$C$501,$B81))</f>
        <v/>
      </c>
      <c r="F81">
        <f>IF($A81="","",ROUND(SUMIFS('الصرف المباشر'!$D$2:$D$501,'الصرف المباشر'!$C$2:$C$501,$A81)+SUMPRODUCT((الطبخات!$B$2:$B$900=$A81)*الطبخات!$C$2:$C$900*COUNTIF('سجل الإنتاج'!$C$2:$C$501,الطبخات!$A$2:$A$900)),3))</f>
        <v>0</v>
      </c>
    </row>
    <row r="82" spans="1:6">
      <c r="A82" t="str">
        <f>المواد!A81</f>
        <v>مهسهس زفته - معجون</v>
      </c>
      <c r="B82" t="str">
        <f>IFERROR(INDEX(الطبخات!$F$2:$F$900,MATCH(81,الطبخات!$G$2:$G$900,0)),"")</f>
        <v/>
      </c>
      <c r="D82" t="str">
        <f>IF($B82="","",COUNTIF('سجل الإنتاج'!$C$2:$C$501,$B82))</f>
        <v/>
      </c>
      <c r="F82">
        <f>IF($A82="","",ROUND(SUMIFS('الصرف المباشر'!$D$2:$D$501,'الصرف المباشر'!$C$2:$C$501,$A82)+SUMPRODUCT((الطبخات!$B$2:$B$900=$A82)*الطبخات!$C$2:$C$900*COUNTIF('سجل الإنتاج'!$C$2:$C$501,الطبخات!$A$2:$A$900)),3))</f>
        <v>0</v>
      </c>
    </row>
    <row r="83" spans="1:6">
      <c r="A83" t="str">
        <f>المواد!A82</f>
        <v>مماسح مكتب َ</v>
      </c>
      <c r="B83" t="str">
        <f>IFERROR(INDEX(الطبخات!$F$2:$F$900,MATCH(82,الطبخات!$G$2:$G$900,0)),"")</f>
        <v/>
      </c>
      <c r="D83" t="str">
        <f>IF($B83="","",COUNTIF('سجل الإنتاج'!$C$2:$C$501,$B83))</f>
        <v/>
      </c>
      <c r="F83">
        <f>IF($A83="","",ROUND(SUMIFS('الصرف المباشر'!$D$2:$D$501,'الصرف المباشر'!$C$2:$C$501,$A83)+SUMPRODUCT((الطبخات!$B$2:$B$900=$A83)*الطبخات!$C$2:$C$900*COUNTIF('سجل الإنتاج'!$C$2:$C$501,الطبخات!$A$2:$A$900)),3))</f>
        <v>0</v>
      </c>
    </row>
    <row r="84" spans="1:6">
      <c r="A84" t="str">
        <f>المواد!A83</f>
        <v>مماسح قماش عائلة فايبر</v>
      </c>
      <c r="B84" t="str">
        <f>IFERROR(INDEX(الطبخات!$F$2:$F$900,MATCH(83,الطبخات!$G$2:$G$900,0)),"")</f>
        <v/>
      </c>
      <c r="D84" t="str">
        <f>IF($B84="","",COUNTIF('سجل الإنتاج'!$C$2:$C$501,$B84))</f>
        <v/>
      </c>
      <c r="F84">
        <f>IF($A84="","",ROUND(SUMIFS('الصرف المباشر'!$D$2:$D$501,'الصرف المباشر'!$C$2:$C$501,$A84)+SUMPRODUCT((الطبخات!$B$2:$B$900=$A84)*الطبخات!$C$2:$C$900*COUNTIF('سجل الإنتاج'!$C$2:$C$501,الطبخات!$A$2:$A$900)),3))</f>
        <v>0</v>
      </c>
    </row>
    <row r="85" spans="1:6">
      <c r="A85" t="str">
        <f>المواد!A84</f>
        <v>مماسح بلور</v>
      </c>
      <c r="B85" t="str">
        <f>IFERROR(INDEX(الطبخات!$F$2:$F$900,MATCH(84,الطبخات!$G$2:$G$900,0)),"")</f>
        <v/>
      </c>
      <c r="D85" t="str">
        <f>IF($B85="","",COUNTIF('سجل الإنتاج'!$C$2:$C$501,$B85))</f>
        <v/>
      </c>
      <c r="F85">
        <f>IF($A85="","",ROUND(SUMIFS('الصرف المباشر'!$D$2:$D$501,'الصرف المباشر'!$C$2:$C$501,$A85)+SUMPRODUCT((الطبخات!$B$2:$B$900=$A85)*الطبخات!$C$2:$C$900*COUNTIF('سجل الإنتاج'!$C$2:$C$501,الطبخات!$A$2:$A$900)),3))</f>
        <v>0</v>
      </c>
    </row>
    <row r="86" spans="1:6">
      <c r="A86" t="str">
        <f>المواد!A85</f>
        <v>مماسح ارضيات</v>
      </c>
      <c r="B86" t="str">
        <f>IFERROR(INDEX(الطبخات!$F$2:$F$900,MATCH(85,الطبخات!$G$2:$G$900,0)),"")</f>
        <v/>
      </c>
      <c r="D86" t="str">
        <f>IF($B86="","",COUNTIF('سجل الإنتاج'!$C$2:$C$501,$B86))</f>
        <v/>
      </c>
      <c r="F86">
        <f>IF($A86="","",ROUND(SUMIFS('الصرف المباشر'!$D$2:$D$501,'الصرف المباشر'!$C$2:$C$501,$A86)+SUMPRODUCT((الطبخات!$B$2:$B$900=$A86)*الطبخات!$C$2:$C$900*COUNTIF('سجل الإنتاج'!$C$2:$C$501,الطبخات!$A$2:$A$900)),3))</f>
        <v>0</v>
      </c>
    </row>
    <row r="87" spans="1:6">
      <c r="A87" t="str">
        <f>المواد!A86</f>
        <v>ملمع سيارات 3 لتر</v>
      </c>
      <c r="B87" t="str">
        <f>IFERROR(INDEX(الطبخات!$F$2:$F$900,MATCH(86,الطبخات!$G$2:$G$900,0)),"")</f>
        <v/>
      </c>
      <c r="D87" t="str">
        <f>IF($B87="","",COUNTIF('سجل الإنتاج'!$C$2:$C$501,$B87))</f>
        <v/>
      </c>
      <c r="F87">
        <f>IF($A87="","",ROUND(SUMIFS('الصرف المباشر'!$D$2:$D$501,'الصرف المباشر'!$C$2:$C$501,$A87)+SUMPRODUCT((الطبخات!$B$2:$B$900=$A87)*الطبخات!$C$2:$C$900*COUNTIF('سجل الإنتاج'!$C$2:$C$501,الطبخات!$A$2:$A$900)),3))</f>
        <v>0</v>
      </c>
    </row>
    <row r="88" spans="1:6">
      <c r="A88" t="str">
        <f>المواد!A87</f>
        <v>ملمع سيارات / فرط</v>
      </c>
      <c r="B88" t="str">
        <f>IFERROR(INDEX(الطبخات!$F$2:$F$900,MATCH(87,الطبخات!$G$2:$G$900,0)),"")</f>
        <v/>
      </c>
      <c r="D88" t="str">
        <f>IF($B88="","",COUNTIF('سجل الإنتاج'!$C$2:$C$501,$B88))</f>
        <v/>
      </c>
      <c r="F88">
        <f>IF($A88="","",ROUND(SUMIFS('الصرف المباشر'!$D$2:$D$501,'الصرف المباشر'!$C$2:$C$501,$A88)+SUMPRODUCT((الطبخات!$B$2:$B$900=$A88)*الطبخات!$C$2:$C$900*COUNTIF('سجل الإنتاج'!$C$2:$C$501,الطبخات!$A$2:$A$900)),3))</f>
        <v>0</v>
      </c>
    </row>
    <row r="89" spans="1:6">
      <c r="A89" t="str">
        <f>المواد!A88</f>
        <v>ملمع زجاج الكرمل</v>
      </c>
      <c r="B89" t="str">
        <f>IFERROR(INDEX(الطبخات!$F$2:$F$900,MATCH(88,الطبخات!$G$2:$G$900,0)),"")</f>
        <v/>
      </c>
      <c r="D89" t="str">
        <f>IF($B89="","",COUNTIF('سجل الإنتاج'!$C$2:$C$501,$B89))</f>
        <v/>
      </c>
      <c r="F89">
        <f>IF($A89="","",ROUND(SUMIFS('الصرف المباشر'!$D$2:$D$501,'الصرف المباشر'!$C$2:$C$501,$A89)+SUMPRODUCT((الطبخات!$B$2:$B$900=$A89)*الطبخات!$C$2:$C$900*COUNTIF('سجل الإنتاج'!$C$2:$C$501,الطبخات!$A$2:$A$900)),3))</f>
        <v>0</v>
      </c>
    </row>
    <row r="90" spans="1:6">
      <c r="A90" t="str">
        <f>المواد!A89</f>
        <v>ملمع زجاج 3 لتر</v>
      </c>
      <c r="B90" t="str">
        <f>IFERROR(INDEX(الطبخات!$F$2:$F$900,MATCH(89,الطبخات!$G$2:$G$900,0)),"")</f>
        <v/>
      </c>
      <c r="D90" t="str">
        <f>IF($B90="","",COUNTIF('سجل الإنتاج'!$C$2:$C$501,$B90))</f>
        <v/>
      </c>
      <c r="F90">
        <f>IF($A90="","",ROUND(SUMIFS('الصرف المباشر'!$D$2:$D$501,'الصرف المباشر'!$C$2:$C$501,$A90)+SUMPRODUCT((الطبخات!$B$2:$B$900=$A90)*الطبخات!$C$2:$C$900*COUNTIF('سجل الإنتاج'!$C$2:$C$501,الطبخات!$A$2:$A$900)),3))</f>
        <v>0</v>
      </c>
    </row>
    <row r="91" spans="1:6">
      <c r="A91" t="str">
        <f>المواد!A90</f>
        <v>ملمع زجاج / فرط</v>
      </c>
      <c r="B91" t="str">
        <f>IFERROR(INDEX(الطبخات!$F$2:$F$900,MATCH(90,الطبخات!$G$2:$G$900,0)),"")</f>
        <v/>
      </c>
      <c r="D91" t="str">
        <f>IF($B91="","",COUNTIF('سجل الإنتاج'!$C$2:$C$501,$B91))</f>
        <v/>
      </c>
      <c r="F91">
        <f>IF($A91="","",ROUND(SUMIFS('الصرف المباشر'!$D$2:$D$501,'الصرف المباشر'!$C$2:$C$501,$A91)+SUMPRODUCT((الطبخات!$B$2:$B$900=$A91)*الطبخات!$C$2:$C$900*COUNTIF('سجل الإنتاج'!$C$2:$C$501,الطبخات!$A$2:$A$900)),3))</f>
        <v>0</v>
      </c>
    </row>
    <row r="92" spans="1:6">
      <c r="A92" t="str">
        <f>المواد!A91</f>
        <v>ملطف جو ليتس</v>
      </c>
      <c r="B92" t="str">
        <f>IFERROR(INDEX(الطبخات!$F$2:$F$900,MATCH(91,الطبخات!$G$2:$G$900,0)),"")</f>
        <v/>
      </c>
      <c r="D92" t="str">
        <f>IF($B92="","",COUNTIF('سجل الإنتاج'!$C$2:$C$501,$B92))</f>
        <v/>
      </c>
      <c r="F92">
        <f>IF($A92="","",ROUND(SUMIFS('الصرف المباشر'!$D$2:$D$501,'الصرف المباشر'!$C$2:$C$501,$A92)+SUMPRODUCT((الطبخات!$B$2:$B$900=$A92)*الطبخات!$C$2:$C$900*COUNTIF('سجل الإنتاج'!$C$2:$C$501,الطبخات!$A$2:$A$900)),3))</f>
        <v>0</v>
      </c>
    </row>
    <row r="93" spans="1:6">
      <c r="A93" t="str">
        <f>المواد!A92</f>
        <v>ملطف جو</v>
      </c>
      <c r="B93" t="str">
        <f>IFERROR(INDEX(الطبخات!$F$2:$F$900,MATCH(92,الطبخات!$G$2:$G$900,0)),"")</f>
        <v/>
      </c>
      <c r="D93" t="str">
        <f>IF($B93="","",COUNTIF('سجل الإنتاج'!$C$2:$C$501,$B93))</f>
        <v/>
      </c>
      <c r="F93">
        <f>IF($A93="","",ROUND(SUMIFS('الصرف المباشر'!$D$2:$D$501,'الصرف المباشر'!$C$2:$C$501,$A93)+SUMPRODUCT((الطبخات!$B$2:$B$900=$A93)*الطبخات!$C$2:$C$900*COUNTIF('سجل الإنتاج'!$C$2:$C$501,الطبخات!$A$2:$A$900)),3))</f>
        <v>0</v>
      </c>
    </row>
    <row r="94" spans="1:6">
      <c r="A94" t="str">
        <f>المواد!A93</f>
        <v xml:space="preserve">مكانس ناعمة كثيفة </v>
      </c>
      <c r="B94" t="str">
        <f>IFERROR(INDEX(الطبخات!$F$2:$F$900,MATCH(93,الطبخات!$G$2:$G$900,0)),"")</f>
        <v/>
      </c>
      <c r="D94" t="str">
        <f>IF($B94="","",COUNTIF('سجل الإنتاج'!$C$2:$C$501,$B94))</f>
        <v/>
      </c>
      <c r="F94">
        <f>IF($A94="","",ROUND(SUMIFS('الصرف المباشر'!$D$2:$D$501,'الصرف المباشر'!$C$2:$C$501,$A94)+SUMPRODUCT((الطبخات!$B$2:$B$900=$A94)*الطبخات!$C$2:$C$900*COUNTIF('سجل الإنتاج'!$C$2:$C$501,الطبخات!$A$2:$A$900)),3))</f>
        <v>0</v>
      </c>
    </row>
    <row r="95" spans="1:6">
      <c r="A95" t="str">
        <f>المواد!A94</f>
        <v xml:space="preserve">مكانس خشنة </v>
      </c>
      <c r="B95" t="str">
        <f>IFERROR(INDEX(الطبخات!$F$2:$F$900,MATCH(94,الطبخات!$G$2:$G$900,0)),"")</f>
        <v/>
      </c>
      <c r="D95" t="str">
        <f>IF($B95="","",COUNTIF('سجل الإنتاج'!$C$2:$C$501,$B95))</f>
        <v/>
      </c>
      <c r="F95">
        <f>IF($A95="","",ROUND(SUMIFS('الصرف المباشر'!$D$2:$D$501,'الصرف المباشر'!$C$2:$C$501,$A95)+SUMPRODUCT((الطبخات!$B$2:$B$900=$A95)*الطبخات!$C$2:$C$900*COUNTIF('سجل الإنتاج'!$C$2:$C$501,الطبخات!$A$2:$A$900)),3))</f>
        <v>0</v>
      </c>
    </row>
    <row r="96" spans="1:6">
      <c r="A96" t="str">
        <f>المواد!A95</f>
        <v>معطر كرمل .</v>
      </c>
      <c r="B96" t="str">
        <f>IFERROR(INDEX(الطبخات!$F$2:$F$900,MATCH(95,الطبخات!$G$2:$G$900,0)),"")</f>
        <v/>
      </c>
      <c r="D96" t="str">
        <f>IF($B96="","",COUNTIF('سجل الإنتاج'!$C$2:$C$501,$B96))</f>
        <v/>
      </c>
      <c r="F96">
        <f>IF($A96="","",ROUND(SUMIFS('الصرف المباشر'!$D$2:$D$501,'الصرف المباشر'!$C$2:$C$501,$A96)+SUMPRODUCT((الطبخات!$B$2:$B$900=$A96)*الطبخات!$C$2:$C$900*COUNTIF('سجل الإنتاج'!$C$2:$C$501,الطبخات!$A$2:$A$900)),3))</f>
        <v>0</v>
      </c>
    </row>
    <row r="97" spans="1:6">
      <c r="A97" t="str">
        <f>المواد!A96</f>
        <v>معطر عافية</v>
      </c>
      <c r="B97" t="str">
        <f>IFERROR(INDEX(الطبخات!$F$2:$F$900,MATCH(96,الطبخات!$G$2:$G$900,0)),"")</f>
        <v/>
      </c>
      <c r="D97" t="str">
        <f>IF($B97="","",COUNTIF('سجل الإنتاج'!$C$2:$C$501,$B97))</f>
        <v/>
      </c>
      <c r="F97">
        <f>IF($A97="","",ROUND(SUMIFS('الصرف المباشر'!$D$2:$D$501,'الصرف المباشر'!$C$2:$C$501,$A97)+SUMPRODUCT((الطبخات!$B$2:$B$900=$A97)*الطبخات!$C$2:$C$900*COUNTIF('سجل الإنتاج'!$C$2:$C$501,الطبخات!$A$2:$A$900)),3))</f>
        <v>0</v>
      </c>
    </row>
    <row r="98" spans="1:6">
      <c r="A98" t="str">
        <f>المواد!A97</f>
        <v xml:space="preserve">معطر super / فرط </v>
      </c>
      <c r="B98" t="str">
        <f>IFERROR(INDEX(الطبخات!$F$2:$F$900,MATCH(97,الطبخات!$G$2:$G$900,0)),"")</f>
        <v/>
      </c>
      <c r="D98" t="str">
        <f>IF($B98="","",COUNTIF('سجل الإنتاج'!$C$2:$C$501,$B98))</f>
        <v/>
      </c>
      <c r="F98">
        <f>IF($A98="","",ROUND(SUMIFS('الصرف المباشر'!$D$2:$D$501,'الصرف المباشر'!$C$2:$C$501,$A98)+SUMPRODUCT((الطبخات!$B$2:$B$900=$A98)*الطبخات!$C$2:$C$900*COUNTIF('سجل الإنتاج'!$C$2:$C$501,الطبخات!$A$2:$A$900)),3))</f>
        <v>0</v>
      </c>
    </row>
    <row r="99" spans="1:6">
      <c r="A99" t="str">
        <f>المواد!A98</f>
        <v>معطر super / عبوة 3 لتر</v>
      </c>
      <c r="B99" t="str">
        <f>IFERROR(INDEX(الطبخات!$F$2:$F$900,MATCH(98,الطبخات!$G$2:$G$900,0)),"")</f>
        <v/>
      </c>
      <c r="D99" t="str">
        <f>IF($B99="","",COUNTIF('سجل الإنتاج'!$C$2:$C$501,$B99))</f>
        <v/>
      </c>
      <c r="F99">
        <f>IF($A99="","",ROUND(SUMIFS('الصرف المباشر'!$D$2:$D$501,'الصرف المباشر'!$C$2:$C$501,$A99)+SUMPRODUCT((الطبخات!$B$2:$B$900=$A99)*الطبخات!$C$2:$C$900*COUNTIF('سجل الإنتاج'!$C$2:$C$501,الطبخات!$A$2:$A$900)),3))</f>
        <v>0</v>
      </c>
    </row>
    <row r="100" spans="1:6">
      <c r="A100" t="str">
        <f>المواد!A99</f>
        <v xml:space="preserve">مساحات / نشافات </v>
      </c>
      <c r="B100" t="str">
        <f>IFERROR(INDEX(الطبخات!$F$2:$F$900,MATCH(99,الطبخات!$G$2:$G$900,0)),"")</f>
        <v/>
      </c>
      <c r="D100" t="str">
        <f>IF($B100="","",COUNTIF('سجل الإنتاج'!$C$2:$C$501,$B100))</f>
        <v/>
      </c>
      <c r="F100">
        <f>IF($A100="","",ROUND(SUMIFS('الصرف المباشر'!$D$2:$D$501,'الصرف المباشر'!$C$2:$C$501,$A100)+SUMPRODUCT((الطبخات!$B$2:$B$900=$A100)*الطبخات!$C$2:$C$900*COUNTIF('سجل الإنتاج'!$C$2:$C$501,الطبخات!$A$2:$A$900)),3))</f>
        <v>0</v>
      </c>
    </row>
    <row r="101" spans="1:6">
      <c r="A101" t="str">
        <f>المواد!A100</f>
        <v>محارم مكتب</v>
      </c>
      <c r="B101" t="str">
        <f>IFERROR(INDEX(الطبخات!$F$2:$F$900,MATCH(100,الطبخات!$G$2:$G$900,0)),"")</f>
        <v/>
      </c>
      <c r="D101" t="str">
        <f>IF($B101="","",COUNTIF('سجل الإنتاج'!$C$2:$C$501,$B101))</f>
        <v/>
      </c>
      <c r="F101">
        <f>IF($A101="","",ROUND(SUMIFS('الصرف المباشر'!$D$2:$D$501,'الصرف المباشر'!$C$2:$C$501,$A101)+SUMPRODUCT((الطبخات!$B$2:$B$900=$A101)*الطبخات!$C$2:$C$900*COUNTIF('سجل الإنتاج'!$C$2:$C$501,الطبخات!$A$2:$A$900)),3))</f>
        <v>0</v>
      </c>
    </row>
    <row r="102" spans="1:6">
      <c r="A102" t="str">
        <f>المواد!A101</f>
        <v>محارم تواليت</v>
      </c>
      <c r="B102" t="str">
        <f>IFERROR(INDEX(الطبخات!$F$2:$F$900,MATCH(101,الطبخات!$G$2:$G$900,0)),"")</f>
        <v/>
      </c>
      <c r="D102" t="str">
        <f>IF($B102="","",COUNTIF('سجل الإنتاج'!$C$2:$C$501,$B102))</f>
        <v/>
      </c>
      <c r="F102">
        <f>IF($A102="","",ROUND(SUMIFS('الصرف المباشر'!$D$2:$D$501,'الصرف المباشر'!$C$2:$C$501,$A102)+SUMPRODUCT((الطبخات!$B$2:$B$900=$A102)*الطبخات!$C$2:$C$900*COUNTIF('سجل الإنتاج'!$C$2:$C$501,الطبخات!$A$2:$A$900)),3))</f>
        <v>0</v>
      </c>
    </row>
    <row r="103" spans="1:6">
      <c r="A103" t="str">
        <f>المواد!A102</f>
        <v>محارم الكرزة</v>
      </c>
      <c r="B103" t="str">
        <f>IFERROR(INDEX(الطبخات!$F$2:$F$900,MATCH(102,الطبخات!$G$2:$G$900,0)),"")</f>
        <v/>
      </c>
      <c r="D103" t="str">
        <f>IF($B103="","",COUNTIF('سجل الإنتاج'!$C$2:$C$501,$B103))</f>
        <v/>
      </c>
      <c r="F103">
        <f>IF($A103="","",ROUND(SUMIFS('الصرف المباشر'!$D$2:$D$501,'الصرف المباشر'!$C$2:$C$501,$A103)+SUMPRODUCT((الطبخات!$B$2:$B$900=$A103)*الطبخات!$C$2:$C$900*COUNTIF('سجل الإنتاج'!$C$2:$C$501,الطبخات!$A$2:$A$900)),3))</f>
        <v>0</v>
      </c>
    </row>
    <row r="104" spans="1:6">
      <c r="A104" t="str">
        <f>المواد!A103</f>
        <v>مبيد حشري بار بار</v>
      </c>
      <c r="B104" t="str">
        <f>IFERROR(INDEX(الطبخات!$F$2:$F$900,MATCH(103,الطبخات!$G$2:$G$900,0)),"")</f>
        <v/>
      </c>
      <c r="D104" t="str">
        <f>IF($B104="","",COUNTIF('سجل الإنتاج'!$C$2:$C$501,$B104))</f>
        <v/>
      </c>
      <c r="F104">
        <f>IF($A104="","",ROUND(SUMIFS('الصرف المباشر'!$D$2:$D$501,'الصرف المباشر'!$C$2:$C$501,$A104)+SUMPRODUCT((الطبخات!$B$2:$B$900=$A104)*الطبخات!$C$2:$C$900*COUNTIF('سجل الإنتاج'!$C$2:$C$501,الطبخات!$A$2:$A$900)),3))</f>
        <v>0</v>
      </c>
    </row>
    <row r="105" spans="1:6">
      <c r="A105" t="str">
        <f>المواد!A104</f>
        <v xml:space="preserve">ليف جلي ثلاثية </v>
      </c>
      <c r="B105" t="str">
        <f>IFERROR(INDEX(الطبخات!$F$2:$F$900,MATCH(104,الطبخات!$G$2:$G$900,0)),"")</f>
        <v/>
      </c>
      <c r="D105" t="str">
        <f>IF($B105="","",COUNTIF('سجل الإنتاج'!$C$2:$C$501,$B105))</f>
        <v/>
      </c>
      <c r="F105">
        <f>IF($A105="","",ROUND(SUMIFS('الصرف المباشر'!$D$2:$D$501,'الصرف المباشر'!$C$2:$C$501,$A105)+SUMPRODUCT((الطبخات!$B$2:$B$900=$A105)*الطبخات!$C$2:$C$900*COUNTIF('سجل الإنتاج'!$C$2:$C$501,الطبخات!$A$2:$A$900)),3))</f>
        <v>0</v>
      </c>
    </row>
    <row r="106" spans="1:6">
      <c r="A106" t="str">
        <f>المواد!A105</f>
        <v>ليف اسفنج</v>
      </c>
      <c r="B106" t="str">
        <f>IFERROR(INDEX(الطبخات!$F$2:$F$900,MATCH(105,الطبخات!$G$2:$G$900,0)),"")</f>
        <v/>
      </c>
      <c r="D106" t="str">
        <f>IF($B106="","",COUNTIF('سجل الإنتاج'!$C$2:$C$501,$B106))</f>
        <v/>
      </c>
      <c r="F106">
        <f>IF($A106="","",ROUND(SUMIFS('الصرف المباشر'!$D$2:$D$501,'الصرف المباشر'!$C$2:$C$501,$A106)+SUMPRODUCT((الطبخات!$B$2:$B$900=$A106)*الطبخات!$C$2:$C$900*COUNTIF('سجل الإنتاج'!$C$2:$C$501,الطبخات!$A$2:$A$900)),3))</f>
        <v>0</v>
      </c>
    </row>
    <row r="107" spans="1:6">
      <c r="A107" t="str">
        <f>المواد!A106</f>
        <v>لوح صابون مسك</v>
      </c>
      <c r="B107" t="str">
        <f>IFERROR(INDEX(الطبخات!$F$2:$F$900,MATCH(106,الطبخات!$G$2:$G$900,0)),"")</f>
        <v/>
      </c>
      <c r="D107" t="str">
        <f>IF($B107="","",COUNTIF('سجل الإنتاج'!$C$2:$C$501,$B107))</f>
        <v/>
      </c>
      <c r="F107">
        <f>IF($A107="","",ROUND(SUMIFS('الصرف المباشر'!$D$2:$D$501,'الصرف المباشر'!$C$2:$C$501,$A107)+SUMPRODUCT((الطبخات!$B$2:$B$900=$A107)*الطبخات!$C$2:$C$900*COUNTIF('سجل الإنتاج'!$C$2:$C$501,الطبخات!$A$2:$A$900)),3))</f>
        <v>0</v>
      </c>
    </row>
    <row r="108" spans="1:6">
      <c r="A108" t="str">
        <f>المواد!A107</f>
        <v>لاصق</v>
      </c>
      <c r="B108" t="str">
        <f>IFERROR(INDEX(الطبخات!$F$2:$F$900,MATCH(107,الطبخات!$G$2:$G$900,0)),"")</f>
        <v/>
      </c>
      <c r="D108" t="str">
        <f>IF($B108="","",COUNTIF('سجل الإنتاج'!$C$2:$C$501,$B108))</f>
        <v/>
      </c>
      <c r="F108">
        <f>IF($A108="","",ROUND(SUMIFS('الصرف المباشر'!$D$2:$D$501,'الصرف المباشر'!$C$2:$C$501,$A108)+SUMPRODUCT((الطبخات!$B$2:$B$900=$A108)*الطبخات!$C$2:$C$900*COUNTIF('سجل الإنتاج'!$C$2:$C$501,الطبخات!$A$2:$A$900)),3))</f>
        <v>0</v>
      </c>
    </row>
    <row r="109" spans="1:6">
      <c r="A109" t="str">
        <f>المواد!A108</f>
        <v>كياس نايلون</v>
      </c>
      <c r="B109" t="str">
        <f>IFERROR(INDEX(الطبخات!$F$2:$F$900,MATCH(108,الطبخات!$G$2:$G$900,0)),"")</f>
        <v/>
      </c>
      <c r="D109" t="str">
        <f>IF($B109="","",COUNTIF('سجل الإنتاج'!$C$2:$C$501,$B109))</f>
        <v/>
      </c>
      <c r="F109">
        <f>IF($A109="","",ROUND(SUMIFS('الصرف المباشر'!$D$2:$D$501,'الصرف المباشر'!$C$2:$C$501,$A109)+SUMPRODUCT((الطبخات!$B$2:$B$900=$A109)*الطبخات!$C$2:$C$900*COUNTIF('سجل الإنتاج'!$C$2:$C$501,الطبخات!$A$2:$A$900)),3))</f>
        <v>0</v>
      </c>
    </row>
    <row r="110" spans="1:6">
      <c r="A110" t="str">
        <f>المواد!A109</f>
        <v>كياس قمامة</v>
      </c>
      <c r="B110" t="str">
        <f>IFERROR(INDEX(الطبخات!$F$2:$F$900,MATCH(109,الطبخات!$G$2:$G$900,0)),"")</f>
        <v/>
      </c>
      <c r="D110" t="str">
        <f>IF($B110="","",COUNTIF('سجل الإنتاج'!$C$2:$C$501,$B110))</f>
        <v/>
      </c>
      <c r="F110">
        <f>IF($A110="","",ROUND(SUMIFS('الصرف المباشر'!$D$2:$D$501,'الصرف المباشر'!$C$2:$C$501,$A110)+SUMPRODUCT((الطبخات!$B$2:$B$900=$A110)*الطبخات!$C$2:$C$900*COUNTIF('سجل الإنتاج'!$C$2:$C$501,الطبخات!$A$2:$A$900)),3))</f>
        <v>0</v>
      </c>
    </row>
    <row r="111" spans="1:6">
      <c r="A111" t="str">
        <f>المواد!A110</f>
        <v>كمامات</v>
      </c>
      <c r="B111" t="str">
        <f>IFERROR(INDEX(الطبخات!$F$2:$F$900,MATCH(110,الطبخات!$G$2:$G$900,0)),"")</f>
        <v/>
      </c>
      <c r="D111" t="str">
        <f>IF($B111="","",COUNTIF('سجل الإنتاج'!$C$2:$C$501,$B111))</f>
        <v/>
      </c>
      <c r="F111">
        <f>IF($A111="","",ROUND(SUMIFS('الصرف المباشر'!$D$2:$D$501,'الصرف المباشر'!$C$2:$C$501,$A111)+SUMPRODUCT((الطبخات!$B$2:$B$900=$A111)*الطبخات!$C$2:$C$900*COUNTIF('سجل الإنتاج'!$C$2:$C$501,الطبخات!$A$2:$A$900)),3))</f>
        <v>0</v>
      </c>
    </row>
    <row r="112" spans="1:6">
      <c r="A112" t="str">
        <f>المواد!A111</f>
        <v>كلور 4 لتر</v>
      </c>
      <c r="B112" t="str">
        <f>IFERROR(INDEX(الطبخات!$F$2:$F$900,MATCH(111,الطبخات!$G$2:$G$900,0)),"")</f>
        <v/>
      </c>
      <c r="D112" t="str">
        <f>IF($B112="","",COUNTIF('سجل الإنتاج'!$C$2:$C$501,$B112))</f>
        <v/>
      </c>
      <c r="F112">
        <f>IF($A112="","",ROUND(SUMIFS('الصرف المباشر'!$D$2:$D$501,'الصرف المباشر'!$C$2:$C$501,$A112)+SUMPRODUCT((الطبخات!$B$2:$B$900=$A112)*الطبخات!$C$2:$C$900*COUNTIF('سجل الإنتاج'!$C$2:$C$501,الطبخات!$A$2:$A$900)),3))</f>
        <v>0</v>
      </c>
    </row>
    <row r="113" spans="1:6">
      <c r="A113" t="str">
        <f>المواد!A112</f>
        <v>كلور 1 لتر</v>
      </c>
      <c r="B113" t="str">
        <f>IFERROR(INDEX(الطبخات!$F$2:$F$900,MATCH(112,الطبخات!$G$2:$G$900,0)),"")</f>
        <v/>
      </c>
      <c r="D113" t="str">
        <f>IF($B113="","",COUNTIF('سجل الإنتاج'!$C$2:$C$501,$B113))</f>
        <v/>
      </c>
      <c r="F113">
        <f>IF($A113="","",ROUND(SUMIFS('الصرف المباشر'!$D$2:$D$501,'الصرف المباشر'!$C$2:$C$501,$A113)+SUMPRODUCT((الطبخات!$B$2:$B$900=$A113)*الطبخات!$C$2:$C$900*COUNTIF('سجل الإنتاج'!$C$2:$C$501,الطبخات!$A$2:$A$900)),3))</f>
        <v>0</v>
      </c>
    </row>
    <row r="114" spans="1:6">
      <c r="A114" t="str">
        <f>المواد!A113</f>
        <v xml:space="preserve">كلور / فرط </v>
      </c>
      <c r="B114" t="str">
        <f>IFERROR(INDEX(الطبخات!$F$2:$F$900,MATCH(113,الطبخات!$G$2:$G$900,0)),"")</f>
        <v/>
      </c>
      <c r="D114" t="str">
        <f>IF($B114="","",COUNTIF('سجل الإنتاج'!$C$2:$C$501,$B114))</f>
        <v/>
      </c>
      <c r="F114">
        <f>IF($A114="","",ROUND(SUMIFS('الصرف المباشر'!$D$2:$D$501,'الصرف المباشر'!$C$2:$C$501,$A114)+SUMPRODUCT((الطبخات!$B$2:$B$900=$A114)*الطبخات!$C$2:$C$900*COUNTIF('سجل الإنتاج'!$C$2:$C$501,الطبخات!$A$2:$A$900)),3))</f>
        <v>0</v>
      </c>
    </row>
    <row r="115" spans="1:6">
      <c r="A115" t="str">
        <f>المواد!A114</f>
        <v>كفوف نايلون</v>
      </c>
      <c r="B115" t="str">
        <f>IFERROR(INDEX(الطبخات!$F$2:$F$900,MATCH(114,الطبخات!$G$2:$G$900,0)),"")</f>
        <v/>
      </c>
      <c r="D115" t="str">
        <f>IF($B115="","",COUNTIF('سجل الإنتاج'!$C$2:$C$501,$B115))</f>
        <v/>
      </c>
      <c r="F115">
        <f>IF($A115="","",ROUND(SUMIFS('الصرف المباشر'!$D$2:$D$501,'الصرف المباشر'!$C$2:$C$501,$A115)+SUMPRODUCT((الطبخات!$B$2:$B$900=$A115)*الطبخات!$C$2:$C$900*COUNTIF('سجل الإنتاج'!$C$2:$C$501,الطبخات!$A$2:$A$900)),3))</f>
        <v>0</v>
      </c>
    </row>
    <row r="116" spans="1:6">
      <c r="A116" t="str">
        <f>المواد!A115</f>
        <v>كفوف طبية</v>
      </c>
      <c r="B116" t="str">
        <f>IFERROR(INDEX(الطبخات!$F$2:$F$900,MATCH(115,الطبخات!$G$2:$G$900,0)),"")</f>
        <v/>
      </c>
      <c r="D116" t="str">
        <f>IF($B116="","",COUNTIF('سجل الإنتاج'!$C$2:$C$501,$B116))</f>
        <v/>
      </c>
      <c r="F116">
        <f>IF($A116="","",ROUND(SUMIFS('الصرف المباشر'!$D$2:$D$501,'الصرف المباشر'!$C$2:$C$501,$A116)+SUMPRODUCT((الطبخات!$B$2:$B$900=$A116)*الطبخات!$C$2:$C$900*COUNTIF('سجل الإنتاج'!$C$2:$C$501,الطبخات!$A$2:$A$900)),3))</f>
        <v>0</v>
      </c>
    </row>
    <row r="117" spans="1:6">
      <c r="A117" t="str">
        <f>المواد!A116</f>
        <v>كفوف صناعية</v>
      </c>
      <c r="B117" t="str">
        <f>IFERROR(INDEX(الطبخات!$F$2:$F$900,MATCH(116,الطبخات!$G$2:$G$900,0)),"")</f>
        <v/>
      </c>
      <c r="D117" t="str">
        <f>IF($B117="","",COUNTIF('سجل الإنتاج'!$C$2:$C$501,$B117))</f>
        <v/>
      </c>
      <c r="F117">
        <f>IF($A117="","",ROUND(SUMIFS('الصرف المباشر'!$D$2:$D$501,'الصرف المباشر'!$C$2:$C$501,$A117)+SUMPRODUCT((الطبخات!$B$2:$B$900=$A117)*الطبخات!$C$2:$C$900*COUNTIF('سجل الإنتاج'!$C$2:$C$501,الطبخات!$A$2:$A$900)),3))</f>
        <v>0</v>
      </c>
    </row>
    <row r="118" spans="1:6">
      <c r="A118" t="str">
        <f>المواد!A117</f>
        <v>كفوف جلي</v>
      </c>
      <c r="B118" t="str">
        <f>IFERROR(INDEX(الطبخات!$F$2:$F$900,MATCH(117,الطبخات!$G$2:$G$900,0)),"")</f>
        <v/>
      </c>
      <c r="D118" t="str">
        <f>IF($B118="","",COUNTIF('سجل الإنتاج'!$C$2:$C$501,$B118))</f>
        <v/>
      </c>
      <c r="F118">
        <f>IF($A118="","",ROUND(SUMIFS('الصرف المباشر'!$D$2:$D$501,'الصرف المباشر'!$C$2:$C$501,$A118)+SUMPRODUCT((الطبخات!$B$2:$B$900=$A118)*الطبخات!$C$2:$C$900*COUNTIF('سجل الإنتاج'!$C$2:$C$501,الطبخات!$A$2:$A$900)),3))</f>
        <v>0</v>
      </c>
    </row>
    <row r="119" spans="1:6">
      <c r="A119" t="str">
        <f>المواد!A118</f>
        <v>كاسات شاي صغيرة 17 *6</v>
      </c>
      <c r="B119" t="str">
        <f>IFERROR(INDEX(الطبخات!$F$2:$F$900,MATCH(118,الطبخات!$G$2:$G$900,0)),"")</f>
        <v/>
      </c>
      <c r="D119" t="str">
        <f>IF($B119="","",COUNTIF('سجل الإنتاج'!$C$2:$C$501,$B119))</f>
        <v/>
      </c>
      <c r="F119">
        <f>IF($A119="","",ROUND(SUMIFS('الصرف المباشر'!$D$2:$D$501,'الصرف المباشر'!$C$2:$C$501,$A119)+SUMPRODUCT((الطبخات!$B$2:$B$900=$A119)*الطبخات!$C$2:$C$900*COUNTIF('سجل الإنتاج'!$C$2:$C$501,الطبخات!$A$2:$A$900)),3))</f>
        <v>0</v>
      </c>
    </row>
    <row r="120" spans="1:6">
      <c r="A120" t="str">
        <f>المواد!A119</f>
        <v>قاشط سيارات / فرط</v>
      </c>
      <c r="B120" t="str">
        <f>IFERROR(INDEX(الطبخات!$F$2:$F$900,MATCH(119,الطبخات!$G$2:$G$900,0)),"")</f>
        <v/>
      </c>
      <c r="D120" t="str">
        <f>IF($B120="","",COUNTIF('سجل الإنتاج'!$C$2:$C$501,$B120))</f>
        <v/>
      </c>
      <c r="F120">
        <f>IF($A120="","",ROUND(SUMIFS('الصرف المباشر'!$D$2:$D$501,'الصرف المباشر'!$C$2:$C$501,$A120)+SUMPRODUCT((الطبخات!$B$2:$B$900=$A120)*الطبخات!$C$2:$C$900*COUNTIF('سجل الإنتاج'!$C$2:$C$501,الطبخات!$A$2:$A$900)),3))</f>
        <v>0</v>
      </c>
    </row>
    <row r="121" spans="1:6">
      <c r="A121" t="str">
        <f>المواد!A120</f>
        <v xml:space="preserve">قاشط المينيوم - ساندي / فرط </v>
      </c>
      <c r="B121" t="str">
        <f>IFERROR(INDEX(الطبخات!$F$2:$F$900,MATCH(120,الطبخات!$G$2:$G$900,0)),"")</f>
        <v/>
      </c>
      <c r="D121" t="str">
        <f>IF($B121="","",COUNTIF('سجل الإنتاج'!$C$2:$C$501,$B121))</f>
        <v/>
      </c>
      <c r="F121">
        <f>IF($A121="","",ROUND(SUMIFS('الصرف المباشر'!$D$2:$D$501,'الصرف المباشر'!$C$2:$C$501,$A121)+SUMPRODUCT((الطبخات!$B$2:$B$900=$A121)*الطبخات!$C$2:$C$900*COUNTIF('سجل الإنتاج'!$C$2:$C$501,الطبخات!$A$2:$A$900)),3))</f>
        <v>0</v>
      </c>
    </row>
    <row r="122" spans="1:6">
      <c r="A122" t="str">
        <f>المواد!A121</f>
        <v>قاشط  المينيوم 3 لتر</v>
      </c>
      <c r="B122" t="str">
        <f>IFERROR(INDEX(الطبخات!$F$2:$F$900,MATCH(121,الطبخات!$G$2:$G$900,0)),"")</f>
        <v/>
      </c>
      <c r="D122" t="str">
        <f>IF($B122="","",COUNTIF('سجل الإنتاج'!$C$2:$C$501,$B122))</f>
        <v/>
      </c>
      <c r="F122">
        <f>IF($A122="","",ROUND(SUMIFS('الصرف المباشر'!$D$2:$D$501,'الصرف المباشر'!$C$2:$C$501,$A122)+SUMPRODUCT((الطبخات!$B$2:$B$900=$A122)*الطبخات!$C$2:$C$900*COUNTIF('سجل الإنتاج'!$C$2:$C$501,الطبخات!$A$2:$A$900)),3))</f>
        <v>0</v>
      </c>
    </row>
    <row r="123" spans="1:6">
      <c r="A123" t="str">
        <f>المواد!A122</f>
        <v xml:space="preserve">فلاش 4 لتر </v>
      </c>
      <c r="B123" t="str">
        <f>IFERROR(INDEX(الطبخات!$F$2:$F$900,MATCH(122,الطبخات!$G$2:$G$900,0)),"")</f>
        <v/>
      </c>
      <c r="D123" t="str">
        <f>IF($B123="","",COUNTIF('سجل الإنتاج'!$C$2:$C$501,$B123))</f>
        <v/>
      </c>
      <c r="F123">
        <f>IF($A123="","",ROUND(SUMIFS('الصرف المباشر'!$D$2:$D$501,'الصرف المباشر'!$C$2:$C$501,$A123)+SUMPRODUCT((الطبخات!$B$2:$B$900=$A123)*الطبخات!$C$2:$C$900*COUNTIF('سجل الإنتاج'!$C$2:$C$501,الطبخات!$A$2:$A$900)),3))</f>
        <v>0</v>
      </c>
    </row>
    <row r="124" spans="1:6">
      <c r="A124" t="str">
        <f>المواد!A123</f>
        <v>فلاش / فرط</v>
      </c>
      <c r="B124" t="str">
        <f>IFERROR(INDEX(الطبخات!$F$2:$F$900,MATCH(123,الطبخات!$G$2:$G$900,0)),"")</f>
        <v/>
      </c>
      <c r="D124" t="str">
        <f>IF($B124="","",COUNTIF('سجل الإنتاج'!$C$2:$C$501,$B124))</f>
        <v/>
      </c>
      <c r="F124">
        <f>IF($A124="","",ROUND(SUMIFS('الصرف المباشر'!$D$2:$D$501,'الصرف المباشر'!$C$2:$C$501,$A124)+SUMPRODUCT((الطبخات!$B$2:$B$900=$A124)*الطبخات!$C$2:$C$900*COUNTIF('سجل الإنتاج'!$C$2:$C$501,الطبخات!$A$2:$A$900)),3))</f>
        <v>0</v>
      </c>
    </row>
    <row r="125" spans="1:6">
      <c r="A125" t="str">
        <f>المواد!A124</f>
        <v>فرشاية بسط</v>
      </c>
      <c r="B125" t="str">
        <f>IFERROR(INDEX(الطبخات!$F$2:$F$900,MATCH(124,الطبخات!$G$2:$G$900,0)),"")</f>
        <v/>
      </c>
      <c r="D125" t="str">
        <f>IF($B125="","",COUNTIF('سجل الإنتاج'!$C$2:$C$501,$B125))</f>
        <v/>
      </c>
      <c r="F125">
        <f>IF($A125="","",ROUND(SUMIFS('الصرف المباشر'!$D$2:$D$501,'الصرف المباشر'!$C$2:$C$501,$A125)+SUMPRODUCT((الطبخات!$B$2:$B$900=$A125)*الطبخات!$C$2:$C$900*COUNTIF('سجل الإنتاج'!$C$2:$C$501,الطبخات!$A$2:$A$900)),3))</f>
        <v>0</v>
      </c>
    </row>
    <row r="126" spans="1:6">
      <c r="A126" t="str">
        <f>المواد!A125</f>
        <v>فرشاة حمام</v>
      </c>
      <c r="B126" t="str">
        <f>IFERROR(INDEX(الطبخات!$F$2:$F$900,MATCH(125,الطبخات!$G$2:$G$900,0)),"")</f>
        <v/>
      </c>
      <c r="D126" t="str">
        <f>IF($B126="","",COUNTIF('سجل الإنتاج'!$C$2:$C$501,$B126))</f>
        <v/>
      </c>
      <c r="F126">
        <f>IF($A126="","",ROUND(SUMIFS('الصرف المباشر'!$D$2:$D$501,'الصرف المباشر'!$C$2:$C$501,$A126)+SUMPRODUCT((الطبخات!$B$2:$B$900=$A126)*الطبخات!$C$2:$C$900*COUNTIF('سجل الإنتاج'!$C$2:$C$501,الطبخات!$A$2:$A$900)),3))</f>
        <v>0</v>
      </c>
    </row>
    <row r="127" spans="1:6">
      <c r="A127" t="str">
        <f>المواد!A126</f>
        <v xml:space="preserve">فاربن مزيل شعر </v>
      </c>
      <c r="B127" t="str">
        <f>IFERROR(INDEX(الطبخات!$F$2:$F$900,MATCH(126,الطبخات!$G$2:$G$900,0)),"")</f>
        <v/>
      </c>
      <c r="D127" t="str">
        <f>IF($B127="","",COUNTIF('سجل الإنتاج'!$C$2:$C$501,$B127))</f>
        <v/>
      </c>
      <c r="F127">
        <f>IF($A127="","",ROUND(SUMIFS('الصرف المباشر'!$D$2:$D$501,'الصرف المباشر'!$C$2:$C$501,$A127)+SUMPRODUCT((الطبخات!$B$2:$B$900=$A127)*الطبخات!$C$2:$C$900*COUNTIF('سجل الإنتاج'!$C$2:$C$501,الطبخات!$A$2:$A$900)),3))</f>
        <v>0</v>
      </c>
    </row>
    <row r="128" spans="1:6">
      <c r="A128" t="str">
        <f>المواد!A127</f>
        <v>عملاق 3 لتر</v>
      </c>
      <c r="B128" t="str">
        <f>IFERROR(INDEX(الطبخات!$F$2:$F$900,MATCH(127,الطبخات!$G$2:$G$900,0)),"")</f>
        <v/>
      </c>
      <c r="D128" t="str">
        <f>IF($B128="","",COUNTIF('سجل الإنتاج'!$C$2:$C$501,$B128))</f>
        <v/>
      </c>
      <c r="F128">
        <f>IF($A128="","",ROUND(SUMIFS('الصرف المباشر'!$D$2:$D$501,'الصرف المباشر'!$C$2:$C$501,$A128)+SUMPRODUCT((الطبخات!$B$2:$B$900=$A128)*الطبخات!$C$2:$C$900*COUNTIF('سجل الإنتاج'!$C$2:$C$501,الطبخات!$A$2:$A$900)),3))</f>
        <v>0</v>
      </c>
    </row>
    <row r="129" spans="1:6">
      <c r="A129" t="str">
        <f>المواد!A128</f>
        <v xml:space="preserve">عملاق </v>
      </c>
      <c r="B129" t="str">
        <f>IFERROR(INDEX(الطبخات!$F$2:$F$900,MATCH(128,الطبخات!$G$2:$G$900,0)),"")</f>
        <v/>
      </c>
      <c r="D129" t="str">
        <f>IF($B129="","",COUNTIF('سجل الإنتاج'!$C$2:$C$501,$B129))</f>
        <v/>
      </c>
      <c r="F129">
        <f>IF($A129="","",ROUND(SUMIFS('الصرف المباشر'!$D$2:$D$501,'الصرف المباشر'!$C$2:$C$501,$A129)+SUMPRODUCT((الطبخات!$B$2:$B$900=$A129)*الطبخات!$C$2:$C$900*COUNTIF('سجل الإنتاج'!$C$2:$C$501,الطبخات!$A$2:$A$900)),3))</f>
        <v>0</v>
      </c>
    </row>
    <row r="130" spans="1:6">
      <c r="A130" t="str">
        <f>المواد!A129</f>
        <v>عصايات</v>
      </c>
      <c r="B130" t="str">
        <f>IFERROR(INDEX(الطبخات!$F$2:$F$900,MATCH(129,الطبخات!$G$2:$G$900,0)),"")</f>
        <v/>
      </c>
      <c r="D130" t="str">
        <f>IF($B130="","",COUNTIF('سجل الإنتاج'!$C$2:$C$501,$B130))</f>
        <v/>
      </c>
      <c r="F130">
        <f>IF($A130="","",ROUND(SUMIFS('الصرف المباشر'!$D$2:$D$501,'الصرف المباشر'!$C$2:$C$501,$A130)+SUMPRODUCT((الطبخات!$B$2:$B$900=$A130)*الطبخات!$C$2:$C$900*COUNTIF('سجل الإنتاج'!$C$2:$C$501,الطبخات!$A$2:$A$900)),3))</f>
        <v>0</v>
      </c>
    </row>
    <row r="131" spans="1:6">
      <c r="A131" t="str">
        <f>المواد!A130</f>
        <v>طواقي راس</v>
      </c>
      <c r="B131" t="str">
        <f>IFERROR(INDEX(الطبخات!$F$2:$F$900,MATCH(130,الطبخات!$G$2:$G$900,0)),"")</f>
        <v/>
      </c>
      <c r="D131" t="str">
        <f>IF($B131="","",COUNTIF('سجل الإنتاج'!$C$2:$C$501,$B131))</f>
        <v/>
      </c>
      <c r="F131">
        <f>IF($A131="","",ROUND(SUMIFS('الصرف المباشر'!$D$2:$D$501,'الصرف المباشر'!$C$2:$C$501,$A131)+SUMPRODUCT((الطبخات!$B$2:$B$900=$A131)*الطبخات!$C$2:$C$900*COUNTIF('سجل الإنتاج'!$C$2:$C$501,الطبخات!$A$2:$A$900)),3))</f>
        <v>0</v>
      </c>
    </row>
    <row r="132" spans="1:6">
      <c r="A132" t="str">
        <f>المواد!A131</f>
        <v>صابون كرمل</v>
      </c>
      <c r="B132" t="str">
        <f>IFERROR(INDEX(الطبخات!$F$2:$F$900,MATCH(131,الطبخات!$G$2:$G$900,0)),"")</f>
        <v/>
      </c>
      <c r="D132" t="str">
        <f>IF($B132="","",COUNTIF('سجل الإنتاج'!$C$2:$C$501,$B132))</f>
        <v/>
      </c>
      <c r="F132">
        <f>IF($A132="","",ROUND(SUMIFS('الصرف المباشر'!$D$2:$D$501,'الصرف المباشر'!$C$2:$C$501,$A132)+SUMPRODUCT((الطبخات!$B$2:$B$900=$A132)*الطبخات!$C$2:$C$900*COUNTIF('سجل الإنتاج'!$C$2:$C$501,الطبخات!$A$2:$A$900)),3))</f>
        <v>0</v>
      </c>
    </row>
    <row r="133" spans="1:6">
      <c r="A133" t="str">
        <f>المواد!A132</f>
        <v xml:space="preserve">صابون super / فرط </v>
      </c>
      <c r="B133" t="str">
        <f>IFERROR(INDEX(الطبخات!$F$2:$F$900,MATCH(132,الطبخات!$G$2:$G$900,0)),"")</f>
        <v/>
      </c>
      <c r="D133" t="str">
        <f>IF($B133="","",COUNTIF('سجل الإنتاج'!$C$2:$C$501,$B133))</f>
        <v/>
      </c>
      <c r="F133">
        <f>IF($A133="","",ROUND(SUMIFS('الصرف المباشر'!$D$2:$D$501,'الصرف المباشر'!$C$2:$C$501,$A133)+SUMPRODUCT((الطبخات!$B$2:$B$900=$A133)*الطبخات!$C$2:$C$900*COUNTIF('سجل الإنتاج'!$C$2:$C$501,الطبخات!$A$2:$A$900)),3))</f>
        <v>0</v>
      </c>
    </row>
    <row r="134" spans="1:6">
      <c r="A134" t="str">
        <f>المواد!A133</f>
        <v>صابون super / عبوة 3 لتر</v>
      </c>
      <c r="B134" t="str">
        <f>IFERROR(INDEX(الطبخات!$F$2:$F$900,MATCH(133,الطبخات!$G$2:$G$900,0)),"")</f>
        <v/>
      </c>
      <c r="D134" t="str">
        <f>IF($B134="","",COUNTIF('سجل الإنتاج'!$C$2:$C$501,$B134))</f>
        <v/>
      </c>
      <c r="F134">
        <f>IF($A134="","",ROUND(SUMIFS('الصرف المباشر'!$D$2:$D$501,'الصرف المباشر'!$C$2:$C$501,$A134)+SUMPRODUCT((الطبخات!$B$2:$B$900=$A134)*الطبخات!$C$2:$C$900*COUNTIF('سجل الإنتاج'!$C$2:$C$501,الطبخات!$A$2:$A$900)),3))</f>
        <v>0</v>
      </c>
    </row>
    <row r="135" spans="1:6">
      <c r="A135" t="str">
        <f>المواد!A134</f>
        <v>شامبو سيارات</v>
      </c>
      <c r="B135" t="str">
        <f>IFERROR(INDEX(الطبخات!$F$2:$F$900,MATCH(134,الطبخات!$G$2:$G$900,0)),"")</f>
        <v/>
      </c>
      <c r="D135" t="str">
        <f>IF($B135="","",COUNTIF('سجل الإنتاج'!$C$2:$C$501,$B135))</f>
        <v/>
      </c>
      <c r="F135">
        <f>IF($A135="","",ROUND(SUMIFS('الصرف المباشر'!$D$2:$D$501,'الصرف المباشر'!$C$2:$C$501,$A135)+SUMPRODUCT((الطبخات!$B$2:$B$900=$A135)*الطبخات!$C$2:$C$900*COUNTIF('سجل الإنتاج'!$C$2:$C$501,الطبخات!$A$2:$A$900)),3))</f>
        <v>0</v>
      </c>
    </row>
    <row r="136" spans="1:6">
      <c r="A136" t="str">
        <f>المواد!A135</f>
        <v>شامبو 3 لتر</v>
      </c>
      <c r="B136" t="str">
        <f>IFERROR(INDEX(الطبخات!$F$2:$F$900,MATCH(135,الطبخات!$G$2:$G$900,0)),"")</f>
        <v/>
      </c>
      <c r="D136" t="str">
        <f>IF($B136="","",COUNTIF('سجل الإنتاج'!$C$2:$C$501,$B136))</f>
        <v/>
      </c>
      <c r="F136">
        <f>IF($A136="","",ROUND(SUMIFS('الصرف المباشر'!$D$2:$D$501,'الصرف المباشر'!$C$2:$C$501,$A136)+SUMPRODUCT((الطبخات!$B$2:$B$900=$A136)*الطبخات!$C$2:$C$900*COUNTIF('سجل الإنتاج'!$C$2:$C$501,الطبخات!$A$2:$A$900)),3))</f>
        <v>0</v>
      </c>
    </row>
    <row r="137" spans="1:6">
      <c r="A137" t="str">
        <f>المواد!A136</f>
        <v xml:space="preserve">شامبو </v>
      </c>
      <c r="B137" t="str">
        <f>IFERROR(INDEX(الطبخات!$F$2:$F$900,MATCH(136,الطبخات!$G$2:$G$900,0)),"")</f>
        <v/>
      </c>
      <c r="D137" t="str">
        <f>IF($B137="","",COUNTIF('سجل الإنتاج'!$C$2:$C$501,$B137))</f>
        <v/>
      </c>
      <c r="F137">
        <f>IF($A137="","",ROUND(SUMIFS('الصرف المباشر'!$D$2:$D$501,'الصرف المباشر'!$C$2:$C$501,$A137)+SUMPRODUCT((الطبخات!$B$2:$B$900=$A137)*الطبخات!$C$2:$C$900*COUNTIF('سجل الإنتاج'!$C$2:$C$501,الطبخات!$A$2:$A$900)),3))</f>
        <v>0</v>
      </c>
    </row>
    <row r="138" spans="1:6">
      <c r="A138" t="str">
        <f>المواد!A137</f>
        <v>سيف عائلاتي</v>
      </c>
      <c r="B138" t="str">
        <f>IFERROR(INDEX(الطبخات!$F$2:$F$900,MATCH(137,الطبخات!$G$2:$G$900,0)),"")</f>
        <v/>
      </c>
      <c r="D138" t="str">
        <f>IF($B138="","",COUNTIF('سجل الإنتاج'!$C$2:$C$501,$B138))</f>
        <v/>
      </c>
      <c r="F138">
        <f>IF($A138="","",ROUND(SUMIFS('الصرف المباشر'!$D$2:$D$501,'الصرف المباشر'!$C$2:$C$501,$A138)+SUMPRODUCT((الطبخات!$B$2:$B$900=$A138)*الطبخات!$C$2:$C$900*COUNTIF('سجل الإنتاج'!$C$2:$C$501,الطبخات!$A$2:$A$900)),3))</f>
        <v>0</v>
      </c>
    </row>
    <row r="139" spans="1:6">
      <c r="A139" t="str">
        <f>المواد!A138</f>
        <v xml:space="preserve">سيف بريفيت </v>
      </c>
      <c r="B139" t="str">
        <f>IFERROR(INDEX(الطبخات!$F$2:$F$900,MATCH(138,الطبخات!$G$2:$G$900,0)),"")</f>
        <v/>
      </c>
      <c r="D139" t="str">
        <f>IF($B139="","",COUNTIF('سجل الإنتاج'!$C$2:$C$501,$B139))</f>
        <v/>
      </c>
      <c r="F139">
        <f>IF($A139="","",ROUND(SUMIFS('الصرف المباشر'!$D$2:$D$501,'الصرف المباشر'!$C$2:$C$501,$A139)+SUMPRODUCT((الطبخات!$B$2:$B$900=$A139)*الطبخات!$C$2:$C$900*COUNTIF('سجل الإنتاج'!$C$2:$C$501,الطبخات!$A$2:$A$900)),3))</f>
        <v>0</v>
      </c>
    </row>
    <row r="140" spans="1:6">
      <c r="A140" t="str">
        <f>المواد!A139</f>
        <v>سيف برلنت</v>
      </c>
      <c r="B140" t="str">
        <f>IFERROR(INDEX(الطبخات!$F$2:$F$900,MATCH(139,الطبخات!$G$2:$G$900,0)),"")</f>
        <v/>
      </c>
      <c r="D140" t="str">
        <f>IF($B140="","",COUNTIF('سجل الإنتاج'!$C$2:$C$501,$B140))</f>
        <v/>
      </c>
      <c r="F140">
        <f>IF($A140="","",ROUND(SUMIFS('الصرف المباشر'!$D$2:$D$501,'الصرف المباشر'!$C$2:$C$501,$A140)+SUMPRODUCT((الطبخات!$B$2:$B$900=$A140)*الطبخات!$C$2:$C$900*COUNTIF('سجل الإنتاج'!$C$2:$C$501,الطبخات!$A$2:$A$900)),3))</f>
        <v>0</v>
      </c>
    </row>
    <row r="141" spans="1:6">
      <c r="A141" t="str">
        <f>المواد!A140</f>
        <v>سيف الكرار نخب اول</v>
      </c>
      <c r="B141" t="str">
        <f>IFERROR(INDEX(الطبخات!$F$2:$F$900,MATCH(140,الطبخات!$G$2:$G$900,0)),"")</f>
        <v/>
      </c>
      <c r="D141" t="str">
        <f>IF($B141="","",COUNTIF('سجل الإنتاج'!$C$2:$C$501,$B141))</f>
        <v/>
      </c>
      <c r="F141">
        <f>IF($A141="","",ROUND(SUMIFS('الصرف المباشر'!$D$2:$D$501,'الصرف المباشر'!$C$2:$C$501,$A141)+SUMPRODUCT((الطبخات!$B$2:$B$900=$A141)*الطبخات!$C$2:$C$900*COUNTIF('سجل الإنتاج'!$C$2:$C$501,الطبخات!$A$2:$A$900)),3))</f>
        <v>0</v>
      </c>
    </row>
    <row r="142" spans="1:6">
      <c r="A142" t="str">
        <f>المواد!A141</f>
        <v>سيف الكرار 2602</v>
      </c>
      <c r="B142" t="str">
        <f>IFERROR(INDEX(الطبخات!$F$2:$F$900,MATCH(141,الطبخات!$G$2:$G$900,0)),"")</f>
        <v/>
      </c>
      <c r="D142" t="str">
        <f>IF($B142="","",COUNTIF('سجل الإنتاج'!$C$2:$C$501,$B142))</f>
        <v/>
      </c>
      <c r="F142">
        <f>IF($A142="","",ROUND(SUMIFS('الصرف المباشر'!$D$2:$D$501,'الصرف المباشر'!$C$2:$C$501,$A142)+SUMPRODUCT((الطبخات!$B$2:$B$900=$A142)*الطبخات!$C$2:$C$900*COUNTIF('سجل الإنتاج'!$C$2:$C$501,الطبخات!$A$2:$A$900)),3))</f>
        <v>0</v>
      </c>
    </row>
    <row r="143" spans="1:6">
      <c r="A143" t="str">
        <f>المواد!A142</f>
        <v>سلة غسيل</v>
      </c>
      <c r="B143" t="str">
        <f>IFERROR(INDEX(الطبخات!$F$2:$F$900,MATCH(142,الطبخات!$G$2:$G$900,0)),"")</f>
        <v/>
      </c>
      <c r="D143" t="str">
        <f>IF($B143="","",COUNTIF('سجل الإنتاج'!$C$2:$C$501,$B143))</f>
        <v/>
      </c>
      <c r="F143">
        <f>IF($A143="","",ROUND(SUMIFS('الصرف المباشر'!$D$2:$D$501,'الصرف المباشر'!$C$2:$C$501,$A143)+SUMPRODUCT((الطبخات!$B$2:$B$900=$A143)*الطبخات!$C$2:$C$900*COUNTIF('سجل الإنتاج'!$C$2:$C$501,الطبخات!$A$2:$A$900)),3))</f>
        <v>0</v>
      </c>
    </row>
    <row r="144" spans="1:6">
      <c r="A144" t="str">
        <f>المواد!A143</f>
        <v>سائل مغسل</v>
      </c>
      <c r="B144" t="str">
        <f>IFERROR(INDEX(الطبخات!$F$2:$F$900,MATCH(143,الطبخات!$G$2:$G$900,0)),"")</f>
        <v/>
      </c>
      <c r="D144" t="str">
        <f>IF($B144="","",COUNTIF('سجل الإنتاج'!$C$2:$C$501,$B144))</f>
        <v/>
      </c>
      <c r="F144">
        <f>IF($A144="","",ROUND(SUMIFS('الصرف المباشر'!$D$2:$D$501,'الصرف المباشر'!$C$2:$C$501,$A144)+SUMPRODUCT((الطبخات!$B$2:$B$900=$A144)*الطبخات!$C$2:$C$900*COUNTIF('سجل الإنتاج'!$C$2:$C$501,الطبخات!$A$2:$A$900)),3))</f>
        <v>0</v>
      </c>
    </row>
    <row r="145" spans="1:6">
      <c r="A145" t="str">
        <f>المواد!A144</f>
        <v>سائل غسيل زهري</v>
      </c>
      <c r="B145" t="str">
        <f>IFERROR(INDEX(الطبخات!$F$2:$F$900,MATCH(144,الطبخات!$G$2:$G$900,0)),"")</f>
        <v/>
      </c>
      <c r="D145" t="str">
        <f>IF($B145="","",COUNTIF('سجل الإنتاج'!$C$2:$C$501,$B145))</f>
        <v/>
      </c>
      <c r="F145">
        <f>IF($A145="","",ROUND(SUMIFS('الصرف المباشر'!$D$2:$D$501,'الصرف المباشر'!$C$2:$C$501,$A145)+SUMPRODUCT((الطبخات!$B$2:$B$900=$A145)*الطبخات!$C$2:$C$900*COUNTIF('سجل الإنتاج'!$C$2:$C$501,الطبخات!$A$2:$A$900)),3))</f>
        <v>0</v>
      </c>
    </row>
    <row r="146" spans="1:6">
      <c r="A146" t="str">
        <f>المواد!A145</f>
        <v>سائل غسيل اتوماتيك 3 لتر</v>
      </c>
      <c r="B146" t="str">
        <f>IFERROR(INDEX(الطبخات!$F$2:$F$900,MATCH(145,الطبخات!$G$2:$G$900,0)),"")</f>
        <v/>
      </c>
      <c r="D146" t="str">
        <f>IF($B146="","",COUNTIF('سجل الإنتاج'!$C$2:$C$501,$B146))</f>
        <v/>
      </c>
      <c r="F146">
        <f>IF($A146="","",ROUND(SUMIFS('الصرف المباشر'!$D$2:$D$501,'الصرف المباشر'!$C$2:$C$501,$A146)+SUMPRODUCT((الطبخات!$B$2:$B$900=$A146)*الطبخات!$C$2:$C$900*COUNTIF('سجل الإنتاج'!$C$2:$C$501,الطبخات!$A$2:$A$900)),3))</f>
        <v>0</v>
      </c>
    </row>
    <row r="147" spans="1:6">
      <c r="A147" t="str">
        <f>المواد!A146</f>
        <v xml:space="preserve">سائل غسيل اتوماتيك / فرط </v>
      </c>
      <c r="B147" t="str">
        <f>IFERROR(INDEX(الطبخات!$F$2:$F$900,MATCH(146,الطبخات!$G$2:$G$900,0)),"")</f>
        <v/>
      </c>
      <c r="D147" t="str">
        <f>IF($B147="","",COUNTIF('سجل الإنتاج'!$C$2:$C$501,$B147))</f>
        <v/>
      </c>
      <c r="F147">
        <f>IF($A147="","",ROUND(SUMIFS('الصرف المباشر'!$D$2:$D$501,'الصرف المباشر'!$C$2:$C$501,$A147)+SUMPRODUCT((الطبخات!$B$2:$B$900=$A147)*الطبخات!$C$2:$C$900*COUNTIF('سجل الإنتاج'!$C$2:$C$501,الطبخات!$A$2:$A$900)),3))</f>
        <v>0</v>
      </c>
    </row>
    <row r="148" spans="1:6">
      <c r="A148" t="str">
        <f>المواد!A147</f>
        <v xml:space="preserve">سائل جلي متعدد الاستعمالات كرمل </v>
      </c>
      <c r="B148" t="str">
        <f>IFERROR(INDEX(الطبخات!$F$2:$F$900,MATCH(147,الطبخات!$G$2:$G$900,0)),"")</f>
        <v/>
      </c>
      <c r="D148" t="str">
        <f>IF($B148="","",COUNTIF('سجل الإنتاج'!$C$2:$C$501,$B148))</f>
        <v/>
      </c>
      <c r="F148">
        <f>IF($A148="","",ROUND(SUMIFS('الصرف المباشر'!$D$2:$D$501,'الصرف المباشر'!$C$2:$C$501,$A148)+SUMPRODUCT((الطبخات!$B$2:$B$900=$A148)*الطبخات!$C$2:$C$900*COUNTIF('سجل الإنتاج'!$C$2:$C$501,الطبخات!$A$2:$A$900)),3))</f>
        <v>0</v>
      </c>
    </row>
    <row r="149" spans="1:6">
      <c r="A149" t="str">
        <f>المواد!A148</f>
        <v xml:space="preserve">سائل جلي متعدد الإستعمالات - غولدن هاوس 1 لتر </v>
      </c>
      <c r="B149" t="str">
        <f>IFERROR(INDEX(الطبخات!$F$2:$F$900,MATCH(148,الطبخات!$G$2:$G$900,0)),"")</f>
        <v/>
      </c>
      <c r="D149" t="str">
        <f>IF($B149="","",COUNTIF('سجل الإنتاج'!$C$2:$C$501,$B149))</f>
        <v/>
      </c>
      <c r="F149">
        <f>IF($A149="","",ROUND(SUMIFS('الصرف المباشر'!$D$2:$D$501,'الصرف المباشر'!$C$2:$C$501,$A149)+SUMPRODUCT((الطبخات!$B$2:$B$900=$A149)*الطبخات!$C$2:$C$900*COUNTIF('سجل الإنتاج'!$C$2:$C$501,الطبخات!$A$2:$A$900)),3))</f>
        <v>0</v>
      </c>
    </row>
    <row r="150" spans="1:6">
      <c r="A150" t="str">
        <f>المواد!A149</f>
        <v>سائل جلي شفاف مع عطر / فرط</v>
      </c>
      <c r="B150" t="str">
        <f>IFERROR(INDEX(الطبخات!$F$2:$F$900,MATCH(149,الطبخات!$G$2:$G$900,0)),"")</f>
        <v/>
      </c>
      <c r="D150" t="str">
        <f>IF($B150="","",COUNTIF('سجل الإنتاج'!$C$2:$C$501,$B150))</f>
        <v/>
      </c>
      <c r="F150">
        <f>IF($A150="","",ROUND(SUMIFS('الصرف المباشر'!$D$2:$D$501,'الصرف المباشر'!$C$2:$C$501,$A150)+SUMPRODUCT((الطبخات!$B$2:$B$900=$A150)*الطبخات!$C$2:$C$900*COUNTIF('سجل الإنتاج'!$C$2:$C$501,الطبخات!$A$2:$A$900)),3))</f>
        <v>0</v>
      </c>
    </row>
    <row r="151" spans="1:6">
      <c r="A151" t="str">
        <f>المواد!A150</f>
        <v>سائل جلي super / فرط 2604</v>
      </c>
      <c r="F151">
        <f>IF($A151="","",ROUND(SUMIFS('الصرف المباشر'!$D$2:$D$501,'الصرف المباشر'!$C$2:$C$501,$A151)+SUMPRODUCT((الطبخات!$B$2:$B$900=$A151)*الطبخات!$C$2:$C$900*COUNTIF('سجل الإنتاج'!$C$2:$C$501,الطبخات!$A$2:$A$900)),3))</f>
        <v>0</v>
      </c>
    </row>
    <row r="152" spans="1:6">
      <c r="A152" t="str">
        <f>المواد!A151</f>
        <v>سائل جلي super / فرط 2603</v>
      </c>
      <c r="F152">
        <f>IF($A152="","",ROUND(SUMIFS('الصرف المباشر'!$D$2:$D$501,'الصرف المباشر'!$C$2:$C$501,$A152)+SUMPRODUCT((الطبخات!$B$2:$B$900=$A152)*الطبخات!$C$2:$C$900*COUNTIF('سجل الإنتاج'!$C$2:$C$501,الطبخات!$A$2:$A$900)),3))</f>
        <v>0</v>
      </c>
    </row>
    <row r="153" spans="1:6">
      <c r="A153" t="str">
        <f>المواد!A152</f>
        <v>سائل جلي super / فرط 2602</v>
      </c>
      <c r="F153">
        <f>IF($A153="","",ROUND(SUMIFS('الصرف المباشر'!$D$2:$D$501,'الصرف المباشر'!$C$2:$C$501,$A153)+SUMPRODUCT((الطبخات!$B$2:$B$900=$A153)*الطبخات!$C$2:$C$900*COUNTIF('سجل الإنتاج'!$C$2:$C$501,الطبخات!$A$2:$A$900)),3))</f>
        <v>0</v>
      </c>
    </row>
    <row r="154" spans="1:6">
      <c r="A154" t="str">
        <f>المواد!A153</f>
        <v>سائل جلي super / فرط 2601</v>
      </c>
      <c r="F154">
        <f>IF($A154="","",ROUND(SUMIFS('الصرف المباشر'!$D$2:$D$501,'الصرف المباشر'!$C$2:$C$501,$A154)+SUMPRODUCT((الطبخات!$B$2:$B$900=$A154)*الطبخات!$C$2:$C$900*COUNTIF('سجل الإنتاج'!$C$2:$C$501,الطبخات!$A$2:$A$900)),3))</f>
        <v>0</v>
      </c>
    </row>
    <row r="155" spans="1:6">
      <c r="A155" t="str">
        <f>المواد!A154</f>
        <v>سائل جلي super / عبوة 3 لتر 2604</v>
      </c>
      <c r="F155">
        <f>IF($A155="","",ROUND(SUMIFS('الصرف المباشر'!$D$2:$D$501,'الصرف المباشر'!$C$2:$C$501,$A155)+SUMPRODUCT((الطبخات!$B$2:$B$900=$A155)*الطبخات!$C$2:$C$900*COUNTIF('سجل الإنتاج'!$C$2:$C$501,الطبخات!$A$2:$A$900)),3))</f>
        <v>0</v>
      </c>
    </row>
    <row r="156" spans="1:6">
      <c r="A156" t="str">
        <f>المواد!A155</f>
        <v>سائل جلي super / عبوة 3 لتر 2603</v>
      </c>
      <c r="F156">
        <f>IF($A156="","",ROUND(SUMIFS('الصرف المباشر'!$D$2:$D$501,'الصرف المباشر'!$C$2:$C$501,$A156)+SUMPRODUCT((الطبخات!$B$2:$B$900=$A156)*الطبخات!$C$2:$C$900*COUNTIF('سجل الإنتاج'!$C$2:$C$501,الطبخات!$A$2:$A$900)),3))</f>
        <v>0</v>
      </c>
    </row>
    <row r="157" spans="1:6">
      <c r="A157" t="str">
        <f>المواد!A156</f>
        <v>سائل جلي super / عبوة 3 لتر 2602</v>
      </c>
      <c r="F157">
        <f>IF($A157="","",ROUND(SUMIFS('الصرف المباشر'!$D$2:$D$501,'الصرف المباشر'!$C$2:$C$501,$A157)+SUMPRODUCT((الطبخات!$B$2:$B$900=$A157)*الطبخات!$C$2:$C$900*COUNTIF('سجل الإنتاج'!$C$2:$C$501,الطبخات!$A$2:$A$900)),3))</f>
        <v>0</v>
      </c>
    </row>
    <row r="158" spans="1:6">
      <c r="A158" t="str">
        <f>المواد!A157</f>
        <v>سائل جلي super / عبوة 3 لتر 2601</v>
      </c>
      <c r="F158">
        <f>IF($A158="","",ROUND(SUMIFS('الصرف المباشر'!$D$2:$D$501,'الصرف المباشر'!$C$2:$C$501,$A158)+SUMPRODUCT((الطبخات!$B$2:$B$900=$A158)*الطبخات!$C$2:$C$900*COUNTIF('سجل الإنتاج'!$C$2:$C$501,الطبخات!$A$2:$A$900)),3))</f>
        <v>0</v>
      </c>
    </row>
    <row r="159" spans="1:6">
      <c r="A159" t="str">
        <f>المواد!A158</f>
        <v>زيت صنوبر 3 لتر</v>
      </c>
      <c r="F159">
        <f>IF($A159="","",ROUND(SUMIFS('الصرف المباشر'!$D$2:$D$501,'الصرف المباشر'!$C$2:$C$501,$A159)+SUMPRODUCT((الطبخات!$B$2:$B$900=$A159)*الطبخات!$C$2:$C$900*COUNTIF('سجل الإنتاج'!$C$2:$C$501,الطبخات!$A$2:$A$900)),3))</f>
        <v>0</v>
      </c>
    </row>
    <row r="160" spans="1:6">
      <c r="A160" t="str">
        <f>المواد!A159</f>
        <v xml:space="preserve">ديتول 3 لتر </v>
      </c>
      <c r="F160">
        <f>IF($A160="","",ROUND(SUMIFS('الصرف المباشر'!$D$2:$D$501,'الصرف المباشر'!$C$2:$C$501,$A160)+SUMPRODUCT((الطبخات!$B$2:$B$900=$A160)*الطبخات!$C$2:$C$900*COUNTIF('سجل الإنتاج'!$C$2:$C$501,الطبخات!$A$2:$A$900)),3))</f>
        <v>0</v>
      </c>
    </row>
    <row r="161" spans="1:6">
      <c r="A161" t="str">
        <f>المواد!A160</f>
        <v xml:space="preserve">ديتول / فرط </v>
      </c>
      <c r="F161">
        <f>IF($A161="","",ROUND(SUMIFS('الصرف المباشر'!$D$2:$D$501,'الصرف المباشر'!$C$2:$C$501,$A161)+SUMPRODUCT((الطبخات!$B$2:$B$900=$A161)*الطبخات!$C$2:$C$900*COUNTIF('سجل الإنتاج'!$C$2:$C$501,الطبخات!$A$2:$A$900)),3))</f>
        <v>0</v>
      </c>
    </row>
    <row r="162" spans="1:6">
      <c r="A162" t="str">
        <f>المواد!A161</f>
        <v xml:space="preserve">دواء غسيل بودرا </v>
      </c>
      <c r="F162">
        <f>IF($A162="","",ROUND(SUMIFS('الصرف المباشر'!$D$2:$D$501,'الصرف المباشر'!$C$2:$C$501,$A162)+SUMPRODUCT((الطبخات!$B$2:$B$900=$A162)*الطبخات!$C$2:$C$900*COUNTIF('سجل الإنتاج'!$C$2:$C$501,الطبخات!$A$2:$A$900)),3))</f>
        <v>0</v>
      </c>
    </row>
    <row r="163" spans="1:6">
      <c r="A163" t="str">
        <f>المواد!A162</f>
        <v>دوا غسيل نورا</v>
      </c>
      <c r="F163">
        <f>IF($A163="","",ROUND(SUMIFS('الصرف المباشر'!$D$2:$D$501,'الصرف المباشر'!$C$2:$C$501,$A163)+SUMPRODUCT((الطبخات!$B$2:$B$900=$A163)*الطبخات!$C$2:$C$900*COUNTIF('سجل الإنتاج'!$C$2:$C$501,الطبخات!$A$2:$A$900)),3))</f>
        <v>0</v>
      </c>
    </row>
    <row r="164" spans="1:6">
      <c r="A164" t="str">
        <f>المواد!A163</f>
        <v xml:space="preserve">دفتر </v>
      </c>
      <c r="F164">
        <f>IF($A164="","",ROUND(SUMIFS('الصرف المباشر'!$D$2:$D$501,'الصرف المباشر'!$C$2:$C$501,$A164)+SUMPRODUCT((الطبخات!$B$2:$B$900=$A164)*الطبخات!$C$2:$C$900*COUNTIF('سجل الإنتاج'!$C$2:$C$501,الطبخات!$A$2:$A$900)),3))</f>
        <v>0</v>
      </c>
    </row>
    <row r="165" spans="1:6">
      <c r="A165" t="str">
        <f>المواد!A164</f>
        <v xml:space="preserve">خردة وبلاستيك </v>
      </c>
      <c r="F165">
        <f>IF($A165="","",ROUND(SUMIFS('الصرف المباشر'!$D$2:$D$501,'الصرف المباشر'!$C$2:$C$501,$A165)+SUMPRODUCT((الطبخات!$B$2:$B$900=$A165)*الطبخات!$C$2:$C$900*COUNTIF('سجل الإنتاج'!$C$2:$C$501,الطبخات!$A$2:$A$900)),3))</f>
        <v>0</v>
      </c>
    </row>
    <row r="166" spans="1:6">
      <c r="A166" t="str">
        <f>المواد!A165</f>
        <v>جاطات + طشوطة بلاستيك</v>
      </c>
      <c r="F166">
        <f>IF($A166="","",ROUND(SUMIFS('الصرف المباشر'!$D$2:$D$501,'الصرف المباشر'!$C$2:$C$501,$A166)+SUMPRODUCT((الطبخات!$B$2:$B$900=$A166)*الطبخات!$C$2:$C$900*COUNTIF('سجل الإنتاج'!$C$2:$C$501,الطبخات!$A$2:$A$900)),3))</f>
        <v>0</v>
      </c>
    </row>
    <row r="167" spans="1:6">
      <c r="A167" t="str">
        <f>المواد!A166</f>
        <v>بيدون سعة 5 كغ</v>
      </c>
      <c r="F167">
        <f>IF($A167="","",ROUND(SUMIFS('الصرف المباشر'!$D$2:$D$501,'الصرف المباشر'!$C$2:$C$501,$A167)+SUMPRODUCT((الطبخات!$B$2:$B$900=$A167)*الطبخات!$C$2:$C$900*COUNTIF('سجل الإنتاج'!$C$2:$C$501,الطبخات!$A$2:$A$900)),3))</f>
        <v>0</v>
      </c>
    </row>
    <row r="168" spans="1:6">
      <c r="A168" t="str">
        <f>المواد!A167</f>
        <v>بيدون !</v>
      </c>
      <c r="F168">
        <f>IF($A168="","",ROUND(SUMIFS('الصرف المباشر'!$D$2:$D$501,'الصرف المباشر'!$C$2:$C$501,$A168)+SUMPRODUCT((الطبخات!$B$2:$B$900=$A168)*الطبخات!$C$2:$C$900*COUNTIF('سجل الإنتاج'!$C$2:$C$501,الطبخات!$A$2:$A$900)),3))</f>
        <v>0</v>
      </c>
    </row>
    <row r="169" spans="1:6">
      <c r="A169" t="str">
        <f>المواد!A168</f>
        <v xml:space="preserve">بي اتش 3 لتر </v>
      </c>
      <c r="F169">
        <f>IF($A169="","",ROUND(SUMIFS('الصرف المباشر'!$D$2:$D$501,'الصرف المباشر'!$C$2:$C$501,$A169)+SUMPRODUCT((الطبخات!$B$2:$B$900=$A169)*الطبخات!$C$2:$C$900*COUNTIF('سجل الإنتاج'!$C$2:$C$501,الطبخات!$A$2:$A$900)),3))</f>
        <v>0</v>
      </c>
    </row>
    <row r="170" spans="1:6">
      <c r="A170" t="str">
        <f>المواد!A169</f>
        <v>بي اتش - كرتونة</v>
      </c>
      <c r="F170">
        <f>IF($A170="","",ROUND(SUMIFS('الصرف المباشر'!$D$2:$D$501,'الصرف المباشر'!$C$2:$C$501,$A170)+SUMPRODUCT((الطبخات!$B$2:$B$900=$A170)*الطبخات!$C$2:$C$900*COUNTIF('سجل الإنتاج'!$C$2:$C$501,الطبخات!$A$2:$A$900)),3))</f>
        <v>0</v>
      </c>
    </row>
    <row r="171" spans="1:6">
      <c r="A171" t="str">
        <f>المواد!A170</f>
        <v>بي اتش - BH / فرط</v>
      </c>
      <c r="F171">
        <f>IF($A171="","",ROUND(SUMIFS('الصرف المباشر'!$D$2:$D$501,'الصرف المباشر'!$C$2:$C$501,$A171)+SUMPRODUCT((الطبخات!$B$2:$B$900=$A171)*الطبخات!$C$2:$C$900*COUNTIF('سجل الإنتاج'!$C$2:$C$501,الطبخات!$A$2:$A$900)),3))</f>
        <v>0</v>
      </c>
    </row>
    <row r="172" spans="1:6">
      <c r="A172" t="str">
        <f>المواد!A171</f>
        <v>بي أتش ph الكرمل</v>
      </c>
      <c r="F172">
        <f>IF($A172="","",ROUND(SUMIFS('الصرف المباشر'!$D$2:$D$501,'الصرف المباشر'!$C$2:$C$501,$A172)+SUMPRODUCT((الطبخات!$B$2:$B$900=$A172)*الطبخات!$C$2:$C$900*COUNTIF('سجل الإنتاج'!$C$2:$C$501,الطبخات!$A$2:$A$900)),3))</f>
        <v>0</v>
      </c>
    </row>
    <row r="173" spans="1:6">
      <c r="A173" t="str">
        <f>المواد!A172</f>
        <v>بلسم 3 لتر</v>
      </c>
      <c r="F173">
        <f>IF($A173="","",ROUND(SUMIFS('الصرف المباشر'!$D$2:$D$501,'الصرف المباشر'!$C$2:$C$501,$A173)+SUMPRODUCT((الطبخات!$B$2:$B$900=$A173)*الطبخات!$C$2:$C$900*COUNTIF('سجل الإنتاج'!$C$2:$C$501,الطبخات!$A$2:$A$900)),3))</f>
        <v>0</v>
      </c>
    </row>
    <row r="174" spans="1:6">
      <c r="A174" t="str">
        <f>المواد!A173</f>
        <v>بلسم / فرط</v>
      </c>
      <c r="F174">
        <f>IF($A174="","",ROUND(SUMIFS('الصرف المباشر'!$D$2:$D$501,'الصرف المباشر'!$C$2:$C$501,$A174)+SUMPRODUCT((الطبخات!$B$2:$B$900=$A174)*الطبخات!$C$2:$C$900*COUNTIF('سجل الإنتاج'!$C$2:$C$501,الطبخات!$A$2:$A$900)),3))</f>
        <v>0</v>
      </c>
    </row>
    <row r="175" spans="1:6">
      <c r="A175" t="str">
        <f>المواد!A174</f>
        <v>برميل كرتون</v>
      </c>
      <c r="F175">
        <f>IF($A175="","",ROUND(SUMIFS('الصرف المباشر'!$D$2:$D$501,'الصرف المباشر'!$C$2:$C$501,$A175)+SUMPRODUCT((الطبخات!$B$2:$B$900=$A175)*الطبخات!$C$2:$C$900*COUNTIF('سجل الإنتاج'!$C$2:$C$501,الطبخات!$A$2:$A$900)),3))</f>
        <v>0</v>
      </c>
    </row>
    <row r="176" spans="1:6">
      <c r="A176" t="str">
        <f>المواد!A175</f>
        <v>برميل تكسبون فارغ</v>
      </c>
      <c r="F176">
        <f>IF($A176="","",ROUND(SUMIFS('الصرف المباشر'!$D$2:$D$501,'الصرف المباشر'!$C$2:$C$501,$A176)+SUMPRODUCT((الطبخات!$B$2:$B$900=$A176)*الطبخات!$C$2:$C$900*COUNTIF('سجل الإنتاج'!$C$2:$C$501,الطبخات!$A$2:$A$900)),3))</f>
        <v>0</v>
      </c>
    </row>
    <row r="177" spans="1:6">
      <c r="A177" t="str">
        <f>المواد!A176</f>
        <v xml:space="preserve">اقراص كلور </v>
      </c>
      <c r="F177">
        <f>IF($A177="","",ROUND(SUMIFS('الصرف المباشر'!$D$2:$D$501,'الصرف المباشر'!$C$2:$C$501,$A177)+SUMPRODUCT((الطبخات!$B$2:$B$900=$A177)*الطبخات!$C$2:$C$900*COUNTIF('سجل الإنتاج'!$C$2:$C$501,الطبخات!$A$2:$A$900)),3))</f>
        <v>0</v>
      </c>
    </row>
    <row r="178" spans="1:6">
      <c r="A178" t="str">
        <f>المواد!A177</f>
        <v>اسيد 3 لتر</v>
      </c>
      <c r="F178">
        <f>IF($A178="","",ROUND(SUMIFS('الصرف المباشر'!$D$2:$D$501,'الصرف المباشر'!$C$2:$C$501,$A178)+SUMPRODUCT((الطبخات!$B$2:$B$900=$A178)*الطبخات!$C$2:$C$900*COUNTIF('سجل الإنتاج'!$C$2:$C$501,الطبخات!$A$2:$A$900)),3))</f>
        <v>0</v>
      </c>
    </row>
    <row r="179" spans="1:6">
      <c r="A179" t="str">
        <f>المواد!A178</f>
        <v>أسيد 3 لتر</v>
      </c>
      <c r="F179">
        <f>IF($A179="","",ROUND(SUMIFS('الصرف المباشر'!$D$2:$D$501,'الصرف المباشر'!$C$2:$C$501,$A179)+SUMPRODUCT((الطبخات!$B$2:$B$900=$A179)*الطبخات!$C$2:$C$900*COUNTIF('سجل الإنتاج'!$C$2:$C$501,الطبخات!$A$2:$A$900)),3))</f>
        <v>0</v>
      </c>
    </row>
    <row r="180" spans="1:6">
      <c r="A180" t="str">
        <f>المواد!A179</f>
        <v>أسيد 1 لتر</v>
      </c>
      <c r="F180">
        <f>IF($A180="","",ROUND(SUMIFS('الصرف المباشر'!$D$2:$D$501,'الصرف المباشر'!$C$2:$C$501,$A180)+SUMPRODUCT((الطبخات!$B$2:$B$900=$A180)*الطبخات!$C$2:$C$900*COUNTIF('سجل الإنتاج'!$C$2:$C$501,الطبخات!$A$2:$A$900)),3))</f>
        <v>0</v>
      </c>
    </row>
    <row r="181" spans="1:6">
      <c r="A181">
        <f>المواد!A180</f>
        <v>0</v>
      </c>
      <c r="F181">
        <f>IF($A181="","",ROUND(SUMIFS('الصرف المباشر'!$D$2:$D$501,'الصرف المباشر'!$C$2:$C$501,$A181)+SUMPRODUCT((الطبخات!$B$2:$B$900=$A181)*الطبخات!$C$2:$C$900*COUNTIF('سجل الإنتاج'!$C$2:$C$501,الطبخات!$A$2:$A$900)),3))</f>
        <v>0</v>
      </c>
    </row>
    <row r="182" spans="1:6">
      <c r="A182">
        <f>المواد!A181</f>
        <v>0</v>
      </c>
      <c r="F182">
        <f>IF($A182="","",ROUND(SUMIFS('الصرف المباشر'!$D$2:$D$501,'الصرف المباشر'!$C$2:$C$501,$A182)+SUMPRODUCT((الطبخات!$B$2:$B$900=$A182)*الطبخات!$C$2:$C$900*COUNTIF('سجل الإنتاج'!$C$2:$C$501,الطبخات!$A$2:$A$900)),3))</f>
        <v>0</v>
      </c>
    </row>
    <row r="183" spans="1:6">
      <c r="A183">
        <f>المواد!A182</f>
        <v>0</v>
      </c>
      <c r="F183">
        <f>IF($A183="","",ROUND(SUMIFS('الصرف المباشر'!$D$2:$D$501,'الصرف المباشر'!$C$2:$C$501,$A183)+SUMPRODUCT((الطبخات!$B$2:$B$900=$A183)*الطبخات!$C$2:$C$900*COUNTIF('سجل الإنتاج'!$C$2:$C$501,الطبخات!$A$2:$A$900)),3))</f>
        <v>0</v>
      </c>
    </row>
    <row r="184" spans="1:6">
      <c r="A184">
        <f>المواد!A183</f>
        <v>0</v>
      </c>
      <c r="F184">
        <f>IF($A184="","",ROUND(SUMIFS('الصرف المباشر'!$D$2:$D$501,'الصرف المباشر'!$C$2:$C$501,$A184)+SUMPRODUCT((الطبخات!$B$2:$B$900=$A184)*الطبخات!$C$2:$C$900*COUNTIF('سجل الإنتاج'!$C$2:$C$501,الطبخات!$A$2:$A$900)),3))</f>
        <v>0</v>
      </c>
    </row>
    <row r="185" spans="1:6">
      <c r="A185">
        <f>المواد!A184</f>
        <v>0</v>
      </c>
      <c r="F185">
        <f>IF($A185="","",ROUND(SUMIFS('الصرف المباشر'!$D$2:$D$501,'الصرف المباشر'!$C$2:$C$501,$A185)+SUMPRODUCT((الطبخات!$B$2:$B$900=$A185)*الطبخات!$C$2:$C$900*COUNTIF('سجل الإنتاج'!$C$2:$C$501,الطبخات!$A$2:$A$900)),3))</f>
        <v>0</v>
      </c>
    </row>
    <row r="186" spans="1:6">
      <c r="A186">
        <f>المواد!A185</f>
        <v>0</v>
      </c>
      <c r="F186">
        <f>IF($A186="","",ROUND(SUMIFS('الصرف المباشر'!$D$2:$D$501,'الصرف المباشر'!$C$2:$C$501,$A186)+SUMPRODUCT((الطبخات!$B$2:$B$900=$A186)*الطبخات!$C$2:$C$900*COUNTIF('سجل الإنتاج'!$C$2:$C$501,الطبخات!$A$2:$A$900)),3))</f>
        <v>0</v>
      </c>
    </row>
    <row r="187" spans="1:6">
      <c r="A187">
        <f>المواد!A186</f>
        <v>0</v>
      </c>
      <c r="F187">
        <f>IF($A187="","",ROUND(SUMIFS('الصرف المباشر'!$D$2:$D$501,'الصرف المباشر'!$C$2:$C$501,$A187)+SUMPRODUCT((الطبخات!$B$2:$B$900=$A187)*الطبخات!$C$2:$C$900*COUNTIF('سجل الإنتاج'!$C$2:$C$501,الطبخات!$A$2:$A$900)),3))</f>
        <v>0</v>
      </c>
    </row>
    <row r="188" spans="1:6">
      <c r="A188">
        <f>المواد!A187</f>
        <v>0</v>
      </c>
      <c r="F188">
        <f>IF($A188="","",ROUND(SUMIFS('الصرف المباشر'!$D$2:$D$501,'الصرف المباشر'!$C$2:$C$501,$A188)+SUMPRODUCT((الطبخات!$B$2:$B$900=$A188)*الطبخات!$C$2:$C$900*COUNTIF('سجل الإنتاج'!$C$2:$C$501,الطبخات!$A$2:$A$900)),3))</f>
        <v>0</v>
      </c>
    </row>
    <row r="189" spans="1:6">
      <c r="A189">
        <f>المواد!A188</f>
        <v>0</v>
      </c>
      <c r="F189">
        <f>IF($A189="","",ROUND(SUMIFS('الصرف المباشر'!$D$2:$D$501,'الصرف المباشر'!$C$2:$C$501,$A189)+SUMPRODUCT((الطبخات!$B$2:$B$900=$A189)*الطبخات!$C$2:$C$900*COUNTIF('سجل الإنتاج'!$C$2:$C$501,الطبخات!$A$2:$A$900)),3))</f>
        <v>0</v>
      </c>
    </row>
    <row r="190" spans="1:6">
      <c r="A190">
        <f>المواد!A189</f>
        <v>0</v>
      </c>
      <c r="F190">
        <f>IF($A190="","",ROUND(SUMIFS('الصرف المباشر'!$D$2:$D$501,'الصرف المباشر'!$C$2:$C$501,$A190)+SUMPRODUCT((الطبخات!$B$2:$B$900=$A190)*الطبخات!$C$2:$C$900*COUNTIF('سجل الإنتاج'!$C$2:$C$501,الطبخات!$A$2:$A$900)),3))</f>
        <v>0</v>
      </c>
    </row>
    <row r="191" spans="1:6">
      <c r="A191">
        <f>المواد!A190</f>
        <v>0</v>
      </c>
      <c r="F191">
        <f>IF($A191="","",ROUND(SUMIFS('الصرف المباشر'!$D$2:$D$501,'الصرف المباشر'!$C$2:$C$501,$A191)+SUMPRODUCT((الطبخات!$B$2:$B$900=$A191)*الطبخات!$C$2:$C$900*COUNTIF('سجل الإنتاج'!$C$2:$C$501,الطبخات!$A$2:$A$900)),3))</f>
        <v>0</v>
      </c>
    </row>
    <row r="192" spans="1:6">
      <c r="A192">
        <f>المواد!A191</f>
        <v>0</v>
      </c>
      <c r="F192">
        <f>IF($A192="","",ROUND(SUMIFS('الصرف المباشر'!$D$2:$D$501,'الصرف المباشر'!$C$2:$C$501,$A192)+SUMPRODUCT((الطبخات!$B$2:$B$900=$A192)*الطبخات!$C$2:$C$900*COUNTIF('سجل الإنتاج'!$C$2:$C$501,الطبخات!$A$2:$A$900)),3))</f>
        <v>0</v>
      </c>
    </row>
    <row r="193" spans="1:6">
      <c r="A193">
        <f>المواد!A192</f>
        <v>0</v>
      </c>
      <c r="F193">
        <f>IF($A193="","",ROUND(SUMIFS('الصرف المباشر'!$D$2:$D$501,'الصرف المباشر'!$C$2:$C$501,$A193)+SUMPRODUCT((الطبخات!$B$2:$B$900=$A193)*الطبخات!$C$2:$C$900*COUNTIF('سجل الإنتاج'!$C$2:$C$501,الطبخات!$A$2:$A$900)),3))</f>
        <v>0</v>
      </c>
    </row>
    <row r="194" spans="1:6">
      <c r="A194">
        <f>المواد!A193</f>
        <v>0</v>
      </c>
      <c r="F194">
        <f>IF($A194="","",ROUND(SUMIFS('الصرف المباشر'!$D$2:$D$501,'الصرف المباشر'!$C$2:$C$501,$A194)+SUMPRODUCT((الطبخات!$B$2:$B$900=$A194)*الطبخات!$C$2:$C$900*COUNTIF('سجل الإنتاج'!$C$2:$C$501,الطبخات!$A$2:$A$900)),3))</f>
        <v>0</v>
      </c>
    </row>
    <row r="195" spans="1:6">
      <c r="A195">
        <f>المواد!A194</f>
        <v>0</v>
      </c>
      <c r="F195">
        <f>IF($A195="","",ROUND(SUMIFS('الصرف المباشر'!$D$2:$D$501,'الصرف المباشر'!$C$2:$C$501,$A195)+SUMPRODUCT((الطبخات!$B$2:$B$900=$A195)*الطبخات!$C$2:$C$900*COUNTIF('سجل الإنتاج'!$C$2:$C$501,الطبخات!$A$2:$A$900)),3))</f>
        <v>0</v>
      </c>
    </row>
    <row r="196" spans="1:6">
      <c r="A196">
        <f>المواد!A195</f>
        <v>0</v>
      </c>
      <c r="F196">
        <f>IF($A196="","",ROUND(SUMIFS('الصرف المباشر'!$D$2:$D$501,'الصرف المباشر'!$C$2:$C$501,$A196)+SUMPRODUCT((الطبخات!$B$2:$B$900=$A196)*الطبخات!$C$2:$C$900*COUNTIF('سجل الإنتاج'!$C$2:$C$501,الطبخات!$A$2:$A$900)),3))</f>
        <v>0</v>
      </c>
    </row>
    <row r="197" spans="1:6">
      <c r="A197">
        <f>المواد!A196</f>
        <v>0</v>
      </c>
      <c r="F197">
        <f>IF($A197="","",ROUND(SUMIFS('الصرف المباشر'!$D$2:$D$501,'الصرف المباشر'!$C$2:$C$501,$A197)+SUMPRODUCT((الطبخات!$B$2:$B$900=$A197)*الطبخات!$C$2:$C$900*COUNTIF('سجل الإنتاج'!$C$2:$C$501,الطبخات!$A$2:$A$900)),3))</f>
        <v>0</v>
      </c>
    </row>
    <row r="198" spans="1:6">
      <c r="A198">
        <f>المواد!A197</f>
        <v>0</v>
      </c>
      <c r="F198">
        <f>IF($A198="","",ROUND(SUMIFS('الصرف المباشر'!$D$2:$D$501,'الصرف المباشر'!$C$2:$C$501,$A198)+SUMPRODUCT((الطبخات!$B$2:$B$900=$A198)*الطبخات!$C$2:$C$900*COUNTIF('سجل الإنتاج'!$C$2:$C$501,الطبخات!$A$2:$A$900)),3))</f>
        <v>0</v>
      </c>
    </row>
    <row r="199" spans="1:6">
      <c r="A199">
        <f>المواد!A198</f>
        <v>0</v>
      </c>
      <c r="F199">
        <f>IF($A199="","",ROUND(SUMIFS('الصرف المباشر'!$D$2:$D$501,'الصرف المباشر'!$C$2:$C$501,$A199)+SUMPRODUCT((الطبخات!$B$2:$B$900=$A199)*الطبخات!$C$2:$C$900*COUNTIF('سجل الإنتاج'!$C$2:$C$501,الطبخات!$A$2:$A$900)),3))</f>
        <v>0</v>
      </c>
    </row>
    <row r="200" spans="1:6">
      <c r="A200">
        <f>المواد!A199</f>
        <v>0</v>
      </c>
      <c r="F200">
        <f>IF($A200="","",ROUND(SUMIFS('الصرف المباشر'!$D$2:$D$501,'الصرف المباشر'!$C$2:$C$501,$A200)+SUMPRODUCT((الطبخات!$B$2:$B$900=$A200)*الطبخات!$C$2:$C$900*COUNTIF('سجل الإنتاج'!$C$2:$C$501,الطبخات!$A$2:$A$900)),3))</f>
        <v>0</v>
      </c>
    </row>
    <row r="201" spans="1:6">
      <c r="A201">
        <f>المواد!A200</f>
        <v>0</v>
      </c>
      <c r="F201">
        <f>IF($A201="","",ROUND(SUMIFS('الصرف المباشر'!$D$2:$D$501,'الصرف المباشر'!$C$2:$C$501,$A201)+SUMPRODUCT((الطبخات!$B$2:$B$900=$A201)*الطبخات!$C$2:$C$900*COUNTIF('سجل الإنتاج'!$C$2:$C$501,الطبخات!$A$2:$A$900)),3))</f>
        <v>0</v>
      </c>
    </row>
    <row r="202" spans="1:6">
      <c r="A202">
        <f>المواد!A201</f>
        <v>0</v>
      </c>
      <c r="F202">
        <f>IF($A202="","",ROUND(SUMIFS('الصرف المباشر'!$D$2:$D$501,'الصرف المباشر'!$C$2:$C$501,$A202)+SUMPRODUCT((الطبخات!$B$2:$B$900=$A202)*الطبخات!$C$2:$C$900*COUNTIF('سجل الإنتاج'!$C$2:$C$501,الطبخات!$A$2:$A$900)),3))</f>
        <v>0</v>
      </c>
    </row>
    <row r="203" spans="1:6">
      <c r="A203">
        <f>المواد!A202</f>
        <v>0</v>
      </c>
      <c r="F203">
        <f>IF($A203="","",ROUND(SUMIFS('الصرف المباشر'!$D$2:$D$501,'الصرف المباشر'!$C$2:$C$501,$A203)+SUMPRODUCT((الطبخات!$B$2:$B$900=$A203)*الطبخات!$C$2:$C$900*COUNTIF('سجل الإنتاج'!$C$2:$C$501,الطبخات!$A$2:$A$900)),3))</f>
        <v>0</v>
      </c>
    </row>
    <row r="204" spans="1:6">
      <c r="A204">
        <f>المواد!A203</f>
        <v>0</v>
      </c>
      <c r="F204">
        <f>IF($A204="","",ROUND(SUMIFS('الصرف المباشر'!$D$2:$D$501,'الصرف المباشر'!$C$2:$C$501,$A204)+SUMPRODUCT((الطبخات!$B$2:$B$900=$A204)*الطبخات!$C$2:$C$900*COUNTIF('سجل الإنتاج'!$C$2:$C$501,الطبخات!$A$2:$A$900)),3))</f>
        <v>0</v>
      </c>
    </row>
    <row r="205" spans="1:6">
      <c r="A205">
        <f>المواد!A204</f>
        <v>0</v>
      </c>
      <c r="F205">
        <f>IF($A205="","",ROUND(SUMIFS('الصرف المباشر'!$D$2:$D$501,'الصرف المباشر'!$C$2:$C$501,$A205)+SUMPRODUCT((الطبخات!$B$2:$B$900=$A205)*الطبخات!$C$2:$C$900*COUNTIF('سجل الإنتاج'!$C$2:$C$501,الطبخات!$A$2:$A$900)),3))</f>
        <v>0</v>
      </c>
    </row>
    <row r="206" spans="1:6">
      <c r="A206">
        <f>المواد!A205</f>
        <v>0</v>
      </c>
      <c r="F206">
        <f>IF($A206="","",ROUND(SUMIFS('الصرف المباشر'!$D$2:$D$501,'الصرف المباشر'!$C$2:$C$501,$A206)+SUMPRODUCT((الطبخات!$B$2:$B$900=$A206)*الطبخات!$C$2:$C$900*COUNTIF('سجل الإنتاج'!$C$2:$C$501,الطبخات!$A$2:$A$900)),3))</f>
        <v>0</v>
      </c>
    </row>
    <row r="207" spans="1:6">
      <c r="A207">
        <f>المواد!A206</f>
        <v>0</v>
      </c>
      <c r="F207">
        <f>IF($A207="","",ROUND(SUMIFS('الصرف المباشر'!$D$2:$D$501,'الصرف المباشر'!$C$2:$C$501,$A207)+SUMPRODUCT((الطبخات!$B$2:$B$900=$A207)*الطبخات!$C$2:$C$900*COUNTIF('سجل الإنتاج'!$C$2:$C$501,الطبخات!$A$2:$A$900)),3))</f>
        <v>0</v>
      </c>
    </row>
    <row r="208" spans="1:6">
      <c r="A208">
        <f>المواد!A207</f>
        <v>0</v>
      </c>
      <c r="F208">
        <f>IF($A208="","",ROUND(SUMIFS('الصرف المباشر'!$D$2:$D$501,'الصرف المباشر'!$C$2:$C$501,$A208)+SUMPRODUCT((الطبخات!$B$2:$B$900=$A208)*الطبخات!$C$2:$C$900*COUNTIF('سجل الإنتاج'!$C$2:$C$501,الطبخات!$A$2:$A$900)),3))</f>
        <v>0</v>
      </c>
    </row>
    <row r="209" spans="1:6">
      <c r="A209">
        <f>المواد!A208</f>
        <v>0</v>
      </c>
      <c r="F209">
        <f>IF($A209="","",ROUND(SUMIFS('الصرف المباشر'!$D$2:$D$501,'الصرف المباشر'!$C$2:$C$501,$A209)+SUMPRODUCT((الطبخات!$B$2:$B$900=$A209)*الطبخات!$C$2:$C$900*COUNTIF('سجل الإنتاج'!$C$2:$C$501,الطبخات!$A$2:$A$900)),3))</f>
        <v>0</v>
      </c>
    </row>
    <row r="210" spans="1:6">
      <c r="A210">
        <f>المواد!A209</f>
        <v>0</v>
      </c>
      <c r="F210">
        <f>IF($A210="","",ROUND(SUMIFS('الصرف المباشر'!$D$2:$D$501,'الصرف المباشر'!$C$2:$C$501,$A210)+SUMPRODUCT((الطبخات!$B$2:$B$900=$A210)*الطبخات!$C$2:$C$900*COUNTIF('سجل الإنتاج'!$C$2:$C$501,الطبخات!$A$2:$A$900)),3))</f>
        <v>0</v>
      </c>
    </row>
    <row r="211" spans="1:6">
      <c r="A211">
        <f>المواد!A210</f>
        <v>0</v>
      </c>
      <c r="F211">
        <f>IF($A211="","",ROUND(SUMIFS('الصرف المباشر'!$D$2:$D$501,'الصرف المباشر'!$C$2:$C$501,$A211)+SUMPRODUCT((الطبخات!$B$2:$B$900=$A211)*الطبخات!$C$2:$C$900*COUNTIF('سجل الإنتاج'!$C$2:$C$501,الطبخات!$A$2:$A$900)),3))</f>
        <v>0</v>
      </c>
    </row>
    <row r="212" spans="1:6">
      <c r="A212">
        <f>المواد!A211</f>
        <v>0</v>
      </c>
      <c r="F212">
        <f>IF($A212="","",ROUND(SUMIFS('الصرف المباشر'!$D$2:$D$501,'الصرف المباشر'!$C$2:$C$501,$A212)+SUMPRODUCT((الطبخات!$B$2:$B$900=$A212)*الطبخات!$C$2:$C$900*COUNTIF('سجل الإنتاج'!$C$2:$C$501,الطبخات!$A$2:$A$900)),3))</f>
        <v>0</v>
      </c>
    </row>
    <row r="213" spans="1:6">
      <c r="A213">
        <f>المواد!A212</f>
        <v>0</v>
      </c>
      <c r="F213">
        <f>IF($A213="","",ROUND(SUMIFS('الصرف المباشر'!$D$2:$D$501,'الصرف المباشر'!$C$2:$C$501,$A213)+SUMPRODUCT((الطبخات!$B$2:$B$900=$A213)*الطبخات!$C$2:$C$900*COUNTIF('سجل الإنتاج'!$C$2:$C$501,الطبخات!$A$2:$A$900)),3))</f>
        <v>0</v>
      </c>
    </row>
    <row r="214" spans="1:6">
      <c r="A214">
        <f>المواد!A213</f>
        <v>0</v>
      </c>
      <c r="F214">
        <f>IF($A214="","",ROUND(SUMIFS('الصرف المباشر'!$D$2:$D$501,'الصرف المباشر'!$C$2:$C$501,$A214)+SUMPRODUCT((الطبخات!$B$2:$B$900=$A214)*الطبخات!$C$2:$C$900*COUNTIF('سجل الإنتاج'!$C$2:$C$501,الطبخات!$A$2:$A$900)),3))</f>
        <v>0</v>
      </c>
    </row>
    <row r="215" spans="1:6">
      <c r="A215">
        <f>المواد!A214</f>
        <v>0</v>
      </c>
      <c r="F215">
        <f>IF($A215="","",ROUND(SUMIFS('الصرف المباشر'!$D$2:$D$501,'الصرف المباشر'!$C$2:$C$501,$A215)+SUMPRODUCT((الطبخات!$B$2:$B$900=$A215)*الطبخات!$C$2:$C$900*COUNTIF('سجل الإنتاج'!$C$2:$C$501,الطبخات!$A$2:$A$900)),3))</f>
        <v>0</v>
      </c>
    </row>
    <row r="216" spans="1:6">
      <c r="A216">
        <f>المواد!A215</f>
        <v>0</v>
      </c>
      <c r="F216">
        <f>IF($A216="","",ROUND(SUMIFS('الصرف المباشر'!$D$2:$D$501,'الصرف المباشر'!$C$2:$C$501,$A216)+SUMPRODUCT((الطبخات!$B$2:$B$900=$A216)*الطبخات!$C$2:$C$900*COUNTIF('سجل الإنتاج'!$C$2:$C$501,الطبخات!$A$2:$A$900)),3))</f>
        <v>0</v>
      </c>
    </row>
    <row r="217" spans="1:6">
      <c r="A217">
        <f>المواد!A216</f>
        <v>0</v>
      </c>
      <c r="F217">
        <f>IF($A217="","",ROUND(SUMIFS('الصرف المباشر'!$D$2:$D$501,'الصرف المباشر'!$C$2:$C$501,$A217)+SUMPRODUCT((الطبخات!$B$2:$B$900=$A217)*الطبخات!$C$2:$C$900*COUNTIF('سجل الإنتاج'!$C$2:$C$501,الطبخات!$A$2:$A$900)),3))</f>
        <v>0</v>
      </c>
    </row>
    <row r="218" spans="1:6">
      <c r="A218">
        <f>المواد!A217</f>
        <v>0</v>
      </c>
      <c r="F218">
        <f>IF($A218="","",ROUND(SUMIFS('الصرف المباشر'!$D$2:$D$501,'الصرف المباشر'!$C$2:$C$501,$A218)+SUMPRODUCT((الطبخات!$B$2:$B$900=$A218)*الطبخات!$C$2:$C$900*COUNTIF('سجل الإنتاج'!$C$2:$C$501,الطبخات!$A$2:$A$900)),3))</f>
        <v>0</v>
      </c>
    </row>
    <row r="219" spans="1:6">
      <c r="A219">
        <f>المواد!A218</f>
        <v>0</v>
      </c>
      <c r="F219">
        <f>IF($A219="","",ROUND(SUMIFS('الصرف المباشر'!$D$2:$D$501,'الصرف المباشر'!$C$2:$C$501,$A219)+SUMPRODUCT((الطبخات!$B$2:$B$900=$A219)*الطبخات!$C$2:$C$900*COUNTIF('سجل الإنتاج'!$C$2:$C$501,الطبخات!$A$2:$A$900)),3))</f>
        <v>0</v>
      </c>
    </row>
    <row r="220" spans="1:6">
      <c r="A220">
        <f>المواد!A219</f>
        <v>0</v>
      </c>
      <c r="F220">
        <f>IF($A220="","",ROUND(SUMIFS('الصرف المباشر'!$D$2:$D$501,'الصرف المباشر'!$C$2:$C$501,$A220)+SUMPRODUCT((الطبخات!$B$2:$B$900=$A220)*الطبخات!$C$2:$C$900*COUNTIF('سجل الإنتاج'!$C$2:$C$501,الطبخات!$A$2:$A$900)),3))</f>
        <v>0</v>
      </c>
    </row>
    <row r="221" spans="1:6">
      <c r="A221">
        <f>المواد!A220</f>
        <v>0</v>
      </c>
      <c r="F221">
        <f>IF($A221="","",ROUND(SUMIFS('الصرف المباشر'!$D$2:$D$501,'الصرف المباشر'!$C$2:$C$501,$A221)+SUMPRODUCT((الطبخات!$B$2:$B$900=$A221)*الطبخات!$C$2:$C$900*COUNTIF('سجل الإنتاج'!$C$2:$C$501,الطبخات!$A$2:$A$900)),3))</f>
        <v>0</v>
      </c>
    </row>
    <row r="222" spans="1:6">
      <c r="A222">
        <f>المواد!A221</f>
        <v>0</v>
      </c>
      <c r="F222">
        <f>IF($A222="","",ROUND(SUMIFS('الصرف المباشر'!$D$2:$D$501,'الصرف المباشر'!$C$2:$C$501,$A222)+SUMPRODUCT((الطبخات!$B$2:$B$900=$A222)*الطبخات!$C$2:$C$900*COUNTIF('سجل الإنتاج'!$C$2:$C$501,الطبخات!$A$2:$A$900)),3))</f>
        <v>0</v>
      </c>
    </row>
    <row r="223" spans="1:6">
      <c r="A223">
        <f>المواد!A222</f>
        <v>0</v>
      </c>
      <c r="F223">
        <f>IF($A223="","",ROUND(SUMIFS('الصرف المباشر'!$D$2:$D$501,'الصرف المباشر'!$C$2:$C$501,$A223)+SUMPRODUCT((الطبخات!$B$2:$B$900=$A223)*الطبخات!$C$2:$C$900*COUNTIF('سجل الإنتاج'!$C$2:$C$501,الطبخات!$A$2:$A$900)),3))</f>
        <v>0</v>
      </c>
    </row>
    <row r="224" spans="1:6">
      <c r="A224">
        <f>المواد!A223</f>
        <v>0</v>
      </c>
      <c r="F224">
        <f>IF($A224="","",ROUND(SUMIFS('الصرف المباشر'!$D$2:$D$501,'الصرف المباشر'!$C$2:$C$501,$A224)+SUMPRODUCT((الطبخات!$B$2:$B$900=$A224)*الطبخات!$C$2:$C$900*COUNTIF('سجل الإنتاج'!$C$2:$C$501,الطبخات!$A$2:$A$900)),3))</f>
        <v>0</v>
      </c>
    </row>
    <row r="225" spans="1:6">
      <c r="A225">
        <f>المواد!A224</f>
        <v>0</v>
      </c>
      <c r="F225">
        <f>IF($A225="","",ROUND(SUMIFS('الصرف المباشر'!$D$2:$D$501,'الصرف المباشر'!$C$2:$C$501,$A225)+SUMPRODUCT((الطبخات!$B$2:$B$900=$A225)*الطبخات!$C$2:$C$900*COUNTIF('سجل الإنتاج'!$C$2:$C$501,الطبخات!$A$2:$A$900)),3))</f>
        <v>0</v>
      </c>
    </row>
    <row r="226" spans="1:6">
      <c r="A226">
        <f>المواد!A225</f>
        <v>0</v>
      </c>
      <c r="F226">
        <f>IF($A226="","",ROUND(SUMIFS('الصرف المباشر'!$D$2:$D$501,'الصرف المباشر'!$C$2:$C$501,$A226)+SUMPRODUCT((الطبخات!$B$2:$B$900=$A226)*الطبخات!$C$2:$C$900*COUNTIF('سجل الإنتاج'!$C$2:$C$501,الطبخات!$A$2:$A$900)),3))</f>
        <v>0</v>
      </c>
    </row>
    <row r="227" spans="1:6">
      <c r="A227">
        <f>المواد!A226</f>
        <v>0</v>
      </c>
      <c r="F227">
        <f>IF($A227="","",ROUND(SUMIFS('الصرف المباشر'!$D$2:$D$501,'الصرف المباشر'!$C$2:$C$501,$A227)+SUMPRODUCT((الطبخات!$B$2:$B$900=$A227)*الطبخات!$C$2:$C$900*COUNTIF('سجل الإنتاج'!$C$2:$C$501,الطبخات!$A$2:$A$900)),3))</f>
        <v>0</v>
      </c>
    </row>
    <row r="228" spans="1:6">
      <c r="A228">
        <f>المواد!A227</f>
        <v>0</v>
      </c>
      <c r="F228">
        <f>IF($A228="","",ROUND(SUMIFS('الصرف المباشر'!$D$2:$D$501,'الصرف المباشر'!$C$2:$C$501,$A228)+SUMPRODUCT((الطبخات!$B$2:$B$900=$A228)*الطبخات!$C$2:$C$900*COUNTIF('سجل الإنتاج'!$C$2:$C$501,الطبخات!$A$2:$A$900)),3))</f>
        <v>0</v>
      </c>
    </row>
    <row r="229" spans="1:6">
      <c r="A229">
        <f>المواد!A228</f>
        <v>0</v>
      </c>
      <c r="F229">
        <f>IF($A229="","",ROUND(SUMIFS('الصرف المباشر'!$D$2:$D$501,'الصرف المباشر'!$C$2:$C$501,$A229)+SUMPRODUCT((الطبخات!$B$2:$B$900=$A229)*الطبخات!$C$2:$C$900*COUNTIF('سجل الإنتاج'!$C$2:$C$501,الطبخات!$A$2:$A$900)),3))</f>
        <v>0</v>
      </c>
    </row>
    <row r="230" spans="1:6">
      <c r="A230">
        <f>المواد!A229</f>
        <v>0</v>
      </c>
      <c r="F230">
        <f>IF($A230="","",ROUND(SUMIFS('الصرف المباشر'!$D$2:$D$501,'الصرف المباشر'!$C$2:$C$501,$A230)+SUMPRODUCT((الطبخات!$B$2:$B$900=$A230)*الطبخات!$C$2:$C$900*COUNTIF('سجل الإنتاج'!$C$2:$C$501,الطبخات!$A$2:$A$900)),3))</f>
        <v>0</v>
      </c>
    </row>
    <row r="231" spans="1:6">
      <c r="A231">
        <f>المواد!A230</f>
        <v>0</v>
      </c>
      <c r="F231">
        <f>IF($A231="","",ROUND(SUMIFS('الصرف المباشر'!$D$2:$D$501,'الصرف المباشر'!$C$2:$C$501,$A231)+SUMPRODUCT((الطبخات!$B$2:$B$900=$A231)*الطبخات!$C$2:$C$900*COUNTIF('سجل الإنتاج'!$C$2:$C$501,الطبخات!$A$2:$A$900)),3))</f>
        <v>0</v>
      </c>
    </row>
    <row r="232" spans="1:6">
      <c r="A232">
        <f>المواد!A231</f>
        <v>0</v>
      </c>
      <c r="F232">
        <f>IF($A232="","",ROUND(SUMIFS('الصرف المباشر'!$D$2:$D$501,'الصرف المباشر'!$C$2:$C$501,$A232)+SUMPRODUCT((الطبخات!$B$2:$B$900=$A232)*الطبخات!$C$2:$C$900*COUNTIF('سجل الإنتاج'!$C$2:$C$501,الطبخات!$A$2:$A$900)),3))</f>
        <v>0</v>
      </c>
    </row>
    <row r="233" spans="1:6">
      <c r="A233">
        <f>المواد!A232</f>
        <v>0</v>
      </c>
      <c r="F233">
        <f>IF($A233="","",ROUND(SUMIFS('الصرف المباشر'!$D$2:$D$501,'الصرف المباشر'!$C$2:$C$501,$A233)+SUMPRODUCT((الطبخات!$B$2:$B$900=$A233)*الطبخات!$C$2:$C$900*COUNTIF('سجل الإنتاج'!$C$2:$C$501,الطبخات!$A$2:$A$900)),3))</f>
        <v>0</v>
      </c>
    </row>
    <row r="234" spans="1:6">
      <c r="A234">
        <f>المواد!A233</f>
        <v>0</v>
      </c>
      <c r="F234">
        <f>IF($A234="","",ROUND(SUMIFS('الصرف المباشر'!$D$2:$D$501,'الصرف المباشر'!$C$2:$C$501,$A234)+SUMPRODUCT((الطبخات!$B$2:$B$900=$A234)*الطبخات!$C$2:$C$900*COUNTIF('سجل الإنتاج'!$C$2:$C$501,الطبخات!$A$2:$A$900)),3))</f>
        <v>0</v>
      </c>
    </row>
    <row r="235" spans="1:6">
      <c r="A235">
        <f>المواد!A234</f>
        <v>0</v>
      </c>
      <c r="F235">
        <f>IF($A235="","",ROUND(SUMIFS('الصرف المباشر'!$D$2:$D$501,'الصرف المباشر'!$C$2:$C$501,$A235)+SUMPRODUCT((الطبخات!$B$2:$B$900=$A235)*الطبخات!$C$2:$C$900*COUNTIF('سجل الإنتاج'!$C$2:$C$501,الطبخات!$A$2:$A$900)),3))</f>
        <v>0</v>
      </c>
    </row>
    <row r="236" spans="1:6">
      <c r="A236">
        <f>المواد!A235</f>
        <v>0</v>
      </c>
      <c r="F236">
        <f>IF($A236="","",ROUND(SUMIFS('الصرف المباشر'!$D$2:$D$501,'الصرف المباشر'!$C$2:$C$501,$A236)+SUMPRODUCT((الطبخات!$B$2:$B$900=$A236)*الطبخات!$C$2:$C$900*COUNTIF('سجل الإنتاج'!$C$2:$C$501,الطبخات!$A$2:$A$900)),3))</f>
        <v>0</v>
      </c>
    </row>
    <row r="237" spans="1:6">
      <c r="A237">
        <f>المواد!A236</f>
        <v>0</v>
      </c>
      <c r="F237">
        <f>IF($A237="","",ROUND(SUMIFS('الصرف المباشر'!$D$2:$D$501,'الصرف المباشر'!$C$2:$C$501,$A237)+SUMPRODUCT((الطبخات!$B$2:$B$900=$A237)*الطبخات!$C$2:$C$900*COUNTIF('سجل الإنتاج'!$C$2:$C$501,الطبخات!$A$2:$A$900)),3))</f>
        <v>0</v>
      </c>
    </row>
    <row r="238" spans="1:6">
      <c r="A238">
        <f>المواد!A237</f>
        <v>0</v>
      </c>
      <c r="F238">
        <f>IF($A238="","",ROUND(SUMIFS('الصرف المباشر'!$D$2:$D$501,'الصرف المباشر'!$C$2:$C$501,$A238)+SUMPRODUCT((الطبخات!$B$2:$B$900=$A238)*الطبخات!$C$2:$C$900*COUNTIF('سجل الإنتاج'!$C$2:$C$501,الطبخات!$A$2:$A$900)),3))</f>
        <v>0</v>
      </c>
    </row>
    <row r="239" spans="1:6">
      <c r="A239">
        <f>المواد!A238</f>
        <v>0</v>
      </c>
      <c r="F239">
        <f>IF($A239="","",ROUND(SUMIFS('الصرف المباشر'!$D$2:$D$501,'الصرف المباشر'!$C$2:$C$501,$A239)+SUMPRODUCT((الطبخات!$B$2:$B$900=$A239)*الطبخات!$C$2:$C$900*COUNTIF('سجل الإنتاج'!$C$2:$C$501,الطبخات!$A$2:$A$900)),3))</f>
        <v>0</v>
      </c>
    </row>
    <row r="240" spans="1:6">
      <c r="A240">
        <f>المواد!A239</f>
        <v>0</v>
      </c>
      <c r="F240">
        <f>IF($A240="","",ROUND(SUMIFS('الصرف المباشر'!$D$2:$D$501,'الصرف المباشر'!$C$2:$C$501,$A240)+SUMPRODUCT((الطبخات!$B$2:$B$900=$A240)*الطبخات!$C$2:$C$900*COUNTIF('سجل الإنتاج'!$C$2:$C$501,الطبخات!$A$2:$A$900)),3))</f>
        <v>0</v>
      </c>
    </row>
    <row r="241" spans="1:6">
      <c r="A241">
        <f>المواد!A240</f>
        <v>0</v>
      </c>
      <c r="F241">
        <f>IF($A241="","",ROUND(SUMIFS('الصرف المباشر'!$D$2:$D$501,'الصرف المباشر'!$C$2:$C$501,$A241)+SUMPRODUCT((الطبخات!$B$2:$B$900=$A241)*الطبخات!$C$2:$C$900*COUNTIF('سجل الإنتاج'!$C$2:$C$501,الطبخات!$A$2:$A$900)),3))</f>
        <v>0</v>
      </c>
    </row>
    <row r="242" spans="1:6">
      <c r="A242">
        <f>المواد!A241</f>
        <v>0</v>
      </c>
      <c r="F242">
        <f>IF($A242="","",ROUND(SUMIFS('الصرف المباشر'!$D$2:$D$501,'الصرف المباشر'!$C$2:$C$501,$A242)+SUMPRODUCT((الطبخات!$B$2:$B$900=$A242)*الطبخات!$C$2:$C$900*COUNTIF('سجل الإنتاج'!$C$2:$C$501,الطبخات!$A$2:$A$900)),3))</f>
        <v>0</v>
      </c>
    </row>
    <row r="243" spans="1:6">
      <c r="A243">
        <f>المواد!A242</f>
        <v>0</v>
      </c>
      <c r="F243">
        <f>IF($A243="","",ROUND(SUMIFS('الصرف المباشر'!$D$2:$D$501,'الصرف المباشر'!$C$2:$C$501,$A243)+SUMPRODUCT((الطبخات!$B$2:$B$900=$A243)*الطبخات!$C$2:$C$900*COUNTIF('سجل الإنتاج'!$C$2:$C$501,الطبخات!$A$2:$A$900)),3))</f>
        <v>0</v>
      </c>
    </row>
    <row r="244" spans="1:6">
      <c r="A244">
        <f>المواد!A243</f>
        <v>0</v>
      </c>
      <c r="F244">
        <f>IF($A244="","",ROUND(SUMIFS('الصرف المباشر'!$D$2:$D$501,'الصرف المباشر'!$C$2:$C$501,$A244)+SUMPRODUCT((الطبخات!$B$2:$B$900=$A244)*الطبخات!$C$2:$C$900*COUNTIF('سجل الإنتاج'!$C$2:$C$501,الطبخات!$A$2:$A$900)),3))</f>
        <v>0</v>
      </c>
    </row>
    <row r="245" spans="1:6">
      <c r="A245">
        <f>المواد!A244</f>
        <v>0</v>
      </c>
      <c r="F245">
        <f>IF($A245="","",ROUND(SUMIFS('الصرف المباشر'!$D$2:$D$501,'الصرف المباشر'!$C$2:$C$501,$A245)+SUMPRODUCT((الطبخات!$B$2:$B$900=$A245)*الطبخات!$C$2:$C$900*COUNTIF('سجل الإنتاج'!$C$2:$C$501,الطبخات!$A$2:$A$900)),3))</f>
        <v>0</v>
      </c>
    </row>
    <row r="246" spans="1:6">
      <c r="A246">
        <f>المواد!A245</f>
        <v>0</v>
      </c>
      <c r="F246">
        <f>IF($A246="","",ROUND(SUMIFS('الصرف المباشر'!$D$2:$D$501,'الصرف المباشر'!$C$2:$C$501,$A246)+SUMPRODUCT((الطبخات!$B$2:$B$900=$A246)*الطبخات!$C$2:$C$900*COUNTIF('سجل الإنتاج'!$C$2:$C$501,الطبخات!$A$2:$A$900)),3))</f>
        <v>0</v>
      </c>
    </row>
    <row r="247" spans="1:6">
      <c r="A247">
        <f>المواد!A246</f>
        <v>0</v>
      </c>
      <c r="F247">
        <f>IF($A247="","",ROUND(SUMIFS('الصرف المباشر'!$D$2:$D$501,'الصرف المباشر'!$C$2:$C$501,$A247)+SUMPRODUCT((الطبخات!$B$2:$B$900=$A247)*الطبخات!$C$2:$C$900*COUNTIF('سجل الإنتاج'!$C$2:$C$501,الطبخات!$A$2:$A$900)),3))</f>
        <v>0</v>
      </c>
    </row>
    <row r="248" spans="1:6">
      <c r="A248">
        <f>المواد!A247</f>
        <v>0</v>
      </c>
      <c r="F248">
        <f>IF($A248="","",ROUND(SUMIFS('الصرف المباشر'!$D$2:$D$501,'الصرف المباشر'!$C$2:$C$501,$A248)+SUMPRODUCT((الطبخات!$B$2:$B$900=$A248)*الطبخات!$C$2:$C$900*COUNTIF('سجل الإنتاج'!$C$2:$C$501,الطبخات!$A$2:$A$900)),3))</f>
        <v>0</v>
      </c>
    </row>
    <row r="249" spans="1:6">
      <c r="A249">
        <f>المواد!A248</f>
        <v>0</v>
      </c>
      <c r="F249">
        <f>IF($A249="","",ROUND(SUMIFS('الصرف المباشر'!$D$2:$D$501,'الصرف المباشر'!$C$2:$C$501,$A249)+SUMPRODUCT((الطبخات!$B$2:$B$900=$A249)*الطبخات!$C$2:$C$900*COUNTIF('سجل الإنتاج'!$C$2:$C$501,الطبخات!$A$2:$A$900)),3))</f>
        <v>0</v>
      </c>
    </row>
    <row r="250" spans="1:6">
      <c r="A250">
        <f>المواد!A249</f>
        <v>0</v>
      </c>
      <c r="F250">
        <f>IF($A250="","",ROUND(SUMIFS('الصرف المباشر'!$D$2:$D$501,'الصرف المباشر'!$C$2:$C$501,$A250)+SUMPRODUCT((الطبخات!$B$2:$B$900=$A250)*الطبخات!$C$2:$C$900*COUNTIF('سجل الإنتاج'!$C$2:$C$501,الطبخات!$A$2:$A$900)),3))</f>
        <v>0</v>
      </c>
    </row>
    <row r="251" spans="1:6">
      <c r="A251">
        <f>المواد!A250</f>
        <v>0</v>
      </c>
      <c r="F251">
        <f>IF($A251="","",ROUND(SUMIFS('الصرف المباشر'!$D$2:$D$501,'الصرف المباشر'!$C$2:$C$501,$A251)+SUMPRODUCT((الطبخات!$B$2:$B$900=$A251)*الطبخات!$C$2:$C$900*COUNTIF('سجل الإنتاج'!$C$2:$C$501,الطبخات!$A$2:$A$900)),3))</f>
        <v>0</v>
      </c>
    </row>
    <row r="252" spans="1:6">
      <c r="A252">
        <f>المواد!A251</f>
        <v>0</v>
      </c>
      <c r="F252">
        <f>IF($A252="","",ROUND(SUMIFS('الصرف المباشر'!$D$2:$D$501,'الصرف المباشر'!$C$2:$C$501,$A252)+SUMPRODUCT((الطبخات!$B$2:$B$900=$A252)*الطبخات!$C$2:$C$900*COUNTIF('سجل الإنتاج'!$C$2:$C$501,الطبخات!$A$2:$A$900)),3))</f>
        <v>0</v>
      </c>
    </row>
    <row r="253" spans="1:6">
      <c r="A253">
        <f>المواد!A252</f>
        <v>0</v>
      </c>
      <c r="F253">
        <f>IF($A253="","",ROUND(SUMIFS('الصرف المباشر'!$D$2:$D$501,'الصرف المباشر'!$C$2:$C$501,$A253)+SUMPRODUCT((الطبخات!$B$2:$B$900=$A253)*الطبخات!$C$2:$C$900*COUNTIF('سجل الإنتاج'!$C$2:$C$501,الطبخات!$A$2:$A$900)),3))</f>
        <v>0</v>
      </c>
    </row>
    <row r="254" spans="1:6">
      <c r="A254">
        <f>المواد!A253</f>
        <v>0</v>
      </c>
      <c r="F254">
        <f>IF($A254="","",ROUND(SUMIFS('الصرف المباشر'!$D$2:$D$501,'الصرف المباشر'!$C$2:$C$501,$A254)+SUMPRODUCT((الطبخات!$B$2:$B$900=$A254)*الطبخات!$C$2:$C$900*COUNTIF('سجل الإنتاج'!$C$2:$C$501,الطبخات!$A$2:$A$900)),3))</f>
        <v>0</v>
      </c>
    </row>
    <row r="255" spans="1:6">
      <c r="A255">
        <f>المواد!A254</f>
        <v>0</v>
      </c>
      <c r="F255">
        <f>IF($A255="","",ROUND(SUMIFS('الصرف المباشر'!$D$2:$D$501,'الصرف المباشر'!$C$2:$C$501,$A255)+SUMPRODUCT((الطبخات!$B$2:$B$900=$A255)*الطبخات!$C$2:$C$900*COUNTIF('سجل الإنتاج'!$C$2:$C$501,الطبخات!$A$2:$A$900)),3))</f>
        <v>0</v>
      </c>
    </row>
    <row r="256" spans="1:6">
      <c r="A256">
        <f>المواد!A255</f>
        <v>0</v>
      </c>
      <c r="F256">
        <f>IF($A256="","",ROUND(SUMIFS('الصرف المباشر'!$D$2:$D$501,'الصرف المباشر'!$C$2:$C$501,$A256)+SUMPRODUCT((الطبخات!$B$2:$B$900=$A256)*الطبخات!$C$2:$C$900*COUNTIF('سجل الإنتاج'!$C$2:$C$501,الطبخات!$A$2:$A$900)),3))</f>
        <v>0</v>
      </c>
    </row>
    <row r="257" spans="1:6">
      <c r="A257">
        <f>المواد!A256</f>
        <v>0</v>
      </c>
      <c r="F257">
        <f>IF($A257="","",ROUND(SUMIFS('الصرف المباشر'!$D$2:$D$501,'الصرف المباشر'!$C$2:$C$501,$A257)+SUMPRODUCT((الطبخات!$B$2:$B$900=$A257)*الطبخات!$C$2:$C$900*COUNTIF('سجل الإنتاج'!$C$2:$C$501,الطبخات!$A$2:$A$900)),3))</f>
        <v>0</v>
      </c>
    </row>
    <row r="258" spans="1:6">
      <c r="A258">
        <f>المواد!A257</f>
        <v>0</v>
      </c>
      <c r="F258">
        <f>IF($A258="","",ROUND(SUMIFS('الصرف المباشر'!$D$2:$D$501,'الصرف المباشر'!$C$2:$C$501,$A258)+SUMPRODUCT((الطبخات!$B$2:$B$900=$A258)*الطبخات!$C$2:$C$900*COUNTIF('سجل الإنتاج'!$C$2:$C$501,الطبخات!$A$2:$A$900)),3))</f>
        <v>0</v>
      </c>
    </row>
    <row r="259" spans="1:6">
      <c r="A259">
        <f>المواد!A258</f>
        <v>0</v>
      </c>
      <c r="F259">
        <f>IF($A259="","",ROUND(SUMIFS('الصرف المباشر'!$D$2:$D$501,'الصرف المباشر'!$C$2:$C$501,$A259)+SUMPRODUCT((الطبخات!$B$2:$B$900=$A259)*الطبخات!$C$2:$C$900*COUNTIF('سجل الإنتاج'!$C$2:$C$501,الطبخات!$A$2:$A$900)),3))</f>
        <v>0</v>
      </c>
    </row>
    <row r="260" spans="1:6">
      <c r="A260">
        <f>المواد!A259</f>
        <v>0</v>
      </c>
      <c r="F260">
        <f>IF($A260="","",ROUND(SUMIFS('الصرف المباشر'!$D$2:$D$501,'الصرف المباشر'!$C$2:$C$501,$A260)+SUMPRODUCT((الطبخات!$B$2:$B$900=$A260)*الطبخات!$C$2:$C$900*COUNTIF('سجل الإنتاج'!$C$2:$C$501,الطبخات!$A$2:$A$900)),3))</f>
        <v>0</v>
      </c>
    </row>
    <row r="261" spans="1:6">
      <c r="A261">
        <f>المواد!A260</f>
        <v>0</v>
      </c>
      <c r="F261">
        <f>IF($A261="","",ROUND(SUMIFS('الصرف المباشر'!$D$2:$D$501,'الصرف المباشر'!$C$2:$C$501,$A261)+SUMPRODUCT((الطبخات!$B$2:$B$900=$A261)*الطبخات!$C$2:$C$900*COUNTIF('سجل الإنتاج'!$C$2:$C$501,الطبخات!$A$2:$A$900)),3))</f>
        <v>0</v>
      </c>
    </row>
    <row r="262" spans="1:6">
      <c r="A262">
        <f>المواد!A261</f>
        <v>0</v>
      </c>
      <c r="F262">
        <f>IF($A262="","",ROUND(SUMIFS('الصرف المباشر'!$D$2:$D$501,'الصرف المباشر'!$C$2:$C$501,$A262)+SUMPRODUCT((الطبخات!$B$2:$B$900=$A262)*الطبخات!$C$2:$C$900*COUNTIF('سجل الإنتاج'!$C$2:$C$501,الطبخات!$A$2:$A$900)),3))</f>
        <v>0</v>
      </c>
    </row>
    <row r="263" spans="1:6">
      <c r="A263">
        <f>المواد!A262</f>
        <v>0</v>
      </c>
      <c r="F263">
        <f>IF($A263="","",ROUND(SUMIFS('الصرف المباشر'!$D$2:$D$501,'الصرف المباشر'!$C$2:$C$501,$A263)+SUMPRODUCT((الطبخات!$B$2:$B$900=$A263)*الطبخات!$C$2:$C$900*COUNTIF('سجل الإنتاج'!$C$2:$C$501,الطبخات!$A$2:$A$900)),3))</f>
        <v>0</v>
      </c>
    </row>
    <row r="264" spans="1:6">
      <c r="A264">
        <f>المواد!A263</f>
        <v>0</v>
      </c>
      <c r="F264">
        <f>IF($A264="","",ROUND(SUMIFS('الصرف المباشر'!$D$2:$D$501,'الصرف المباشر'!$C$2:$C$501,$A264)+SUMPRODUCT((الطبخات!$B$2:$B$900=$A264)*الطبخات!$C$2:$C$900*COUNTIF('سجل الإنتاج'!$C$2:$C$501,الطبخات!$A$2:$A$900)),3))</f>
        <v>0</v>
      </c>
    </row>
    <row r="265" spans="1:6">
      <c r="A265">
        <f>المواد!A264</f>
        <v>0</v>
      </c>
      <c r="F265">
        <f>IF($A265="","",ROUND(SUMIFS('الصرف المباشر'!$D$2:$D$501,'الصرف المباشر'!$C$2:$C$501,$A265)+SUMPRODUCT((الطبخات!$B$2:$B$900=$A265)*الطبخات!$C$2:$C$900*COUNTIF('سجل الإنتاج'!$C$2:$C$501,الطبخات!$A$2:$A$900)),3))</f>
        <v>0</v>
      </c>
    </row>
    <row r="266" spans="1:6">
      <c r="A266">
        <f>المواد!A265</f>
        <v>0</v>
      </c>
      <c r="F266">
        <f>IF($A266="","",ROUND(SUMIFS('الصرف المباشر'!$D$2:$D$501,'الصرف المباشر'!$C$2:$C$501,$A266)+SUMPRODUCT((الطبخات!$B$2:$B$900=$A266)*الطبخات!$C$2:$C$900*COUNTIF('سجل الإنتاج'!$C$2:$C$501,الطبخات!$A$2:$A$900)),3))</f>
        <v>0</v>
      </c>
    </row>
    <row r="267" spans="1:6">
      <c r="A267">
        <f>المواد!A266</f>
        <v>0</v>
      </c>
      <c r="F267">
        <f>IF($A267="","",ROUND(SUMIFS('الصرف المباشر'!$D$2:$D$501,'الصرف المباشر'!$C$2:$C$501,$A267)+SUMPRODUCT((الطبخات!$B$2:$B$900=$A267)*الطبخات!$C$2:$C$900*COUNTIF('سجل الإنتاج'!$C$2:$C$501,الطبخات!$A$2:$A$900)),3))</f>
        <v>0</v>
      </c>
    </row>
    <row r="268" spans="1:6">
      <c r="A268">
        <f>المواد!A267</f>
        <v>0</v>
      </c>
      <c r="F268">
        <f>IF($A268="","",ROUND(SUMIFS('الصرف المباشر'!$D$2:$D$501,'الصرف المباشر'!$C$2:$C$501,$A268)+SUMPRODUCT((الطبخات!$B$2:$B$900=$A268)*الطبخات!$C$2:$C$900*COUNTIF('سجل الإنتاج'!$C$2:$C$501,الطبخات!$A$2:$A$900)),3))</f>
        <v>0</v>
      </c>
    </row>
    <row r="269" spans="1:6">
      <c r="A269">
        <f>المواد!A268</f>
        <v>0</v>
      </c>
      <c r="F269">
        <f>IF($A269="","",ROUND(SUMIFS('الصرف المباشر'!$D$2:$D$501,'الصرف المباشر'!$C$2:$C$501,$A269)+SUMPRODUCT((الطبخات!$B$2:$B$900=$A269)*الطبخات!$C$2:$C$900*COUNTIF('سجل الإنتاج'!$C$2:$C$501,الطبخات!$A$2:$A$900)),3))</f>
        <v>0</v>
      </c>
    </row>
    <row r="270" spans="1:6">
      <c r="A270">
        <f>المواد!A269</f>
        <v>0</v>
      </c>
      <c r="F270">
        <f>IF($A270="","",ROUND(SUMIFS('الصرف المباشر'!$D$2:$D$501,'الصرف المباشر'!$C$2:$C$501,$A270)+SUMPRODUCT((الطبخات!$B$2:$B$900=$A270)*الطبخات!$C$2:$C$900*COUNTIF('سجل الإنتاج'!$C$2:$C$501,الطبخات!$A$2:$A$900)),3))</f>
        <v>0</v>
      </c>
    </row>
    <row r="271" spans="1:6">
      <c r="A271">
        <f>المواد!A270</f>
        <v>0</v>
      </c>
      <c r="F271">
        <f>IF($A271="","",ROUND(SUMIFS('الصرف المباشر'!$D$2:$D$501,'الصرف المباشر'!$C$2:$C$501,$A271)+SUMPRODUCT((الطبخات!$B$2:$B$900=$A271)*الطبخات!$C$2:$C$900*COUNTIF('سجل الإنتاج'!$C$2:$C$501,الطبخات!$A$2:$A$900)),3))</f>
        <v>0</v>
      </c>
    </row>
    <row r="272" spans="1:6">
      <c r="A272">
        <f>المواد!A271</f>
        <v>0</v>
      </c>
      <c r="F272">
        <f>IF($A272="","",ROUND(SUMIFS('الصرف المباشر'!$D$2:$D$501,'الصرف المباشر'!$C$2:$C$501,$A272)+SUMPRODUCT((الطبخات!$B$2:$B$900=$A272)*الطبخات!$C$2:$C$900*COUNTIF('سجل الإنتاج'!$C$2:$C$501,الطبخات!$A$2:$A$900)),3))</f>
        <v>0</v>
      </c>
    </row>
    <row r="273" spans="1:6">
      <c r="A273">
        <f>المواد!A272</f>
        <v>0</v>
      </c>
      <c r="F273">
        <f>IF($A273="","",ROUND(SUMIFS('الصرف المباشر'!$D$2:$D$501,'الصرف المباشر'!$C$2:$C$501,$A273)+SUMPRODUCT((الطبخات!$B$2:$B$900=$A273)*الطبخات!$C$2:$C$900*COUNTIF('سجل الإنتاج'!$C$2:$C$501,الطبخات!$A$2:$A$900)),3))</f>
        <v>0</v>
      </c>
    </row>
    <row r="274" spans="1:6">
      <c r="A274">
        <f>المواد!A273</f>
        <v>0</v>
      </c>
      <c r="F274">
        <f>IF($A274="","",ROUND(SUMIFS('الصرف المباشر'!$D$2:$D$501,'الصرف المباشر'!$C$2:$C$501,$A274)+SUMPRODUCT((الطبخات!$B$2:$B$900=$A274)*الطبخات!$C$2:$C$900*COUNTIF('سجل الإنتاج'!$C$2:$C$501,الطبخات!$A$2:$A$900)),3))</f>
        <v>0</v>
      </c>
    </row>
    <row r="275" spans="1:6">
      <c r="A275">
        <f>المواد!A274</f>
        <v>0</v>
      </c>
      <c r="F275">
        <f>IF($A275="","",ROUND(SUMIFS('الصرف المباشر'!$D$2:$D$501,'الصرف المباشر'!$C$2:$C$501,$A275)+SUMPRODUCT((الطبخات!$B$2:$B$900=$A275)*الطبخات!$C$2:$C$900*COUNTIF('سجل الإنتاج'!$C$2:$C$501,الطبخات!$A$2:$A$900)),3))</f>
        <v>0</v>
      </c>
    </row>
    <row r="276" spans="1:6">
      <c r="A276">
        <f>المواد!A275</f>
        <v>0</v>
      </c>
      <c r="F276">
        <f>IF($A276="","",ROUND(SUMIFS('الصرف المباشر'!$D$2:$D$501,'الصرف المباشر'!$C$2:$C$501,$A276)+SUMPRODUCT((الطبخات!$B$2:$B$900=$A276)*الطبخات!$C$2:$C$900*COUNTIF('سجل الإنتاج'!$C$2:$C$501,الطبخات!$A$2:$A$900)),3))</f>
        <v>0</v>
      </c>
    </row>
    <row r="277" spans="1:6">
      <c r="A277">
        <f>المواد!A276</f>
        <v>0</v>
      </c>
      <c r="F277">
        <f>IF($A277="","",ROUND(SUMIFS('الصرف المباشر'!$D$2:$D$501,'الصرف المباشر'!$C$2:$C$501,$A277)+SUMPRODUCT((الطبخات!$B$2:$B$900=$A277)*الطبخات!$C$2:$C$900*COUNTIF('سجل الإنتاج'!$C$2:$C$501,الطبخات!$A$2:$A$900)),3))</f>
        <v>0</v>
      </c>
    </row>
    <row r="278" spans="1:6">
      <c r="A278">
        <f>المواد!A277</f>
        <v>0</v>
      </c>
      <c r="F278">
        <f>IF($A278="","",ROUND(SUMIFS('الصرف المباشر'!$D$2:$D$501,'الصرف المباشر'!$C$2:$C$501,$A278)+SUMPRODUCT((الطبخات!$B$2:$B$900=$A278)*الطبخات!$C$2:$C$900*COUNTIF('سجل الإنتاج'!$C$2:$C$501,الطبخات!$A$2:$A$900)),3))</f>
        <v>0</v>
      </c>
    </row>
    <row r="279" spans="1:6">
      <c r="A279">
        <f>المواد!A278</f>
        <v>0</v>
      </c>
      <c r="F279">
        <f>IF($A279="","",ROUND(SUMIFS('الصرف المباشر'!$D$2:$D$501,'الصرف المباشر'!$C$2:$C$501,$A279)+SUMPRODUCT((الطبخات!$B$2:$B$900=$A279)*الطبخات!$C$2:$C$900*COUNTIF('سجل الإنتاج'!$C$2:$C$501,الطبخات!$A$2:$A$900)),3))</f>
        <v>0</v>
      </c>
    </row>
    <row r="280" spans="1:6">
      <c r="A280">
        <f>المواد!A279</f>
        <v>0</v>
      </c>
      <c r="F280">
        <f>IF($A280="","",ROUND(SUMIFS('الصرف المباشر'!$D$2:$D$501,'الصرف المباشر'!$C$2:$C$501,$A280)+SUMPRODUCT((الطبخات!$B$2:$B$900=$A280)*الطبخات!$C$2:$C$900*COUNTIF('سجل الإنتاج'!$C$2:$C$501,الطبخات!$A$2:$A$900)),3))</f>
        <v>0</v>
      </c>
    </row>
    <row r="281" spans="1:6">
      <c r="A281">
        <f>المواد!A280</f>
        <v>0</v>
      </c>
      <c r="F281">
        <f>IF($A281="","",ROUND(SUMIFS('الصرف المباشر'!$D$2:$D$501,'الصرف المباشر'!$C$2:$C$501,$A281)+SUMPRODUCT((الطبخات!$B$2:$B$900=$A281)*الطبخات!$C$2:$C$900*COUNTIF('سجل الإنتاج'!$C$2:$C$501,الطبخات!$A$2:$A$900)),3))</f>
        <v>0</v>
      </c>
    </row>
    <row r="282" spans="1:6">
      <c r="A282">
        <f>المواد!A281</f>
        <v>0</v>
      </c>
      <c r="F282">
        <f>IF($A282="","",ROUND(SUMIFS('الصرف المباشر'!$D$2:$D$501,'الصرف المباشر'!$C$2:$C$501,$A282)+SUMPRODUCT((الطبخات!$B$2:$B$900=$A282)*الطبخات!$C$2:$C$900*COUNTIF('سجل الإنتاج'!$C$2:$C$501,الطبخات!$A$2:$A$900)),3))</f>
        <v>0</v>
      </c>
    </row>
    <row r="283" spans="1:6">
      <c r="A283">
        <f>المواد!A282</f>
        <v>0</v>
      </c>
      <c r="F283">
        <f>IF($A283="","",ROUND(SUMIFS('الصرف المباشر'!$D$2:$D$501,'الصرف المباشر'!$C$2:$C$501,$A283)+SUMPRODUCT((الطبخات!$B$2:$B$900=$A283)*الطبخات!$C$2:$C$900*COUNTIF('سجل الإنتاج'!$C$2:$C$501,الطبخات!$A$2:$A$900)),3))</f>
        <v>0</v>
      </c>
    </row>
    <row r="284" spans="1:6">
      <c r="A284">
        <f>المواد!A283</f>
        <v>0</v>
      </c>
      <c r="F284">
        <f>IF($A284="","",ROUND(SUMIFS('الصرف المباشر'!$D$2:$D$501,'الصرف المباشر'!$C$2:$C$501,$A284)+SUMPRODUCT((الطبخات!$B$2:$B$900=$A284)*الطبخات!$C$2:$C$900*COUNTIF('سجل الإنتاج'!$C$2:$C$501,الطبخات!$A$2:$A$900)),3))</f>
        <v>0</v>
      </c>
    </row>
    <row r="285" spans="1:6">
      <c r="A285">
        <f>المواد!A284</f>
        <v>0</v>
      </c>
      <c r="F285">
        <f>IF($A285="","",ROUND(SUMIFS('الصرف المباشر'!$D$2:$D$501,'الصرف المباشر'!$C$2:$C$501,$A285)+SUMPRODUCT((الطبخات!$B$2:$B$900=$A285)*الطبخات!$C$2:$C$900*COUNTIF('سجل الإنتاج'!$C$2:$C$501,الطبخات!$A$2:$A$900)),3))</f>
        <v>0</v>
      </c>
    </row>
    <row r="286" spans="1:6">
      <c r="A286">
        <f>المواد!A285</f>
        <v>0</v>
      </c>
      <c r="F286">
        <f>IF($A286="","",ROUND(SUMIFS('الصرف المباشر'!$D$2:$D$501,'الصرف المباشر'!$C$2:$C$501,$A286)+SUMPRODUCT((الطبخات!$B$2:$B$900=$A286)*الطبخات!$C$2:$C$900*COUNTIF('سجل الإنتاج'!$C$2:$C$501,الطبخات!$A$2:$A$900)),3))</f>
        <v>0</v>
      </c>
    </row>
    <row r="287" spans="1:6">
      <c r="A287">
        <f>المواد!A286</f>
        <v>0</v>
      </c>
      <c r="F287">
        <f>IF($A287="","",ROUND(SUMIFS('الصرف المباشر'!$D$2:$D$501,'الصرف المباشر'!$C$2:$C$501,$A287)+SUMPRODUCT((الطبخات!$B$2:$B$900=$A287)*الطبخات!$C$2:$C$900*COUNTIF('سجل الإنتاج'!$C$2:$C$501,الطبخات!$A$2:$A$900)),3))</f>
        <v>0</v>
      </c>
    </row>
    <row r="288" spans="1:6">
      <c r="A288">
        <f>المواد!A287</f>
        <v>0</v>
      </c>
      <c r="F288">
        <f>IF($A288="","",ROUND(SUMIFS('الصرف المباشر'!$D$2:$D$501,'الصرف المباشر'!$C$2:$C$501,$A288)+SUMPRODUCT((الطبخات!$B$2:$B$900=$A288)*الطبخات!$C$2:$C$900*COUNTIF('سجل الإنتاج'!$C$2:$C$501,الطبخات!$A$2:$A$900)),3))</f>
        <v>0</v>
      </c>
    </row>
    <row r="289" spans="1:6">
      <c r="A289">
        <f>المواد!A288</f>
        <v>0</v>
      </c>
      <c r="F289">
        <f>IF($A289="","",ROUND(SUMIFS('الصرف المباشر'!$D$2:$D$501,'الصرف المباشر'!$C$2:$C$501,$A289)+SUMPRODUCT((الطبخات!$B$2:$B$900=$A289)*الطبخات!$C$2:$C$900*COUNTIF('سجل الإنتاج'!$C$2:$C$501,الطبخات!$A$2:$A$900)),3))</f>
        <v>0</v>
      </c>
    </row>
    <row r="290" spans="1:6">
      <c r="A290">
        <f>المواد!A289</f>
        <v>0</v>
      </c>
      <c r="F290">
        <f>IF($A290="","",ROUND(SUMIFS('الصرف المباشر'!$D$2:$D$501,'الصرف المباشر'!$C$2:$C$501,$A290)+SUMPRODUCT((الطبخات!$B$2:$B$900=$A290)*الطبخات!$C$2:$C$900*COUNTIF('سجل الإنتاج'!$C$2:$C$501,الطبخات!$A$2:$A$900)),3))</f>
        <v>0</v>
      </c>
    </row>
    <row r="291" spans="1:6">
      <c r="A291">
        <f>المواد!A290</f>
        <v>0</v>
      </c>
      <c r="F291">
        <f>IF($A291="","",ROUND(SUMIFS('الصرف المباشر'!$D$2:$D$501,'الصرف المباشر'!$C$2:$C$501,$A291)+SUMPRODUCT((الطبخات!$B$2:$B$900=$A291)*الطبخات!$C$2:$C$900*COUNTIF('سجل الإنتاج'!$C$2:$C$501,الطبخات!$A$2:$A$900)),3))</f>
        <v>0</v>
      </c>
    </row>
    <row r="292" spans="1:6">
      <c r="A292">
        <f>المواد!A291</f>
        <v>0</v>
      </c>
      <c r="F292">
        <f>IF($A292="","",ROUND(SUMIFS('الصرف المباشر'!$D$2:$D$501,'الصرف المباشر'!$C$2:$C$501,$A292)+SUMPRODUCT((الطبخات!$B$2:$B$900=$A292)*الطبخات!$C$2:$C$900*COUNTIF('سجل الإنتاج'!$C$2:$C$501,الطبخات!$A$2:$A$900)),3))</f>
        <v>0</v>
      </c>
    </row>
    <row r="293" spans="1:6">
      <c r="A293">
        <f>المواد!A292</f>
        <v>0</v>
      </c>
      <c r="F293">
        <f>IF($A293="","",ROUND(SUMIFS('الصرف المباشر'!$D$2:$D$501,'الصرف المباشر'!$C$2:$C$501,$A293)+SUMPRODUCT((الطبخات!$B$2:$B$900=$A293)*الطبخات!$C$2:$C$900*COUNTIF('سجل الإنتاج'!$C$2:$C$501,الطبخات!$A$2:$A$900)),3))</f>
        <v>0</v>
      </c>
    </row>
    <row r="294" spans="1:6">
      <c r="A294">
        <f>المواد!A293</f>
        <v>0</v>
      </c>
      <c r="F294">
        <f>IF($A294="","",ROUND(SUMIFS('الصرف المباشر'!$D$2:$D$501,'الصرف المباشر'!$C$2:$C$501,$A294)+SUMPRODUCT((الطبخات!$B$2:$B$900=$A294)*الطبخات!$C$2:$C$900*COUNTIF('سجل الإنتاج'!$C$2:$C$501,الطبخات!$A$2:$A$900)),3))</f>
        <v>0</v>
      </c>
    </row>
    <row r="295" spans="1:6">
      <c r="A295">
        <f>المواد!A294</f>
        <v>0</v>
      </c>
      <c r="F295">
        <f>IF($A295="","",ROUND(SUMIFS('الصرف المباشر'!$D$2:$D$501,'الصرف المباشر'!$C$2:$C$501,$A295)+SUMPRODUCT((الطبخات!$B$2:$B$900=$A295)*الطبخات!$C$2:$C$900*COUNTIF('سجل الإنتاج'!$C$2:$C$501,الطبخات!$A$2:$A$900)),3))</f>
        <v>0</v>
      </c>
    </row>
    <row r="296" spans="1:6">
      <c r="A296">
        <f>المواد!A295</f>
        <v>0</v>
      </c>
      <c r="F296">
        <f>IF($A296="","",ROUND(SUMIFS('الصرف المباشر'!$D$2:$D$501,'الصرف المباشر'!$C$2:$C$501,$A296)+SUMPRODUCT((الطبخات!$B$2:$B$900=$A296)*الطبخات!$C$2:$C$900*COUNTIF('سجل الإنتاج'!$C$2:$C$501,الطبخات!$A$2:$A$900)),3))</f>
        <v>0</v>
      </c>
    </row>
    <row r="297" spans="1:6">
      <c r="A297">
        <f>المواد!A296</f>
        <v>0</v>
      </c>
      <c r="F297">
        <f>IF($A297="","",ROUND(SUMIFS('الصرف المباشر'!$D$2:$D$501,'الصرف المباشر'!$C$2:$C$501,$A297)+SUMPRODUCT((الطبخات!$B$2:$B$900=$A297)*الطبخات!$C$2:$C$900*COUNTIF('سجل الإنتاج'!$C$2:$C$501,الطبخات!$A$2:$A$900)),3))</f>
        <v>0</v>
      </c>
    </row>
    <row r="298" spans="1:6">
      <c r="A298">
        <f>المواد!A297</f>
        <v>0</v>
      </c>
      <c r="F298">
        <f>IF($A298="","",ROUND(SUMIFS('الصرف المباشر'!$D$2:$D$501,'الصرف المباشر'!$C$2:$C$501,$A298)+SUMPRODUCT((الطبخات!$B$2:$B$900=$A298)*الطبخات!$C$2:$C$900*COUNTIF('سجل الإنتاج'!$C$2:$C$501,الطبخات!$A$2:$A$900)),3))</f>
        <v>0</v>
      </c>
    </row>
    <row r="299" spans="1:6">
      <c r="A299">
        <f>المواد!A298</f>
        <v>0</v>
      </c>
      <c r="F299">
        <f>IF($A299="","",ROUND(SUMIFS('الصرف المباشر'!$D$2:$D$501,'الصرف المباشر'!$C$2:$C$501,$A299)+SUMPRODUCT((الطبخات!$B$2:$B$900=$A299)*الطبخات!$C$2:$C$900*COUNTIF('سجل الإنتاج'!$C$2:$C$501,الطبخات!$A$2:$A$900)),3))</f>
        <v>0</v>
      </c>
    </row>
    <row r="300" spans="1:6">
      <c r="A300">
        <f>المواد!A299</f>
        <v>0</v>
      </c>
      <c r="F300">
        <f>IF($A300="","",ROUND(SUMIFS('الصرف المباشر'!$D$2:$D$501,'الصرف المباشر'!$C$2:$C$501,$A300)+SUMPRODUCT((الطبخات!$B$2:$B$900=$A300)*الطبخات!$C$2:$C$900*COUNTIF('سجل الإنتاج'!$C$2:$C$501,الطبخات!$A$2:$A$900)),3))</f>
        <v>0</v>
      </c>
    </row>
    <row r="301" spans="1:6">
      <c r="A301">
        <f>المواد!A300</f>
        <v>0</v>
      </c>
      <c r="F301">
        <f>IF($A301="","",ROUND(SUMIFS('الصرف المباشر'!$D$2:$D$501,'الصرف المباشر'!$C$2:$C$501,$A301)+SUMPRODUCT((الطبخات!$B$2:$B$900=$A301)*الطبخات!$C$2:$C$900*COUNTIF('سجل الإنتاج'!$C$2:$C$501,الطبخات!$A$2:$A$900)),3))</f>
        <v>0</v>
      </c>
    </row>
    <row r="302" spans="1:6">
      <c r="A302">
        <f>المواد!A301</f>
        <v>0</v>
      </c>
      <c r="F302">
        <f>IF($A302="","",ROUND(SUMIFS('الصرف المباشر'!$D$2:$D$501,'الصرف المباشر'!$C$2:$C$501,$A302)+SUMPRODUCT((الطبخات!$B$2:$B$900=$A302)*الطبخات!$C$2:$C$900*COUNTIF('سجل الإنتاج'!$C$2:$C$501,الطبخات!$A$2:$A$900)),3))</f>
        <v>0</v>
      </c>
    </row>
    <row r="303" spans="1:6">
      <c r="A303">
        <f>المواد!A302</f>
        <v>0</v>
      </c>
      <c r="F303">
        <f>IF($A303="","",ROUND(SUMIFS('الصرف المباشر'!$D$2:$D$501,'الصرف المباشر'!$C$2:$C$501,$A303)+SUMPRODUCT((الطبخات!$B$2:$B$900=$A303)*الطبخات!$C$2:$C$900*COUNTIF('سجل الإنتاج'!$C$2:$C$501,الطبخات!$A$2:$A$900)),3))</f>
        <v>0</v>
      </c>
    </row>
    <row r="304" spans="1:6">
      <c r="A304">
        <f>المواد!A303</f>
        <v>0</v>
      </c>
      <c r="F304">
        <f>IF($A304="","",ROUND(SUMIFS('الصرف المباشر'!$D$2:$D$501,'الصرف المباشر'!$C$2:$C$501,$A304)+SUMPRODUCT((الطبخات!$B$2:$B$900=$A304)*الطبخات!$C$2:$C$900*COUNTIF('سجل الإنتاج'!$C$2:$C$501,الطبخات!$A$2:$A$900)),3))</f>
        <v>0</v>
      </c>
    </row>
    <row r="305" spans="1:6">
      <c r="A305">
        <f>المواد!A304</f>
        <v>0</v>
      </c>
      <c r="F305">
        <f>IF($A305="","",ROUND(SUMIFS('الصرف المباشر'!$D$2:$D$501,'الصرف المباشر'!$C$2:$C$501,$A305)+SUMPRODUCT((الطبخات!$B$2:$B$900=$A305)*الطبخات!$C$2:$C$900*COUNTIF('سجل الإنتاج'!$C$2:$C$501,الطبخات!$A$2:$A$900)),3))</f>
        <v>0</v>
      </c>
    </row>
    <row r="306" spans="1:6">
      <c r="A306">
        <f>المواد!A305</f>
        <v>0</v>
      </c>
      <c r="F306">
        <f>IF($A306="","",ROUND(SUMIFS('الصرف المباشر'!$D$2:$D$501,'الصرف المباشر'!$C$2:$C$501,$A306)+SUMPRODUCT((الطبخات!$B$2:$B$900=$A306)*الطبخات!$C$2:$C$900*COUNTIF('سجل الإنتاج'!$C$2:$C$501,الطبخات!$A$2:$A$900)),3))</f>
        <v>0</v>
      </c>
    </row>
    <row r="307" spans="1:6">
      <c r="A307">
        <f>المواد!A306</f>
        <v>0</v>
      </c>
      <c r="F307">
        <f>IF($A307="","",ROUND(SUMIFS('الصرف المباشر'!$D$2:$D$501,'الصرف المباشر'!$C$2:$C$501,$A307)+SUMPRODUCT((الطبخات!$B$2:$B$900=$A307)*الطبخات!$C$2:$C$900*COUNTIF('سجل الإنتاج'!$C$2:$C$501,الطبخات!$A$2:$A$900)),3))</f>
        <v>0</v>
      </c>
    </row>
    <row r="308" spans="1:6">
      <c r="A308">
        <f>المواد!A307</f>
        <v>0</v>
      </c>
      <c r="F308">
        <f>IF($A308="","",ROUND(SUMIFS('الصرف المباشر'!$D$2:$D$501,'الصرف المباشر'!$C$2:$C$501,$A308)+SUMPRODUCT((الطبخات!$B$2:$B$900=$A308)*الطبخات!$C$2:$C$900*COUNTIF('سجل الإنتاج'!$C$2:$C$501,الطبخات!$A$2:$A$900)),3))</f>
        <v>0</v>
      </c>
    </row>
    <row r="309" spans="1:6">
      <c r="A309">
        <f>المواد!A308</f>
        <v>0</v>
      </c>
      <c r="F309">
        <f>IF($A309="","",ROUND(SUMIFS('الصرف المباشر'!$D$2:$D$501,'الصرف المباشر'!$C$2:$C$501,$A309)+SUMPRODUCT((الطبخات!$B$2:$B$900=$A309)*الطبخات!$C$2:$C$900*COUNTIF('سجل الإنتاج'!$C$2:$C$501,الطبخات!$A$2:$A$900)),3))</f>
        <v>0</v>
      </c>
    </row>
    <row r="310" spans="1:6">
      <c r="A310">
        <f>المواد!A309</f>
        <v>0</v>
      </c>
      <c r="F310">
        <f>IF($A310="","",ROUND(SUMIFS('الصرف المباشر'!$D$2:$D$501,'الصرف المباشر'!$C$2:$C$501,$A310)+SUMPRODUCT((الطبخات!$B$2:$B$900=$A310)*الطبخات!$C$2:$C$900*COUNTIF('سجل الإنتاج'!$C$2:$C$501,الطبخات!$A$2:$A$900)),3))</f>
        <v>0</v>
      </c>
    </row>
    <row r="311" spans="1:6">
      <c r="A311">
        <f>المواد!A310</f>
        <v>0</v>
      </c>
      <c r="F311">
        <f>IF($A311="","",ROUND(SUMIFS('الصرف المباشر'!$D$2:$D$501,'الصرف المباشر'!$C$2:$C$501,$A311)+SUMPRODUCT((الطبخات!$B$2:$B$900=$A311)*الطبخات!$C$2:$C$900*COUNTIF('سجل الإنتاج'!$C$2:$C$501,الطبخات!$A$2:$A$900)),3))</f>
        <v>0</v>
      </c>
    </row>
    <row r="312" spans="1:6">
      <c r="A312">
        <f>المواد!A311</f>
        <v>0</v>
      </c>
      <c r="F312">
        <f>IF($A312="","",ROUND(SUMIFS('الصرف المباشر'!$D$2:$D$501,'الصرف المباشر'!$C$2:$C$501,$A312)+SUMPRODUCT((الطبخات!$B$2:$B$900=$A312)*الطبخات!$C$2:$C$900*COUNTIF('سجل الإنتاج'!$C$2:$C$501,الطبخات!$A$2:$A$900)),3))</f>
        <v>0</v>
      </c>
    </row>
    <row r="313" spans="1:6">
      <c r="A313">
        <f>المواد!A312</f>
        <v>0</v>
      </c>
      <c r="F313">
        <f>IF($A313="","",ROUND(SUMIFS('الصرف المباشر'!$D$2:$D$501,'الصرف المباشر'!$C$2:$C$501,$A313)+SUMPRODUCT((الطبخات!$B$2:$B$900=$A313)*الطبخات!$C$2:$C$900*COUNTIF('سجل الإنتاج'!$C$2:$C$501,الطبخات!$A$2:$A$900)),3))</f>
        <v>0</v>
      </c>
    </row>
    <row r="314" spans="1:6">
      <c r="A314">
        <f>المواد!A313</f>
        <v>0</v>
      </c>
      <c r="F314">
        <f>IF($A314="","",ROUND(SUMIFS('الصرف المباشر'!$D$2:$D$501,'الصرف المباشر'!$C$2:$C$501,$A314)+SUMPRODUCT((الطبخات!$B$2:$B$900=$A314)*الطبخات!$C$2:$C$900*COUNTIF('سجل الإنتاج'!$C$2:$C$501,الطبخات!$A$2:$A$900)),3))</f>
        <v>0</v>
      </c>
    </row>
    <row r="315" spans="1:6">
      <c r="A315">
        <f>المواد!A314</f>
        <v>0</v>
      </c>
      <c r="F315">
        <f>IF($A315="","",ROUND(SUMIFS('الصرف المباشر'!$D$2:$D$501,'الصرف المباشر'!$C$2:$C$501,$A315)+SUMPRODUCT((الطبخات!$B$2:$B$900=$A315)*الطبخات!$C$2:$C$900*COUNTIF('سجل الإنتاج'!$C$2:$C$501,الطبخات!$A$2:$A$900)),3))</f>
        <v>0</v>
      </c>
    </row>
    <row r="316" spans="1:6">
      <c r="A316">
        <f>المواد!A315</f>
        <v>0</v>
      </c>
      <c r="F316">
        <f>IF($A316="","",ROUND(SUMIFS('الصرف المباشر'!$D$2:$D$501,'الصرف المباشر'!$C$2:$C$501,$A316)+SUMPRODUCT((الطبخات!$B$2:$B$900=$A316)*الطبخات!$C$2:$C$900*COUNTIF('سجل الإنتاج'!$C$2:$C$501,الطبخات!$A$2:$A$900)),3))</f>
        <v>0</v>
      </c>
    </row>
    <row r="317" spans="1:6">
      <c r="A317">
        <f>المواد!A316</f>
        <v>0</v>
      </c>
      <c r="F317">
        <f>IF($A317="","",ROUND(SUMIFS('الصرف المباشر'!$D$2:$D$501,'الصرف المباشر'!$C$2:$C$501,$A317)+SUMPRODUCT((الطبخات!$B$2:$B$900=$A317)*الطبخات!$C$2:$C$900*COUNTIF('سجل الإنتاج'!$C$2:$C$501,الطبخات!$A$2:$A$900)),3))</f>
        <v>0</v>
      </c>
    </row>
    <row r="318" spans="1:6">
      <c r="A318">
        <f>المواد!A317</f>
        <v>0</v>
      </c>
      <c r="F318">
        <f>IF($A318="","",ROUND(SUMIFS('الصرف المباشر'!$D$2:$D$501,'الصرف المباشر'!$C$2:$C$501,$A318)+SUMPRODUCT((الطبخات!$B$2:$B$900=$A318)*الطبخات!$C$2:$C$900*COUNTIF('سجل الإنتاج'!$C$2:$C$501,الطبخات!$A$2:$A$900)),3))</f>
        <v>0</v>
      </c>
    </row>
    <row r="319" spans="1:6">
      <c r="A319">
        <f>المواد!A318</f>
        <v>0</v>
      </c>
      <c r="F319">
        <f>IF($A319="","",ROUND(SUMIFS('الصرف المباشر'!$D$2:$D$501,'الصرف المباشر'!$C$2:$C$501,$A319)+SUMPRODUCT((الطبخات!$B$2:$B$900=$A319)*الطبخات!$C$2:$C$900*COUNTIF('سجل الإنتاج'!$C$2:$C$501,الطبخات!$A$2:$A$900)),3))</f>
        <v>0</v>
      </c>
    </row>
    <row r="320" spans="1:6">
      <c r="A320">
        <f>المواد!A319</f>
        <v>0</v>
      </c>
      <c r="F320">
        <f>IF($A320="","",ROUND(SUMIFS('الصرف المباشر'!$D$2:$D$501,'الصرف المباشر'!$C$2:$C$501,$A320)+SUMPRODUCT((الطبخات!$B$2:$B$900=$A320)*الطبخات!$C$2:$C$900*COUNTIF('سجل الإنتاج'!$C$2:$C$501,الطبخات!$A$2:$A$900)),3))</f>
        <v>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2001"/>
  <sheetViews>
    <sheetView rightToLeft="1" topLeftCell="A19" workbookViewId="0"/>
  </sheetViews>
  <sheetFormatPr defaultRowHeight="14.25"/>
  <cols>
    <col min="1" max="1" width="19.5" customWidth="1"/>
    <col min="2" max="2" width="17.375" customWidth="1"/>
    <col min="3" max="3" width="25.25" customWidth="1"/>
    <col min="4" max="4" width="15.5" customWidth="1"/>
    <col min="5" max="5" width="20.5" customWidth="1"/>
    <col min="7" max="7" width="23.875" customWidth="1"/>
  </cols>
  <sheetData>
    <row r="1" spans="1:7">
      <c r="A1" t="s">
        <v>20</v>
      </c>
      <c r="B1" t="s">
        <v>163</v>
      </c>
      <c r="C1" t="s">
        <v>164</v>
      </c>
      <c r="D1" t="s">
        <v>21</v>
      </c>
      <c r="E1" t="s">
        <v>165</v>
      </c>
      <c r="F1" t="s">
        <v>26</v>
      </c>
      <c r="G1" t="s">
        <v>209</v>
      </c>
    </row>
    <row r="2" spans="1:7">
      <c r="A2" s="23">
        <f>IF(الإدخالات!C2="","",الإدخالات!B2)</f>
        <v>46218</v>
      </c>
      <c r="B2" t="str">
        <f>IF(الإدخالات!C2="","","شراء")</f>
        <v>شراء</v>
      </c>
      <c r="C2" t="str">
        <f>IF(الإدخالات!C2="","",IF(الإدخالات!E2="","-",الإدخالات!E2))</f>
        <v>امين</v>
      </c>
      <c r="D2" t="str">
        <f>IF(الإدخالات!C2="","",الإدخالات!C2)</f>
        <v>ملح</v>
      </c>
      <c r="E2" s="24">
        <f>IF(الإدخالات!C2="","",الإدخالات!D2)</f>
        <v>138.04</v>
      </c>
      <c r="F2" t="str">
        <f>IF(الإدخالات!C2="","",IF(الإدخالات!G2="","",الإدخالات!G2))</f>
        <v>تنزيل البيانات لأول مرة</v>
      </c>
      <c r="G2">
        <f>IF($B2&lt;&gt;"",SUMPRODUCT(($B$2:$B2&lt;&gt;"")*1),"")</f>
        <v>1</v>
      </c>
    </row>
    <row r="3" spans="1:7">
      <c r="A3" s="23">
        <f>IF(الإدخالات!C3="","",الإدخالات!B3)</f>
        <v>46218</v>
      </c>
      <c r="B3" t="str">
        <f>IF(الإدخالات!C3="","","شراء")</f>
        <v>شراء</v>
      </c>
      <c r="C3" t="str">
        <f>IF(الإدخالات!C3="","",IF(الإدخالات!E3="","-",الإدخالات!E3))</f>
        <v>امين</v>
      </c>
      <c r="D3" t="str">
        <f>IF(الإدخالات!C3="","",الإدخالات!C3)</f>
        <v>مقصب</v>
      </c>
      <c r="E3" s="24">
        <f>IF(الإدخالات!C3="","",الإدخالات!D3)</f>
        <v>2</v>
      </c>
      <c r="F3" t="str">
        <f>IF(الإدخالات!C3="","",IF(الإدخالات!G3="","",الإدخالات!G3))</f>
        <v>تنزيل البيانات لأول مرة</v>
      </c>
      <c r="G3">
        <f>IF($B3&lt;&gt;"",SUMPRODUCT(($B$2:$B3&lt;&gt;"")*1),"")</f>
        <v>2</v>
      </c>
    </row>
    <row r="4" spans="1:7">
      <c r="A4" s="23">
        <f>IF(الإدخالات!C4="","",الإدخالات!B4)</f>
        <v>46218</v>
      </c>
      <c r="B4" t="str">
        <f>IF(الإدخالات!C4="","","شراء")</f>
        <v>شراء</v>
      </c>
      <c r="C4" t="str">
        <f>IF(الإدخالات!C4="","",IF(الإدخالات!E4="","-",الإدخالات!E4))</f>
        <v>امين</v>
      </c>
      <c r="D4" t="str">
        <f>IF(الإدخالات!C4="","",الإدخالات!C4)</f>
        <v>مجمد</v>
      </c>
      <c r="E4" s="24">
        <f>IF(الإدخالات!C4="","",الإدخالات!D4)</f>
        <v>63.5</v>
      </c>
      <c r="F4" t="str">
        <f>IF(الإدخالات!C4="","",IF(الإدخالات!G4="","",الإدخالات!G4))</f>
        <v>تنزيل البيانات لأول مرة</v>
      </c>
      <c r="G4">
        <f>IF($B4&lt;&gt;"",SUMPRODUCT(($B$2:$B4&lt;&gt;"")*1),"")</f>
        <v>3</v>
      </c>
    </row>
    <row r="5" spans="1:7">
      <c r="A5" s="23">
        <f>IF(الإدخالات!C5="","",الإدخالات!B5)</f>
        <v>46218</v>
      </c>
      <c r="B5" t="str">
        <f>IF(الإدخالات!C5="","","شراء")</f>
        <v>شراء</v>
      </c>
      <c r="C5" t="str">
        <f>IF(الإدخالات!C5="","",IF(الإدخالات!E5="","-",الإدخالات!E5))</f>
        <v>امين</v>
      </c>
      <c r="D5" t="str">
        <f>IF(الإدخالات!C5="","",الإدخالات!C5)</f>
        <v>مانع رغوة مائي</v>
      </c>
      <c r="E5" s="24">
        <f>IF(الإدخالات!C5="","",الإدخالات!D5)</f>
        <v>0</v>
      </c>
      <c r="F5" t="str">
        <f>IF(الإدخالات!C5="","",IF(الإدخالات!G5="","",الإدخالات!G5))</f>
        <v>تنزيل البيانات لأول مرة</v>
      </c>
      <c r="G5">
        <f>IF($B5&lt;&gt;"",SUMPRODUCT(($B$2:$B5&lt;&gt;"")*1),"")</f>
        <v>4</v>
      </c>
    </row>
    <row r="6" spans="1:7">
      <c r="A6" s="23">
        <f>IF(الإدخالات!C6="","",الإدخالات!B6)</f>
        <v>46218</v>
      </c>
      <c r="B6" t="str">
        <f>IF(الإدخالات!C6="","","شراء")</f>
        <v>شراء</v>
      </c>
      <c r="C6" t="str">
        <f>IF(الإدخالات!C6="","",IF(الإدخالات!E6="","-",الإدخالات!E6))</f>
        <v>امين</v>
      </c>
      <c r="D6" t="str">
        <f>IF(الإدخالات!C6="","",الإدخالات!C6)</f>
        <v>مانع رغوة سيليكون</v>
      </c>
      <c r="E6" s="24">
        <f>IF(الإدخالات!C6="","",الإدخالات!D6)</f>
        <v>0</v>
      </c>
      <c r="F6" t="str">
        <f>IF(الإدخالات!C6="","",IF(الإدخالات!G6="","",الإدخالات!G6))</f>
        <v>تنزيل البيانات لأول مرة</v>
      </c>
      <c r="G6">
        <f>IF($B6&lt;&gt;"",SUMPRODUCT(($B$2:$B6&lt;&gt;"")*1),"")</f>
        <v>5</v>
      </c>
    </row>
    <row r="7" spans="1:7">
      <c r="A7" s="23">
        <f>IF(الإدخالات!C7="","",الإدخالات!B7)</f>
        <v>46218</v>
      </c>
      <c r="B7" t="str">
        <f>IF(الإدخالات!C7="","","شراء")</f>
        <v>شراء</v>
      </c>
      <c r="C7" t="str">
        <f>IF(الإدخالات!C7="","",IF(الإدخالات!E7="","-",الإدخالات!E7))</f>
        <v>امين</v>
      </c>
      <c r="D7" t="str">
        <f>IF(الإدخالات!C7="","",الإدخالات!C7)</f>
        <v>ماء مقطرة</v>
      </c>
      <c r="E7" s="24">
        <f>IF(الإدخالات!C7="","",الإدخالات!D7)</f>
        <v>28622</v>
      </c>
      <c r="F7" t="str">
        <f>IF(الإدخالات!C7="","",IF(الإدخالات!G7="","",الإدخالات!G7))</f>
        <v>تنزيل البيانات لأول مرة</v>
      </c>
      <c r="G7">
        <f>IF($B7&lt;&gt;"",SUMPRODUCT(($B$2:$B7&lt;&gt;"")*1),"")</f>
        <v>6</v>
      </c>
    </row>
    <row r="8" spans="1:7">
      <c r="A8" s="23">
        <f>IF(الإدخالات!C8="","",الإدخالات!B8)</f>
        <v>46218</v>
      </c>
      <c r="B8" t="str">
        <f>IF(الإدخالات!C8="","","شراء")</f>
        <v>شراء</v>
      </c>
      <c r="C8" t="str">
        <f>IF(الإدخالات!C8="","",IF(الإدخالات!E8="","-",الإدخالات!E8))</f>
        <v>امين</v>
      </c>
      <c r="D8" t="str">
        <f>IF(الإدخالات!C8="","",الإدخالات!C8)</f>
        <v xml:space="preserve">ماء بلسم </v>
      </c>
      <c r="E8" s="24">
        <f>IF(الإدخالات!C8="","",الإدخالات!D8)</f>
        <v>3</v>
      </c>
      <c r="F8" t="str">
        <f>IF(الإدخالات!C8="","",IF(الإدخالات!G8="","",الإدخالات!G8))</f>
        <v>تنزيل البيانات لأول مرة</v>
      </c>
      <c r="G8">
        <f>IF($B8&lt;&gt;"",SUMPRODUCT(($B$2:$B8&lt;&gt;"")*1),"")</f>
        <v>7</v>
      </c>
    </row>
    <row r="9" spans="1:7">
      <c r="A9" s="23">
        <f>IF(الإدخالات!C9="","",الإدخالات!B9)</f>
        <v>46218</v>
      </c>
      <c r="B9" t="str">
        <f>IF(الإدخالات!C9="","","شراء")</f>
        <v>شراء</v>
      </c>
      <c r="C9" t="str">
        <f>IF(الإدخالات!C9="","",IF(الإدخالات!E9="","-",الإدخالات!E9))</f>
        <v>امين</v>
      </c>
      <c r="D9" t="str">
        <f>IF(الإدخالات!C9="","",الإدخالات!C9)</f>
        <v>لانيت 16 ماليزي</v>
      </c>
      <c r="E9" s="24">
        <f>IF(الإدخالات!C9="","",الإدخالات!D9)</f>
        <v>0</v>
      </c>
      <c r="F9" t="str">
        <f>IF(الإدخالات!C9="","",IF(الإدخالات!G9="","",الإدخالات!G9))</f>
        <v>تنزيل البيانات لأول مرة</v>
      </c>
      <c r="G9">
        <f>IF($B9&lt;&gt;"",SUMPRODUCT(($B$2:$B9&lt;&gt;"")*1),"")</f>
        <v>8</v>
      </c>
    </row>
    <row r="10" spans="1:7">
      <c r="A10" s="23">
        <f>IF(الإدخالات!C10="","",الإدخالات!B10)</f>
        <v>46218</v>
      </c>
      <c r="B10" t="str">
        <f>IF(الإدخالات!C10="","","شراء")</f>
        <v>شراء</v>
      </c>
      <c r="C10" t="str">
        <f>IF(الإدخالات!C10="","",IF(الإدخالات!E10="","-",الإدخالات!E10))</f>
        <v>امين</v>
      </c>
      <c r="D10" t="str">
        <f>IF(الإدخالات!C10="","",الإدخالات!C10)</f>
        <v>كوستيك-قطرونة</v>
      </c>
      <c r="E10" s="24">
        <f>IF(الإدخالات!C10="","",الإدخالات!D10)</f>
        <v>27.71</v>
      </c>
      <c r="F10" t="str">
        <f>IF(الإدخالات!C10="","",IF(الإدخالات!G10="","",الإدخالات!G10))</f>
        <v>تنزيل البيانات لأول مرة</v>
      </c>
      <c r="G10">
        <f>IF($B10&lt;&gt;"",SUMPRODUCT(($B$2:$B10&lt;&gt;"")*1),"")</f>
        <v>9</v>
      </c>
    </row>
    <row r="11" spans="1:7">
      <c r="A11" s="23">
        <f>IF(الإدخالات!C11="","",الإدخالات!B11)</f>
        <v>46218</v>
      </c>
      <c r="B11" t="str">
        <f>IF(الإدخالات!C11="","","شراء")</f>
        <v>شراء</v>
      </c>
      <c r="C11" t="str">
        <f>IF(الإدخالات!C11="","",IF(الإدخالات!E11="","-",الإدخالات!E11))</f>
        <v>امين</v>
      </c>
      <c r="D11" t="str">
        <f>IF(الإدخالات!C11="","",الإدخالات!C11)</f>
        <v>كمبرلان</v>
      </c>
      <c r="E11" s="24">
        <f>IF(الإدخالات!C11="","",الإدخالات!D11)</f>
        <v>0</v>
      </c>
      <c r="F11" t="str">
        <f>IF(الإدخالات!C11="","",IF(الإدخالات!G11="","",الإدخالات!G11))</f>
        <v>تنزيل البيانات لأول مرة</v>
      </c>
      <c r="G11">
        <f>IF($B11&lt;&gt;"",SUMPRODUCT(($B$2:$B11&lt;&gt;"")*1),"")</f>
        <v>10</v>
      </c>
    </row>
    <row r="12" spans="1:7">
      <c r="A12" s="23">
        <f>IF(الإدخالات!C12="","",الإدخالات!B12)</f>
        <v>46218</v>
      </c>
      <c r="B12" t="str">
        <f>IF(الإدخالات!C12="","","شراء")</f>
        <v>شراء</v>
      </c>
      <c r="C12" t="str">
        <f>IF(الإدخالات!C12="","",IF(الإدخالات!E12="","-",الإدخالات!E12))</f>
        <v>امين</v>
      </c>
      <c r="D12" t="str">
        <f>IF(الإدخالات!C12="","",الإدخالات!C12)</f>
        <v>كليمازول</v>
      </c>
      <c r="E12" s="24">
        <f>IF(الإدخالات!C12="","",الإدخالات!D12)</f>
        <v>0</v>
      </c>
      <c r="F12" t="str">
        <f>IF(الإدخالات!C12="","",IF(الإدخالات!G12="","",الإدخالات!G12))</f>
        <v>تنزيل البيانات لأول مرة</v>
      </c>
      <c r="G12">
        <f>IF($B12&lt;&gt;"",SUMPRODUCT(($B$2:$B12&lt;&gt;"")*1),"")</f>
        <v>11</v>
      </c>
    </row>
    <row r="13" spans="1:7">
      <c r="A13" s="23">
        <f>IF(الإدخالات!C13="","",الإدخالات!B13)</f>
        <v>46218</v>
      </c>
      <c r="B13" t="str">
        <f>IF(الإدخالات!C13="","","شراء")</f>
        <v>شراء</v>
      </c>
      <c r="C13" t="str">
        <f>IF(الإدخالات!C13="","",IF(الإدخالات!E13="","-",الإدخالات!E13))</f>
        <v>امين</v>
      </c>
      <c r="D13" t="str">
        <f>IF(الإدخالات!C13="","",الإدخالات!C13)</f>
        <v>كلور خام</v>
      </c>
      <c r="E13" s="24">
        <f>IF(الإدخالات!C13="","",الإدخالات!D13)</f>
        <v>272</v>
      </c>
      <c r="F13" t="str">
        <f>IF(الإدخالات!C13="","",IF(الإدخالات!G13="","",الإدخالات!G13))</f>
        <v>تنزيل البيانات لأول مرة</v>
      </c>
      <c r="G13">
        <f>IF($B13&lt;&gt;"",SUMPRODUCT(($B$2:$B13&lt;&gt;"")*1),"")</f>
        <v>12</v>
      </c>
    </row>
    <row r="14" spans="1:7">
      <c r="A14" s="23">
        <f>IF(الإدخالات!C14="","",الإدخالات!B14)</f>
        <v>46218</v>
      </c>
      <c r="B14" t="str">
        <f>IF(الإدخالات!C14="","","شراء")</f>
        <v>شراء</v>
      </c>
      <c r="C14" t="str">
        <f>IF(الإدخالات!C14="","",IF(الإدخالات!E14="","-",الإدخالات!E14))</f>
        <v>امين</v>
      </c>
      <c r="D14" t="str">
        <f>IF(الإدخالات!C14="","",الإدخالات!C14)</f>
        <v>كحول (ايثانول)</v>
      </c>
      <c r="E14" s="24">
        <f>IF(الإدخالات!C14="","",الإدخالات!D14)</f>
        <v>25</v>
      </c>
      <c r="F14" t="str">
        <f>IF(الإدخالات!C14="","",IF(الإدخالات!G14="","",الإدخالات!G14))</f>
        <v>تنزيل البيانات لأول مرة</v>
      </c>
      <c r="G14">
        <f>IF($B14&lt;&gt;"",SUMPRODUCT(($B$2:$B14&lt;&gt;"")*1),"")</f>
        <v>13</v>
      </c>
    </row>
    <row r="15" spans="1:7">
      <c r="A15" s="23">
        <f>IF(الإدخالات!C15="","",الإدخالات!B15)</f>
        <v>46218</v>
      </c>
      <c r="B15" t="str">
        <f>IF(الإدخالات!C15="","","شراء")</f>
        <v>شراء</v>
      </c>
      <c r="C15" t="str">
        <f>IF(الإدخالات!C15="","",IF(الإدخالات!E15="","-",الإدخالات!E15))</f>
        <v>امين</v>
      </c>
      <c r="D15" t="str">
        <f>IF(الإدخالات!C15="","",الإدخالات!C15)</f>
        <v>فورمول ( سم )</v>
      </c>
      <c r="E15" s="24">
        <f>IF(الإدخالات!C15="","",الإدخالات!D15)</f>
        <v>1.64</v>
      </c>
      <c r="F15" t="str">
        <f>IF(الإدخالات!C15="","",IF(الإدخالات!G15="","",الإدخالات!G15))</f>
        <v>تنزيل البيانات لأول مرة</v>
      </c>
      <c r="G15">
        <f>IF($B15&lt;&gt;"",SUMPRODUCT(($B$2:$B15&lt;&gt;"")*1),"")</f>
        <v>14</v>
      </c>
    </row>
    <row r="16" spans="1:7">
      <c r="A16" s="23">
        <f>IF(الإدخالات!C16="","",الإدخالات!B16)</f>
        <v>46218</v>
      </c>
      <c r="B16" t="str">
        <f>IF(الإدخالات!C16="","","شراء")</f>
        <v>شراء</v>
      </c>
      <c r="C16" t="str">
        <f>IF(الإدخالات!C16="","",IF(الإدخالات!E16="","-",الإدخالات!E16))</f>
        <v>امين</v>
      </c>
      <c r="D16" t="str">
        <f>IF(الإدخالات!C16="","",الإدخالات!C16)</f>
        <v>فاتي كحول</v>
      </c>
      <c r="E16" s="24">
        <f>IF(الإدخالات!C16="","",الإدخالات!D16)</f>
        <v>251.4</v>
      </c>
      <c r="F16" t="str">
        <f>IF(الإدخالات!C16="","",IF(الإدخالات!G16="","",الإدخالات!G16))</f>
        <v>تنزيل البيانات لأول مرة</v>
      </c>
      <c r="G16">
        <f>IF($B16&lt;&gt;"",SUMPRODUCT(($B$2:$B16&lt;&gt;"")*1),"")</f>
        <v>15</v>
      </c>
    </row>
    <row r="17" spans="1:7">
      <c r="A17" s="23">
        <f>IF(الإدخالات!C17="","",الإدخالات!B17)</f>
        <v>46218</v>
      </c>
      <c r="B17" t="str">
        <f>IF(الإدخالات!C17="","","شراء")</f>
        <v>شراء</v>
      </c>
      <c r="C17" t="str">
        <f>IF(الإدخالات!C17="","",IF(الإدخالات!E17="","-",الإدخالات!E17))</f>
        <v>امين</v>
      </c>
      <c r="D17" t="str">
        <f>IF(الإدخالات!C17="","",الإدخالات!C17)</f>
        <v>غليسيرين</v>
      </c>
      <c r="E17" s="24">
        <f>IF(الإدخالات!C17="","",الإدخالات!D17)</f>
        <v>0</v>
      </c>
      <c r="F17" t="str">
        <f>IF(الإدخالات!C17="","",IF(الإدخالات!G17="","",الإدخالات!G17))</f>
        <v>تنزيل البيانات لأول مرة</v>
      </c>
      <c r="G17">
        <f>IF($B17&lt;&gt;"",SUMPRODUCT(($B$2:$B17&lt;&gt;"")*1),"")</f>
        <v>16</v>
      </c>
    </row>
    <row r="18" spans="1:7">
      <c r="A18" s="23">
        <f>IF(الإدخالات!C18="","",الإدخالات!B18)</f>
        <v>46218</v>
      </c>
      <c r="B18" t="str">
        <f>IF(الإدخالات!C18="","","شراء")</f>
        <v>شراء</v>
      </c>
      <c r="C18" t="str">
        <f>IF(الإدخالات!C18="","",IF(الإدخالات!E18="","-",الإدخالات!E18))</f>
        <v>امين</v>
      </c>
      <c r="D18" t="str">
        <f>IF(الإدخالات!C18="","",الإدخالات!C18)</f>
        <v xml:space="preserve">عطر-نسيم-المحيط ocean-breeze - 327993 </v>
      </c>
      <c r="E18" s="24">
        <f>IF(الإدخالات!C18="","",الإدخالات!D18)</f>
        <v>0.59</v>
      </c>
      <c r="F18" t="str">
        <f>IF(الإدخالات!C18="","",IF(الإدخالات!G18="","",الإدخالات!G18))</f>
        <v>تنزيل البيانات لأول مرة</v>
      </c>
      <c r="G18">
        <f>IF($B18&lt;&gt;"",SUMPRODUCT(($B$2:$B18&lt;&gt;"")*1),"")</f>
        <v>17</v>
      </c>
    </row>
    <row r="19" spans="1:7">
      <c r="A19" s="23">
        <f>IF(الإدخالات!C19="","",الإدخالات!B19)</f>
        <v>46218</v>
      </c>
      <c r="B19" t="str">
        <f>IF(الإدخالات!C19="","","شراء")</f>
        <v>شراء</v>
      </c>
      <c r="C19" t="str">
        <f>IF(الإدخالات!C19="","",IF(الإدخالات!E19="","-",الإدخالات!E19))</f>
        <v>امين</v>
      </c>
      <c r="D19" t="str">
        <f>IF(الإدخالات!C19="","",الإدخالات!C19)</f>
        <v>عطر-ليمون shiny-star - 485764</v>
      </c>
      <c r="E19" s="24">
        <f>IF(الإدخالات!C19="","",الإدخالات!D19)</f>
        <v>0.52</v>
      </c>
      <c r="F19" t="str">
        <f>IF(الإدخالات!C19="","",IF(الإدخالات!G19="","",الإدخالات!G19))</f>
        <v>تنزيل البيانات لأول مرة</v>
      </c>
      <c r="G19">
        <f>IF($B19&lt;&gt;"",SUMPRODUCT(($B$2:$B19&lt;&gt;"")*1),"")</f>
        <v>18</v>
      </c>
    </row>
    <row r="20" spans="1:7">
      <c r="A20" s="23">
        <f>IF(الإدخالات!C20="","",الإدخالات!B20)</f>
        <v>46218</v>
      </c>
      <c r="B20" t="str">
        <f>IF(الإدخالات!C20="","","شراء")</f>
        <v>شراء</v>
      </c>
      <c r="C20" t="str">
        <f>IF(الإدخالات!C20="","",IF(الإدخالات!E20="","-",الإدخالات!E20))</f>
        <v>امين</v>
      </c>
      <c r="D20" t="str">
        <f>IF(الإدخالات!C20="","",الإدخالات!C20)</f>
        <v>عطر-ليمون citrus lemon new - 321639</v>
      </c>
      <c r="E20" s="24">
        <f>IF(الإدخالات!C20="","",الإدخالات!D20)</f>
        <v>0.36</v>
      </c>
      <c r="F20" t="str">
        <f>IF(الإدخالات!C20="","",IF(الإدخالات!G20="","",الإدخالات!G20))</f>
        <v>تنزيل البيانات لأول مرة</v>
      </c>
      <c r="G20">
        <f>IF($B20&lt;&gt;"",SUMPRODUCT(($B$2:$B20&lt;&gt;"")*1),"")</f>
        <v>19</v>
      </c>
    </row>
    <row r="21" spans="1:7">
      <c r="A21" s="23">
        <f>IF(الإدخالات!C21="","",الإدخالات!B21)</f>
        <v>46218</v>
      </c>
      <c r="B21" t="str">
        <f>IF(الإدخالات!C21="","","شراء")</f>
        <v>شراء</v>
      </c>
      <c r="C21" t="str">
        <f>IF(الإدخالات!C21="","",IF(الإدخالات!E21="","-",الإدخالات!E21))</f>
        <v>امين</v>
      </c>
      <c r="D21" t="str">
        <f>IF(الإدخالات!C21="","",الإدخالات!C21)</f>
        <v>عطر-ليلك ariel-sensation - 318728</v>
      </c>
      <c r="E21" s="24">
        <f>IF(الإدخالات!C21="","",الإدخالات!D21)</f>
        <v>0.74</v>
      </c>
      <c r="F21" t="str">
        <f>IF(الإدخالات!C21="","",IF(الإدخالات!G21="","",الإدخالات!G21))</f>
        <v>تنزيل البيانات لأول مرة</v>
      </c>
      <c r="G21">
        <f>IF($B21&lt;&gt;"",SUMPRODUCT(($B$2:$B21&lt;&gt;"")*1),"")</f>
        <v>20</v>
      </c>
    </row>
    <row r="22" spans="1:7">
      <c r="A22" s="23">
        <f>IF(الإدخالات!C22="","",الإدخالات!B22)</f>
        <v>46218</v>
      </c>
      <c r="B22" t="str">
        <f>IF(الإدخالات!C22="","","شراء")</f>
        <v>شراء</v>
      </c>
      <c r="C22" t="str">
        <f>IF(الإدخالات!C22="","",IF(الإدخالات!E22="","-",الإدخالات!E22))</f>
        <v>امين</v>
      </c>
      <c r="D22" t="str">
        <f>IF(الإدخالات!C22="","",الإدخالات!C22)</f>
        <v xml:space="preserve">عطر-سلطان </v>
      </c>
      <c r="E22" s="24">
        <f>IF(الإدخالات!C22="","",الإدخالات!D22)</f>
        <v>2.59</v>
      </c>
      <c r="F22" t="str">
        <f>IF(الإدخالات!C22="","",IF(الإدخالات!G22="","",الإدخالات!G22))</f>
        <v>تنزيل البيانات لأول مرة</v>
      </c>
      <c r="G22">
        <f>IF($B22&lt;&gt;"",SUMPRODUCT(($B$2:$B22&lt;&gt;"")*1),"")</f>
        <v>21</v>
      </c>
    </row>
    <row r="23" spans="1:7">
      <c r="A23" s="23">
        <f>IF(الإدخالات!C23="","",الإدخالات!B23)</f>
        <v>46218</v>
      </c>
      <c r="B23" t="str">
        <f>IF(الإدخالات!C23="","","شراء")</f>
        <v>شراء</v>
      </c>
      <c r="C23" t="str">
        <f>IF(الإدخالات!C23="","",IF(الإدخالات!E23="","-",الإدخالات!E23))</f>
        <v>امين</v>
      </c>
      <c r="D23" t="str">
        <f>IF(الإدخالات!C23="","",الإدخالات!C23)</f>
        <v>عطر-زهور lovely-petals - 485718</v>
      </c>
      <c r="E23" s="24">
        <f>IF(الإدخالات!C23="","",الإدخالات!D23)</f>
        <v>0.53</v>
      </c>
      <c r="F23" t="str">
        <f>IF(الإدخالات!C23="","",IF(الإدخالات!G23="","",الإدخالات!G23))</f>
        <v>تنزيل البيانات لأول مرة</v>
      </c>
      <c r="G23">
        <f>IF($B23&lt;&gt;"",SUMPRODUCT(($B$2:$B23&lt;&gt;"")*1),"")</f>
        <v>22</v>
      </c>
    </row>
    <row r="24" spans="1:7">
      <c r="A24" s="23">
        <f>IF(الإدخالات!C24="","",الإدخالات!B24)</f>
        <v>46218</v>
      </c>
      <c r="B24" t="str">
        <f>IF(الإدخالات!C24="","","شراء")</f>
        <v>شراء</v>
      </c>
      <c r="C24" t="str">
        <f>IF(الإدخالات!C24="","",IF(الإدخالات!E24="","-",الإدخالات!E24))</f>
        <v>امين</v>
      </c>
      <c r="D24" t="str">
        <f>IF(الإدخالات!C24="","",الإدخالات!C24)</f>
        <v>عطر-رمان apple grandada - 322730</v>
      </c>
      <c r="E24" s="24">
        <f>IF(الإدخالات!C24="","",الإدخالات!D24)</f>
        <v>0.66</v>
      </c>
      <c r="F24" t="str">
        <f>IF(الإدخالات!C24="","",IF(الإدخالات!G24="","",الإدخالات!G24))</f>
        <v>تنزيل البيانات لأول مرة</v>
      </c>
      <c r="G24">
        <f>IF($B24&lt;&gt;"",SUMPRODUCT(($B$2:$B24&lt;&gt;"")*1),"")</f>
        <v>23</v>
      </c>
    </row>
    <row r="25" spans="1:7">
      <c r="A25" s="23">
        <f>IF(الإدخالات!C25="","",الإدخالات!B25)</f>
        <v>46218</v>
      </c>
      <c r="B25" t="str">
        <f>IF(الإدخالات!C25="","","شراء")</f>
        <v>شراء</v>
      </c>
      <c r="C25" t="str">
        <f>IF(الإدخالات!C25="","",IF(الإدخالات!E25="","-",الإدخالات!E25))</f>
        <v>امين</v>
      </c>
      <c r="D25" t="str">
        <f>IF(الإدخالات!C25="","",الإدخالات!C25)</f>
        <v>عطر-توليب fresh-scent-amour - 485833</v>
      </c>
      <c r="E25" s="24">
        <f>IF(الإدخالات!C25="","",الإدخالات!D25)</f>
        <v>0.6</v>
      </c>
      <c r="F25" t="str">
        <f>IF(الإدخالات!C25="","",IF(الإدخالات!G25="","",الإدخالات!G25))</f>
        <v>تنزيل البيانات لأول مرة</v>
      </c>
      <c r="G25">
        <f>IF($B25&lt;&gt;"",SUMPRODUCT(($B$2:$B25&lt;&gt;"")*1),"")</f>
        <v>24</v>
      </c>
    </row>
    <row r="26" spans="1:7">
      <c r="A26" s="23">
        <f>IF(الإدخالات!C26="","",الإدخالات!B26)</f>
        <v>46218</v>
      </c>
      <c r="B26" t="str">
        <f>IF(الإدخالات!C26="","","شراء")</f>
        <v>شراء</v>
      </c>
      <c r="C26" t="str">
        <f>IF(الإدخالات!C26="","",IF(الإدخالات!E26="","-",الإدخالات!E26))</f>
        <v>امين</v>
      </c>
      <c r="D26" t="str">
        <f>IF(الإدخالات!C26="","",الإدخالات!C26)</f>
        <v xml:space="preserve">عطر-تفاح apple - 317691 </v>
      </c>
      <c r="E26" s="24">
        <f>IF(الإدخالات!C26="","",الإدخالات!D26)</f>
        <v>0.47</v>
      </c>
      <c r="F26" t="str">
        <f>IF(الإدخالات!C26="","",IF(الإدخالات!G26="","",الإدخالات!G26))</f>
        <v>تنزيل البيانات لأول مرة</v>
      </c>
      <c r="G26">
        <f>IF($B26&lt;&gt;"",SUMPRODUCT(($B$2:$B26&lt;&gt;"")*1),"")</f>
        <v>25</v>
      </c>
    </row>
    <row r="27" spans="1:7">
      <c r="A27" s="23">
        <f>IF(الإدخالات!C27="","",الإدخالات!B27)</f>
        <v>46218</v>
      </c>
      <c r="B27" t="str">
        <f>IF(الإدخالات!C27="","","شراء")</f>
        <v>شراء</v>
      </c>
      <c r="C27" t="str">
        <f>IF(الإدخالات!C27="","",IF(الإدخالات!E27="","-",الإدخالات!E27))</f>
        <v>امين</v>
      </c>
      <c r="D27" t="str">
        <f>IF(الإدخالات!C27="","",الإدخالات!C27)</f>
        <v>عطر-برنس</v>
      </c>
      <c r="E27" s="24">
        <f>IF(الإدخالات!C27="","",الإدخالات!D27)</f>
        <v>0</v>
      </c>
      <c r="F27" t="str">
        <f>IF(الإدخالات!C27="","",IF(الإدخالات!G27="","",الإدخالات!G27))</f>
        <v>تنزيل البيانات لأول مرة</v>
      </c>
      <c r="G27">
        <f>IF($B27&lt;&gt;"",SUMPRODUCT(($B$2:$B27&lt;&gt;"")*1),"")</f>
        <v>26</v>
      </c>
    </row>
    <row r="28" spans="1:7">
      <c r="A28" s="23">
        <f>IF(الإدخالات!C28="","",الإدخالات!B28)</f>
        <v>46218</v>
      </c>
      <c r="B28" t="str">
        <f>IF(الإدخالات!C28="","","شراء")</f>
        <v>شراء</v>
      </c>
      <c r="C28" t="str">
        <f>IF(الإدخالات!C28="","",IF(الإدخالات!E28="","-",الإدخالات!E28))</f>
        <v>امين</v>
      </c>
      <c r="D28" t="str">
        <f>IF(الإدخالات!C28="","",الإدخالات!C28)</f>
        <v>عطر-ببوري ultimate-mixture - 485797</v>
      </c>
      <c r="E28" s="24">
        <f>IF(الإدخالات!C28="","",الإدخالات!D28)</f>
        <v>20</v>
      </c>
      <c r="F28" t="str">
        <f>IF(الإدخالات!C28="","",IF(الإدخالات!G28="","",الإدخالات!G28))</f>
        <v>تنزيل البيانات لأول مرة</v>
      </c>
      <c r="G28">
        <f>IF($B28&lt;&gt;"",SUMPRODUCT(($B$2:$B28&lt;&gt;"")*1),"")</f>
        <v>27</v>
      </c>
    </row>
    <row r="29" spans="1:7">
      <c r="A29" s="23">
        <f>IF(الإدخالات!C29="","",الإدخالات!B29)</f>
        <v>46218</v>
      </c>
      <c r="B29" t="str">
        <f>IF(الإدخالات!C29="","","شراء")</f>
        <v>شراء</v>
      </c>
      <c r="C29" t="str">
        <f>IF(الإدخالات!C29="","",IF(الإدخالات!E29="","-",الإدخالات!E29))</f>
        <v>امين</v>
      </c>
      <c r="D29" t="str">
        <f>IF(الإدخالات!C29="","",الإدخالات!C29)</f>
        <v>عطر-ازهار-الربيع spring - 318643</v>
      </c>
      <c r="E29" s="24">
        <f>IF(الإدخالات!C29="","",الإدخالات!D29)</f>
        <v>21.4</v>
      </c>
      <c r="F29" t="str">
        <f>IF(الإدخالات!C29="","",IF(الإدخالات!G29="","",الإدخالات!G29))</f>
        <v>تنزيل البيانات لأول مرة</v>
      </c>
      <c r="G29">
        <f>IF($B29&lt;&gt;"",SUMPRODUCT(($B$2:$B29&lt;&gt;"")*1),"")</f>
        <v>28</v>
      </c>
    </row>
    <row r="30" spans="1:7">
      <c r="A30" s="23">
        <f>IF(الإدخالات!C30="","",الإدخالات!B30)</f>
        <v>46218</v>
      </c>
      <c r="B30" t="str">
        <f>IF(الإدخالات!C30="","","شراء")</f>
        <v>شراء</v>
      </c>
      <c r="C30" t="str">
        <f>IF(الإدخالات!C30="","",IF(الإدخالات!E30="","-",الإدخالات!E30))</f>
        <v>امين</v>
      </c>
      <c r="D30" t="str">
        <f>IF(الإدخالات!C30="","",الإدخالات!C30)</f>
        <v>عطر هامول</v>
      </c>
      <c r="E30" s="24">
        <f>IF(الإدخالات!C30="","",الإدخالات!D30)</f>
        <v>0</v>
      </c>
      <c r="F30" t="str">
        <f>IF(الإدخالات!C30="","",IF(الإدخالات!G30="","",الإدخالات!G30))</f>
        <v>تنزيل البيانات لأول مرة</v>
      </c>
      <c r="G30">
        <f>IF($B30&lt;&gt;"",SUMPRODUCT(($B$2:$B30&lt;&gt;"")*1),"")</f>
        <v>29</v>
      </c>
    </row>
    <row r="31" spans="1:7">
      <c r="A31" s="23">
        <f>IF(الإدخالات!C31="","",الإدخالات!B31)</f>
        <v>46218</v>
      </c>
      <c r="B31" t="str">
        <f>IF(الإدخالات!C31="","","شراء")</f>
        <v>شراء</v>
      </c>
      <c r="C31" t="str">
        <f>IF(الإدخالات!C31="","",IF(الإدخالات!E31="","-",الإدخالات!E31))</f>
        <v>امين</v>
      </c>
      <c r="D31" t="str">
        <f>IF(الإدخالات!C31="","",الإدخالات!C31)</f>
        <v>عطر مسك احمر</v>
      </c>
      <c r="E31" s="24">
        <f>IF(الإدخالات!C31="","",الإدخالات!D31)</f>
        <v>2</v>
      </c>
      <c r="F31" t="str">
        <f>IF(الإدخالات!C31="","",IF(الإدخالات!G31="","",الإدخالات!G31))</f>
        <v>تنزيل البيانات لأول مرة</v>
      </c>
      <c r="G31">
        <f>IF($B31&lt;&gt;"",SUMPRODUCT(($B$2:$B31&lt;&gt;"")*1),"")</f>
        <v>30</v>
      </c>
    </row>
    <row r="32" spans="1:7">
      <c r="A32" s="23">
        <f>IF(الإدخالات!C32="","",الإدخالات!B32)</f>
        <v>46218</v>
      </c>
      <c r="B32" t="str">
        <f>IF(الإدخالات!C32="","","شراء")</f>
        <v>شراء</v>
      </c>
      <c r="C32" t="str">
        <f>IF(الإدخالات!C32="","",IF(الإدخالات!E32="","-",الإدخالات!E32))</f>
        <v>امين</v>
      </c>
      <c r="D32" t="str">
        <f>IF(الإدخالات!C32="","",الإدخالات!C32)</f>
        <v>عطر مسك</v>
      </c>
      <c r="E32" s="24">
        <f>IF(الإدخالات!C32="","",الإدخالات!D32)</f>
        <v>3</v>
      </c>
      <c r="F32" t="str">
        <f>IF(الإدخالات!C32="","",IF(الإدخالات!G32="","",الإدخالات!G32))</f>
        <v>تنزيل البيانات لأول مرة</v>
      </c>
      <c r="G32">
        <f>IF($B32&lt;&gt;"",SUMPRODUCT(($B$2:$B32&lt;&gt;"")*1),"")</f>
        <v>31</v>
      </c>
    </row>
    <row r="33" spans="1:7">
      <c r="A33" s="23">
        <f>IF(الإدخالات!C33="","",الإدخالات!B33)</f>
        <v>46218</v>
      </c>
      <c r="B33" t="str">
        <f>IF(الإدخالات!C33="","","شراء")</f>
        <v>شراء</v>
      </c>
      <c r="C33" t="str">
        <f>IF(الإدخالات!C33="","",IF(الإدخالات!E33="","-",الإدخالات!E33))</f>
        <v>امين</v>
      </c>
      <c r="D33" t="str">
        <f>IF(الإدخالات!C33="","",الإدخالات!C33)</f>
        <v>عطر ليمون ماكسي</v>
      </c>
      <c r="E33" s="24">
        <f>IF(الإدخالات!C33="","",الإدخالات!D33)</f>
        <v>0.42</v>
      </c>
      <c r="F33" t="str">
        <f>IF(الإدخالات!C33="","",IF(الإدخالات!G33="","",الإدخالات!G33))</f>
        <v>تنزيل البيانات لأول مرة</v>
      </c>
      <c r="G33">
        <f>IF($B33&lt;&gt;"",SUMPRODUCT(($B$2:$B33&lt;&gt;"")*1),"")</f>
        <v>32</v>
      </c>
    </row>
    <row r="34" spans="1:7">
      <c r="A34" s="23">
        <f>IF(الإدخالات!C34="","",الإدخالات!B34)</f>
        <v>46218</v>
      </c>
      <c r="B34" t="str">
        <f>IF(الإدخالات!C34="","","شراء")</f>
        <v>شراء</v>
      </c>
      <c r="C34" t="str">
        <f>IF(الإدخالات!C34="","",IF(الإدخالات!E34="","-",الإدخالات!E34))</f>
        <v>امين</v>
      </c>
      <c r="D34" t="str">
        <f>IF(الإدخالات!C34="","",الإدخالات!C34)</f>
        <v>عطر عسل</v>
      </c>
      <c r="E34" s="24">
        <f>IF(الإدخالات!C34="","",الإدخالات!D34)</f>
        <v>1</v>
      </c>
      <c r="F34" t="str">
        <f>IF(الإدخالات!C34="","",IF(الإدخالات!G34="","",الإدخالات!G34))</f>
        <v>تنزيل البيانات لأول مرة</v>
      </c>
      <c r="G34">
        <f>IF($B34&lt;&gt;"",SUMPRODUCT(($B$2:$B34&lt;&gt;"")*1),"")</f>
        <v>33</v>
      </c>
    </row>
    <row r="35" spans="1:7">
      <c r="A35" s="23">
        <f>IF(الإدخالات!C35="","",الإدخالات!B35)</f>
        <v>46218</v>
      </c>
      <c r="B35" t="str">
        <f>IF(الإدخالات!C35="","","شراء")</f>
        <v>شراء</v>
      </c>
      <c r="C35" t="str">
        <f>IF(الإدخالات!C35="","",IF(الإدخالات!E35="","-",الإدخالات!E35))</f>
        <v>امين</v>
      </c>
      <c r="D35" t="str">
        <f>IF(الإدخالات!C35="","",الإدخالات!C35)</f>
        <v>عطر جوز الهند</v>
      </c>
      <c r="E35" s="24">
        <f>IF(الإدخالات!C35="","",الإدخالات!D35)</f>
        <v>0</v>
      </c>
      <c r="F35" t="str">
        <f>IF(الإدخالات!C35="","",IF(الإدخالات!G35="","",الإدخالات!G35))</f>
        <v>تنزيل البيانات لأول مرة</v>
      </c>
      <c r="G35">
        <f>IF($B35&lt;&gt;"",SUMPRODUCT(($B$2:$B35&lt;&gt;"")*1),"")</f>
        <v>34</v>
      </c>
    </row>
    <row r="36" spans="1:7">
      <c r="A36" s="23">
        <f>IF(الإدخالات!C36="","",الإدخالات!B36)</f>
        <v>46218</v>
      </c>
      <c r="B36" t="str">
        <f>IF(الإدخالات!C36="","","شراء")</f>
        <v>شراء</v>
      </c>
      <c r="C36" t="str">
        <f>IF(الإدخالات!C36="","",IF(الإدخالات!E36="","-",الإدخالات!E36))</f>
        <v>امين</v>
      </c>
      <c r="D36" t="str">
        <f>IF(الإدخالات!C36="","",الإدخالات!C36)</f>
        <v>عطر بانتين</v>
      </c>
      <c r="E36" s="24">
        <f>IF(الإدخالات!C36="","",الإدخالات!D36)</f>
        <v>0</v>
      </c>
      <c r="F36" t="str">
        <f>IF(الإدخالات!C36="","",IF(الإدخالات!G36="","",الإدخالات!G36))</f>
        <v>تنزيل البيانات لأول مرة</v>
      </c>
      <c r="G36">
        <f>IF($B36&lt;&gt;"",SUMPRODUCT(($B$2:$B36&lt;&gt;"")*1),"")</f>
        <v>35</v>
      </c>
    </row>
    <row r="37" spans="1:7">
      <c r="A37" s="23">
        <f>IF(الإدخالات!C37="","",الإدخالات!B37)</f>
        <v>46218</v>
      </c>
      <c r="B37" t="str">
        <f>IF(الإدخالات!C37="","","شراء")</f>
        <v>شراء</v>
      </c>
      <c r="C37" t="str">
        <f>IF(الإدخالات!C37="","",IF(الإدخالات!E37="","-",الإدخالات!E37))</f>
        <v>امين</v>
      </c>
      <c r="D37" t="str">
        <f>IF(الإدخالات!C37="","",الإدخالات!C37)</f>
        <v>عطر اوليفا</v>
      </c>
      <c r="E37" s="24">
        <f>IF(الإدخالات!C37="","",الإدخالات!D37)</f>
        <v>0</v>
      </c>
      <c r="F37" t="str">
        <f>IF(الإدخالات!C37="","",IF(الإدخالات!G37="","",الإدخالات!G37))</f>
        <v>تنزيل البيانات لأول مرة</v>
      </c>
      <c r="G37">
        <f>IF($B37&lt;&gt;"",SUMPRODUCT(($B$2:$B37&lt;&gt;"")*1),"")</f>
        <v>36</v>
      </c>
    </row>
    <row r="38" spans="1:7">
      <c r="A38" s="23">
        <f>IF(الإدخالات!C38="","",الإدخالات!B38)</f>
        <v>46218</v>
      </c>
      <c r="B38" t="str">
        <f>IF(الإدخالات!C38="","","شراء")</f>
        <v>شراء</v>
      </c>
      <c r="C38" t="str">
        <f>IF(الإدخالات!C38="","",IF(الإدخالات!E38="","-",الإدخالات!E38))</f>
        <v>امين</v>
      </c>
      <c r="D38" t="str">
        <f>IF(الإدخالات!C38="","",الإدخالات!C38)</f>
        <v>عطر ramani-kodi-000110</v>
      </c>
      <c r="E38" s="24">
        <f>IF(الإدخالات!C38="","",الإدخالات!D38)</f>
        <v>2</v>
      </c>
      <c r="F38" t="str">
        <f>IF(الإدخالات!C38="","",IF(الإدخالات!G38="","",الإدخالات!G38))</f>
        <v>تنزيل البيانات لأول مرة</v>
      </c>
      <c r="G38">
        <f>IF($B38&lt;&gt;"",SUMPRODUCT(($B$2:$B38&lt;&gt;"")*1),"")</f>
        <v>37</v>
      </c>
    </row>
    <row r="39" spans="1:7">
      <c r="A39" s="23">
        <f>IF(الإدخالات!C39="","",الإدخالات!B39)</f>
        <v>46218</v>
      </c>
      <c r="B39" t="str">
        <f>IF(الإدخالات!C39="","","شراء")</f>
        <v>شراء</v>
      </c>
      <c r="C39" t="str">
        <f>IF(الإدخالات!C39="","",IF(الإدخالات!E39="","-",الإدخالات!E39))</f>
        <v>امين</v>
      </c>
      <c r="D39" t="str">
        <f>IF(الإدخالات!C39="","",الإدخالات!C39)</f>
        <v>عطر magic sprel - 6168581</v>
      </c>
      <c r="E39" s="24">
        <f>IF(الإدخالات!C39="","",الإدخالات!D39)</f>
        <v>50</v>
      </c>
      <c r="F39" t="str">
        <f>IF(الإدخالات!C39="","",IF(الإدخالات!G39="","",الإدخالات!G39))</f>
        <v>تنزيل البيانات لأول مرة</v>
      </c>
      <c r="G39">
        <f>IF($B39&lt;&gt;"",SUMPRODUCT(($B$2:$B39&lt;&gt;"")*1),"")</f>
        <v>38</v>
      </c>
    </row>
    <row r="40" spans="1:7">
      <c r="A40" s="23">
        <f>IF(الإدخالات!C40="","",الإدخالات!B40)</f>
        <v>46218</v>
      </c>
      <c r="B40" t="str">
        <f>IF(الإدخالات!C40="","","شراء")</f>
        <v>شراء</v>
      </c>
      <c r="C40" t="str">
        <f>IF(الإدخالات!C40="","",IF(الإدخالات!E40="","-",الإدخالات!E40))</f>
        <v>امين</v>
      </c>
      <c r="D40" t="str">
        <f>IF(الإدخالات!C40="","",الإدخالات!C40)</f>
        <v>عطر kavien-clein-eforia-000020</v>
      </c>
      <c r="E40" s="24">
        <f>IF(الإدخالات!C40="","",الإدخالات!D40)</f>
        <v>4</v>
      </c>
      <c r="F40" t="str">
        <f>IF(الإدخالات!C40="","",IF(الإدخالات!G40="","",الإدخالات!G40))</f>
        <v>تنزيل البيانات لأول مرة</v>
      </c>
      <c r="G40">
        <f>IF($B40&lt;&gt;"",SUMPRODUCT(($B$2:$B40&lt;&gt;"")*1),"")</f>
        <v>39</v>
      </c>
    </row>
    <row r="41" spans="1:7">
      <c r="A41" s="23">
        <f>IF(الإدخالات!C41="","",الإدخالات!B41)</f>
        <v>46218</v>
      </c>
      <c r="B41" t="str">
        <f>IF(الإدخالات!C41="","","شراء")</f>
        <v>شراء</v>
      </c>
      <c r="C41" t="str">
        <f>IF(الإدخالات!C41="","",IF(الإدخالات!E41="","-",الإدخالات!E41))</f>
        <v>امين</v>
      </c>
      <c r="D41" t="str">
        <f>IF(الإدخالات!C41="","",الإدخالات!C41)</f>
        <v>عطر energy-000400</v>
      </c>
      <c r="E41" s="24">
        <f>IF(الإدخالات!C41="","",الإدخالات!D41)</f>
        <v>1.44</v>
      </c>
      <c r="F41" t="str">
        <f>IF(الإدخالات!C41="","",IF(الإدخالات!G41="","",الإدخالات!G41))</f>
        <v>تنزيل البيانات لأول مرة</v>
      </c>
      <c r="G41">
        <f>IF($B41&lt;&gt;"",SUMPRODUCT(($B$2:$B41&lt;&gt;"")*1),"")</f>
        <v>40</v>
      </c>
    </row>
    <row r="42" spans="1:7">
      <c r="A42" s="23">
        <f>IF(الإدخالات!C42="","",الإدخالات!B42)</f>
        <v>46218</v>
      </c>
      <c r="B42" t="str">
        <f>IF(الإدخالات!C42="","","شراء")</f>
        <v>شراء</v>
      </c>
      <c r="C42" t="str">
        <f>IF(الإدخالات!C42="","",IF(الإدخالات!E42="","-",الإدخالات!E42))</f>
        <v>امين</v>
      </c>
      <c r="D42" t="str">
        <f>IF(الإدخالات!C42="","",الإدخالات!C42)</f>
        <v>عطر Blue APC - 0001198620</v>
      </c>
      <c r="E42" s="24">
        <f>IF(الإدخالات!C42="","",الإدخالات!D42)</f>
        <v>105</v>
      </c>
      <c r="F42" t="str">
        <f>IF(الإدخالات!C42="","",IF(الإدخالات!G42="","",الإدخالات!G42))</f>
        <v>تنزيل البيانات لأول مرة</v>
      </c>
      <c r="G42">
        <f>IF($B42&lt;&gt;"",SUMPRODUCT(($B$2:$B42&lt;&gt;"")*1),"")</f>
        <v>41</v>
      </c>
    </row>
    <row r="43" spans="1:7">
      <c r="A43" s="23">
        <f>IF(الإدخالات!C43="","",الإدخالات!B43)</f>
        <v>46218</v>
      </c>
      <c r="B43" t="str">
        <f>IF(الإدخالات!C43="","","شراء")</f>
        <v>شراء</v>
      </c>
      <c r="C43" t="str">
        <f>IF(الإدخالات!C43="","",IF(الإدخالات!E43="","-",الإدخالات!E43))</f>
        <v>امين</v>
      </c>
      <c r="D43" t="str">
        <f>IF(الإدخالات!C43="","",الإدخالات!C43)</f>
        <v>عطر billionair-000250</v>
      </c>
      <c r="E43" s="24">
        <f>IF(الإدخالات!C43="","",الإدخالات!D43)</f>
        <v>4</v>
      </c>
      <c r="F43" t="str">
        <f>IF(الإدخالات!C43="","",IF(الإدخالات!G43="","",الإدخالات!G43))</f>
        <v>تنزيل البيانات لأول مرة</v>
      </c>
      <c r="G43">
        <f>IF($B43&lt;&gt;"",SUMPRODUCT(($B$2:$B43&lt;&gt;"")*1),"")</f>
        <v>42</v>
      </c>
    </row>
    <row r="44" spans="1:7">
      <c r="A44" s="23">
        <f>IF(الإدخالات!C44="","",الإدخالات!B44)</f>
        <v>46218</v>
      </c>
      <c r="B44" t="str">
        <f>IF(الإدخالات!C44="","","شراء")</f>
        <v>شراء</v>
      </c>
      <c r="C44" t="str">
        <f>IF(الإدخالات!C44="","",IF(الإدخالات!E44="","-",الإدخالات!E44))</f>
        <v>امين</v>
      </c>
      <c r="D44" t="str">
        <f>IF(الإدخالات!C44="","",الإدخالات!C44)</f>
        <v>عطر be-apple-000320</v>
      </c>
      <c r="E44" s="24">
        <f>IF(الإدخالات!C44="","",الإدخالات!D44)</f>
        <v>2</v>
      </c>
      <c r="F44" t="str">
        <f>IF(الإدخالات!C44="","",IF(الإدخالات!G44="","",الإدخالات!G44))</f>
        <v>تنزيل البيانات لأول مرة</v>
      </c>
      <c r="G44">
        <f>IF($B44&lt;&gt;"",SUMPRODUCT(($B$2:$B44&lt;&gt;"")*1),"")</f>
        <v>43</v>
      </c>
    </row>
    <row r="45" spans="1:7">
      <c r="A45" s="23">
        <f>IF(الإدخالات!C45="","",الإدخالات!B45)</f>
        <v>46218</v>
      </c>
      <c r="B45" t="str">
        <f>IF(الإدخالات!C45="","","شراء")</f>
        <v>شراء</v>
      </c>
      <c r="C45" t="str">
        <f>IF(الإدخالات!C45="","",IF(الإدخالات!E45="","-",الإدخالات!E45))</f>
        <v>امين</v>
      </c>
      <c r="D45" t="str">
        <f>IF(الإدخالات!C45="","",الإدخالات!C45)</f>
        <v xml:space="preserve">عبوة 1 لتر </v>
      </c>
      <c r="E45" s="24">
        <f>IF(الإدخالات!C45="","",الإدخالات!D45)</f>
        <v>0</v>
      </c>
      <c r="F45" t="str">
        <f>IF(الإدخالات!C45="","",IF(الإدخالات!G45="","",الإدخالات!G45))</f>
        <v>تنزيل البيانات لأول مرة</v>
      </c>
      <c r="G45">
        <f>IF($B45&lt;&gt;"",SUMPRODUCT(($B$2:$B45&lt;&gt;"")*1),"")</f>
        <v>44</v>
      </c>
    </row>
    <row r="46" spans="1:7">
      <c r="A46" s="23">
        <f>IF(الإدخالات!C46="","",الإدخالات!B46)</f>
        <v>46218</v>
      </c>
      <c r="B46" t="str">
        <f>IF(الإدخالات!C46="","","شراء")</f>
        <v>شراء</v>
      </c>
      <c r="C46" t="str">
        <f>IF(الإدخالات!C46="","",IF(الإدخالات!E46="","-",الإدخالات!E46))</f>
        <v>امين</v>
      </c>
      <c r="D46" t="str">
        <f>IF(الإدخالات!C46="","",الإدخالات!C46)</f>
        <v>طبالي خشب</v>
      </c>
      <c r="E46" s="24">
        <f>IF(الإدخالات!C46="","",الإدخالات!D46)</f>
        <v>17</v>
      </c>
      <c r="F46" t="str">
        <f>IF(الإدخالات!C46="","",IF(الإدخالات!G46="","",الإدخالات!G46))</f>
        <v>تنزيل البيانات لأول مرة</v>
      </c>
      <c r="G46">
        <f>IF($B46&lt;&gt;"",SUMPRODUCT(($B$2:$B46&lt;&gt;"")*1),"")</f>
        <v>45</v>
      </c>
    </row>
    <row r="47" spans="1:7">
      <c r="A47" s="23">
        <f>IF(الإدخالات!C47="","",الإدخالات!B47)</f>
        <v>46218</v>
      </c>
      <c r="B47" t="str">
        <f>IF(الإدخالات!C47="","","شراء")</f>
        <v>شراء</v>
      </c>
      <c r="C47" t="str">
        <f>IF(الإدخالات!C47="","",IF(الإدخالات!E47="","-",الإدخالات!E47))</f>
        <v>امين</v>
      </c>
      <c r="D47" t="str">
        <f>IF(الإدخالات!C47="","",الإدخالات!C47)</f>
        <v xml:space="preserve">صودا أش </v>
      </c>
      <c r="E47" s="24">
        <f>IF(الإدخالات!C47="","",الإدخالات!D47)</f>
        <v>0</v>
      </c>
      <c r="F47" t="str">
        <f>IF(الإدخالات!C47="","",IF(الإدخالات!G47="","",الإدخالات!G47))</f>
        <v>تنزيل البيانات لأول مرة</v>
      </c>
      <c r="G47">
        <f>IF($B47&lt;&gt;"",SUMPRODUCT(($B$2:$B47&lt;&gt;"")*1),"")</f>
        <v>46</v>
      </c>
    </row>
    <row r="48" spans="1:7">
      <c r="A48" s="23">
        <f>IF(الإدخالات!C48="","",الإدخالات!B48)</f>
        <v>46218</v>
      </c>
      <c r="B48" t="str">
        <f>IF(الإدخالات!C48="","","شراء")</f>
        <v>شراء</v>
      </c>
      <c r="C48" t="str">
        <f>IF(الإدخالات!C48="","",IF(الإدخالات!E48="","-",الإدخالات!E48))</f>
        <v>امين</v>
      </c>
      <c r="D48" t="str">
        <f>IF(الإدخالات!C48="","",الإدخالات!C48)</f>
        <v xml:space="preserve">صبغة </v>
      </c>
      <c r="E48" s="24">
        <f>IF(الإدخالات!C48="","",الإدخالات!D48)</f>
        <v>1.42</v>
      </c>
      <c r="F48" t="str">
        <f>IF(الإدخالات!C48="","",IF(الإدخالات!G48="","",الإدخالات!G48))</f>
        <v>تنزيل البيانات لأول مرة</v>
      </c>
      <c r="G48">
        <f>IF($B48&lt;&gt;"",SUMPRODUCT(($B$2:$B48&lt;&gt;"")*1),"")</f>
        <v>47</v>
      </c>
    </row>
    <row r="49" spans="1:7">
      <c r="A49" s="23">
        <f>IF(الإدخالات!C49="","",الإدخالات!B49)</f>
        <v>46218</v>
      </c>
      <c r="B49" t="str">
        <f>IF(الإدخالات!C49="","","شراء")</f>
        <v>شراء</v>
      </c>
      <c r="C49" t="str">
        <f>IF(الإدخالات!C49="","",IF(الإدخالات!E49="","-",الإدخالات!E49))</f>
        <v>امين</v>
      </c>
      <c r="D49" t="str">
        <f>IF(الإدخالات!C49="","",الإدخالات!C49)</f>
        <v xml:space="preserve">سيليكات سائلة </v>
      </c>
      <c r="E49" s="24">
        <f>IF(الإدخالات!C49="","",الإدخالات!D49)</f>
        <v>0</v>
      </c>
      <c r="F49" t="str">
        <f>IF(الإدخالات!C49="","",IF(الإدخالات!G49="","",الإدخالات!G49))</f>
        <v>تنزيل البيانات لأول مرة</v>
      </c>
      <c r="G49">
        <f>IF($B49&lt;&gt;"",SUMPRODUCT(($B$2:$B49&lt;&gt;"")*1),"")</f>
        <v>48</v>
      </c>
    </row>
    <row r="50" spans="1:7">
      <c r="A50" s="23">
        <f>IF(الإدخالات!C50="","",الإدخالات!B50)</f>
        <v>46218</v>
      </c>
      <c r="B50" t="str">
        <f>IF(الإدخالات!C50="","","شراء")</f>
        <v>شراء</v>
      </c>
      <c r="C50" t="str">
        <f>IF(الإدخالات!C50="","",IF(الإدخالات!E50="","-",الإدخالات!E50))</f>
        <v>امين</v>
      </c>
      <c r="D50" t="str">
        <f>IF(الإدخالات!C50="","",الإدخالات!C50)</f>
        <v>زيت الصنوبر</v>
      </c>
      <c r="E50" s="24">
        <f>IF(الإدخالات!C50="","",الإدخالات!D50)</f>
        <v>24</v>
      </c>
      <c r="F50" t="str">
        <f>IF(الإدخالات!C50="","",IF(الإدخالات!G50="","",الإدخالات!G50))</f>
        <v>تنزيل البيانات لأول مرة</v>
      </c>
      <c r="G50">
        <f>IF($B50&lt;&gt;"",SUMPRODUCT(($B$2:$B50&lt;&gt;"")*1),"")</f>
        <v>49</v>
      </c>
    </row>
    <row r="51" spans="1:7">
      <c r="A51" s="23">
        <f>IF(الإدخالات!C51="","",الإدخالات!B51)</f>
        <v>46218</v>
      </c>
      <c r="B51" t="str">
        <f>IF(الإدخالات!C51="","","شراء")</f>
        <v>شراء</v>
      </c>
      <c r="C51" t="str">
        <f>IF(الإدخالات!C51="","",IF(الإدخالات!E51="","-",الإدخالات!E51))</f>
        <v>امين</v>
      </c>
      <c r="D51" t="str">
        <f>IF(الإدخالات!C51="","",الإدخالات!C51)</f>
        <v>زفتة</v>
      </c>
      <c r="E51" s="24">
        <f>IF(الإدخالات!C51="","",الإدخالات!D51)</f>
        <v>536</v>
      </c>
      <c r="F51" t="str">
        <f>IF(الإدخالات!C51="","",IF(الإدخالات!G51="","",الإدخالات!G51))</f>
        <v>تنزيل البيانات لأول مرة</v>
      </c>
      <c r="G51">
        <f>IF($B51&lt;&gt;"",SUMPRODUCT(($B$2:$B51&lt;&gt;"")*1),"")</f>
        <v>50</v>
      </c>
    </row>
    <row r="52" spans="1:7">
      <c r="A52" s="23">
        <f>IF(الإدخالات!C52="","",الإدخالات!B52)</f>
        <v>46218</v>
      </c>
      <c r="B52" t="str">
        <f>IF(الإدخالات!C52="","","شراء")</f>
        <v>شراء</v>
      </c>
      <c r="C52" t="str">
        <f>IF(الإدخالات!C52="","",IF(الإدخالات!E52="","-",الإدخالات!E52))</f>
        <v>امين</v>
      </c>
      <c r="D52" t="str">
        <f>IF(الإدخالات!C52="","",الإدخالات!C52)</f>
        <v>ديباتيول فينب</v>
      </c>
      <c r="E52" s="24">
        <f>IF(الإدخالات!C52="","",الإدخالات!D52)</f>
        <v>0</v>
      </c>
      <c r="F52" t="str">
        <f>IF(الإدخالات!C52="","",IF(الإدخالات!G52="","",الإدخالات!G52))</f>
        <v>تنزيل البيانات لأول مرة</v>
      </c>
      <c r="G52">
        <f>IF($B52&lt;&gt;"",SUMPRODUCT(($B$2:$B52&lt;&gt;"")*1),"")</f>
        <v>51</v>
      </c>
    </row>
    <row r="53" spans="1:7">
      <c r="A53" s="23">
        <f>IF(الإدخالات!C53="","",الإدخالات!B53)</f>
        <v>46218</v>
      </c>
      <c r="B53" t="str">
        <f>IF(الإدخالات!C53="","","شراء")</f>
        <v>شراء</v>
      </c>
      <c r="C53" t="str">
        <f>IF(الإدخالات!C53="","",IF(الإدخالات!E53="","-",الإدخالات!E53))</f>
        <v>امين</v>
      </c>
      <c r="D53" t="str">
        <f>IF(الإدخالات!C53="","",الإدخالات!C53)</f>
        <v>دواء غسيل نصف مصنع</v>
      </c>
      <c r="E53" s="24">
        <f>IF(الإدخالات!C53="","",الإدخالات!D53)</f>
        <v>34</v>
      </c>
      <c r="F53" t="str">
        <f>IF(الإدخالات!C53="","",IF(الإدخالات!G53="","",الإدخالات!G53))</f>
        <v>تنزيل البيانات لأول مرة</v>
      </c>
      <c r="G53">
        <f>IF($B53&lt;&gt;"",SUMPRODUCT(($B$2:$B53&lt;&gt;"")*1),"")</f>
        <v>52</v>
      </c>
    </row>
    <row r="54" spans="1:7">
      <c r="A54" s="23">
        <f>IF(الإدخالات!C54="","",الإدخالات!B54)</f>
        <v>46218</v>
      </c>
      <c r="B54" t="str">
        <f>IF(الإدخالات!C54="","","شراء")</f>
        <v>شراء</v>
      </c>
      <c r="C54" t="str">
        <f>IF(الإدخالات!C54="","",IF(الإدخالات!E54="","-",الإدخالات!E54))</f>
        <v>امين</v>
      </c>
      <c r="D54" t="str">
        <f>IF(الإدخالات!C54="","",الإدخالات!C54)</f>
        <v>حمض الليمون</v>
      </c>
      <c r="E54" s="24">
        <f>IF(الإدخالات!C54="","",الإدخالات!D54)</f>
        <v>1</v>
      </c>
      <c r="F54" t="str">
        <f>IF(الإدخالات!C54="","",IF(الإدخالات!G54="","",الإدخالات!G54))</f>
        <v>تنزيل البيانات لأول مرة</v>
      </c>
      <c r="G54">
        <f>IF($B54&lt;&gt;"",SUMPRODUCT(($B$2:$B54&lt;&gt;"")*1),"")</f>
        <v>53</v>
      </c>
    </row>
    <row r="55" spans="1:7">
      <c r="A55" s="23">
        <f>IF(الإدخالات!C55="","",الإدخالات!B55)</f>
        <v>46218</v>
      </c>
      <c r="B55" t="str">
        <f>IF(الإدخالات!C55="","","شراء")</f>
        <v>شراء</v>
      </c>
      <c r="C55" t="str">
        <f>IF(الإدخالات!C55="","",IF(الإدخالات!E55="","-",الإدخالات!E55))</f>
        <v>امين</v>
      </c>
      <c r="D55" t="str">
        <f>IF(الإدخالات!C55="","",الإدخالات!C55)</f>
        <v>حمض الكبريت</v>
      </c>
      <c r="E55" s="24">
        <f>IF(الإدخالات!C55="","",الإدخالات!D55)</f>
        <v>0</v>
      </c>
      <c r="F55" t="str">
        <f>IF(الإدخالات!C55="","",IF(الإدخالات!G55="","",الإدخالات!G55))</f>
        <v>تنزيل البيانات لأول مرة</v>
      </c>
      <c r="G55">
        <f>IF($B55&lt;&gt;"",SUMPRODUCT(($B$2:$B55&lt;&gt;"")*1),"")</f>
        <v>54</v>
      </c>
    </row>
    <row r="56" spans="1:7">
      <c r="A56" s="23">
        <f>IF(الإدخالات!C56="","",الإدخالات!B56)</f>
        <v>46218</v>
      </c>
      <c r="B56" t="str">
        <f>IF(الإدخالات!C56="","","شراء")</f>
        <v>شراء</v>
      </c>
      <c r="C56" t="str">
        <f>IF(الإدخالات!C56="","",IF(الإدخالات!E56="","-",الإدخالات!E56))</f>
        <v>امين</v>
      </c>
      <c r="D56" t="str">
        <f>IF(الإدخالات!C56="","",الإدخالات!C56)</f>
        <v>حمض الخل</v>
      </c>
      <c r="E56" s="24">
        <f>IF(الإدخالات!C56="","",الإدخالات!D56)</f>
        <v>1</v>
      </c>
      <c r="F56" t="str">
        <f>IF(الإدخالات!C56="","",IF(الإدخالات!G56="","",الإدخالات!G56))</f>
        <v>تنزيل البيانات لأول مرة</v>
      </c>
      <c r="G56">
        <f>IF($B56&lt;&gt;"",SUMPRODUCT(($B$2:$B56&lt;&gt;"")*1),"")</f>
        <v>55</v>
      </c>
    </row>
    <row r="57" spans="1:7">
      <c r="A57" s="23">
        <f>IF(الإدخالات!C57="","",الإدخالات!B57)</f>
        <v>46218</v>
      </c>
      <c r="B57" t="str">
        <f>IF(الإدخالات!C57="","","شراء")</f>
        <v>شراء</v>
      </c>
      <c r="C57" t="str">
        <f>IF(الإدخالات!C57="","",IF(الإدخالات!E57="","-",الإدخالات!E57))</f>
        <v>امين</v>
      </c>
      <c r="D57" t="str">
        <f>IF(الإدخالات!C57="","",الإدخالات!C57)</f>
        <v>حليب التين</v>
      </c>
      <c r="E57" s="24">
        <f>IF(الإدخالات!C57="","",الإدخالات!D57)</f>
        <v>0.83</v>
      </c>
      <c r="F57" t="str">
        <f>IF(الإدخالات!C57="","",IF(الإدخالات!G57="","",الإدخالات!G57))</f>
        <v>تنزيل البيانات لأول مرة</v>
      </c>
      <c r="G57">
        <f>IF($B57&lt;&gt;"",SUMPRODUCT(($B$2:$B57&lt;&gt;"")*1),"")</f>
        <v>56</v>
      </c>
    </row>
    <row r="58" spans="1:7">
      <c r="A58" s="23">
        <f>IF(الإدخالات!C58="","",الإدخالات!B58)</f>
        <v>46218</v>
      </c>
      <c r="B58" t="str">
        <f>IF(الإدخالات!C58="","","شراء")</f>
        <v>شراء</v>
      </c>
      <c r="C58" t="str">
        <f>IF(الإدخالات!C58="","",IF(الإدخالات!E58="","-",الإدخالات!E58))</f>
        <v>امين</v>
      </c>
      <c r="D58" t="str">
        <f>IF(الإدخالات!C58="","",الإدخالات!C58)</f>
        <v>حبيبات ملونة</v>
      </c>
      <c r="E58" s="24">
        <f>IF(الإدخالات!C58="","",الإدخالات!D58)</f>
        <v>0</v>
      </c>
      <c r="F58" t="str">
        <f>IF(الإدخالات!C58="","",IF(الإدخالات!G58="","",الإدخالات!G58))</f>
        <v>تنزيل البيانات لأول مرة</v>
      </c>
      <c r="G58">
        <f>IF($B58&lt;&gt;"",SUMPRODUCT(($B$2:$B58&lt;&gt;"")*1),"")</f>
        <v>57</v>
      </c>
    </row>
    <row r="59" spans="1:7">
      <c r="A59" s="23">
        <f>IF(الإدخالات!C59="","",الإدخالات!B59)</f>
        <v>46218</v>
      </c>
      <c r="B59" t="str">
        <f>IF(الإدخالات!C59="","","شراء")</f>
        <v>شراء</v>
      </c>
      <c r="C59" t="str">
        <f>IF(الإدخالات!C59="","",IF(الإدخالات!E59="","-",الإدخالات!E59))</f>
        <v>امين</v>
      </c>
      <c r="D59" t="str">
        <f>IF(الإدخالات!C59="","",الإدخالات!C59)</f>
        <v>تكسبون</v>
      </c>
      <c r="E59" s="24">
        <f>IF(الإدخالات!C59="","",الإدخالات!D59)</f>
        <v>468</v>
      </c>
      <c r="F59" t="str">
        <f>IF(الإدخالات!C59="","",IF(الإدخالات!G59="","",الإدخالات!G59))</f>
        <v>تنزيل البيانات لأول مرة</v>
      </c>
      <c r="G59">
        <f>IF($B59&lt;&gt;"",SUMPRODUCT(($B$2:$B59&lt;&gt;"")*1),"")</f>
        <v>58</v>
      </c>
    </row>
    <row r="60" spans="1:7">
      <c r="A60" s="23">
        <f>IF(الإدخالات!C60="","",الإدخالات!B60)</f>
        <v>46218</v>
      </c>
      <c r="B60" t="str">
        <f>IF(الإدخالات!C60="","","شراء")</f>
        <v>شراء</v>
      </c>
      <c r="C60" t="str">
        <f>IF(الإدخالات!C60="","",IF(الإدخالات!E60="","-",الإدخالات!E60))</f>
        <v>امين</v>
      </c>
      <c r="D60" t="str">
        <f>IF(الإدخالات!C60="","",الإدخالات!C60)</f>
        <v xml:space="preserve">بيدون 4 لتر </v>
      </c>
      <c r="E60" s="24">
        <f>IF(الإدخالات!C60="","",الإدخالات!D60)</f>
        <v>12</v>
      </c>
      <c r="F60" t="str">
        <f>IF(الإدخالات!C60="","",IF(الإدخالات!G60="","",الإدخالات!G60))</f>
        <v>تنزيل البيانات لأول مرة</v>
      </c>
      <c r="G60">
        <f>IF($B60&lt;&gt;"",SUMPRODUCT(($B$2:$B60&lt;&gt;"")*1),"")</f>
        <v>59</v>
      </c>
    </row>
    <row r="61" spans="1:7">
      <c r="A61" s="23">
        <f>IF(الإدخالات!C61="","",الإدخالات!B61)</f>
        <v>46218</v>
      </c>
      <c r="B61" t="str">
        <f>IF(الإدخالات!C61="","","شراء")</f>
        <v>شراء</v>
      </c>
      <c r="C61" t="str">
        <f>IF(الإدخالات!C61="","",IF(الإدخالات!E61="","-",الإدخالات!E61))</f>
        <v>امين</v>
      </c>
      <c r="D61" t="str">
        <f>IF(الإدخالات!C61="","",الإدخالات!C61)</f>
        <v>بيتائين</v>
      </c>
      <c r="E61" s="24">
        <f>IF(الإدخالات!C61="","",الإدخالات!D61)</f>
        <v>307.5</v>
      </c>
      <c r="F61" t="str">
        <f>IF(الإدخالات!C61="","",IF(الإدخالات!G61="","",الإدخالات!G61))</f>
        <v>تنزيل البيانات لأول مرة</v>
      </c>
      <c r="G61">
        <f>IF($B61&lt;&gt;"",SUMPRODUCT(($B$2:$B61&lt;&gt;"")*1),"")</f>
        <v>60</v>
      </c>
    </row>
    <row r="62" spans="1:7">
      <c r="A62" s="23">
        <f>IF(الإدخالات!C62="","",الإدخالات!B62)</f>
        <v>46218</v>
      </c>
      <c r="B62" t="str">
        <f>IF(الإدخالات!C62="","","شراء")</f>
        <v>شراء</v>
      </c>
      <c r="C62" t="str">
        <f>IF(الإدخالات!C62="","",IF(الإدخالات!E62="","-",الإدخالات!E62))</f>
        <v>امين</v>
      </c>
      <c r="D62" t="str">
        <f>IF(الإدخالات!C62="","",الإدخالات!C62)</f>
        <v>بوتيل غليكول</v>
      </c>
      <c r="E62" s="24">
        <f>IF(الإدخالات!C62="","",الإدخالات!D62)</f>
        <v>0</v>
      </c>
      <c r="F62" t="str">
        <f>IF(الإدخالات!C62="","",IF(الإدخالات!G62="","",الإدخالات!G62))</f>
        <v>تنزيل البيانات لأول مرة</v>
      </c>
      <c r="G62">
        <f>IF($B62&lt;&gt;"",SUMPRODUCT(($B$2:$B62&lt;&gt;"")*1),"")</f>
        <v>61</v>
      </c>
    </row>
    <row r="63" spans="1:7">
      <c r="A63" s="23">
        <f>IF(الإدخالات!C63="","",الإدخالات!B63)</f>
        <v>46218</v>
      </c>
      <c r="B63" t="str">
        <f>IF(الإدخالات!C63="","","شراء")</f>
        <v>شراء</v>
      </c>
      <c r="C63" t="str">
        <f>IF(الإدخالات!C63="","",IF(الإدخالات!E63="","-",الإدخالات!E63))</f>
        <v>امين</v>
      </c>
      <c r="D63" t="str">
        <f>IF(الإدخالات!C63="","",الإدخالات!C63)</f>
        <v>بلسم جامد</v>
      </c>
      <c r="E63" s="24">
        <f>IF(الإدخالات!C63="","",الإدخالات!D63)</f>
        <v>3</v>
      </c>
      <c r="F63" t="str">
        <f>IF(الإدخالات!C63="","",IF(الإدخالات!G63="","",الإدخالات!G63))</f>
        <v>تنزيل البيانات لأول مرة</v>
      </c>
      <c r="G63">
        <f>IF($B63&lt;&gt;"",SUMPRODUCT(($B$2:$B63&lt;&gt;"")*1),"")</f>
        <v>62</v>
      </c>
    </row>
    <row r="64" spans="1:7">
      <c r="A64" s="23">
        <f>IF(الإدخالات!C64="","",الإدخالات!B64)</f>
        <v>46218</v>
      </c>
      <c r="B64" t="str">
        <f>IF(الإدخالات!C64="","","شراء")</f>
        <v>شراء</v>
      </c>
      <c r="C64" t="str">
        <f>IF(الإدخالات!C64="","",IF(الإدخالات!E64="","-",الإدخالات!E64))</f>
        <v>امين</v>
      </c>
      <c r="D64" t="str">
        <f>IF(الإدخالات!C64="","",الإدخالات!C64)</f>
        <v>بروبلين - فينب</v>
      </c>
      <c r="E64" s="24">
        <f>IF(الإدخالات!C64="","",الإدخالات!D64)</f>
        <v>0</v>
      </c>
      <c r="F64" t="str">
        <f>IF(الإدخالات!C64="","",IF(الإدخالات!G64="","",الإدخالات!G64))</f>
        <v>تنزيل البيانات لأول مرة</v>
      </c>
      <c r="G64">
        <f>IF($B64&lt;&gt;"",SUMPRODUCT(($B$2:$B64&lt;&gt;"")*1),"")</f>
        <v>63</v>
      </c>
    </row>
    <row r="65" spans="1:7">
      <c r="A65" s="23">
        <f>IF(الإدخالات!C65="","",الإدخالات!B65)</f>
        <v>46218</v>
      </c>
      <c r="B65" t="str">
        <f>IF(الإدخالات!C65="","","شراء")</f>
        <v>شراء</v>
      </c>
      <c r="C65" t="str">
        <f>IF(الإدخالات!C65="","",IF(الإدخالات!E65="","-",الإدخالات!E65))</f>
        <v>امين</v>
      </c>
      <c r="D65" t="str">
        <f>IF(الإدخالات!C65="","",الإدخالات!C65)</f>
        <v>ايمولجين</v>
      </c>
      <c r="E65" s="24">
        <f>IF(الإدخالات!C65="","",الإدخالات!D65)</f>
        <v>6</v>
      </c>
      <c r="F65" t="str">
        <f>IF(الإدخالات!C65="","",IF(الإدخالات!G65="","",الإدخالات!G65))</f>
        <v>تنزيل البيانات لأول مرة</v>
      </c>
      <c r="G65">
        <f>IF($B65&lt;&gt;"",SUMPRODUCT(($B$2:$B65&lt;&gt;"")*1),"")</f>
        <v>64</v>
      </c>
    </row>
    <row r="66" spans="1:7">
      <c r="A66" s="23">
        <f>IF(الإدخالات!C66="","",الإدخالات!B66)</f>
        <v>46218</v>
      </c>
      <c r="B66" t="str">
        <f>IF(الإدخالات!C66="","","شراء")</f>
        <v>شراء</v>
      </c>
      <c r="C66" t="str">
        <f>IF(الإدخالات!C66="","",IF(الإدخالات!E66="","-",الإدخالات!E66))</f>
        <v>امين</v>
      </c>
      <c r="D66" t="str">
        <f>IF(الإدخالات!C66="","",الإدخالات!C66)</f>
        <v>ايديتا</v>
      </c>
      <c r="E66" s="24">
        <f>IF(الإدخالات!C66="","",الإدخالات!D66)</f>
        <v>16.5</v>
      </c>
      <c r="F66" t="str">
        <f>IF(الإدخالات!C66="","",IF(الإدخالات!G66="","",الإدخالات!G66))</f>
        <v>تنزيل البيانات لأول مرة</v>
      </c>
      <c r="G66">
        <f>IF($B66&lt;&gt;"",SUMPRODUCT(($B$2:$B66&lt;&gt;"")*1),"")</f>
        <v>65</v>
      </c>
    </row>
    <row r="67" spans="1:7">
      <c r="A67" s="23">
        <f>IF(الإدخالات!C67="","",الإدخالات!B67)</f>
        <v>46218</v>
      </c>
      <c r="B67" t="str">
        <f>IF(الإدخالات!C67="","","شراء")</f>
        <v>شراء</v>
      </c>
      <c r="C67" t="str">
        <f>IF(الإدخالات!C67="","",IF(الإدخالات!E67="","-",الإدخالات!E67))</f>
        <v>امين</v>
      </c>
      <c r="D67" t="str">
        <f>IF(الإدخالات!C67="","",الإدخالات!C67)</f>
        <v>اسيد - روح الملح - حمض كلور الماء</v>
      </c>
      <c r="E67" s="24">
        <f>IF(الإدخالات!C67="","",الإدخالات!D67)</f>
        <v>57</v>
      </c>
      <c r="F67" t="str">
        <f>IF(الإدخالات!C67="","",IF(الإدخالات!G67="","",الإدخالات!G67))</f>
        <v>تنزيل البيانات لأول مرة</v>
      </c>
      <c r="G67">
        <f>IF($B67&lt;&gt;"",SUMPRODUCT(($B$2:$B67&lt;&gt;"")*1),"")</f>
        <v>66</v>
      </c>
    </row>
    <row r="68" spans="1:7">
      <c r="A68" s="23">
        <f>IF(الإدخالات!C68="","",الإدخالات!B68)</f>
        <v>46218</v>
      </c>
      <c r="B68" t="str">
        <f>IF(الإدخالات!C68="","","شراء")</f>
        <v>شراء</v>
      </c>
      <c r="C68" t="str">
        <f>IF(الإدخالات!C68="","",IF(الإدخالات!E68="","-",الإدخالات!E68))</f>
        <v>امين</v>
      </c>
      <c r="D68" t="str">
        <f>IF(الإدخالات!C68="","",الإدخالات!C68)</f>
        <v>اسيتون</v>
      </c>
      <c r="E68" s="24">
        <f>IF(الإدخالات!C68="","",الإدخالات!D68)</f>
        <v>207.5</v>
      </c>
      <c r="F68" t="str">
        <f>IF(الإدخالات!C68="","",IF(الإدخالات!G68="","",الإدخالات!G68))</f>
        <v>تنزيل البيانات لأول مرة</v>
      </c>
      <c r="G68">
        <f>IF($B68&lt;&gt;"",SUMPRODUCT(($B$2:$B68&lt;&gt;"")*1),"")</f>
        <v>67</v>
      </c>
    </row>
    <row r="69" spans="1:7">
      <c r="A69" s="23">
        <f>IF(الإدخالات!C69="","",الإدخالات!B69)</f>
        <v>46218</v>
      </c>
      <c r="B69" t="str">
        <f>IF(الإدخالات!C69="","","شراء")</f>
        <v>شراء</v>
      </c>
      <c r="C69" t="str">
        <f>IF(الإدخالات!C69="","",IF(الإدخالات!E69="","-",الإدخالات!E69))</f>
        <v>امين</v>
      </c>
      <c r="D69" t="str">
        <f>IF(الإدخالات!C69="","",الإدخالات!C69)</f>
        <v>لصاقة طابعة</v>
      </c>
      <c r="E69" s="24">
        <f>IF(الإدخالات!C69="","",الإدخالات!D69)</f>
        <v>0</v>
      </c>
      <c r="F69" t="str">
        <f>IF(الإدخالات!C69="","",IF(الإدخالات!G69="","",الإدخالات!G69))</f>
        <v>تنزيل البيانات لأول مرة</v>
      </c>
      <c r="G69">
        <f>IF($B69&lt;&gt;"",SUMPRODUCT(($B$2:$B69&lt;&gt;"")*1),"")</f>
        <v>68</v>
      </c>
    </row>
    <row r="70" spans="1:7">
      <c r="A70" s="23">
        <f>IF(الإدخالات!C70="","",الإدخالات!B70)</f>
        <v>46218</v>
      </c>
      <c r="B70" t="str">
        <f>IF(الإدخالات!C70="","","شراء")</f>
        <v>شراء</v>
      </c>
      <c r="C70" t="str">
        <f>IF(الإدخالات!C70="","",IF(الإدخالات!E70="","-",الإدخالات!E70))</f>
        <v>امين</v>
      </c>
      <c r="D70" t="str">
        <f>IF(الإدخالات!C70="","",الإدخالات!C70)</f>
        <v>كريك بلاستيك</v>
      </c>
      <c r="E70" s="24">
        <f>IF(الإدخالات!C70="","",الإدخالات!D70)</f>
        <v>1</v>
      </c>
      <c r="F70" t="str">
        <f>IF(الإدخالات!C70="","",IF(الإدخالات!G70="","",الإدخالات!G70))</f>
        <v>تنزيل البيانات لأول مرة</v>
      </c>
      <c r="G70">
        <f>IF($B70&lt;&gt;"",SUMPRODUCT(($B$2:$B70&lt;&gt;"")*1),"")</f>
        <v>69</v>
      </c>
    </row>
    <row r="71" spans="1:7">
      <c r="A71" s="23">
        <f>IF(الإدخالات!C71="","",الإدخالات!B71)</f>
        <v>46218</v>
      </c>
      <c r="B71" t="str">
        <f>IF(الإدخالات!C71="","","شراء")</f>
        <v>شراء</v>
      </c>
      <c r="C71" t="str">
        <f>IF(الإدخالات!C71="","",IF(الإدخالات!E71="","-",الإدخالات!E71))</f>
        <v>امين</v>
      </c>
      <c r="D71" t="str">
        <f>IF(الإدخالات!C71="","",الإدخالات!C71)</f>
        <v>فازلين</v>
      </c>
      <c r="E71" s="24">
        <f>IF(الإدخالات!C71="","",الإدخالات!D71)</f>
        <v>0</v>
      </c>
      <c r="F71" t="str">
        <f>IF(الإدخالات!C71="","",IF(الإدخالات!G71="","",الإدخالات!G71))</f>
        <v>تنزيل البيانات لأول مرة</v>
      </c>
      <c r="G71">
        <f>IF($B71&lt;&gt;"",SUMPRODUCT(($B$2:$B71&lt;&gt;"")*1),"")</f>
        <v>70</v>
      </c>
    </row>
    <row r="72" spans="1:7">
      <c r="A72" s="23">
        <f>IF(الإدخالات!C72="","",الإدخالات!B72)</f>
        <v>46218</v>
      </c>
      <c r="B72" t="str">
        <f>IF(الإدخالات!C72="","","شراء")</f>
        <v>شراء</v>
      </c>
      <c r="C72" t="str">
        <f>IF(الإدخالات!C72="","",IF(الإدخالات!E72="","-",الإدخالات!E72))</f>
        <v>امين</v>
      </c>
      <c r="D72" t="str">
        <f>IF(الإدخالات!C72="","",الإدخالات!C72)</f>
        <v xml:space="preserve">عبوات كلور + فلاش فارغة </v>
      </c>
      <c r="E72" s="24">
        <f>IF(الإدخالات!C72="","",الإدخالات!D72)</f>
        <v>19.829999999999998</v>
      </c>
      <c r="F72" t="str">
        <f>IF(الإدخالات!C72="","",IF(الإدخالات!G72="","",الإدخالات!G72))</f>
        <v>تنزيل البيانات لأول مرة</v>
      </c>
      <c r="G72">
        <f>IF($B72&lt;&gt;"",SUMPRODUCT(($B$2:$B72&lt;&gt;"")*1),"")</f>
        <v>71</v>
      </c>
    </row>
    <row r="73" spans="1:7">
      <c r="A73" s="23">
        <f>IF(الإدخالات!C73="","",الإدخالات!B73)</f>
        <v>46218</v>
      </c>
      <c r="B73" t="str">
        <f>IF(الإدخالات!C73="","","شراء")</f>
        <v>شراء</v>
      </c>
      <c r="C73" t="str">
        <f>IF(الإدخالات!C73="","",IF(الإدخالات!E73="","-",الإدخالات!E73))</f>
        <v>امين</v>
      </c>
      <c r="D73" t="str">
        <f>IF(الإدخالات!C73="","",الإدخالات!C73)</f>
        <v>عبوات شفافة 3 لتر</v>
      </c>
      <c r="E73" s="24">
        <f>IF(الإدخالات!C73="","",الإدخالات!D73)</f>
        <v>11.16</v>
      </c>
      <c r="F73" t="str">
        <f>IF(الإدخالات!C73="","",IF(الإدخالات!G73="","",الإدخالات!G73))</f>
        <v>تنزيل البيانات لأول مرة</v>
      </c>
      <c r="G73">
        <f>IF($B73&lt;&gt;"",SUMPRODUCT(($B$2:$B73&lt;&gt;"")*1),"")</f>
        <v>72</v>
      </c>
    </row>
    <row r="74" spans="1:7">
      <c r="A74" s="23">
        <f>IF(الإدخالات!C74="","",الإدخالات!B74)</f>
        <v>46218</v>
      </c>
      <c r="B74" t="str">
        <f>IF(الإدخالات!C74="","","شراء")</f>
        <v>شراء</v>
      </c>
      <c r="C74" t="str">
        <f>IF(الإدخالات!C74="","",IF(الإدخالات!E74="","-",الإدخالات!E74))</f>
        <v>امين</v>
      </c>
      <c r="D74" t="str">
        <f>IF(الإدخالات!C74="","",الإدخالات!C74)</f>
        <v>عبوات حليبي</v>
      </c>
      <c r="E74" s="24">
        <f>IF(الإدخالات!C74="","",الإدخالات!D74)</f>
        <v>93.75</v>
      </c>
      <c r="F74" t="str">
        <f>IF(الإدخالات!C74="","",IF(الإدخالات!G74="","",الإدخالات!G74))</f>
        <v>تنزيل البيانات لأول مرة</v>
      </c>
      <c r="G74">
        <f>IF($B74&lt;&gt;"",SUMPRODUCT(($B$2:$B74&lt;&gt;"")*1),"")</f>
        <v>73</v>
      </c>
    </row>
    <row r="75" spans="1:7">
      <c r="A75" s="23">
        <f>IF(الإدخالات!C75="","",الإدخالات!B75)</f>
        <v>46218</v>
      </c>
      <c r="B75" t="str">
        <f>IF(الإدخالات!C75="","","شراء")</f>
        <v>شراء</v>
      </c>
      <c r="C75" t="str">
        <f>IF(الإدخالات!C75="","",IF(الإدخالات!E75="","-",الإدخالات!E75))</f>
        <v>امين</v>
      </c>
      <c r="D75" t="str">
        <f>IF(الإدخالات!C75="","",الإدخالات!C75)</f>
        <v>ديتول خام</v>
      </c>
      <c r="E75" s="24">
        <f>IF(الإدخالات!C75="","",الإدخالات!D75)</f>
        <v>0</v>
      </c>
      <c r="F75" t="str">
        <f>IF(الإدخالات!C75="","",IF(الإدخالات!G75="","",الإدخالات!G75))</f>
        <v>تنزيل البيانات لأول مرة</v>
      </c>
      <c r="G75">
        <f>IF($B75&lt;&gt;"",SUMPRODUCT(($B$2:$B75&lt;&gt;"")*1),"")</f>
        <v>74</v>
      </c>
    </row>
    <row r="76" spans="1:7">
      <c r="A76" s="23">
        <f>IF(الإدخالات!C76="","",الإدخالات!B76)</f>
        <v>46218</v>
      </c>
      <c r="B76" t="str">
        <f>IF(الإدخالات!C76="","","شراء")</f>
        <v>شراء</v>
      </c>
      <c r="C76" t="str">
        <f>IF(الإدخالات!C76="","",IF(الإدخالات!E76="","-",الإدخالات!E76))</f>
        <v>-</v>
      </c>
      <c r="D76" t="str">
        <f>IF(الإدخالات!C76="","",الإدخالات!C76)</f>
        <v>غطا عبوة 3لتر</v>
      </c>
      <c r="E76" s="24">
        <f>IF(الإدخالات!C76="","",الإدخالات!D76)</f>
        <v>0</v>
      </c>
      <c r="F76" t="str">
        <f>IF(الإدخالات!C76="","",IF(الإدخالات!G76="","",الإدخالات!G76))</f>
        <v/>
      </c>
      <c r="G76">
        <f>IF($B76&lt;&gt;"",SUMPRODUCT(($B$2:$B76&lt;&gt;"")*1),"")</f>
        <v>75</v>
      </c>
    </row>
    <row r="77" spans="1:7">
      <c r="A77" s="23">
        <f>IF(الإدخالات!C77="","",الإدخالات!B77)</f>
        <v>46218</v>
      </c>
      <c r="B77" t="str">
        <f>IF(الإدخالات!C77="","","شراء")</f>
        <v>شراء</v>
      </c>
      <c r="C77" t="str">
        <f>IF(الإدخالات!C77="","",IF(الإدخالات!E77="","-",الإدخالات!E77))</f>
        <v>-</v>
      </c>
      <c r="D77" t="str">
        <f>IF(الإدخالات!C77="","",الإدخالات!C77)</f>
        <v>مياه مقطرة 4 لتر</v>
      </c>
      <c r="E77" s="24">
        <f>IF(الإدخالات!C77="","",الإدخالات!D77)</f>
        <v>0</v>
      </c>
      <c r="F77" t="str">
        <f>IF(الإدخالات!C77="","",IF(الإدخالات!G77="","",الإدخالات!G77))</f>
        <v/>
      </c>
      <c r="G77">
        <f>IF($B77&lt;&gt;"",SUMPRODUCT(($B$2:$B77&lt;&gt;"")*1),"")</f>
        <v>76</v>
      </c>
    </row>
    <row r="78" spans="1:7">
      <c r="A78" s="23">
        <f>IF(الإدخالات!C78="","",الإدخالات!B78)</f>
        <v>46218</v>
      </c>
      <c r="B78" t="str">
        <f>IF(الإدخالات!C78="","","شراء")</f>
        <v>شراء</v>
      </c>
      <c r="C78" t="str">
        <f>IF(الإدخالات!C78="","",IF(الإدخالات!E78="","-",الإدخالات!E78))</f>
        <v>-</v>
      </c>
      <c r="D78" t="str">
        <f>IF(الإدخالات!C78="","",الإدخالات!C78)</f>
        <v>مياه مقطرة 1 لتر</v>
      </c>
      <c r="E78" s="24">
        <f>IF(الإدخالات!C78="","",الإدخالات!D78)</f>
        <v>0</v>
      </c>
      <c r="F78" t="str">
        <f>IF(الإدخالات!C78="","",IF(الإدخالات!G78="","",الإدخالات!G78))</f>
        <v/>
      </c>
      <c r="G78">
        <f>IF($B78&lt;&gt;"",SUMPRODUCT(($B$2:$B78&lt;&gt;"")*1),"")</f>
        <v>77</v>
      </c>
    </row>
    <row r="79" spans="1:7">
      <c r="A79" s="23">
        <f>IF(الإدخالات!C79="","",الإدخالات!B79)</f>
        <v>46218</v>
      </c>
      <c r="B79" t="str">
        <f>IF(الإدخالات!C79="","","شراء")</f>
        <v>شراء</v>
      </c>
      <c r="C79" t="str">
        <f>IF(الإدخالات!C79="","",IF(الإدخالات!E79="","-",الإدخالات!E79))</f>
        <v>-</v>
      </c>
      <c r="D79" t="str">
        <f>IF(الإدخالات!C79="","",الإدخالات!C79)</f>
        <v>مهسهس زفته - معجون</v>
      </c>
      <c r="E79" s="24">
        <f>IF(الإدخالات!C79="","",الإدخالات!D79)</f>
        <v>0</v>
      </c>
      <c r="F79" t="str">
        <f>IF(الإدخالات!C79="","",IF(الإدخالات!G79="","",الإدخالات!G79))</f>
        <v/>
      </c>
      <c r="G79">
        <f>IF($B79&lt;&gt;"",SUMPRODUCT(($B$2:$B79&lt;&gt;"")*1),"")</f>
        <v>78</v>
      </c>
    </row>
    <row r="80" spans="1:7">
      <c r="A80" s="23">
        <f>IF(الإدخالات!C80="","",الإدخالات!B80)</f>
        <v>46218</v>
      </c>
      <c r="B80" t="str">
        <f>IF(الإدخالات!C80="","","شراء")</f>
        <v>شراء</v>
      </c>
      <c r="C80" t="str">
        <f>IF(الإدخالات!C80="","",IF(الإدخالات!E80="","-",الإدخالات!E80))</f>
        <v>-</v>
      </c>
      <c r="D80" t="str">
        <f>IF(الإدخالات!C80="","",الإدخالات!C80)</f>
        <v>مماسح مكتب َ</v>
      </c>
      <c r="E80" s="24">
        <f>IF(الإدخالات!C80="","",الإدخالات!D80)</f>
        <v>0</v>
      </c>
      <c r="F80" t="str">
        <f>IF(الإدخالات!C80="","",IF(الإدخالات!G80="","",الإدخالات!G80))</f>
        <v/>
      </c>
      <c r="G80">
        <f>IF($B80&lt;&gt;"",SUMPRODUCT(($B$2:$B80&lt;&gt;"")*1),"")</f>
        <v>79</v>
      </c>
    </row>
    <row r="81" spans="1:7">
      <c r="A81" s="23">
        <f>IF(الإدخالات!C81="","",الإدخالات!B81)</f>
        <v>46218</v>
      </c>
      <c r="B81" t="str">
        <f>IF(الإدخالات!C81="","","شراء")</f>
        <v>شراء</v>
      </c>
      <c r="C81" t="str">
        <f>IF(الإدخالات!C81="","",IF(الإدخالات!E81="","-",الإدخالات!E81))</f>
        <v>-</v>
      </c>
      <c r="D81" t="str">
        <f>IF(الإدخالات!C81="","",الإدخالات!C81)</f>
        <v>مماسح قماش عائلة فايبر</v>
      </c>
      <c r="E81" s="24">
        <f>IF(الإدخالات!C81="","",الإدخالات!D81)</f>
        <v>0</v>
      </c>
      <c r="F81" t="str">
        <f>IF(الإدخالات!C81="","",IF(الإدخالات!G81="","",الإدخالات!G81))</f>
        <v/>
      </c>
      <c r="G81">
        <f>IF($B81&lt;&gt;"",SUMPRODUCT(($B$2:$B81&lt;&gt;"")*1),"")</f>
        <v>80</v>
      </c>
    </row>
    <row r="82" spans="1:7">
      <c r="A82" s="23">
        <f>IF(الإدخالات!C82="","",الإدخالات!B82)</f>
        <v>46218</v>
      </c>
      <c r="B82" t="str">
        <f>IF(الإدخالات!C82="","","شراء")</f>
        <v>شراء</v>
      </c>
      <c r="C82" t="str">
        <f>IF(الإدخالات!C82="","",IF(الإدخالات!E82="","-",الإدخالات!E82))</f>
        <v>-</v>
      </c>
      <c r="D82" t="str">
        <f>IF(الإدخالات!C82="","",الإدخالات!C82)</f>
        <v>مماسح بلور</v>
      </c>
      <c r="E82" s="24">
        <f>IF(الإدخالات!C82="","",الإدخالات!D82)</f>
        <v>0</v>
      </c>
      <c r="F82" t="str">
        <f>IF(الإدخالات!C82="","",IF(الإدخالات!G82="","",الإدخالات!G82))</f>
        <v/>
      </c>
      <c r="G82">
        <f>IF($B82&lt;&gt;"",SUMPRODUCT(($B$2:$B82&lt;&gt;"")*1),"")</f>
        <v>81</v>
      </c>
    </row>
    <row r="83" spans="1:7">
      <c r="A83" s="23">
        <f>IF(الإدخالات!C83="","",الإدخالات!B83)</f>
        <v>46218</v>
      </c>
      <c r="B83" t="str">
        <f>IF(الإدخالات!C83="","","شراء")</f>
        <v>شراء</v>
      </c>
      <c r="C83" t="str">
        <f>IF(الإدخالات!C83="","",IF(الإدخالات!E83="","-",الإدخالات!E83))</f>
        <v>-</v>
      </c>
      <c r="D83" t="str">
        <f>IF(الإدخالات!C83="","",الإدخالات!C83)</f>
        <v>مماسح ارضيات</v>
      </c>
      <c r="E83" s="24">
        <f>IF(الإدخالات!C83="","",الإدخالات!D83)</f>
        <v>0</v>
      </c>
      <c r="F83" t="str">
        <f>IF(الإدخالات!C83="","",IF(الإدخالات!G83="","",الإدخالات!G83))</f>
        <v/>
      </c>
      <c r="G83">
        <f>IF($B83&lt;&gt;"",SUMPRODUCT(($B$2:$B83&lt;&gt;"")*1),"")</f>
        <v>82</v>
      </c>
    </row>
    <row r="84" spans="1:7">
      <c r="A84" s="23">
        <f>IF(الإدخالات!C84="","",الإدخالات!B84)</f>
        <v>46218</v>
      </c>
      <c r="B84" t="str">
        <f>IF(الإدخالات!C84="","","شراء")</f>
        <v>شراء</v>
      </c>
      <c r="C84" t="str">
        <f>IF(الإدخالات!C84="","",IF(الإدخالات!E84="","-",الإدخالات!E84))</f>
        <v>-</v>
      </c>
      <c r="D84" t="str">
        <f>IF(الإدخالات!C84="","",الإدخالات!C84)</f>
        <v>ملمع سيارات 3 لتر</v>
      </c>
      <c r="E84" s="24">
        <f>IF(الإدخالات!C84="","",الإدخالات!D84)</f>
        <v>0</v>
      </c>
      <c r="F84" t="str">
        <f>IF(الإدخالات!C84="","",IF(الإدخالات!G84="","",الإدخالات!G84))</f>
        <v/>
      </c>
      <c r="G84">
        <f>IF($B84&lt;&gt;"",SUMPRODUCT(($B$2:$B84&lt;&gt;"")*1),"")</f>
        <v>83</v>
      </c>
    </row>
    <row r="85" spans="1:7">
      <c r="A85" s="23">
        <f>IF(الإدخالات!C85="","",الإدخالات!B85)</f>
        <v>46218</v>
      </c>
      <c r="B85" t="str">
        <f>IF(الإدخالات!C85="","","شراء")</f>
        <v>شراء</v>
      </c>
      <c r="C85" t="str">
        <f>IF(الإدخالات!C85="","",IF(الإدخالات!E85="","-",الإدخالات!E85))</f>
        <v>-</v>
      </c>
      <c r="D85" t="str">
        <f>IF(الإدخالات!C85="","",الإدخالات!C85)</f>
        <v>ملمع سيارات / فرط</v>
      </c>
      <c r="E85" s="24">
        <f>IF(الإدخالات!C85="","",الإدخالات!D85)</f>
        <v>0</v>
      </c>
      <c r="F85" t="str">
        <f>IF(الإدخالات!C85="","",IF(الإدخالات!G85="","",الإدخالات!G85))</f>
        <v/>
      </c>
      <c r="G85">
        <f>IF($B85&lt;&gt;"",SUMPRODUCT(($B$2:$B85&lt;&gt;"")*1),"")</f>
        <v>84</v>
      </c>
    </row>
    <row r="86" spans="1:7">
      <c r="A86" s="23">
        <f>IF(الإدخالات!C86="","",الإدخالات!B86)</f>
        <v>46218</v>
      </c>
      <c r="B86" t="str">
        <f>IF(الإدخالات!C86="","","شراء")</f>
        <v>شراء</v>
      </c>
      <c r="C86" t="str">
        <f>IF(الإدخالات!C86="","",IF(الإدخالات!E86="","-",الإدخالات!E86))</f>
        <v>-</v>
      </c>
      <c r="D86" t="str">
        <f>IF(الإدخالات!C86="","",الإدخالات!C86)</f>
        <v>ملمع زجاج الكرمل</v>
      </c>
      <c r="E86" s="24">
        <f>IF(الإدخالات!C86="","",الإدخالات!D86)</f>
        <v>0</v>
      </c>
      <c r="F86" t="str">
        <f>IF(الإدخالات!C86="","",IF(الإدخالات!G86="","",الإدخالات!G86))</f>
        <v/>
      </c>
      <c r="G86">
        <f>IF($B86&lt;&gt;"",SUMPRODUCT(($B$2:$B86&lt;&gt;"")*1),"")</f>
        <v>85</v>
      </c>
    </row>
    <row r="87" spans="1:7">
      <c r="A87" s="23">
        <f>IF(الإدخالات!C87="","",الإدخالات!B87)</f>
        <v>46218</v>
      </c>
      <c r="B87" t="str">
        <f>IF(الإدخالات!C87="","","شراء")</f>
        <v>شراء</v>
      </c>
      <c r="C87" t="str">
        <f>IF(الإدخالات!C87="","",IF(الإدخالات!E87="","-",الإدخالات!E87))</f>
        <v>-</v>
      </c>
      <c r="D87" t="str">
        <f>IF(الإدخالات!C87="","",الإدخالات!C87)</f>
        <v>ملمع زجاج 3 لتر</v>
      </c>
      <c r="E87" s="24">
        <f>IF(الإدخالات!C87="","",الإدخالات!D87)</f>
        <v>0</v>
      </c>
      <c r="F87" t="str">
        <f>IF(الإدخالات!C87="","",IF(الإدخالات!G87="","",الإدخالات!G87))</f>
        <v/>
      </c>
      <c r="G87">
        <f>IF($B87&lt;&gt;"",SUMPRODUCT(($B$2:$B87&lt;&gt;"")*1),"")</f>
        <v>86</v>
      </c>
    </row>
    <row r="88" spans="1:7">
      <c r="A88" s="23">
        <f>IF(الإدخالات!C88="","",الإدخالات!B88)</f>
        <v>46218</v>
      </c>
      <c r="B88" t="str">
        <f>IF(الإدخالات!C88="","","شراء")</f>
        <v>شراء</v>
      </c>
      <c r="C88" t="str">
        <f>IF(الإدخالات!C88="","",IF(الإدخالات!E88="","-",الإدخالات!E88))</f>
        <v>-</v>
      </c>
      <c r="D88" t="str">
        <f>IF(الإدخالات!C88="","",الإدخالات!C88)</f>
        <v>ملمع زجاج / فرط</v>
      </c>
      <c r="E88" s="24">
        <f>IF(الإدخالات!C88="","",الإدخالات!D88)</f>
        <v>0</v>
      </c>
      <c r="F88" t="str">
        <f>IF(الإدخالات!C88="","",IF(الإدخالات!G88="","",الإدخالات!G88))</f>
        <v/>
      </c>
      <c r="G88">
        <f>IF($B88&lt;&gt;"",SUMPRODUCT(($B$2:$B88&lt;&gt;"")*1),"")</f>
        <v>87</v>
      </c>
    </row>
    <row r="89" spans="1:7">
      <c r="A89" s="23">
        <f>IF(الإدخالات!C89="","",الإدخالات!B89)</f>
        <v>46218</v>
      </c>
      <c r="B89" t="str">
        <f>IF(الإدخالات!C89="","","شراء")</f>
        <v>شراء</v>
      </c>
      <c r="C89" t="str">
        <f>IF(الإدخالات!C89="","",IF(الإدخالات!E89="","-",الإدخالات!E89))</f>
        <v>-</v>
      </c>
      <c r="D89" t="str">
        <f>IF(الإدخالات!C89="","",الإدخالات!C89)</f>
        <v>ملطف جو ليتس</v>
      </c>
      <c r="E89" s="24">
        <f>IF(الإدخالات!C89="","",الإدخالات!D89)</f>
        <v>0</v>
      </c>
      <c r="F89" t="str">
        <f>IF(الإدخالات!C89="","",IF(الإدخالات!G89="","",الإدخالات!G89))</f>
        <v/>
      </c>
      <c r="G89">
        <f>IF($B89&lt;&gt;"",SUMPRODUCT(($B$2:$B89&lt;&gt;"")*1),"")</f>
        <v>88</v>
      </c>
    </row>
    <row r="90" spans="1:7">
      <c r="A90" s="23">
        <f>IF(الإدخالات!C90="","",الإدخالات!B90)</f>
        <v>46218</v>
      </c>
      <c r="B90" t="str">
        <f>IF(الإدخالات!C90="","","شراء")</f>
        <v>شراء</v>
      </c>
      <c r="C90" t="str">
        <f>IF(الإدخالات!C90="","",IF(الإدخالات!E90="","-",الإدخالات!E90))</f>
        <v>-</v>
      </c>
      <c r="D90" t="str">
        <f>IF(الإدخالات!C90="","",الإدخالات!C90)</f>
        <v>ملطف جو</v>
      </c>
      <c r="E90" s="24">
        <f>IF(الإدخالات!C90="","",الإدخالات!D90)</f>
        <v>0</v>
      </c>
      <c r="F90" t="str">
        <f>IF(الإدخالات!C90="","",IF(الإدخالات!G90="","",الإدخالات!G90))</f>
        <v/>
      </c>
      <c r="G90">
        <f>IF($B90&lt;&gt;"",SUMPRODUCT(($B$2:$B90&lt;&gt;"")*1),"")</f>
        <v>89</v>
      </c>
    </row>
    <row r="91" spans="1:7">
      <c r="A91" s="23">
        <f>IF(الإدخالات!C91="","",الإدخالات!B91)</f>
        <v>46218</v>
      </c>
      <c r="B91" t="str">
        <f>IF(الإدخالات!C91="","","شراء")</f>
        <v>شراء</v>
      </c>
      <c r="C91" t="str">
        <f>IF(الإدخالات!C91="","",IF(الإدخالات!E91="","-",الإدخالات!E91))</f>
        <v>-</v>
      </c>
      <c r="D91" t="str">
        <f>IF(الإدخالات!C91="","",الإدخالات!C91)</f>
        <v xml:space="preserve">مكانس ناعمة كثيفة </v>
      </c>
      <c r="E91" s="24">
        <f>IF(الإدخالات!C91="","",الإدخالات!D91)</f>
        <v>0</v>
      </c>
      <c r="F91" t="str">
        <f>IF(الإدخالات!C91="","",IF(الإدخالات!G91="","",الإدخالات!G91))</f>
        <v/>
      </c>
      <c r="G91">
        <f>IF($B91&lt;&gt;"",SUMPRODUCT(($B$2:$B91&lt;&gt;"")*1),"")</f>
        <v>90</v>
      </c>
    </row>
    <row r="92" spans="1:7">
      <c r="A92" s="23">
        <f>IF(الإدخالات!C92="","",الإدخالات!B92)</f>
        <v>46218</v>
      </c>
      <c r="B92" t="str">
        <f>IF(الإدخالات!C92="","","شراء")</f>
        <v>شراء</v>
      </c>
      <c r="C92" t="str">
        <f>IF(الإدخالات!C92="","",IF(الإدخالات!E92="","-",الإدخالات!E92))</f>
        <v>-</v>
      </c>
      <c r="D92" t="str">
        <f>IF(الإدخالات!C92="","",الإدخالات!C92)</f>
        <v xml:space="preserve">مكانس خشنة </v>
      </c>
      <c r="E92" s="24">
        <f>IF(الإدخالات!C92="","",الإدخالات!D92)</f>
        <v>0</v>
      </c>
      <c r="F92" t="str">
        <f>IF(الإدخالات!C92="","",IF(الإدخالات!G92="","",الإدخالات!G92))</f>
        <v/>
      </c>
      <c r="G92">
        <f>IF($B92&lt;&gt;"",SUMPRODUCT(($B$2:$B92&lt;&gt;"")*1),"")</f>
        <v>91</v>
      </c>
    </row>
    <row r="93" spans="1:7">
      <c r="A93" s="23">
        <f>IF(الإدخالات!C93="","",الإدخالات!B93)</f>
        <v>46218</v>
      </c>
      <c r="B93" t="str">
        <f>IF(الإدخالات!C93="","","شراء")</f>
        <v>شراء</v>
      </c>
      <c r="C93" t="str">
        <f>IF(الإدخالات!C93="","",IF(الإدخالات!E93="","-",الإدخالات!E93))</f>
        <v>-</v>
      </c>
      <c r="D93" t="str">
        <f>IF(الإدخالات!C93="","",الإدخالات!C93)</f>
        <v>معطر كرمل .</v>
      </c>
      <c r="E93" s="24">
        <f>IF(الإدخالات!C93="","",الإدخالات!D93)</f>
        <v>0</v>
      </c>
      <c r="F93" t="str">
        <f>IF(الإدخالات!C93="","",IF(الإدخالات!G93="","",الإدخالات!G93))</f>
        <v/>
      </c>
      <c r="G93">
        <f>IF($B93&lt;&gt;"",SUMPRODUCT(($B$2:$B93&lt;&gt;"")*1),"")</f>
        <v>92</v>
      </c>
    </row>
    <row r="94" spans="1:7">
      <c r="A94" s="23">
        <f>IF(الإدخالات!C94="","",الإدخالات!B94)</f>
        <v>46218</v>
      </c>
      <c r="B94" t="str">
        <f>IF(الإدخالات!C94="","","شراء")</f>
        <v>شراء</v>
      </c>
      <c r="C94" t="str">
        <f>IF(الإدخالات!C94="","",IF(الإدخالات!E94="","-",الإدخالات!E94))</f>
        <v>-</v>
      </c>
      <c r="D94" t="str">
        <f>IF(الإدخالات!C94="","",الإدخالات!C94)</f>
        <v>معطر عافية</v>
      </c>
      <c r="E94" s="24">
        <f>IF(الإدخالات!C94="","",الإدخالات!D94)</f>
        <v>0</v>
      </c>
      <c r="F94" t="str">
        <f>IF(الإدخالات!C94="","",IF(الإدخالات!G94="","",الإدخالات!G94))</f>
        <v/>
      </c>
      <c r="G94">
        <f>IF($B94&lt;&gt;"",SUMPRODUCT(($B$2:$B94&lt;&gt;"")*1),"")</f>
        <v>93</v>
      </c>
    </row>
    <row r="95" spans="1:7">
      <c r="A95" s="23">
        <f>IF(الإدخالات!C95="","",الإدخالات!B95)</f>
        <v>46218</v>
      </c>
      <c r="B95" t="str">
        <f>IF(الإدخالات!C95="","","شراء")</f>
        <v>شراء</v>
      </c>
      <c r="C95" t="str">
        <f>IF(الإدخالات!C95="","",IF(الإدخالات!E95="","-",الإدخالات!E95))</f>
        <v>-</v>
      </c>
      <c r="D95" t="str">
        <f>IF(الإدخالات!C95="","",الإدخالات!C95)</f>
        <v xml:space="preserve">معطر super / فرط </v>
      </c>
      <c r="E95" s="24">
        <f>IF(الإدخالات!C95="","",الإدخالات!D95)</f>
        <v>0</v>
      </c>
      <c r="F95" t="str">
        <f>IF(الإدخالات!C95="","",IF(الإدخالات!G95="","",الإدخالات!G95))</f>
        <v/>
      </c>
      <c r="G95">
        <f>IF($B95&lt;&gt;"",SUMPRODUCT(($B$2:$B95&lt;&gt;"")*1),"")</f>
        <v>94</v>
      </c>
    </row>
    <row r="96" spans="1:7">
      <c r="A96" s="23">
        <f>IF(الإدخالات!C96="","",الإدخالات!B96)</f>
        <v>46218</v>
      </c>
      <c r="B96" t="str">
        <f>IF(الإدخالات!C96="","","شراء")</f>
        <v>شراء</v>
      </c>
      <c r="C96" t="str">
        <f>IF(الإدخالات!C96="","",IF(الإدخالات!E96="","-",الإدخالات!E96))</f>
        <v>-</v>
      </c>
      <c r="D96" t="str">
        <f>IF(الإدخالات!C96="","",الإدخالات!C96)</f>
        <v>معطر super / عبوة 3 لتر</v>
      </c>
      <c r="E96" s="24">
        <f>IF(الإدخالات!C96="","",الإدخالات!D96)</f>
        <v>0</v>
      </c>
      <c r="F96" t="str">
        <f>IF(الإدخالات!C96="","",IF(الإدخالات!G96="","",الإدخالات!G96))</f>
        <v/>
      </c>
      <c r="G96">
        <f>IF($B96&lt;&gt;"",SUMPRODUCT(($B$2:$B96&lt;&gt;"")*1),"")</f>
        <v>95</v>
      </c>
    </row>
    <row r="97" spans="1:7">
      <c r="A97" s="23">
        <f>IF(الإدخالات!C97="","",الإدخالات!B97)</f>
        <v>46218</v>
      </c>
      <c r="B97" t="str">
        <f>IF(الإدخالات!C97="","","شراء")</f>
        <v>شراء</v>
      </c>
      <c r="C97" t="str">
        <f>IF(الإدخالات!C97="","",IF(الإدخالات!E97="","-",الإدخالات!E97))</f>
        <v>-</v>
      </c>
      <c r="D97" t="str">
        <f>IF(الإدخالات!C97="","",الإدخالات!C97)</f>
        <v xml:space="preserve">مساحات / نشافات </v>
      </c>
      <c r="E97" s="24">
        <f>IF(الإدخالات!C97="","",الإدخالات!D97)</f>
        <v>0</v>
      </c>
      <c r="F97" t="str">
        <f>IF(الإدخالات!C97="","",IF(الإدخالات!G97="","",الإدخالات!G97))</f>
        <v/>
      </c>
      <c r="G97">
        <f>IF($B97&lt;&gt;"",SUMPRODUCT(($B$2:$B97&lt;&gt;"")*1),"")</f>
        <v>96</v>
      </c>
    </row>
    <row r="98" spans="1:7">
      <c r="A98" s="23">
        <f>IF(الإدخالات!C98="","",الإدخالات!B98)</f>
        <v>46218</v>
      </c>
      <c r="B98" t="str">
        <f>IF(الإدخالات!C98="","","شراء")</f>
        <v>شراء</v>
      </c>
      <c r="C98" t="str">
        <f>IF(الإدخالات!C98="","",IF(الإدخالات!E98="","-",الإدخالات!E98))</f>
        <v>-</v>
      </c>
      <c r="D98" t="str">
        <f>IF(الإدخالات!C98="","",الإدخالات!C98)</f>
        <v>محارم مكتب</v>
      </c>
      <c r="E98" s="24">
        <f>IF(الإدخالات!C98="","",الإدخالات!D98)</f>
        <v>0</v>
      </c>
      <c r="F98" t="str">
        <f>IF(الإدخالات!C98="","",IF(الإدخالات!G98="","",الإدخالات!G98))</f>
        <v/>
      </c>
      <c r="G98">
        <f>IF($B98&lt;&gt;"",SUMPRODUCT(($B$2:$B98&lt;&gt;"")*1),"")</f>
        <v>97</v>
      </c>
    </row>
    <row r="99" spans="1:7">
      <c r="A99" s="23">
        <f>IF(الإدخالات!C99="","",الإدخالات!B99)</f>
        <v>46218</v>
      </c>
      <c r="B99" t="str">
        <f>IF(الإدخالات!C99="","","شراء")</f>
        <v>شراء</v>
      </c>
      <c r="C99" t="str">
        <f>IF(الإدخالات!C99="","",IF(الإدخالات!E99="","-",الإدخالات!E99))</f>
        <v>-</v>
      </c>
      <c r="D99" t="str">
        <f>IF(الإدخالات!C99="","",الإدخالات!C99)</f>
        <v>محارم تواليت</v>
      </c>
      <c r="E99" s="24">
        <f>IF(الإدخالات!C99="","",الإدخالات!D99)</f>
        <v>0</v>
      </c>
      <c r="F99" t="str">
        <f>IF(الإدخالات!C99="","",IF(الإدخالات!G99="","",الإدخالات!G99))</f>
        <v/>
      </c>
      <c r="G99">
        <f>IF($B99&lt;&gt;"",SUMPRODUCT(($B$2:$B99&lt;&gt;"")*1),"")</f>
        <v>98</v>
      </c>
    </row>
    <row r="100" spans="1:7">
      <c r="A100" s="23">
        <f>IF(الإدخالات!C100="","",الإدخالات!B100)</f>
        <v>46218</v>
      </c>
      <c r="B100" t="str">
        <f>IF(الإدخالات!C100="","","شراء")</f>
        <v>شراء</v>
      </c>
      <c r="C100" t="str">
        <f>IF(الإدخالات!C100="","",IF(الإدخالات!E100="","-",الإدخالات!E100))</f>
        <v>-</v>
      </c>
      <c r="D100" t="str">
        <f>IF(الإدخالات!C100="","",الإدخالات!C100)</f>
        <v>محارم الكرزة</v>
      </c>
      <c r="E100" s="24">
        <f>IF(الإدخالات!C100="","",الإدخالات!D100)</f>
        <v>0</v>
      </c>
      <c r="F100" t="str">
        <f>IF(الإدخالات!C100="","",IF(الإدخالات!G100="","",الإدخالات!G100))</f>
        <v/>
      </c>
      <c r="G100">
        <f>IF($B100&lt;&gt;"",SUMPRODUCT(($B$2:$B100&lt;&gt;"")*1),"")</f>
        <v>99</v>
      </c>
    </row>
    <row r="101" spans="1:7">
      <c r="A101" s="23">
        <f>IF(الإدخالات!C101="","",الإدخالات!B101)</f>
        <v>46218</v>
      </c>
      <c r="B101" t="str">
        <f>IF(الإدخالات!C101="","","شراء")</f>
        <v>شراء</v>
      </c>
      <c r="C101" t="str">
        <f>IF(الإدخالات!C101="","",IF(الإدخالات!E101="","-",الإدخالات!E101))</f>
        <v>-</v>
      </c>
      <c r="D101" t="str">
        <f>IF(الإدخالات!C101="","",الإدخالات!C101)</f>
        <v>مبيد حشري بار بار</v>
      </c>
      <c r="E101" s="24">
        <f>IF(الإدخالات!C101="","",الإدخالات!D101)</f>
        <v>0</v>
      </c>
      <c r="F101" t="str">
        <f>IF(الإدخالات!C101="","",IF(الإدخالات!G101="","",الإدخالات!G101))</f>
        <v/>
      </c>
      <c r="G101">
        <f>IF($B101&lt;&gt;"",SUMPRODUCT(($B$2:$B101&lt;&gt;"")*1),"")</f>
        <v>100</v>
      </c>
    </row>
    <row r="102" spans="1:7">
      <c r="A102" s="23">
        <f>IF(الإدخالات!C102="","",الإدخالات!B102)</f>
        <v>46218</v>
      </c>
      <c r="B102" t="str">
        <f>IF(الإدخالات!C102="","","شراء")</f>
        <v>شراء</v>
      </c>
      <c r="C102" t="str">
        <f>IF(الإدخالات!C102="","",IF(الإدخالات!E102="","-",الإدخالات!E102))</f>
        <v>-</v>
      </c>
      <c r="D102" t="str">
        <f>IF(الإدخالات!C102="","",الإدخالات!C102)</f>
        <v xml:space="preserve">ليف جلي ثلاثية </v>
      </c>
      <c r="E102" s="24">
        <f>IF(الإدخالات!C102="","",الإدخالات!D102)</f>
        <v>0</v>
      </c>
      <c r="F102" t="str">
        <f>IF(الإدخالات!C102="","",IF(الإدخالات!G102="","",الإدخالات!G102))</f>
        <v/>
      </c>
      <c r="G102">
        <f>IF($B102&lt;&gt;"",SUMPRODUCT(($B$2:$B102&lt;&gt;"")*1),"")</f>
        <v>101</v>
      </c>
    </row>
    <row r="103" spans="1:7">
      <c r="A103" s="23">
        <f>IF(الإدخالات!C103="","",الإدخالات!B103)</f>
        <v>46218</v>
      </c>
      <c r="B103" t="str">
        <f>IF(الإدخالات!C103="","","شراء")</f>
        <v>شراء</v>
      </c>
      <c r="C103" t="str">
        <f>IF(الإدخالات!C103="","",IF(الإدخالات!E103="","-",الإدخالات!E103))</f>
        <v>-</v>
      </c>
      <c r="D103" t="str">
        <f>IF(الإدخالات!C103="","",الإدخالات!C103)</f>
        <v>ليف اسفنج</v>
      </c>
      <c r="E103" s="24">
        <f>IF(الإدخالات!C103="","",الإدخالات!D103)</f>
        <v>0</v>
      </c>
      <c r="F103" t="str">
        <f>IF(الإدخالات!C103="","",IF(الإدخالات!G103="","",الإدخالات!G103))</f>
        <v/>
      </c>
      <c r="G103">
        <f>IF($B103&lt;&gt;"",SUMPRODUCT(($B$2:$B103&lt;&gt;"")*1),"")</f>
        <v>102</v>
      </c>
    </row>
    <row r="104" spans="1:7">
      <c r="A104" s="23">
        <f>IF(الإدخالات!C104="","",الإدخالات!B104)</f>
        <v>46218</v>
      </c>
      <c r="B104" t="str">
        <f>IF(الإدخالات!C104="","","شراء")</f>
        <v>شراء</v>
      </c>
      <c r="C104" t="str">
        <f>IF(الإدخالات!C104="","",IF(الإدخالات!E104="","-",الإدخالات!E104))</f>
        <v>-</v>
      </c>
      <c r="D104" t="str">
        <f>IF(الإدخالات!C104="","",الإدخالات!C104)</f>
        <v>لوح صابون مسك</v>
      </c>
      <c r="E104" s="24">
        <f>IF(الإدخالات!C104="","",الإدخالات!D104)</f>
        <v>0</v>
      </c>
      <c r="F104" t="str">
        <f>IF(الإدخالات!C104="","",IF(الإدخالات!G104="","",الإدخالات!G104))</f>
        <v/>
      </c>
      <c r="G104">
        <f>IF($B104&lt;&gt;"",SUMPRODUCT(($B$2:$B104&lt;&gt;"")*1),"")</f>
        <v>103</v>
      </c>
    </row>
    <row r="105" spans="1:7">
      <c r="A105" s="23">
        <f>IF(الإدخالات!C105="","",الإدخالات!B105)</f>
        <v>46218</v>
      </c>
      <c r="B105" t="str">
        <f>IF(الإدخالات!C105="","","شراء")</f>
        <v>شراء</v>
      </c>
      <c r="C105" t="str">
        <f>IF(الإدخالات!C105="","",IF(الإدخالات!E105="","-",الإدخالات!E105))</f>
        <v>-</v>
      </c>
      <c r="D105" t="str">
        <f>IF(الإدخالات!C105="","",الإدخالات!C105)</f>
        <v>لاصق</v>
      </c>
      <c r="E105" s="24">
        <f>IF(الإدخالات!C105="","",الإدخالات!D105)</f>
        <v>0</v>
      </c>
      <c r="F105" t="str">
        <f>IF(الإدخالات!C105="","",IF(الإدخالات!G105="","",الإدخالات!G105))</f>
        <v/>
      </c>
      <c r="G105">
        <f>IF($B105&lt;&gt;"",SUMPRODUCT(($B$2:$B105&lt;&gt;"")*1),"")</f>
        <v>104</v>
      </c>
    </row>
    <row r="106" spans="1:7">
      <c r="A106" s="23">
        <f>IF(الإدخالات!C106="","",الإدخالات!B106)</f>
        <v>46218</v>
      </c>
      <c r="B106" t="str">
        <f>IF(الإدخالات!C106="","","شراء")</f>
        <v>شراء</v>
      </c>
      <c r="C106" t="str">
        <f>IF(الإدخالات!C106="","",IF(الإدخالات!E106="","-",الإدخالات!E106))</f>
        <v>-</v>
      </c>
      <c r="D106" t="str">
        <f>IF(الإدخالات!C106="","",الإدخالات!C106)</f>
        <v>كياس نايلون</v>
      </c>
      <c r="E106" s="24">
        <f>IF(الإدخالات!C106="","",الإدخالات!D106)</f>
        <v>0</v>
      </c>
      <c r="F106" t="str">
        <f>IF(الإدخالات!C106="","",IF(الإدخالات!G106="","",الإدخالات!G106))</f>
        <v/>
      </c>
      <c r="G106">
        <f>IF($B106&lt;&gt;"",SUMPRODUCT(($B$2:$B106&lt;&gt;"")*1),"")</f>
        <v>105</v>
      </c>
    </row>
    <row r="107" spans="1:7">
      <c r="A107" s="23">
        <f>IF(الإدخالات!C107="","",الإدخالات!B107)</f>
        <v>46218</v>
      </c>
      <c r="B107" t="str">
        <f>IF(الإدخالات!C107="","","شراء")</f>
        <v>شراء</v>
      </c>
      <c r="C107" t="str">
        <f>IF(الإدخالات!C107="","",IF(الإدخالات!E107="","-",الإدخالات!E107))</f>
        <v>-</v>
      </c>
      <c r="D107" t="str">
        <f>IF(الإدخالات!C107="","",الإدخالات!C107)</f>
        <v>كياس قمامة</v>
      </c>
      <c r="E107" s="24">
        <f>IF(الإدخالات!C107="","",الإدخالات!D107)</f>
        <v>0</v>
      </c>
      <c r="F107" t="str">
        <f>IF(الإدخالات!C107="","",IF(الإدخالات!G107="","",الإدخالات!G107))</f>
        <v/>
      </c>
      <c r="G107">
        <f>IF($B107&lt;&gt;"",SUMPRODUCT(($B$2:$B107&lt;&gt;"")*1),"")</f>
        <v>106</v>
      </c>
    </row>
    <row r="108" spans="1:7">
      <c r="A108" s="23">
        <f>IF(الإدخالات!C108="","",الإدخالات!B108)</f>
        <v>46218</v>
      </c>
      <c r="B108" t="str">
        <f>IF(الإدخالات!C108="","","شراء")</f>
        <v>شراء</v>
      </c>
      <c r="C108" t="str">
        <f>IF(الإدخالات!C108="","",IF(الإدخالات!E108="","-",الإدخالات!E108))</f>
        <v>-</v>
      </c>
      <c r="D108" t="str">
        <f>IF(الإدخالات!C108="","",الإدخالات!C108)</f>
        <v>كمامات</v>
      </c>
      <c r="E108" s="24">
        <f>IF(الإدخالات!C108="","",الإدخالات!D108)</f>
        <v>0</v>
      </c>
      <c r="F108" t="str">
        <f>IF(الإدخالات!C108="","",IF(الإدخالات!G108="","",الإدخالات!G108))</f>
        <v/>
      </c>
      <c r="G108">
        <f>IF($B108&lt;&gt;"",SUMPRODUCT(($B$2:$B108&lt;&gt;"")*1),"")</f>
        <v>107</v>
      </c>
    </row>
    <row r="109" spans="1:7">
      <c r="A109" s="23">
        <f>IF(الإدخالات!C109="","",الإدخالات!B109)</f>
        <v>46218</v>
      </c>
      <c r="B109" t="str">
        <f>IF(الإدخالات!C109="","","شراء")</f>
        <v>شراء</v>
      </c>
      <c r="C109" t="str">
        <f>IF(الإدخالات!C109="","",IF(الإدخالات!E109="","-",الإدخالات!E109))</f>
        <v>-</v>
      </c>
      <c r="D109" t="str">
        <f>IF(الإدخالات!C109="","",الإدخالات!C109)</f>
        <v>كلور 4 لتر</v>
      </c>
      <c r="E109" s="24">
        <f>IF(الإدخالات!C109="","",الإدخالات!D109)</f>
        <v>0</v>
      </c>
      <c r="F109" t="str">
        <f>IF(الإدخالات!C109="","",IF(الإدخالات!G109="","",الإدخالات!G109))</f>
        <v/>
      </c>
      <c r="G109">
        <f>IF($B109&lt;&gt;"",SUMPRODUCT(($B$2:$B109&lt;&gt;"")*1),"")</f>
        <v>108</v>
      </c>
    </row>
    <row r="110" spans="1:7">
      <c r="A110" s="23">
        <f>IF(الإدخالات!C110="","",الإدخالات!B110)</f>
        <v>46218</v>
      </c>
      <c r="B110" t="str">
        <f>IF(الإدخالات!C110="","","شراء")</f>
        <v>شراء</v>
      </c>
      <c r="C110" t="str">
        <f>IF(الإدخالات!C110="","",IF(الإدخالات!E110="","-",الإدخالات!E110))</f>
        <v>-</v>
      </c>
      <c r="D110" t="str">
        <f>IF(الإدخالات!C110="","",الإدخالات!C110)</f>
        <v>كلور 1 لتر</v>
      </c>
      <c r="E110" s="24">
        <f>IF(الإدخالات!C110="","",الإدخالات!D110)</f>
        <v>0</v>
      </c>
      <c r="F110" t="str">
        <f>IF(الإدخالات!C110="","",IF(الإدخالات!G110="","",الإدخالات!G110))</f>
        <v/>
      </c>
      <c r="G110">
        <f>IF($B110&lt;&gt;"",SUMPRODUCT(($B$2:$B110&lt;&gt;"")*1),"")</f>
        <v>109</v>
      </c>
    </row>
    <row r="111" spans="1:7">
      <c r="A111" s="23">
        <f>IF(الإدخالات!C111="","",الإدخالات!B111)</f>
        <v>46218</v>
      </c>
      <c r="B111" t="str">
        <f>IF(الإدخالات!C111="","","شراء")</f>
        <v>شراء</v>
      </c>
      <c r="C111" t="str">
        <f>IF(الإدخالات!C111="","",IF(الإدخالات!E111="","-",الإدخالات!E111))</f>
        <v>-</v>
      </c>
      <c r="D111" t="str">
        <f>IF(الإدخالات!C111="","",الإدخالات!C111)</f>
        <v xml:space="preserve">كلور / فرط </v>
      </c>
      <c r="E111" s="24">
        <f>IF(الإدخالات!C111="","",الإدخالات!D111)</f>
        <v>0</v>
      </c>
      <c r="F111" t="str">
        <f>IF(الإدخالات!C111="","",IF(الإدخالات!G111="","",الإدخالات!G111))</f>
        <v/>
      </c>
      <c r="G111">
        <f>IF($B111&lt;&gt;"",SUMPRODUCT(($B$2:$B111&lt;&gt;"")*1),"")</f>
        <v>110</v>
      </c>
    </row>
    <row r="112" spans="1:7">
      <c r="A112" s="23">
        <f>IF(الإدخالات!C112="","",الإدخالات!B112)</f>
        <v>46218</v>
      </c>
      <c r="B112" t="str">
        <f>IF(الإدخالات!C112="","","شراء")</f>
        <v>شراء</v>
      </c>
      <c r="C112" t="str">
        <f>IF(الإدخالات!C112="","",IF(الإدخالات!E112="","-",الإدخالات!E112))</f>
        <v>-</v>
      </c>
      <c r="D112" t="str">
        <f>IF(الإدخالات!C112="","",الإدخالات!C112)</f>
        <v>كفوف نايلون</v>
      </c>
      <c r="E112" s="24">
        <f>IF(الإدخالات!C112="","",الإدخالات!D112)</f>
        <v>0</v>
      </c>
      <c r="F112" t="str">
        <f>IF(الإدخالات!C112="","",IF(الإدخالات!G112="","",الإدخالات!G112))</f>
        <v/>
      </c>
      <c r="G112">
        <f>IF($B112&lt;&gt;"",SUMPRODUCT(($B$2:$B112&lt;&gt;"")*1),"")</f>
        <v>111</v>
      </c>
    </row>
    <row r="113" spans="1:7">
      <c r="A113" s="23">
        <f>IF(الإدخالات!C113="","",الإدخالات!B113)</f>
        <v>46218</v>
      </c>
      <c r="B113" t="str">
        <f>IF(الإدخالات!C113="","","شراء")</f>
        <v>شراء</v>
      </c>
      <c r="C113" t="str">
        <f>IF(الإدخالات!C113="","",IF(الإدخالات!E113="","-",الإدخالات!E113))</f>
        <v>-</v>
      </c>
      <c r="D113" t="str">
        <f>IF(الإدخالات!C113="","",الإدخالات!C113)</f>
        <v>كفوف طبية</v>
      </c>
      <c r="E113" s="24">
        <f>IF(الإدخالات!C113="","",الإدخالات!D113)</f>
        <v>0</v>
      </c>
      <c r="F113" t="str">
        <f>IF(الإدخالات!C113="","",IF(الإدخالات!G113="","",الإدخالات!G113))</f>
        <v/>
      </c>
      <c r="G113">
        <f>IF($B113&lt;&gt;"",SUMPRODUCT(($B$2:$B113&lt;&gt;"")*1),"")</f>
        <v>112</v>
      </c>
    </row>
    <row r="114" spans="1:7">
      <c r="A114" s="23">
        <f>IF(الإدخالات!C114="","",الإدخالات!B114)</f>
        <v>46218</v>
      </c>
      <c r="B114" t="str">
        <f>IF(الإدخالات!C114="","","شراء")</f>
        <v>شراء</v>
      </c>
      <c r="C114" t="str">
        <f>IF(الإدخالات!C114="","",IF(الإدخالات!E114="","-",الإدخالات!E114))</f>
        <v>-</v>
      </c>
      <c r="D114" t="str">
        <f>IF(الإدخالات!C114="","",الإدخالات!C114)</f>
        <v>كفوف صناعية</v>
      </c>
      <c r="E114" s="24">
        <f>IF(الإدخالات!C114="","",الإدخالات!D114)</f>
        <v>0</v>
      </c>
      <c r="F114" t="str">
        <f>IF(الإدخالات!C114="","",IF(الإدخالات!G114="","",الإدخالات!G114))</f>
        <v/>
      </c>
      <c r="G114">
        <f>IF($B114&lt;&gt;"",SUMPRODUCT(($B$2:$B114&lt;&gt;"")*1),"")</f>
        <v>113</v>
      </c>
    </row>
    <row r="115" spans="1:7">
      <c r="A115" s="23">
        <f>IF(الإدخالات!C115="","",الإدخالات!B115)</f>
        <v>46218</v>
      </c>
      <c r="B115" t="str">
        <f>IF(الإدخالات!C115="","","شراء")</f>
        <v>شراء</v>
      </c>
      <c r="C115" t="str">
        <f>IF(الإدخالات!C115="","",IF(الإدخالات!E115="","-",الإدخالات!E115))</f>
        <v>-</v>
      </c>
      <c r="D115" t="str">
        <f>IF(الإدخالات!C115="","",الإدخالات!C115)</f>
        <v>كفوف جلي</v>
      </c>
      <c r="E115" s="24">
        <f>IF(الإدخالات!C115="","",الإدخالات!D115)</f>
        <v>0</v>
      </c>
      <c r="F115" t="str">
        <f>IF(الإدخالات!C115="","",IF(الإدخالات!G115="","",الإدخالات!G115))</f>
        <v/>
      </c>
      <c r="G115">
        <f>IF($B115&lt;&gt;"",SUMPRODUCT(($B$2:$B115&lt;&gt;"")*1),"")</f>
        <v>114</v>
      </c>
    </row>
    <row r="116" spans="1:7">
      <c r="A116" s="23">
        <f>IF(الإدخالات!C116="","",الإدخالات!B116)</f>
        <v>46218</v>
      </c>
      <c r="B116" t="str">
        <f>IF(الإدخالات!C116="","","شراء")</f>
        <v>شراء</v>
      </c>
      <c r="C116" t="str">
        <f>IF(الإدخالات!C116="","",IF(الإدخالات!E116="","-",الإدخالات!E116))</f>
        <v>-</v>
      </c>
      <c r="D116" t="str">
        <f>IF(الإدخالات!C116="","",الإدخالات!C116)</f>
        <v>كاسات شاي صغيرة 17 *6</v>
      </c>
      <c r="E116" s="24">
        <f>IF(الإدخالات!C116="","",الإدخالات!D116)</f>
        <v>0</v>
      </c>
      <c r="F116" t="str">
        <f>IF(الإدخالات!C116="","",IF(الإدخالات!G116="","",الإدخالات!G116))</f>
        <v/>
      </c>
      <c r="G116">
        <f>IF($B116&lt;&gt;"",SUMPRODUCT(($B$2:$B116&lt;&gt;"")*1),"")</f>
        <v>115</v>
      </c>
    </row>
    <row r="117" spans="1:7">
      <c r="A117" s="23">
        <f>IF(الإدخالات!C117="","",الإدخالات!B117)</f>
        <v>46218</v>
      </c>
      <c r="B117" t="str">
        <f>IF(الإدخالات!C117="","","شراء")</f>
        <v>شراء</v>
      </c>
      <c r="C117" t="str">
        <f>IF(الإدخالات!C117="","",IF(الإدخالات!E117="","-",الإدخالات!E117))</f>
        <v>-</v>
      </c>
      <c r="D117" t="str">
        <f>IF(الإدخالات!C117="","",الإدخالات!C117)</f>
        <v>قاشط سيارات / فرط</v>
      </c>
      <c r="E117" s="24">
        <f>IF(الإدخالات!C117="","",الإدخالات!D117)</f>
        <v>0</v>
      </c>
      <c r="F117" t="str">
        <f>IF(الإدخالات!C117="","",IF(الإدخالات!G117="","",الإدخالات!G117))</f>
        <v/>
      </c>
      <c r="G117">
        <f>IF($B117&lt;&gt;"",SUMPRODUCT(($B$2:$B117&lt;&gt;"")*1),"")</f>
        <v>116</v>
      </c>
    </row>
    <row r="118" spans="1:7">
      <c r="A118" s="23">
        <f>IF(الإدخالات!C118="","",الإدخالات!B118)</f>
        <v>46218</v>
      </c>
      <c r="B118" t="str">
        <f>IF(الإدخالات!C118="","","شراء")</f>
        <v>شراء</v>
      </c>
      <c r="C118" t="str">
        <f>IF(الإدخالات!C118="","",IF(الإدخالات!E118="","-",الإدخالات!E118))</f>
        <v>-</v>
      </c>
      <c r="D118" t="str">
        <f>IF(الإدخالات!C118="","",الإدخالات!C118)</f>
        <v xml:space="preserve">قاشط المينيوم - ساندي / فرط </v>
      </c>
      <c r="E118" s="24">
        <f>IF(الإدخالات!C118="","",الإدخالات!D118)</f>
        <v>0</v>
      </c>
      <c r="F118" t="str">
        <f>IF(الإدخالات!C118="","",IF(الإدخالات!G118="","",الإدخالات!G118))</f>
        <v/>
      </c>
      <c r="G118">
        <f>IF($B118&lt;&gt;"",SUMPRODUCT(($B$2:$B118&lt;&gt;"")*1),"")</f>
        <v>117</v>
      </c>
    </row>
    <row r="119" spans="1:7">
      <c r="A119" s="23">
        <f>IF(الإدخالات!C119="","",الإدخالات!B119)</f>
        <v>46218</v>
      </c>
      <c r="B119" t="str">
        <f>IF(الإدخالات!C119="","","شراء")</f>
        <v>شراء</v>
      </c>
      <c r="C119" t="str">
        <f>IF(الإدخالات!C119="","",IF(الإدخالات!E119="","-",الإدخالات!E119))</f>
        <v>-</v>
      </c>
      <c r="D119" t="str">
        <f>IF(الإدخالات!C119="","",الإدخالات!C119)</f>
        <v>قاشط  المينيوم 3 لتر</v>
      </c>
      <c r="E119" s="24">
        <f>IF(الإدخالات!C119="","",الإدخالات!D119)</f>
        <v>0</v>
      </c>
      <c r="F119" t="str">
        <f>IF(الإدخالات!C119="","",IF(الإدخالات!G119="","",الإدخالات!G119))</f>
        <v/>
      </c>
      <c r="G119">
        <f>IF($B119&lt;&gt;"",SUMPRODUCT(($B$2:$B119&lt;&gt;"")*1),"")</f>
        <v>118</v>
      </c>
    </row>
    <row r="120" spans="1:7">
      <c r="A120" s="23">
        <f>IF(الإدخالات!C120="","",الإدخالات!B120)</f>
        <v>46218</v>
      </c>
      <c r="B120" t="str">
        <f>IF(الإدخالات!C120="","","شراء")</f>
        <v>شراء</v>
      </c>
      <c r="C120" t="str">
        <f>IF(الإدخالات!C120="","",IF(الإدخالات!E120="","-",الإدخالات!E120))</f>
        <v>-</v>
      </c>
      <c r="D120" t="str">
        <f>IF(الإدخالات!C120="","",الإدخالات!C120)</f>
        <v xml:space="preserve">فلاش 4 لتر </v>
      </c>
      <c r="E120" s="24">
        <f>IF(الإدخالات!C120="","",الإدخالات!D120)</f>
        <v>0</v>
      </c>
      <c r="F120" t="str">
        <f>IF(الإدخالات!C120="","",IF(الإدخالات!G120="","",الإدخالات!G120))</f>
        <v/>
      </c>
      <c r="G120">
        <f>IF($B120&lt;&gt;"",SUMPRODUCT(($B$2:$B120&lt;&gt;"")*1),"")</f>
        <v>119</v>
      </c>
    </row>
    <row r="121" spans="1:7">
      <c r="A121" s="23">
        <f>IF(الإدخالات!C121="","",الإدخالات!B121)</f>
        <v>46218</v>
      </c>
      <c r="B121" t="str">
        <f>IF(الإدخالات!C121="","","شراء")</f>
        <v>شراء</v>
      </c>
      <c r="C121" t="str">
        <f>IF(الإدخالات!C121="","",IF(الإدخالات!E121="","-",الإدخالات!E121))</f>
        <v>-</v>
      </c>
      <c r="D121" t="str">
        <f>IF(الإدخالات!C121="","",الإدخالات!C121)</f>
        <v>فلاش / فرط</v>
      </c>
      <c r="E121" s="24">
        <f>IF(الإدخالات!C121="","",الإدخالات!D121)</f>
        <v>0</v>
      </c>
      <c r="F121" t="str">
        <f>IF(الإدخالات!C121="","",IF(الإدخالات!G121="","",الإدخالات!G121))</f>
        <v/>
      </c>
      <c r="G121">
        <f>IF($B121&lt;&gt;"",SUMPRODUCT(($B$2:$B121&lt;&gt;"")*1),"")</f>
        <v>120</v>
      </c>
    </row>
    <row r="122" spans="1:7">
      <c r="A122" s="23">
        <f>IF(الإدخالات!C122="","",الإدخالات!B122)</f>
        <v>46218</v>
      </c>
      <c r="B122" t="str">
        <f>IF(الإدخالات!C122="","","شراء")</f>
        <v>شراء</v>
      </c>
      <c r="C122" t="str">
        <f>IF(الإدخالات!C122="","",IF(الإدخالات!E122="","-",الإدخالات!E122))</f>
        <v>-</v>
      </c>
      <c r="D122" t="str">
        <f>IF(الإدخالات!C122="","",الإدخالات!C122)</f>
        <v>فرشاية بسط</v>
      </c>
      <c r="E122" s="24">
        <f>IF(الإدخالات!C122="","",الإدخالات!D122)</f>
        <v>0</v>
      </c>
      <c r="F122" t="str">
        <f>IF(الإدخالات!C122="","",IF(الإدخالات!G122="","",الإدخالات!G122))</f>
        <v/>
      </c>
      <c r="G122">
        <f>IF($B122&lt;&gt;"",SUMPRODUCT(($B$2:$B122&lt;&gt;"")*1),"")</f>
        <v>121</v>
      </c>
    </row>
    <row r="123" spans="1:7">
      <c r="A123" s="23">
        <f>IF(الإدخالات!C123="","",الإدخالات!B123)</f>
        <v>46218</v>
      </c>
      <c r="B123" t="str">
        <f>IF(الإدخالات!C123="","","شراء")</f>
        <v>شراء</v>
      </c>
      <c r="C123" t="str">
        <f>IF(الإدخالات!C123="","",IF(الإدخالات!E123="","-",الإدخالات!E123))</f>
        <v>-</v>
      </c>
      <c r="D123" t="str">
        <f>IF(الإدخالات!C123="","",الإدخالات!C123)</f>
        <v>فرشاة حمام</v>
      </c>
      <c r="E123" s="24">
        <f>IF(الإدخالات!C123="","",الإدخالات!D123)</f>
        <v>0</v>
      </c>
      <c r="F123" t="str">
        <f>IF(الإدخالات!C123="","",IF(الإدخالات!G123="","",الإدخالات!G123))</f>
        <v/>
      </c>
      <c r="G123">
        <f>IF($B123&lt;&gt;"",SUMPRODUCT(($B$2:$B123&lt;&gt;"")*1),"")</f>
        <v>122</v>
      </c>
    </row>
    <row r="124" spans="1:7">
      <c r="A124" s="23">
        <f>IF(الإدخالات!C124="","",الإدخالات!B124)</f>
        <v>46218</v>
      </c>
      <c r="B124" t="str">
        <f>IF(الإدخالات!C124="","","شراء")</f>
        <v>شراء</v>
      </c>
      <c r="C124" t="str">
        <f>IF(الإدخالات!C124="","",IF(الإدخالات!E124="","-",الإدخالات!E124))</f>
        <v>-</v>
      </c>
      <c r="D124" t="str">
        <f>IF(الإدخالات!C124="","",الإدخالات!C124)</f>
        <v xml:space="preserve">فاربن مزيل شعر </v>
      </c>
      <c r="E124" s="24">
        <f>IF(الإدخالات!C124="","",الإدخالات!D124)</f>
        <v>0</v>
      </c>
      <c r="F124" t="str">
        <f>IF(الإدخالات!C124="","",IF(الإدخالات!G124="","",الإدخالات!G124))</f>
        <v/>
      </c>
      <c r="G124">
        <f>IF($B124&lt;&gt;"",SUMPRODUCT(($B$2:$B124&lt;&gt;"")*1),"")</f>
        <v>123</v>
      </c>
    </row>
    <row r="125" spans="1:7">
      <c r="A125" s="23">
        <f>IF(الإدخالات!C125="","",الإدخالات!B125)</f>
        <v>46218</v>
      </c>
      <c r="B125" t="str">
        <f>IF(الإدخالات!C125="","","شراء")</f>
        <v>شراء</v>
      </c>
      <c r="C125" t="str">
        <f>IF(الإدخالات!C125="","",IF(الإدخالات!E125="","-",الإدخالات!E125))</f>
        <v>-</v>
      </c>
      <c r="D125" t="str">
        <f>IF(الإدخالات!C125="","",الإدخالات!C125)</f>
        <v>عملاق 3 لتر</v>
      </c>
      <c r="E125" s="24">
        <f>IF(الإدخالات!C125="","",الإدخالات!D125)</f>
        <v>0</v>
      </c>
      <c r="F125" t="str">
        <f>IF(الإدخالات!C125="","",IF(الإدخالات!G125="","",الإدخالات!G125))</f>
        <v/>
      </c>
      <c r="G125">
        <f>IF($B125&lt;&gt;"",SUMPRODUCT(($B$2:$B125&lt;&gt;"")*1),"")</f>
        <v>124</v>
      </c>
    </row>
    <row r="126" spans="1:7">
      <c r="A126" s="23">
        <f>IF(الإدخالات!C126="","",الإدخالات!B126)</f>
        <v>46218</v>
      </c>
      <c r="B126" t="str">
        <f>IF(الإدخالات!C126="","","شراء")</f>
        <v>شراء</v>
      </c>
      <c r="C126" t="str">
        <f>IF(الإدخالات!C126="","",IF(الإدخالات!E126="","-",الإدخالات!E126))</f>
        <v>-</v>
      </c>
      <c r="D126" t="str">
        <f>IF(الإدخالات!C126="","",الإدخالات!C126)</f>
        <v xml:space="preserve">عملاق </v>
      </c>
      <c r="E126" s="24">
        <f>IF(الإدخالات!C126="","",الإدخالات!D126)</f>
        <v>0</v>
      </c>
      <c r="F126" t="str">
        <f>IF(الإدخالات!C126="","",IF(الإدخالات!G126="","",الإدخالات!G126))</f>
        <v/>
      </c>
      <c r="G126">
        <f>IF($B126&lt;&gt;"",SUMPRODUCT(($B$2:$B126&lt;&gt;"")*1),"")</f>
        <v>125</v>
      </c>
    </row>
    <row r="127" spans="1:7">
      <c r="A127" s="23">
        <f>IF(الإدخالات!C127="","",الإدخالات!B127)</f>
        <v>46218</v>
      </c>
      <c r="B127" t="str">
        <f>IF(الإدخالات!C127="","","شراء")</f>
        <v>شراء</v>
      </c>
      <c r="C127" t="str">
        <f>IF(الإدخالات!C127="","",IF(الإدخالات!E127="","-",الإدخالات!E127))</f>
        <v>-</v>
      </c>
      <c r="D127" t="str">
        <f>IF(الإدخالات!C127="","",الإدخالات!C127)</f>
        <v>عصايات</v>
      </c>
      <c r="E127" s="24">
        <f>IF(الإدخالات!C127="","",الإدخالات!D127)</f>
        <v>0</v>
      </c>
      <c r="F127" t="str">
        <f>IF(الإدخالات!C127="","",IF(الإدخالات!G127="","",الإدخالات!G127))</f>
        <v/>
      </c>
      <c r="G127">
        <f>IF($B127&lt;&gt;"",SUMPRODUCT(($B$2:$B127&lt;&gt;"")*1),"")</f>
        <v>126</v>
      </c>
    </row>
    <row r="128" spans="1:7">
      <c r="A128" s="23">
        <f>IF(الإدخالات!C128="","",الإدخالات!B128)</f>
        <v>46218</v>
      </c>
      <c r="B128" t="str">
        <f>IF(الإدخالات!C128="","","شراء")</f>
        <v>شراء</v>
      </c>
      <c r="C128" t="str">
        <f>IF(الإدخالات!C128="","",IF(الإدخالات!E128="","-",الإدخالات!E128))</f>
        <v>-</v>
      </c>
      <c r="D128" t="str">
        <f>IF(الإدخالات!C128="","",الإدخالات!C128)</f>
        <v>طواقي راس</v>
      </c>
      <c r="E128" s="24">
        <f>IF(الإدخالات!C128="","",الإدخالات!D128)</f>
        <v>0</v>
      </c>
      <c r="F128" t="str">
        <f>IF(الإدخالات!C128="","",IF(الإدخالات!G128="","",الإدخالات!G128))</f>
        <v/>
      </c>
      <c r="G128">
        <f>IF($B128&lt;&gt;"",SUMPRODUCT(($B$2:$B128&lt;&gt;"")*1),"")</f>
        <v>127</v>
      </c>
    </row>
    <row r="129" spans="1:7">
      <c r="A129" s="23">
        <f>IF(الإدخالات!C129="","",الإدخالات!B129)</f>
        <v>46218</v>
      </c>
      <c r="B129" t="str">
        <f>IF(الإدخالات!C129="","","شراء")</f>
        <v>شراء</v>
      </c>
      <c r="C129" t="str">
        <f>IF(الإدخالات!C129="","",IF(الإدخالات!E129="","-",الإدخالات!E129))</f>
        <v>-</v>
      </c>
      <c r="D129" t="str">
        <f>IF(الإدخالات!C129="","",الإدخالات!C129)</f>
        <v>صابون كرمل</v>
      </c>
      <c r="E129" s="24">
        <f>IF(الإدخالات!C129="","",الإدخالات!D129)</f>
        <v>0</v>
      </c>
      <c r="F129" t="str">
        <f>IF(الإدخالات!C129="","",IF(الإدخالات!G129="","",الإدخالات!G129))</f>
        <v/>
      </c>
      <c r="G129">
        <f>IF($B129&lt;&gt;"",SUMPRODUCT(($B$2:$B129&lt;&gt;"")*1),"")</f>
        <v>128</v>
      </c>
    </row>
    <row r="130" spans="1:7">
      <c r="A130" s="23">
        <f>IF(الإدخالات!C130="","",الإدخالات!B130)</f>
        <v>46218</v>
      </c>
      <c r="B130" t="str">
        <f>IF(الإدخالات!C130="","","شراء")</f>
        <v>شراء</v>
      </c>
      <c r="C130" t="str">
        <f>IF(الإدخالات!C130="","",IF(الإدخالات!E130="","-",الإدخالات!E130))</f>
        <v>-</v>
      </c>
      <c r="D130" t="str">
        <f>IF(الإدخالات!C130="","",الإدخالات!C130)</f>
        <v xml:space="preserve">صابون super / فرط </v>
      </c>
      <c r="E130" s="24">
        <f>IF(الإدخالات!C130="","",الإدخالات!D130)</f>
        <v>0</v>
      </c>
      <c r="F130" t="str">
        <f>IF(الإدخالات!C130="","",IF(الإدخالات!G130="","",الإدخالات!G130))</f>
        <v/>
      </c>
      <c r="G130">
        <f>IF($B130&lt;&gt;"",SUMPRODUCT(($B$2:$B130&lt;&gt;"")*1),"")</f>
        <v>129</v>
      </c>
    </row>
    <row r="131" spans="1:7">
      <c r="A131" s="23">
        <f>IF(الإدخالات!C131="","",الإدخالات!B131)</f>
        <v>46218</v>
      </c>
      <c r="B131" t="str">
        <f>IF(الإدخالات!C131="","","شراء")</f>
        <v>شراء</v>
      </c>
      <c r="C131" t="str">
        <f>IF(الإدخالات!C131="","",IF(الإدخالات!E131="","-",الإدخالات!E131))</f>
        <v>-</v>
      </c>
      <c r="D131" t="str">
        <f>IF(الإدخالات!C131="","",الإدخالات!C131)</f>
        <v>صابون super / عبوة 3 لتر</v>
      </c>
      <c r="E131" s="24">
        <f>IF(الإدخالات!C131="","",الإدخالات!D131)</f>
        <v>0</v>
      </c>
      <c r="F131" t="str">
        <f>IF(الإدخالات!C131="","",IF(الإدخالات!G131="","",الإدخالات!G131))</f>
        <v/>
      </c>
      <c r="G131">
        <f>IF($B131&lt;&gt;"",SUMPRODUCT(($B$2:$B131&lt;&gt;"")*1),"")</f>
        <v>130</v>
      </c>
    </row>
    <row r="132" spans="1:7">
      <c r="A132" s="23">
        <f>IF(الإدخالات!C132="","",الإدخالات!B132)</f>
        <v>46218</v>
      </c>
      <c r="B132" t="str">
        <f>IF(الإدخالات!C132="","","شراء")</f>
        <v>شراء</v>
      </c>
      <c r="C132" t="str">
        <f>IF(الإدخالات!C132="","",IF(الإدخالات!E132="","-",الإدخالات!E132))</f>
        <v>-</v>
      </c>
      <c r="D132" t="str">
        <f>IF(الإدخالات!C132="","",الإدخالات!C132)</f>
        <v>شامبو سيارات</v>
      </c>
      <c r="E132" s="24">
        <f>IF(الإدخالات!C132="","",الإدخالات!D132)</f>
        <v>0</v>
      </c>
      <c r="F132" t="str">
        <f>IF(الإدخالات!C132="","",IF(الإدخالات!G132="","",الإدخالات!G132))</f>
        <v/>
      </c>
      <c r="G132">
        <f>IF($B132&lt;&gt;"",SUMPRODUCT(($B$2:$B132&lt;&gt;"")*1),"")</f>
        <v>131</v>
      </c>
    </row>
    <row r="133" spans="1:7">
      <c r="A133" s="23">
        <f>IF(الإدخالات!C133="","",الإدخالات!B133)</f>
        <v>46218</v>
      </c>
      <c r="B133" t="str">
        <f>IF(الإدخالات!C133="","","شراء")</f>
        <v>شراء</v>
      </c>
      <c r="C133" t="str">
        <f>IF(الإدخالات!C133="","",IF(الإدخالات!E133="","-",الإدخالات!E133))</f>
        <v>-</v>
      </c>
      <c r="D133" t="str">
        <f>IF(الإدخالات!C133="","",الإدخالات!C133)</f>
        <v>شامبو 3 لتر</v>
      </c>
      <c r="E133" s="24">
        <f>IF(الإدخالات!C133="","",الإدخالات!D133)</f>
        <v>0</v>
      </c>
      <c r="F133" t="str">
        <f>IF(الإدخالات!C133="","",IF(الإدخالات!G133="","",الإدخالات!G133))</f>
        <v/>
      </c>
      <c r="G133">
        <f>IF($B133&lt;&gt;"",SUMPRODUCT(($B$2:$B133&lt;&gt;"")*1),"")</f>
        <v>132</v>
      </c>
    </row>
    <row r="134" spans="1:7">
      <c r="A134" s="23">
        <f>IF(الإدخالات!C134="","",الإدخالات!B134)</f>
        <v>46218</v>
      </c>
      <c r="B134" t="str">
        <f>IF(الإدخالات!C134="","","شراء")</f>
        <v>شراء</v>
      </c>
      <c r="C134" t="str">
        <f>IF(الإدخالات!C134="","",IF(الإدخالات!E134="","-",الإدخالات!E134))</f>
        <v>-</v>
      </c>
      <c r="D134" t="str">
        <f>IF(الإدخالات!C134="","",الإدخالات!C134)</f>
        <v xml:space="preserve">شامبو </v>
      </c>
      <c r="E134" s="24">
        <f>IF(الإدخالات!C134="","",الإدخالات!D134)</f>
        <v>0</v>
      </c>
      <c r="F134" t="str">
        <f>IF(الإدخالات!C134="","",IF(الإدخالات!G134="","",الإدخالات!G134))</f>
        <v/>
      </c>
      <c r="G134">
        <f>IF($B134&lt;&gt;"",SUMPRODUCT(($B$2:$B134&lt;&gt;"")*1),"")</f>
        <v>133</v>
      </c>
    </row>
    <row r="135" spans="1:7">
      <c r="A135" s="23">
        <f>IF(الإدخالات!C135="","",الإدخالات!B135)</f>
        <v>46218</v>
      </c>
      <c r="B135" t="str">
        <f>IF(الإدخالات!C135="","","شراء")</f>
        <v>شراء</v>
      </c>
      <c r="C135" t="str">
        <f>IF(الإدخالات!C135="","",IF(الإدخالات!E135="","-",الإدخالات!E135))</f>
        <v>-</v>
      </c>
      <c r="D135" t="str">
        <f>IF(الإدخالات!C135="","",الإدخالات!C135)</f>
        <v>سيف عائلاتي</v>
      </c>
      <c r="E135" s="24">
        <f>IF(الإدخالات!C135="","",الإدخالات!D135)</f>
        <v>0</v>
      </c>
      <c r="F135" t="str">
        <f>IF(الإدخالات!C135="","",IF(الإدخالات!G135="","",الإدخالات!G135))</f>
        <v/>
      </c>
      <c r="G135">
        <f>IF($B135&lt;&gt;"",SUMPRODUCT(($B$2:$B135&lt;&gt;"")*1),"")</f>
        <v>134</v>
      </c>
    </row>
    <row r="136" spans="1:7">
      <c r="A136" s="23">
        <f>IF(الإدخالات!C136="","",الإدخالات!B136)</f>
        <v>46218</v>
      </c>
      <c r="B136" t="str">
        <f>IF(الإدخالات!C136="","","شراء")</f>
        <v>شراء</v>
      </c>
      <c r="C136" t="str">
        <f>IF(الإدخالات!C136="","",IF(الإدخالات!E136="","-",الإدخالات!E136))</f>
        <v>-</v>
      </c>
      <c r="D136" t="str">
        <f>IF(الإدخالات!C136="","",الإدخالات!C136)</f>
        <v xml:space="preserve">سيف بريفيت </v>
      </c>
      <c r="E136" s="24">
        <f>IF(الإدخالات!C136="","",الإدخالات!D136)</f>
        <v>0</v>
      </c>
      <c r="F136" t="str">
        <f>IF(الإدخالات!C136="","",IF(الإدخالات!G136="","",الإدخالات!G136))</f>
        <v/>
      </c>
      <c r="G136">
        <f>IF($B136&lt;&gt;"",SUMPRODUCT(($B$2:$B136&lt;&gt;"")*1),"")</f>
        <v>135</v>
      </c>
    </row>
    <row r="137" spans="1:7">
      <c r="A137" s="23">
        <f>IF(الإدخالات!C137="","",الإدخالات!B137)</f>
        <v>46218</v>
      </c>
      <c r="B137" t="str">
        <f>IF(الإدخالات!C137="","","شراء")</f>
        <v>شراء</v>
      </c>
      <c r="C137" t="str">
        <f>IF(الإدخالات!C137="","",IF(الإدخالات!E137="","-",الإدخالات!E137))</f>
        <v>-</v>
      </c>
      <c r="D137" t="str">
        <f>IF(الإدخالات!C137="","",الإدخالات!C137)</f>
        <v>سيف برلنت</v>
      </c>
      <c r="E137" s="24">
        <f>IF(الإدخالات!C137="","",الإدخالات!D137)</f>
        <v>0</v>
      </c>
      <c r="F137" t="str">
        <f>IF(الإدخالات!C137="","",IF(الإدخالات!G137="","",الإدخالات!G137))</f>
        <v/>
      </c>
      <c r="G137">
        <f>IF($B137&lt;&gt;"",SUMPRODUCT(($B$2:$B137&lt;&gt;"")*1),"")</f>
        <v>136</v>
      </c>
    </row>
    <row r="138" spans="1:7">
      <c r="A138" s="23">
        <f>IF(الإدخالات!C138="","",الإدخالات!B138)</f>
        <v>46218</v>
      </c>
      <c r="B138" t="str">
        <f>IF(الإدخالات!C138="","","شراء")</f>
        <v>شراء</v>
      </c>
      <c r="C138" t="str">
        <f>IF(الإدخالات!C138="","",IF(الإدخالات!E138="","-",الإدخالات!E138))</f>
        <v>-</v>
      </c>
      <c r="D138" t="str">
        <f>IF(الإدخالات!C138="","",الإدخالات!C138)</f>
        <v>سيف الكرار نخب اول</v>
      </c>
      <c r="E138" s="24">
        <f>IF(الإدخالات!C138="","",الإدخالات!D138)</f>
        <v>0</v>
      </c>
      <c r="F138" t="str">
        <f>IF(الإدخالات!C138="","",IF(الإدخالات!G138="","",الإدخالات!G138))</f>
        <v/>
      </c>
      <c r="G138">
        <f>IF($B138&lt;&gt;"",SUMPRODUCT(($B$2:$B138&lt;&gt;"")*1),"")</f>
        <v>137</v>
      </c>
    </row>
    <row r="139" spans="1:7">
      <c r="A139" s="23">
        <f>IF(الإدخالات!C139="","",الإدخالات!B139)</f>
        <v>46218</v>
      </c>
      <c r="B139" t="str">
        <f>IF(الإدخالات!C139="","","شراء")</f>
        <v>شراء</v>
      </c>
      <c r="C139" t="str">
        <f>IF(الإدخالات!C139="","",IF(الإدخالات!E139="","-",الإدخالات!E139))</f>
        <v>-</v>
      </c>
      <c r="D139" t="str">
        <f>IF(الإدخالات!C139="","",الإدخالات!C139)</f>
        <v>سيف الكرار 2602</v>
      </c>
      <c r="E139" s="24">
        <f>IF(الإدخالات!C139="","",الإدخالات!D139)</f>
        <v>0</v>
      </c>
      <c r="F139" t="str">
        <f>IF(الإدخالات!C139="","",IF(الإدخالات!G139="","",الإدخالات!G139))</f>
        <v/>
      </c>
      <c r="G139">
        <f>IF($B139&lt;&gt;"",SUMPRODUCT(($B$2:$B139&lt;&gt;"")*1),"")</f>
        <v>138</v>
      </c>
    </row>
    <row r="140" spans="1:7">
      <c r="A140" s="23">
        <f>IF(الإدخالات!C140="","",الإدخالات!B140)</f>
        <v>46218</v>
      </c>
      <c r="B140" t="str">
        <f>IF(الإدخالات!C140="","","شراء")</f>
        <v>شراء</v>
      </c>
      <c r="C140" t="str">
        <f>IF(الإدخالات!C140="","",IF(الإدخالات!E140="","-",الإدخالات!E140))</f>
        <v>-</v>
      </c>
      <c r="D140" t="str">
        <f>IF(الإدخالات!C140="","",الإدخالات!C140)</f>
        <v>سلة غسيل</v>
      </c>
      <c r="E140" s="24">
        <f>IF(الإدخالات!C140="","",الإدخالات!D140)</f>
        <v>0</v>
      </c>
      <c r="F140" t="str">
        <f>IF(الإدخالات!C140="","",IF(الإدخالات!G140="","",الإدخالات!G140))</f>
        <v/>
      </c>
      <c r="G140">
        <f>IF($B140&lt;&gt;"",SUMPRODUCT(($B$2:$B140&lt;&gt;"")*1),"")</f>
        <v>139</v>
      </c>
    </row>
    <row r="141" spans="1:7">
      <c r="A141" s="23">
        <f>IF(الإدخالات!C141="","",الإدخالات!B141)</f>
        <v>46218</v>
      </c>
      <c r="B141" t="str">
        <f>IF(الإدخالات!C141="","","شراء")</f>
        <v>شراء</v>
      </c>
      <c r="C141" t="str">
        <f>IF(الإدخالات!C141="","",IF(الإدخالات!E141="","-",الإدخالات!E141))</f>
        <v>-</v>
      </c>
      <c r="D141" t="str">
        <f>IF(الإدخالات!C141="","",الإدخالات!C141)</f>
        <v>سائل مغسل</v>
      </c>
      <c r="E141" s="24">
        <f>IF(الإدخالات!C141="","",الإدخالات!D141)</f>
        <v>0</v>
      </c>
      <c r="F141" t="str">
        <f>IF(الإدخالات!C141="","",IF(الإدخالات!G141="","",الإدخالات!G141))</f>
        <v/>
      </c>
      <c r="G141">
        <f>IF($B141&lt;&gt;"",SUMPRODUCT(($B$2:$B141&lt;&gt;"")*1),"")</f>
        <v>140</v>
      </c>
    </row>
    <row r="142" spans="1:7">
      <c r="A142" s="23">
        <f>IF(الإدخالات!C142="","",الإدخالات!B142)</f>
        <v>46218</v>
      </c>
      <c r="B142" t="str">
        <f>IF(الإدخالات!C142="","","شراء")</f>
        <v>شراء</v>
      </c>
      <c r="C142" t="str">
        <f>IF(الإدخالات!C142="","",IF(الإدخالات!E142="","-",الإدخالات!E142))</f>
        <v>-</v>
      </c>
      <c r="D142" t="str">
        <f>IF(الإدخالات!C142="","",الإدخالات!C142)</f>
        <v>سائل غسيل زهري</v>
      </c>
      <c r="E142" s="24">
        <f>IF(الإدخالات!C142="","",الإدخالات!D142)</f>
        <v>0</v>
      </c>
      <c r="F142" t="str">
        <f>IF(الإدخالات!C142="","",IF(الإدخالات!G142="","",الإدخالات!G142))</f>
        <v/>
      </c>
      <c r="G142">
        <f>IF($B142&lt;&gt;"",SUMPRODUCT(($B$2:$B142&lt;&gt;"")*1),"")</f>
        <v>141</v>
      </c>
    </row>
    <row r="143" spans="1:7">
      <c r="A143" s="23">
        <f>IF(الإدخالات!C143="","",الإدخالات!B143)</f>
        <v>46218</v>
      </c>
      <c r="B143" t="str">
        <f>IF(الإدخالات!C143="","","شراء")</f>
        <v>شراء</v>
      </c>
      <c r="C143" t="str">
        <f>IF(الإدخالات!C143="","",IF(الإدخالات!E143="","-",الإدخالات!E143))</f>
        <v>-</v>
      </c>
      <c r="D143" t="str">
        <f>IF(الإدخالات!C143="","",الإدخالات!C143)</f>
        <v>سائل غسيل اتوماتيك 3 لتر</v>
      </c>
      <c r="E143" s="24">
        <f>IF(الإدخالات!C143="","",الإدخالات!D143)</f>
        <v>0</v>
      </c>
      <c r="F143" t="str">
        <f>IF(الإدخالات!C143="","",IF(الإدخالات!G143="","",الإدخالات!G143))</f>
        <v/>
      </c>
      <c r="G143">
        <f>IF($B143&lt;&gt;"",SUMPRODUCT(($B$2:$B143&lt;&gt;"")*1),"")</f>
        <v>142</v>
      </c>
    </row>
    <row r="144" spans="1:7">
      <c r="A144" s="23">
        <f>IF(الإدخالات!C144="","",الإدخالات!B144)</f>
        <v>46218</v>
      </c>
      <c r="B144" t="str">
        <f>IF(الإدخالات!C144="","","شراء")</f>
        <v>شراء</v>
      </c>
      <c r="C144" t="str">
        <f>IF(الإدخالات!C144="","",IF(الإدخالات!E144="","-",الإدخالات!E144))</f>
        <v>-</v>
      </c>
      <c r="D144" t="str">
        <f>IF(الإدخالات!C144="","",الإدخالات!C144)</f>
        <v xml:space="preserve">سائل غسيل اتوماتيك / فرط </v>
      </c>
      <c r="E144" s="24">
        <f>IF(الإدخالات!C144="","",الإدخالات!D144)</f>
        <v>0</v>
      </c>
      <c r="F144" t="str">
        <f>IF(الإدخالات!C144="","",IF(الإدخالات!G144="","",الإدخالات!G144))</f>
        <v/>
      </c>
      <c r="G144">
        <f>IF($B144&lt;&gt;"",SUMPRODUCT(($B$2:$B144&lt;&gt;"")*1),"")</f>
        <v>143</v>
      </c>
    </row>
    <row r="145" spans="1:7">
      <c r="A145" s="23">
        <f>IF(الإدخالات!C145="","",الإدخالات!B145)</f>
        <v>46218</v>
      </c>
      <c r="B145" t="str">
        <f>IF(الإدخالات!C145="","","شراء")</f>
        <v>شراء</v>
      </c>
      <c r="C145" t="str">
        <f>IF(الإدخالات!C145="","",IF(الإدخالات!E145="","-",الإدخالات!E145))</f>
        <v>-</v>
      </c>
      <c r="D145" t="str">
        <f>IF(الإدخالات!C145="","",الإدخالات!C145)</f>
        <v xml:space="preserve">سائل جلي متعدد الاستعمالات كرمل </v>
      </c>
      <c r="E145" s="24">
        <f>IF(الإدخالات!C145="","",الإدخالات!D145)</f>
        <v>0</v>
      </c>
      <c r="F145" t="str">
        <f>IF(الإدخالات!C145="","",IF(الإدخالات!G145="","",الإدخالات!G145))</f>
        <v/>
      </c>
      <c r="G145">
        <f>IF($B145&lt;&gt;"",SUMPRODUCT(($B$2:$B145&lt;&gt;"")*1),"")</f>
        <v>144</v>
      </c>
    </row>
    <row r="146" spans="1:7">
      <c r="A146" s="23">
        <f>IF(الإدخالات!C146="","",الإدخالات!B146)</f>
        <v>46218</v>
      </c>
      <c r="B146" t="str">
        <f>IF(الإدخالات!C146="","","شراء")</f>
        <v>شراء</v>
      </c>
      <c r="C146" t="str">
        <f>IF(الإدخالات!C146="","",IF(الإدخالات!E146="","-",الإدخالات!E146))</f>
        <v>-</v>
      </c>
      <c r="D146" t="str">
        <f>IF(الإدخالات!C146="","",الإدخالات!C146)</f>
        <v xml:space="preserve">سائل جلي متعدد الإستعمالات - غولدن هاوس 1 لتر </v>
      </c>
      <c r="E146" s="24">
        <f>IF(الإدخالات!C146="","",الإدخالات!D146)</f>
        <v>0</v>
      </c>
      <c r="F146" t="str">
        <f>IF(الإدخالات!C146="","",IF(الإدخالات!G146="","",الإدخالات!G146))</f>
        <v/>
      </c>
      <c r="G146">
        <f>IF($B146&lt;&gt;"",SUMPRODUCT(($B$2:$B146&lt;&gt;"")*1),"")</f>
        <v>145</v>
      </c>
    </row>
    <row r="147" spans="1:7">
      <c r="A147" s="23">
        <f>IF(الإدخالات!C147="","",الإدخالات!B147)</f>
        <v>46218</v>
      </c>
      <c r="B147" t="str">
        <f>IF(الإدخالات!C147="","","شراء")</f>
        <v>شراء</v>
      </c>
      <c r="C147" t="str">
        <f>IF(الإدخالات!C147="","",IF(الإدخالات!E147="","-",الإدخالات!E147))</f>
        <v>-</v>
      </c>
      <c r="D147" t="str">
        <f>IF(الإدخالات!C147="","",الإدخالات!C147)</f>
        <v>سائل جلي شفاف مع عطر / فرط</v>
      </c>
      <c r="E147" s="24">
        <f>IF(الإدخالات!C147="","",الإدخالات!D147)</f>
        <v>0</v>
      </c>
      <c r="F147" t="str">
        <f>IF(الإدخالات!C147="","",IF(الإدخالات!G147="","",الإدخالات!G147))</f>
        <v/>
      </c>
      <c r="G147">
        <f>IF($B147&lt;&gt;"",SUMPRODUCT(($B$2:$B147&lt;&gt;"")*1),"")</f>
        <v>146</v>
      </c>
    </row>
    <row r="148" spans="1:7">
      <c r="A148" s="23">
        <f>IF(الإدخالات!C148="","",الإدخالات!B148)</f>
        <v>46218</v>
      </c>
      <c r="B148" t="str">
        <f>IF(الإدخالات!C148="","","شراء")</f>
        <v>شراء</v>
      </c>
      <c r="C148" t="str">
        <f>IF(الإدخالات!C148="","",IF(الإدخالات!E148="","-",الإدخالات!E148))</f>
        <v>-</v>
      </c>
      <c r="D148" t="str">
        <f>IF(الإدخالات!C148="","",الإدخالات!C148)</f>
        <v>سائل جلي super / فرط 2604</v>
      </c>
      <c r="E148" s="24">
        <f>IF(الإدخالات!C148="","",الإدخالات!D148)</f>
        <v>0</v>
      </c>
      <c r="F148" t="str">
        <f>IF(الإدخالات!C148="","",IF(الإدخالات!G148="","",الإدخالات!G148))</f>
        <v/>
      </c>
      <c r="G148">
        <f>IF($B148&lt;&gt;"",SUMPRODUCT(($B$2:$B148&lt;&gt;"")*1),"")</f>
        <v>147</v>
      </c>
    </row>
    <row r="149" spans="1:7">
      <c r="A149" s="23">
        <f>IF(الإدخالات!C149="","",الإدخالات!B149)</f>
        <v>46218</v>
      </c>
      <c r="B149" t="str">
        <f>IF(الإدخالات!C149="","","شراء")</f>
        <v>شراء</v>
      </c>
      <c r="C149" t="str">
        <f>IF(الإدخالات!C149="","",IF(الإدخالات!E149="","-",الإدخالات!E149))</f>
        <v>-</v>
      </c>
      <c r="D149" t="str">
        <f>IF(الإدخالات!C149="","",الإدخالات!C149)</f>
        <v>سائل جلي super / فرط 2603</v>
      </c>
      <c r="E149" s="24">
        <f>IF(الإدخالات!C149="","",الإدخالات!D149)</f>
        <v>0</v>
      </c>
      <c r="F149" t="str">
        <f>IF(الإدخالات!C149="","",IF(الإدخالات!G149="","",الإدخالات!G149))</f>
        <v/>
      </c>
      <c r="G149">
        <f>IF($B149&lt;&gt;"",SUMPRODUCT(($B$2:$B149&lt;&gt;"")*1),"")</f>
        <v>148</v>
      </c>
    </row>
    <row r="150" spans="1:7">
      <c r="A150" s="23">
        <f>IF(الإدخالات!C150="","",الإدخالات!B150)</f>
        <v>46218</v>
      </c>
      <c r="B150" t="str">
        <f>IF(الإدخالات!C150="","","شراء")</f>
        <v>شراء</v>
      </c>
      <c r="C150" t="str">
        <f>IF(الإدخالات!C150="","",IF(الإدخالات!E150="","-",الإدخالات!E150))</f>
        <v>-</v>
      </c>
      <c r="D150" t="str">
        <f>IF(الإدخالات!C150="","",الإدخالات!C150)</f>
        <v>سائل جلي super / فرط 2602</v>
      </c>
      <c r="E150" s="24">
        <f>IF(الإدخالات!C150="","",الإدخالات!D150)</f>
        <v>0</v>
      </c>
      <c r="F150" t="str">
        <f>IF(الإدخالات!C150="","",IF(الإدخالات!G150="","",الإدخالات!G150))</f>
        <v/>
      </c>
      <c r="G150">
        <f>IF($B150&lt;&gt;"",SUMPRODUCT(($B$2:$B150&lt;&gt;"")*1),"")</f>
        <v>149</v>
      </c>
    </row>
    <row r="151" spans="1:7">
      <c r="A151" s="23">
        <f>IF(الإدخالات!C151="","",الإدخالات!B151)</f>
        <v>46218</v>
      </c>
      <c r="B151" t="str">
        <f>IF(الإدخالات!C151="","","شراء")</f>
        <v>شراء</v>
      </c>
      <c r="C151" t="str">
        <f>IF(الإدخالات!C151="","",IF(الإدخالات!E151="","-",الإدخالات!E151))</f>
        <v>-</v>
      </c>
      <c r="D151" t="str">
        <f>IF(الإدخالات!C151="","",الإدخالات!C151)</f>
        <v>سائل جلي super / فرط 2601</v>
      </c>
      <c r="E151" s="24">
        <f>IF(الإدخالات!C151="","",الإدخالات!D151)</f>
        <v>0</v>
      </c>
      <c r="F151" t="str">
        <f>IF(الإدخالات!C151="","",IF(الإدخالات!G151="","",الإدخالات!G151))</f>
        <v/>
      </c>
      <c r="G151">
        <f>IF($B151&lt;&gt;"",SUMPRODUCT(($B$2:$B151&lt;&gt;"")*1),"")</f>
        <v>150</v>
      </c>
    </row>
    <row r="152" spans="1:7">
      <c r="A152" s="23">
        <f>IF(الإدخالات!C152="","",الإدخالات!B152)</f>
        <v>46218</v>
      </c>
      <c r="B152" t="str">
        <f>IF(الإدخالات!C152="","","شراء")</f>
        <v>شراء</v>
      </c>
      <c r="C152" t="str">
        <f>IF(الإدخالات!C152="","",IF(الإدخالات!E152="","-",الإدخالات!E152))</f>
        <v>-</v>
      </c>
      <c r="D152" t="str">
        <f>IF(الإدخالات!C152="","",الإدخالات!C152)</f>
        <v>سائل جلي super / عبوة 3 لتر 2604</v>
      </c>
      <c r="E152" s="24">
        <f>IF(الإدخالات!C152="","",الإدخالات!D152)</f>
        <v>0</v>
      </c>
      <c r="F152" t="str">
        <f>IF(الإدخالات!C152="","",IF(الإدخالات!G152="","",الإدخالات!G152))</f>
        <v/>
      </c>
      <c r="G152">
        <f>IF($B152&lt;&gt;"",SUMPRODUCT(($B$2:$B152&lt;&gt;"")*1),"")</f>
        <v>151</v>
      </c>
    </row>
    <row r="153" spans="1:7">
      <c r="A153" s="23">
        <f>IF(الإدخالات!C153="","",الإدخالات!B153)</f>
        <v>46218</v>
      </c>
      <c r="B153" t="str">
        <f>IF(الإدخالات!C153="","","شراء")</f>
        <v>شراء</v>
      </c>
      <c r="C153" t="str">
        <f>IF(الإدخالات!C153="","",IF(الإدخالات!E153="","-",الإدخالات!E153))</f>
        <v>-</v>
      </c>
      <c r="D153" t="str">
        <f>IF(الإدخالات!C153="","",الإدخالات!C153)</f>
        <v>سائل جلي super / عبوة 3 لتر 2603</v>
      </c>
      <c r="E153" s="24">
        <f>IF(الإدخالات!C153="","",الإدخالات!D153)</f>
        <v>0</v>
      </c>
      <c r="F153" t="str">
        <f>IF(الإدخالات!C153="","",IF(الإدخالات!G153="","",الإدخالات!G153))</f>
        <v/>
      </c>
      <c r="G153">
        <f>IF($B153&lt;&gt;"",SUMPRODUCT(($B$2:$B153&lt;&gt;"")*1),"")</f>
        <v>152</v>
      </c>
    </row>
    <row r="154" spans="1:7">
      <c r="A154" s="23">
        <f>IF(الإدخالات!C154="","",الإدخالات!B154)</f>
        <v>46218</v>
      </c>
      <c r="B154" t="str">
        <f>IF(الإدخالات!C154="","","شراء")</f>
        <v>شراء</v>
      </c>
      <c r="C154" t="str">
        <f>IF(الإدخالات!C154="","",IF(الإدخالات!E154="","-",الإدخالات!E154))</f>
        <v>-</v>
      </c>
      <c r="D154" t="str">
        <f>IF(الإدخالات!C154="","",الإدخالات!C154)</f>
        <v>سائل جلي super / عبوة 3 لتر 2602</v>
      </c>
      <c r="E154" s="24">
        <f>IF(الإدخالات!C154="","",الإدخالات!D154)</f>
        <v>0</v>
      </c>
      <c r="F154" t="str">
        <f>IF(الإدخالات!C154="","",IF(الإدخالات!G154="","",الإدخالات!G154))</f>
        <v/>
      </c>
      <c r="G154">
        <f>IF($B154&lt;&gt;"",SUMPRODUCT(($B$2:$B154&lt;&gt;"")*1),"")</f>
        <v>153</v>
      </c>
    </row>
    <row r="155" spans="1:7">
      <c r="A155" s="23">
        <f>IF(الإدخالات!C155="","",الإدخالات!B155)</f>
        <v>46218</v>
      </c>
      <c r="B155" t="str">
        <f>IF(الإدخالات!C155="","","شراء")</f>
        <v>شراء</v>
      </c>
      <c r="C155" t="str">
        <f>IF(الإدخالات!C155="","",IF(الإدخالات!E155="","-",الإدخالات!E155))</f>
        <v>-</v>
      </c>
      <c r="D155" t="str">
        <f>IF(الإدخالات!C155="","",الإدخالات!C155)</f>
        <v>سائل جلي super / عبوة 3 لتر 2601</v>
      </c>
      <c r="E155" s="24">
        <f>IF(الإدخالات!C155="","",الإدخالات!D155)</f>
        <v>0</v>
      </c>
      <c r="F155" t="str">
        <f>IF(الإدخالات!C155="","",IF(الإدخالات!G155="","",الإدخالات!G155))</f>
        <v/>
      </c>
      <c r="G155">
        <f>IF($B155&lt;&gt;"",SUMPRODUCT(($B$2:$B155&lt;&gt;"")*1),"")</f>
        <v>154</v>
      </c>
    </row>
    <row r="156" spans="1:7">
      <c r="A156" s="23">
        <f>IF(الإدخالات!C156="","",الإدخالات!B156)</f>
        <v>46218</v>
      </c>
      <c r="B156" t="str">
        <f>IF(الإدخالات!C156="","","شراء")</f>
        <v>شراء</v>
      </c>
      <c r="C156" t="str">
        <f>IF(الإدخالات!C156="","",IF(الإدخالات!E156="","-",الإدخالات!E156))</f>
        <v>-</v>
      </c>
      <c r="D156" t="str">
        <f>IF(الإدخالات!C156="","",الإدخالات!C156)</f>
        <v>زيت صنوبر 3 لتر</v>
      </c>
      <c r="E156" s="24">
        <f>IF(الإدخالات!C156="","",الإدخالات!D156)</f>
        <v>0</v>
      </c>
      <c r="F156" t="str">
        <f>IF(الإدخالات!C156="","",IF(الإدخالات!G156="","",الإدخالات!G156))</f>
        <v/>
      </c>
      <c r="G156">
        <f>IF($B156&lt;&gt;"",SUMPRODUCT(($B$2:$B156&lt;&gt;"")*1),"")</f>
        <v>155</v>
      </c>
    </row>
    <row r="157" spans="1:7">
      <c r="A157" s="23">
        <f>IF(الإدخالات!C157="","",الإدخالات!B157)</f>
        <v>46218</v>
      </c>
      <c r="B157" t="str">
        <f>IF(الإدخالات!C157="","","شراء")</f>
        <v>شراء</v>
      </c>
      <c r="C157" t="str">
        <f>IF(الإدخالات!C157="","",IF(الإدخالات!E157="","-",الإدخالات!E157))</f>
        <v>-</v>
      </c>
      <c r="D157" t="str">
        <f>IF(الإدخالات!C157="","",الإدخالات!C157)</f>
        <v xml:space="preserve">ديتول 3 لتر </v>
      </c>
      <c r="E157" s="24">
        <f>IF(الإدخالات!C157="","",الإدخالات!D157)</f>
        <v>0</v>
      </c>
      <c r="F157" t="str">
        <f>IF(الإدخالات!C157="","",IF(الإدخالات!G157="","",الإدخالات!G157))</f>
        <v/>
      </c>
      <c r="G157">
        <f>IF($B157&lt;&gt;"",SUMPRODUCT(($B$2:$B157&lt;&gt;"")*1),"")</f>
        <v>156</v>
      </c>
    </row>
    <row r="158" spans="1:7">
      <c r="A158" s="23">
        <f>IF(الإدخالات!C158="","",الإدخالات!B158)</f>
        <v>46218</v>
      </c>
      <c r="B158" t="str">
        <f>IF(الإدخالات!C158="","","شراء")</f>
        <v>شراء</v>
      </c>
      <c r="C158" t="str">
        <f>IF(الإدخالات!C158="","",IF(الإدخالات!E158="","-",الإدخالات!E158))</f>
        <v>-</v>
      </c>
      <c r="D158" t="str">
        <f>IF(الإدخالات!C158="","",الإدخالات!C158)</f>
        <v xml:space="preserve">ديتول / فرط </v>
      </c>
      <c r="E158" s="24">
        <f>IF(الإدخالات!C158="","",الإدخالات!D158)</f>
        <v>0</v>
      </c>
      <c r="F158" t="str">
        <f>IF(الإدخالات!C158="","",IF(الإدخالات!G158="","",الإدخالات!G158))</f>
        <v/>
      </c>
      <c r="G158">
        <f>IF($B158&lt;&gt;"",SUMPRODUCT(($B$2:$B158&lt;&gt;"")*1),"")</f>
        <v>157</v>
      </c>
    </row>
    <row r="159" spans="1:7">
      <c r="A159" s="23">
        <f>IF(الإدخالات!C159="","",الإدخالات!B159)</f>
        <v>46218</v>
      </c>
      <c r="B159" t="str">
        <f>IF(الإدخالات!C159="","","شراء")</f>
        <v>شراء</v>
      </c>
      <c r="C159" t="str">
        <f>IF(الإدخالات!C159="","",IF(الإدخالات!E159="","-",الإدخالات!E159))</f>
        <v>-</v>
      </c>
      <c r="D159" t="str">
        <f>IF(الإدخالات!C159="","",الإدخالات!C159)</f>
        <v xml:space="preserve">دواء غسيل بودرا </v>
      </c>
      <c r="E159" s="24">
        <f>IF(الإدخالات!C159="","",الإدخالات!D159)</f>
        <v>0</v>
      </c>
      <c r="F159" t="str">
        <f>IF(الإدخالات!C159="","",IF(الإدخالات!G159="","",الإدخالات!G159))</f>
        <v/>
      </c>
      <c r="G159">
        <f>IF($B159&lt;&gt;"",SUMPRODUCT(($B$2:$B159&lt;&gt;"")*1),"")</f>
        <v>158</v>
      </c>
    </row>
    <row r="160" spans="1:7">
      <c r="A160" s="23">
        <f>IF(الإدخالات!C160="","",الإدخالات!B160)</f>
        <v>46218</v>
      </c>
      <c r="B160" t="str">
        <f>IF(الإدخالات!C160="","","شراء")</f>
        <v>شراء</v>
      </c>
      <c r="C160" t="str">
        <f>IF(الإدخالات!C160="","",IF(الإدخالات!E160="","-",الإدخالات!E160))</f>
        <v>-</v>
      </c>
      <c r="D160" t="str">
        <f>IF(الإدخالات!C160="","",الإدخالات!C160)</f>
        <v>دوا غسيل نورا</v>
      </c>
      <c r="E160" s="24">
        <f>IF(الإدخالات!C160="","",الإدخالات!D160)</f>
        <v>0</v>
      </c>
      <c r="F160" t="str">
        <f>IF(الإدخالات!C160="","",IF(الإدخالات!G160="","",الإدخالات!G160))</f>
        <v/>
      </c>
      <c r="G160">
        <f>IF($B160&lt;&gt;"",SUMPRODUCT(($B$2:$B160&lt;&gt;"")*1),"")</f>
        <v>159</v>
      </c>
    </row>
    <row r="161" spans="1:7">
      <c r="A161" s="23">
        <f>IF(الإدخالات!C161="","",الإدخالات!B161)</f>
        <v>46218</v>
      </c>
      <c r="B161" t="str">
        <f>IF(الإدخالات!C161="","","شراء")</f>
        <v>شراء</v>
      </c>
      <c r="C161" t="str">
        <f>IF(الإدخالات!C161="","",IF(الإدخالات!E161="","-",الإدخالات!E161))</f>
        <v>-</v>
      </c>
      <c r="D161" t="str">
        <f>IF(الإدخالات!C161="","",الإدخالات!C161)</f>
        <v xml:space="preserve">دفتر </v>
      </c>
      <c r="E161" s="24">
        <f>IF(الإدخالات!C161="","",الإدخالات!D161)</f>
        <v>0</v>
      </c>
      <c r="F161" t="str">
        <f>IF(الإدخالات!C161="","",IF(الإدخالات!G161="","",الإدخالات!G161))</f>
        <v/>
      </c>
      <c r="G161">
        <f>IF($B161&lt;&gt;"",SUMPRODUCT(($B$2:$B161&lt;&gt;"")*1),"")</f>
        <v>160</v>
      </c>
    </row>
    <row r="162" spans="1:7">
      <c r="A162" s="23">
        <f>IF(الإدخالات!C162="","",الإدخالات!B162)</f>
        <v>46218</v>
      </c>
      <c r="B162" t="str">
        <f>IF(الإدخالات!C162="","","شراء")</f>
        <v>شراء</v>
      </c>
      <c r="C162" t="str">
        <f>IF(الإدخالات!C162="","",IF(الإدخالات!E162="","-",الإدخالات!E162))</f>
        <v>-</v>
      </c>
      <c r="D162" t="str">
        <f>IF(الإدخالات!C162="","",الإدخالات!C162)</f>
        <v xml:space="preserve">خردة وبلاستيك </v>
      </c>
      <c r="E162" s="24">
        <f>IF(الإدخالات!C162="","",الإدخالات!D162)</f>
        <v>0</v>
      </c>
      <c r="F162" t="str">
        <f>IF(الإدخالات!C162="","",IF(الإدخالات!G162="","",الإدخالات!G162))</f>
        <v/>
      </c>
      <c r="G162">
        <f>IF($B162&lt;&gt;"",SUMPRODUCT(($B$2:$B162&lt;&gt;"")*1),"")</f>
        <v>161</v>
      </c>
    </row>
    <row r="163" spans="1:7">
      <c r="A163" s="23">
        <f>IF(الإدخالات!C163="","",الإدخالات!B163)</f>
        <v>46218</v>
      </c>
      <c r="B163" t="str">
        <f>IF(الإدخالات!C163="","","شراء")</f>
        <v>شراء</v>
      </c>
      <c r="C163" t="str">
        <f>IF(الإدخالات!C163="","",IF(الإدخالات!E163="","-",الإدخالات!E163))</f>
        <v>-</v>
      </c>
      <c r="D163" t="str">
        <f>IF(الإدخالات!C163="","",الإدخالات!C163)</f>
        <v>جاطات + طشوطة بلاستيك</v>
      </c>
      <c r="E163" s="24">
        <f>IF(الإدخالات!C163="","",الإدخالات!D163)</f>
        <v>0</v>
      </c>
      <c r="F163" t="str">
        <f>IF(الإدخالات!C163="","",IF(الإدخالات!G163="","",الإدخالات!G163))</f>
        <v/>
      </c>
      <c r="G163">
        <f>IF($B163&lt;&gt;"",SUMPRODUCT(($B$2:$B163&lt;&gt;"")*1),"")</f>
        <v>162</v>
      </c>
    </row>
    <row r="164" spans="1:7">
      <c r="A164" s="23">
        <f>IF(الإدخالات!C164="","",الإدخالات!B164)</f>
        <v>46218</v>
      </c>
      <c r="B164" t="str">
        <f>IF(الإدخالات!C164="","","شراء")</f>
        <v>شراء</v>
      </c>
      <c r="C164" t="str">
        <f>IF(الإدخالات!C164="","",IF(الإدخالات!E164="","-",الإدخالات!E164))</f>
        <v>-</v>
      </c>
      <c r="D164" t="str">
        <f>IF(الإدخالات!C164="","",الإدخالات!C164)</f>
        <v>بيدون سعة 5 كغ</v>
      </c>
      <c r="E164" s="24">
        <f>IF(الإدخالات!C164="","",الإدخالات!D164)</f>
        <v>0</v>
      </c>
      <c r="F164" t="str">
        <f>IF(الإدخالات!C164="","",IF(الإدخالات!G164="","",الإدخالات!G164))</f>
        <v/>
      </c>
      <c r="G164">
        <f>IF($B164&lt;&gt;"",SUMPRODUCT(($B$2:$B164&lt;&gt;"")*1),"")</f>
        <v>163</v>
      </c>
    </row>
    <row r="165" spans="1:7">
      <c r="A165" s="23">
        <f>IF(الإدخالات!C165="","",الإدخالات!B165)</f>
        <v>46218</v>
      </c>
      <c r="B165" t="str">
        <f>IF(الإدخالات!C165="","","شراء")</f>
        <v>شراء</v>
      </c>
      <c r="C165" t="str">
        <f>IF(الإدخالات!C165="","",IF(الإدخالات!E165="","-",الإدخالات!E165))</f>
        <v>-</v>
      </c>
      <c r="D165" t="str">
        <f>IF(الإدخالات!C165="","",الإدخالات!C165)</f>
        <v>بيدون !</v>
      </c>
      <c r="E165" s="24">
        <f>IF(الإدخالات!C165="","",الإدخالات!D165)</f>
        <v>0</v>
      </c>
      <c r="F165" t="str">
        <f>IF(الإدخالات!C165="","",IF(الإدخالات!G165="","",الإدخالات!G165))</f>
        <v/>
      </c>
      <c r="G165">
        <f>IF($B165&lt;&gt;"",SUMPRODUCT(($B$2:$B165&lt;&gt;"")*1),"")</f>
        <v>164</v>
      </c>
    </row>
    <row r="166" spans="1:7">
      <c r="A166" s="23">
        <f>IF(الإدخالات!C166="","",الإدخالات!B166)</f>
        <v>46218</v>
      </c>
      <c r="B166" t="str">
        <f>IF(الإدخالات!C166="","","شراء")</f>
        <v>شراء</v>
      </c>
      <c r="C166" t="str">
        <f>IF(الإدخالات!C166="","",IF(الإدخالات!E166="","-",الإدخالات!E166))</f>
        <v>-</v>
      </c>
      <c r="D166" t="str">
        <f>IF(الإدخالات!C166="","",الإدخالات!C166)</f>
        <v xml:space="preserve">بي اتش 3 لتر </v>
      </c>
      <c r="E166" s="24">
        <f>IF(الإدخالات!C166="","",الإدخالات!D166)</f>
        <v>0</v>
      </c>
      <c r="F166" t="str">
        <f>IF(الإدخالات!C166="","",IF(الإدخالات!G166="","",الإدخالات!G166))</f>
        <v/>
      </c>
      <c r="G166">
        <f>IF($B166&lt;&gt;"",SUMPRODUCT(($B$2:$B166&lt;&gt;"")*1),"")</f>
        <v>165</v>
      </c>
    </row>
    <row r="167" spans="1:7">
      <c r="A167" s="23">
        <f>IF(الإدخالات!C167="","",الإدخالات!B167)</f>
        <v>46218</v>
      </c>
      <c r="B167" t="str">
        <f>IF(الإدخالات!C167="","","شراء")</f>
        <v>شراء</v>
      </c>
      <c r="C167" t="str">
        <f>IF(الإدخالات!C167="","",IF(الإدخالات!E167="","-",الإدخالات!E167))</f>
        <v>-</v>
      </c>
      <c r="D167" t="str">
        <f>IF(الإدخالات!C167="","",الإدخالات!C167)</f>
        <v>بي اتش - كرتونة</v>
      </c>
      <c r="E167" s="24">
        <f>IF(الإدخالات!C167="","",الإدخالات!D167)</f>
        <v>0</v>
      </c>
      <c r="F167" t="str">
        <f>IF(الإدخالات!C167="","",IF(الإدخالات!G167="","",الإدخالات!G167))</f>
        <v/>
      </c>
      <c r="G167">
        <f>IF($B167&lt;&gt;"",SUMPRODUCT(($B$2:$B167&lt;&gt;"")*1),"")</f>
        <v>166</v>
      </c>
    </row>
    <row r="168" spans="1:7">
      <c r="A168" s="23">
        <f>IF(الإدخالات!C168="","",الإدخالات!B168)</f>
        <v>46218</v>
      </c>
      <c r="B168" t="str">
        <f>IF(الإدخالات!C168="","","شراء")</f>
        <v>شراء</v>
      </c>
      <c r="C168" t="str">
        <f>IF(الإدخالات!C168="","",IF(الإدخالات!E168="","-",الإدخالات!E168))</f>
        <v>-</v>
      </c>
      <c r="D168" t="str">
        <f>IF(الإدخالات!C168="","",الإدخالات!C168)</f>
        <v>بي اتش - BH / فرط</v>
      </c>
      <c r="E168" s="24">
        <f>IF(الإدخالات!C168="","",الإدخالات!D168)</f>
        <v>0</v>
      </c>
      <c r="F168" t="str">
        <f>IF(الإدخالات!C168="","",IF(الإدخالات!G168="","",الإدخالات!G168))</f>
        <v/>
      </c>
      <c r="G168">
        <f>IF($B168&lt;&gt;"",SUMPRODUCT(($B$2:$B168&lt;&gt;"")*1),"")</f>
        <v>167</v>
      </c>
    </row>
    <row r="169" spans="1:7">
      <c r="A169" s="23">
        <f>IF(الإدخالات!C169="","",الإدخالات!B169)</f>
        <v>46218</v>
      </c>
      <c r="B169" t="str">
        <f>IF(الإدخالات!C169="","","شراء")</f>
        <v>شراء</v>
      </c>
      <c r="C169" t="str">
        <f>IF(الإدخالات!C169="","",IF(الإدخالات!E169="","-",الإدخالات!E169))</f>
        <v>-</v>
      </c>
      <c r="D169" t="str">
        <f>IF(الإدخالات!C169="","",الإدخالات!C169)</f>
        <v>بي أتش ph الكرمل</v>
      </c>
      <c r="E169" s="24">
        <f>IF(الإدخالات!C169="","",الإدخالات!D169)</f>
        <v>0</v>
      </c>
      <c r="F169" t="str">
        <f>IF(الإدخالات!C169="","",IF(الإدخالات!G169="","",الإدخالات!G169))</f>
        <v/>
      </c>
      <c r="G169">
        <f>IF($B169&lt;&gt;"",SUMPRODUCT(($B$2:$B169&lt;&gt;"")*1),"")</f>
        <v>168</v>
      </c>
    </row>
    <row r="170" spans="1:7">
      <c r="A170" s="23">
        <f>IF(الإدخالات!C170="","",الإدخالات!B170)</f>
        <v>46218</v>
      </c>
      <c r="B170" t="str">
        <f>IF(الإدخالات!C170="","","شراء")</f>
        <v>شراء</v>
      </c>
      <c r="C170" t="str">
        <f>IF(الإدخالات!C170="","",IF(الإدخالات!E170="","-",الإدخالات!E170))</f>
        <v>-</v>
      </c>
      <c r="D170" t="str">
        <f>IF(الإدخالات!C170="","",الإدخالات!C170)</f>
        <v>بلسم 3 لتر</v>
      </c>
      <c r="E170" s="24">
        <f>IF(الإدخالات!C170="","",الإدخالات!D170)</f>
        <v>0</v>
      </c>
      <c r="F170" t="str">
        <f>IF(الإدخالات!C170="","",IF(الإدخالات!G170="","",الإدخالات!G170))</f>
        <v/>
      </c>
      <c r="G170">
        <f>IF($B170&lt;&gt;"",SUMPRODUCT(($B$2:$B170&lt;&gt;"")*1),"")</f>
        <v>169</v>
      </c>
    </row>
    <row r="171" spans="1:7">
      <c r="A171" s="23">
        <f>IF(الإدخالات!C171="","",الإدخالات!B171)</f>
        <v>46218</v>
      </c>
      <c r="B171" t="str">
        <f>IF(الإدخالات!C171="","","شراء")</f>
        <v>شراء</v>
      </c>
      <c r="C171" t="str">
        <f>IF(الإدخالات!C171="","",IF(الإدخالات!E171="","-",الإدخالات!E171))</f>
        <v>-</v>
      </c>
      <c r="D171" t="str">
        <f>IF(الإدخالات!C171="","",الإدخالات!C171)</f>
        <v>بلسم / فرط</v>
      </c>
      <c r="E171" s="24">
        <f>IF(الإدخالات!C171="","",الإدخالات!D171)</f>
        <v>0</v>
      </c>
      <c r="F171" t="str">
        <f>IF(الإدخالات!C171="","",IF(الإدخالات!G171="","",الإدخالات!G171))</f>
        <v/>
      </c>
      <c r="G171">
        <f>IF($B171&lt;&gt;"",SUMPRODUCT(($B$2:$B171&lt;&gt;"")*1),"")</f>
        <v>170</v>
      </c>
    </row>
    <row r="172" spans="1:7">
      <c r="A172" s="23">
        <f>IF(الإدخالات!C172="","",الإدخالات!B172)</f>
        <v>46218</v>
      </c>
      <c r="B172" t="str">
        <f>IF(الإدخالات!C172="","","شراء")</f>
        <v>شراء</v>
      </c>
      <c r="C172" t="str">
        <f>IF(الإدخالات!C172="","",IF(الإدخالات!E172="","-",الإدخالات!E172))</f>
        <v>-</v>
      </c>
      <c r="D172" t="str">
        <f>IF(الإدخالات!C172="","",الإدخالات!C172)</f>
        <v>برميل كرتون</v>
      </c>
      <c r="E172" s="24">
        <f>IF(الإدخالات!C172="","",الإدخالات!D172)</f>
        <v>0</v>
      </c>
      <c r="F172" t="str">
        <f>IF(الإدخالات!C172="","",IF(الإدخالات!G172="","",الإدخالات!G172))</f>
        <v/>
      </c>
      <c r="G172">
        <f>IF($B172&lt;&gt;"",SUMPRODUCT(($B$2:$B172&lt;&gt;"")*1),"")</f>
        <v>171</v>
      </c>
    </row>
    <row r="173" spans="1:7">
      <c r="A173" s="23">
        <f>IF(الإدخالات!C173="","",الإدخالات!B173)</f>
        <v>46218</v>
      </c>
      <c r="B173" t="str">
        <f>IF(الإدخالات!C173="","","شراء")</f>
        <v>شراء</v>
      </c>
      <c r="C173" t="str">
        <f>IF(الإدخالات!C173="","",IF(الإدخالات!E173="","-",الإدخالات!E173))</f>
        <v>-</v>
      </c>
      <c r="D173" t="str">
        <f>IF(الإدخالات!C173="","",الإدخالات!C173)</f>
        <v>برميل تكسبون فارغ</v>
      </c>
      <c r="E173" s="24">
        <f>IF(الإدخالات!C173="","",الإدخالات!D173)</f>
        <v>0</v>
      </c>
      <c r="F173" t="str">
        <f>IF(الإدخالات!C173="","",IF(الإدخالات!G173="","",الإدخالات!G173))</f>
        <v/>
      </c>
      <c r="G173">
        <f>IF($B173&lt;&gt;"",SUMPRODUCT(($B$2:$B173&lt;&gt;"")*1),"")</f>
        <v>172</v>
      </c>
    </row>
    <row r="174" spans="1:7">
      <c r="A174" s="23">
        <f>IF(الإدخالات!C174="","",الإدخالات!B174)</f>
        <v>46218</v>
      </c>
      <c r="B174" t="str">
        <f>IF(الإدخالات!C174="","","شراء")</f>
        <v>شراء</v>
      </c>
      <c r="C174" t="str">
        <f>IF(الإدخالات!C174="","",IF(الإدخالات!E174="","-",الإدخالات!E174))</f>
        <v>-</v>
      </c>
      <c r="D174" t="str">
        <f>IF(الإدخالات!C174="","",الإدخالات!C174)</f>
        <v xml:space="preserve">اقراص كلور </v>
      </c>
      <c r="E174" s="24">
        <f>IF(الإدخالات!C174="","",الإدخالات!D174)</f>
        <v>0</v>
      </c>
      <c r="F174" t="str">
        <f>IF(الإدخالات!C174="","",IF(الإدخالات!G174="","",الإدخالات!G174))</f>
        <v/>
      </c>
      <c r="G174">
        <f>IF($B174&lt;&gt;"",SUMPRODUCT(($B$2:$B174&lt;&gt;"")*1),"")</f>
        <v>173</v>
      </c>
    </row>
    <row r="175" spans="1:7">
      <c r="A175" s="23">
        <f>IF(الإدخالات!C175="","",الإدخالات!B175)</f>
        <v>46218</v>
      </c>
      <c r="B175" t="str">
        <f>IF(الإدخالات!C175="","","شراء")</f>
        <v>شراء</v>
      </c>
      <c r="C175" t="str">
        <f>IF(الإدخالات!C175="","",IF(الإدخالات!E175="","-",الإدخالات!E175))</f>
        <v>-</v>
      </c>
      <c r="D175" t="str">
        <f>IF(الإدخالات!C175="","",الإدخالات!C175)</f>
        <v>اسيد 3 لتر</v>
      </c>
      <c r="E175" s="24">
        <f>IF(الإدخالات!C175="","",الإدخالات!D175)</f>
        <v>0</v>
      </c>
      <c r="F175" t="str">
        <f>IF(الإدخالات!C175="","",IF(الإدخالات!G175="","",الإدخالات!G175))</f>
        <v/>
      </c>
      <c r="G175">
        <f>IF($B175&lt;&gt;"",SUMPRODUCT(($B$2:$B175&lt;&gt;"")*1),"")</f>
        <v>174</v>
      </c>
    </row>
    <row r="176" spans="1:7">
      <c r="A176" s="23">
        <f>IF(الإدخالات!C176="","",الإدخالات!B176)</f>
        <v>46218</v>
      </c>
      <c r="B176" t="str">
        <f>IF(الإدخالات!C176="","","شراء")</f>
        <v>شراء</v>
      </c>
      <c r="C176" t="str">
        <f>IF(الإدخالات!C176="","",IF(الإدخالات!E176="","-",الإدخالات!E176))</f>
        <v>-</v>
      </c>
      <c r="D176" t="str">
        <f>IF(الإدخالات!C176="","",الإدخالات!C176)</f>
        <v>أسيد 3 لتر</v>
      </c>
      <c r="E176" s="24">
        <f>IF(الإدخالات!C176="","",الإدخالات!D176)</f>
        <v>0</v>
      </c>
      <c r="F176" t="str">
        <f>IF(الإدخالات!C176="","",IF(الإدخالات!G176="","",الإدخالات!G176))</f>
        <v/>
      </c>
      <c r="G176">
        <f>IF($B176&lt;&gt;"",SUMPRODUCT(($B$2:$B176&lt;&gt;"")*1),"")</f>
        <v>175</v>
      </c>
    </row>
    <row r="177" spans="1:7">
      <c r="A177" s="23">
        <f>IF(الإدخالات!C177="","",الإدخالات!B177)</f>
        <v>46218</v>
      </c>
      <c r="B177" t="str">
        <f>IF(الإدخالات!C177="","","شراء")</f>
        <v>شراء</v>
      </c>
      <c r="C177" t="str">
        <f>IF(الإدخالات!C177="","",IF(الإدخالات!E177="","-",الإدخالات!E177))</f>
        <v>-</v>
      </c>
      <c r="D177" t="str">
        <f>IF(الإدخالات!C177="","",الإدخالات!C177)</f>
        <v>أسيد 1 لتر</v>
      </c>
      <c r="E177" s="24">
        <f>IF(الإدخالات!C177="","",الإدخالات!D177)</f>
        <v>0</v>
      </c>
      <c r="F177" t="str">
        <f>IF(الإدخالات!C177="","",IF(الإدخالات!G177="","",الإدخالات!G177))</f>
        <v/>
      </c>
      <c r="G177">
        <f>IF($B177&lt;&gt;"",SUMPRODUCT(($B$2:$B177&lt;&gt;"")*1),"")</f>
        <v>176</v>
      </c>
    </row>
    <row r="178" spans="1:7">
      <c r="A178" s="23" t="str">
        <f>IF(الإدخالات!C178="","",الإدخالات!B178)</f>
        <v/>
      </c>
      <c r="B178" t="str">
        <f>IF(الإدخالات!C178="","","شراء")</f>
        <v/>
      </c>
      <c r="C178" t="str">
        <f>IF(الإدخالات!C178="","",IF(الإدخالات!E178="","-",الإدخالات!E178))</f>
        <v/>
      </c>
      <c r="D178" t="str">
        <f>IF(الإدخالات!C178="","",الإدخالات!C178)</f>
        <v/>
      </c>
      <c r="E178" s="24" t="str">
        <f>IF(الإدخالات!C178="","",الإدخالات!D178)</f>
        <v/>
      </c>
      <c r="F178" t="str">
        <f>IF(الإدخالات!C178="","",IF(الإدخالات!G178="","",الإدخالات!G178))</f>
        <v/>
      </c>
      <c r="G178" t="str">
        <f>IF($B178&lt;&gt;"",SUMPRODUCT(($B$2:$B178&lt;&gt;"")*1),"")</f>
        <v/>
      </c>
    </row>
    <row r="179" spans="1:7">
      <c r="A179" s="23" t="str">
        <f>IF(الإدخالات!C179="","",الإدخالات!B179)</f>
        <v/>
      </c>
      <c r="B179" t="str">
        <f>IF(الإدخالات!C179="","","شراء")</f>
        <v/>
      </c>
      <c r="C179" t="str">
        <f>IF(الإدخالات!C179="","",IF(الإدخالات!E179="","-",الإدخالات!E179))</f>
        <v/>
      </c>
      <c r="D179" t="str">
        <f>IF(الإدخالات!C179="","",الإدخالات!C179)</f>
        <v/>
      </c>
      <c r="E179" s="24" t="str">
        <f>IF(الإدخالات!C179="","",الإدخالات!D179)</f>
        <v/>
      </c>
      <c r="F179" t="str">
        <f>IF(الإدخالات!C179="","",IF(الإدخالات!G179="","",الإدخالات!G179))</f>
        <v/>
      </c>
      <c r="G179" t="str">
        <f>IF($B179&lt;&gt;"",SUMPRODUCT(($B$2:$B179&lt;&gt;"")*1),"")</f>
        <v/>
      </c>
    </row>
    <row r="180" spans="1:7">
      <c r="A180" s="23" t="str">
        <f>IF(الإدخالات!C180="","",الإدخالات!B180)</f>
        <v/>
      </c>
      <c r="B180" t="str">
        <f>IF(الإدخالات!C180="","","شراء")</f>
        <v/>
      </c>
      <c r="C180" t="str">
        <f>IF(الإدخالات!C180="","",IF(الإدخالات!E180="","-",الإدخالات!E180))</f>
        <v/>
      </c>
      <c r="D180" t="str">
        <f>IF(الإدخالات!C180="","",الإدخالات!C180)</f>
        <v/>
      </c>
      <c r="E180" s="24" t="str">
        <f>IF(الإدخالات!C180="","",الإدخالات!D180)</f>
        <v/>
      </c>
      <c r="F180" t="str">
        <f>IF(الإدخالات!C180="","",IF(الإدخالات!G180="","",الإدخالات!G180))</f>
        <v/>
      </c>
      <c r="G180" t="str">
        <f>IF($B180&lt;&gt;"",SUMPRODUCT(($B$2:$B180&lt;&gt;"")*1),"")</f>
        <v/>
      </c>
    </row>
    <row r="181" spans="1:7">
      <c r="A181" s="23" t="str">
        <f>IF(الإدخالات!C181="","",الإدخالات!B181)</f>
        <v/>
      </c>
      <c r="B181" t="str">
        <f>IF(الإدخالات!C181="","","شراء")</f>
        <v/>
      </c>
      <c r="C181" t="str">
        <f>IF(الإدخالات!C181="","",IF(الإدخالات!E181="","-",الإدخالات!E181))</f>
        <v/>
      </c>
      <c r="D181" t="str">
        <f>IF(الإدخالات!C181="","",الإدخالات!C181)</f>
        <v/>
      </c>
      <c r="E181" s="24" t="str">
        <f>IF(الإدخالات!C181="","",الإدخالات!D181)</f>
        <v/>
      </c>
      <c r="F181" t="str">
        <f>IF(الإدخالات!C181="","",IF(الإدخالات!G181="","",الإدخالات!G181))</f>
        <v/>
      </c>
      <c r="G181" t="str">
        <f>IF($B181&lt;&gt;"",SUMPRODUCT(($B$2:$B181&lt;&gt;"")*1),"")</f>
        <v/>
      </c>
    </row>
    <row r="182" spans="1:7">
      <c r="A182" s="23" t="str">
        <f>IF(الإدخالات!C182="","",الإدخالات!B182)</f>
        <v/>
      </c>
      <c r="B182" t="str">
        <f>IF(الإدخالات!C182="","","شراء")</f>
        <v/>
      </c>
      <c r="C182" t="str">
        <f>IF(الإدخالات!C182="","",IF(الإدخالات!E182="","-",الإدخالات!E182))</f>
        <v/>
      </c>
      <c r="D182" t="str">
        <f>IF(الإدخالات!C182="","",الإدخالات!C182)</f>
        <v/>
      </c>
      <c r="E182" s="24" t="str">
        <f>IF(الإدخالات!C182="","",الإدخالات!D182)</f>
        <v/>
      </c>
      <c r="F182" t="str">
        <f>IF(الإدخالات!C182="","",IF(الإدخالات!G182="","",الإدخالات!G182))</f>
        <v/>
      </c>
      <c r="G182" t="str">
        <f>IF($B182&lt;&gt;"",SUMPRODUCT(($B$2:$B182&lt;&gt;"")*1),"")</f>
        <v/>
      </c>
    </row>
    <row r="183" spans="1:7">
      <c r="A183" s="23" t="str">
        <f>IF(الإدخالات!C183="","",الإدخالات!B183)</f>
        <v/>
      </c>
      <c r="B183" t="str">
        <f>IF(الإدخالات!C183="","","شراء")</f>
        <v/>
      </c>
      <c r="C183" t="str">
        <f>IF(الإدخالات!C183="","",IF(الإدخالات!E183="","-",الإدخالات!E183))</f>
        <v/>
      </c>
      <c r="D183" t="str">
        <f>IF(الإدخالات!C183="","",الإدخالات!C183)</f>
        <v/>
      </c>
      <c r="E183" s="24" t="str">
        <f>IF(الإدخالات!C183="","",الإدخالات!D183)</f>
        <v/>
      </c>
      <c r="F183" t="str">
        <f>IF(الإدخالات!C183="","",IF(الإدخالات!G183="","",الإدخالات!G183))</f>
        <v/>
      </c>
      <c r="G183" t="str">
        <f>IF($B183&lt;&gt;"",SUMPRODUCT(($B$2:$B183&lt;&gt;"")*1),"")</f>
        <v/>
      </c>
    </row>
    <row r="184" spans="1:7">
      <c r="A184" s="23" t="str">
        <f>IF(الإدخالات!C184="","",الإدخالات!B184)</f>
        <v/>
      </c>
      <c r="B184" t="str">
        <f>IF(الإدخالات!C184="","","شراء")</f>
        <v/>
      </c>
      <c r="C184" t="str">
        <f>IF(الإدخالات!C184="","",IF(الإدخالات!E184="","-",الإدخالات!E184))</f>
        <v/>
      </c>
      <c r="D184" t="str">
        <f>IF(الإدخالات!C184="","",الإدخالات!C184)</f>
        <v/>
      </c>
      <c r="E184" s="24" t="str">
        <f>IF(الإدخالات!C184="","",الإدخالات!D184)</f>
        <v/>
      </c>
      <c r="F184" t="str">
        <f>IF(الإدخالات!C184="","",IF(الإدخالات!G184="","",الإدخالات!G184))</f>
        <v/>
      </c>
      <c r="G184" t="str">
        <f>IF($B184&lt;&gt;"",SUMPRODUCT(($B$2:$B184&lt;&gt;"")*1),"")</f>
        <v/>
      </c>
    </row>
    <row r="185" spans="1:7">
      <c r="A185" s="23" t="str">
        <f>IF(الإدخالات!C185="","",الإدخالات!B185)</f>
        <v/>
      </c>
      <c r="B185" t="str">
        <f>IF(الإدخالات!C185="","","شراء")</f>
        <v/>
      </c>
      <c r="C185" t="str">
        <f>IF(الإدخالات!C185="","",IF(الإدخالات!E185="","-",الإدخالات!E185))</f>
        <v/>
      </c>
      <c r="D185" t="str">
        <f>IF(الإدخالات!C185="","",الإدخالات!C185)</f>
        <v/>
      </c>
      <c r="E185" s="24" t="str">
        <f>IF(الإدخالات!C185="","",الإدخالات!D185)</f>
        <v/>
      </c>
      <c r="F185" t="str">
        <f>IF(الإدخالات!C185="","",IF(الإدخالات!G185="","",الإدخالات!G185))</f>
        <v/>
      </c>
      <c r="G185" t="str">
        <f>IF($B185&lt;&gt;"",SUMPRODUCT(($B$2:$B185&lt;&gt;"")*1),"")</f>
        <v/>
      </c>
    </row>
    <row r="186" spans="1:7">
      <c r="A186" s="23" t="str">
        <f>IF(الإدخالات!C186="","",الإدخالات!B186)</f>
        <v/>
      </c>
      <c r="B186" t="str">
        <f>IF(الإدخالات!C186="","","شراء")</f>
        <v/>
      </c>
      <c r="C186" t="str">
        <f>IF(الإدخالات!C186="","",IF(الإدخالات!E186="","-",الإدخالات!E186))</f>
        <v/>
      </c>
      <c r="D186" t="str">
        <f>IF(الإدخالات!C186="","",الإدخالات!C186)</f>
        <v/>
      </c>
      <c r="E186" s="24" t="str">
        <f>IF(الإدخالات!C186="","",الإدخالات!D186)</f>
        <v/>
      </c>
      <c r="F186" t="str">
        <f>IF(الإدخالات!C186="","",IF(الإدخالات!G186="","",الإدخالات!G186))</f>
        <v/>
      </c>
      <c r="G186" t="str">
        <f>IF($B186&lt;&gt;"",SUMPRODUCT(($B$2:$B186&lt;&gt;"")*1),"")</f>
        <v/>
      </c>
    </row>
    <row r="187" spans="1:7">
      <c r="A187" s="23" t="str">
        <f>IF(الإدخالات!C187="","",الإدخالات!B187)</f>
        <v/>
      </c>
      <c r="B187" t="str">
        <f>IF(الإدخالات!C187="","","شراء")</f>
        <v/>
      </c>
      <c r="C187" t="str">
        <f>IF(الإدخالات!C187="","",IF(الإدخالات!E187="","-",الإدخالات!E187))</f>
        <v/>
      </c>
      <c r="D187" t="str">
        <f>IF(الإدخالات!C187="","",الإدخالات!C187)</f>
        <v/>
      </c>
      <c r="E187" s="24" t="str">
        <f>IF(الإدخالات!C187="","",الإدخالات!D187)</f>
        <v/>
      </c>
      <c r="F187" t="str">
        <f>IF(الإدخالات!C187="","",IF(الإدخالات!G187="","",الإدخالات!G187))</f>
        <v/>
      </c>
      <c r="G187" t="str">
        <f>IF($B187&lt;&gt;"",SUMPRODUCT(($B$2:$B187&lt;&gt;"")*1),"")</f>
        <v/>
      </c>
    </row>
    <row r="188" spans="1:7">
      <c r="A188" s="23" t="str">
        <f>IF(الإدخالات!C188="","",الإدخالات!B188)</f>
        <v/>
      </c>
      <c r="B188" t="str">
        <f>IF(الإدخالات!C188="","","شراء")</f>
        <v/>
      </c>
      <c r="C188" t="str">
        <f>IF(الإدخالات!C188="","",IF(الإدخالات!E188="","-",الإدخالات!E188))</f>
        <v/>
      </c>
      <c r="D188" t="str">
        <f>IF(الإدخالات!C188="","",الإدخالات!C188)</f>
        <v/>
      </c>
      <c r="E188" s="24" t="str">
        <f>IF(الإدخالات!C188="","",الإدخالات!D188)</f>
        <v/>
      </c>
      <c r="F188" t="str">
        <f>IF(الإدخالات!C188="","",IF(الإدخالات!G188="","",الإدخالات!G188))</f>
        <v/>
      </c>
      <c r="G188" t="str">
        <f>IF($B188&lt;&gt;"",SUMPRODUCT(($B$2:$B188&lt;&gt;"")*1),"")</f>
        <v/>
      </c>
    </row>
    <row r="189" spans="1:7">
      <c r="A189" s="23" t="str">
        <f>IF(الإدخالات!C189="","",الإدخالات!B189)</f>
        <v/>
      </c>
      <c r="B189" t="str">
        <f>IF(الإدخالات!C189="","","شراء")</f>
        <v/>
      </c>
      <c r="C189" t="str">
        <f>IF(الإدخالات!C189="","",IF(الإدخالات!E189="","-",الإدخالات!E189))</f>
        <v/>
      </c>
      <c r="D189" t="str">
        <f>IF(الإدخالات!C189="","",الإدخالات!C189)</f>
        <v/>
      </c>
      <c r="E189" s="24" t="str">
        <f>IF(الإدخالات!C189="","",الإدخالات!D189)</f>
        <v/>
      </c>
      <c r="F189" t="str">
        <f>IF(الإدخالات!C189="","",IF(الإدخالات!G189="","",الإدخالات!G189))</f>
        <v/>
      </c>
      <c r="G189" t="str">
        <f>IF($B189&lt;&gt;"",SUMPRODUCT(($B$2:$B189&lt;&gt;"")*1),"")</f>
        <v/>
      </c>
    </row>
    <row r="190" spans="1:7">
      <c r="A190" s="23" t="str">
        <f>IF(الإدخالات!C190="","",الإدخالات!B190)</f>
        <v/>
      </c>
      <c r="B190" t="str">
        <f>IF(الإدخالات!C190="","","شراء")</f>
        <v/>
      </c>
      <c r="C190" t="str">
        <f>IF(الإدخالات!C190="","",IF(الإدخالات!E190="","-",الإدخالات!E190))</f>
        <v/>
      </c>
      <c r="D190" t="str">
        <f>IF(الإدخالات!C190="","",الإدخالات!C190)</f>
        <v/>
      </c>
      <c r="E190" s="24" t="str">
        <f>IF(الإدخالات!C190="","",الإدخالات!D190)</f>
        <v/>
      </c>
      <c r="F190" t="str">
        <f>IF(الإدخالات!C190="","",IF(الإدخالات!G190="","",الإدخالات!G190))</f>
        <v/>
      </c>
      <c r="G190" t="str">
        <f>IF($B190&lt;&gt;"",SUMPRODUCT(($B$2:$B190&lt;&gt;"")*1),"")</f>
        <v/>
      </c>
    </row>
    <row r="191" spans="1:7">
      <c r="A191" s="23" t="str">
        <f>IF(الإدخالات!C191="","",الإدخالات!B191)</f>
        <v/>
      </c>
      <c r="B191" t="str">
        <f>IF(الإدخالات!C191="","","شراء")</f>
        <v/>
      </c>
      <c r="C191" t="str">
        <f>IF(الإدخالات!C191="","",IF(الإدخالات!E191="","-",الإدخالات!E191))</f>
        <v/>
      </c>
      <c r="D191" t="str">
        <f>IF(الإدخالات!C191="","",الإدخالات!C191)</f>
        <v/>
      </c>
      <c r="E191" s="24" t="str">
        <f>IF(الإدخالات!C191="","",الإدخالات!D191)</f>
        <v/>
      </c>
      <c r="F191" t="str">
        <f>IF(الإدخالات!C191="","",IF(الإدخالات!G191="","",الإدخالات!G191))</f>
        <v/>
      </c>
      <c r="G191" t="str">
        <f>IF($B191&lt;&gt;"",SUMPRODUCT(($B$2:$B191&lt;&gt;"")*1),"")</f>
        <v/>
      </c>
    </row>
    <row r="192" spans="1:7">
      <c r="A192" s="23" t="str">
        <f>IF(الإدخالات!C192="","",الإدخالات!B192)</f>
        <v/>
      </c>
      <c r="B192" t="str">
        <f>IF(الإدخالات!C192="","","شراء")</f>
        <v/>
      </c>
      <c r="C192" t="str">
        <f>IF(الإدخالات!C192="","",IF(الإدخالات!E192="","-",الإدخالات!E192))</f>
        <v/>
      </c>
      <c r="D192" t="str">
        <f>IF(الإدخالات!C192="","",الإدخالات!C192)</f>
        <v/>
      </c>
      <c r="E192" s="24" t="str">
        <f>IF(الإدخالات!C192="","",الإدخالات!D192)</f>
        <v/>
      </c>
      <c r="F192" t="str">
        <f>IF(الإدخالات!C192="","",IF(الإدخالات!G192="","",الإدخالات!G192))</f>
        <v/>
      </c>
      <c r="G192" t="str">
        <f>IF($B192&lt;&gt;"",SUMPRODUCT(($B$2:$B192&lt;&gt;"")*1),"")</f>
        <v/>
      </c>
    </row>
    <row r="193" spans="1:7">
      <c r="A193" s="23" t="str">
        <f>IF(الإدخالات!C193="","",الإدخالات!B193)</f>
        <v/>
      </c>
      <c r="B193" t="str">
        <f>IF(الإدخالات!C193="","","شراء")</f>
        <v/>
      </c>
      <c r="C193" t="str">
        <f>IF(الإدخالات!C193="","",IF(الإدخالات!E193="","-",الإدخالات!E193))</f>
        <v/>
      </c>
      <c r="D193" t="str">
        <f>IF(الإدخالات!C193="","",الإدخالات!C193)</f>
        <v/>
      </c>
      <c r="E193" s="24" t="str">
        <f>IF(الإدخالات!C193="","",الإدخالات!D193)</f>
        <v/>
      </c>
      <c r="F193" t="str">
        <f>IF(الإدخالات!C193="","",IF(الإدخالات!G193="","",الإدخالات!G193))</f>
        <v/>
      </c>
      <c r="G193" t="str">
        <f>IF($B193&lt;&gt;"",SUMPRODUCT(($B$2:$B193&lt;&gt;"")*1),"")</f>
        <v/>
      </c>
    </row>
    <row r="194" spans="1:7">
      <c r="A194" s="23" t="str">
        <f>IF(الإدخالات!C194="","",الإدخالات!B194)</f>
        <v/>
      </c>
      <c r="B194" t="str">
        <f>IF(الإدخالات!C194="","","شراء")</f>
        <v/>
      </c>
      <c r="C194" t="str">
        <f>IF(الإدخالات!C194="","",IF(الإدخالات!E194="","-",الإدخالات!E194))</f>
        <v/>
      </c>
      <c r="D194" t="str">
        <f>IF(الإدخالات!C194="","",الإدخالات!C194)</f>
        <v/>
      </c>
      <c r="E194" s="24" t="str">
        <f>IF(الإدخالات!C194="","",الإدخالات!D194)</f>
        <v/>
      </c>
      <c r="F194" t="str">
        <f>IF(الإدخالات!C194="","",IF(الإدخالات!G194="","",الإدخالات!G194))</f>
        <v/>
      </c>
      <c r="G194" t="str">
        <f>IF($B194&lt;&gt;"",SUMPRODUCT(($B$2:$B194&lt;&gt;"")*1),"")</f>
        <v/>
      </c>
    </row>
    <row r="195" spans="1:7">
      <c r="A195" s="23" t="str">
        <f>IF(الإدخالات!C195="","",الإدخالات!B195)</f>
        <v/>
      </c>
      <c r="B195" t="str">
        <f>IF(الإدخالات!C195="","","شراء")</f>
        <v/>
      </c>
      <c r="C195" t="str">
        <f>IF(الإدخالات!C195="","",IF(الإدخالات!E195="","-",الإدخالات!E195))</f>
        <v/>
      </c>
      <c r="D195" t="str">
        <f>IF(الإدخالات!C195="","",الإدخالات!C195)</f>
        <v/>
      </c>
      <c r="E195" s="24" t="str">
        <f>IF(الإدخالات!C195="","",الإدخالات!D195)</f>
        <v/>
      </c>
      <c r="F195" t="str">
        <f>IF(الإدخالات!C195="","",IF(الإدخالات!G195="","",الإدخالات!G195))</f>
        <v/>
      </c>
      <c r="G195" t="str">
        <f>IF($B195&lt;&gt;"",SUMPRODUCT(($B$2:$B195&lt;&gt;"")*1),"")</f>
        <v/>
      </c>
    </row>
    <row r="196" spans="1:7">
      <c r="A196" s="23" t="str">
        <f>IF(الإدخالات!C196="","",الإدخالات!B196)</f>
        <v/>
      </c>
      <c r="B196" t="str">
        <f>IF(الإدخالات!C196="","","شراء")</f>
        <v/>
      </c>
      <c r="C196" t="str">
        <f>IF(الإدخالات!C196="","",IF(الإدخالات!E196="","-",الإدخالات!E196))</f>
        <v/>
      </c>
      <c r="D196" t="str">
        <f>IF(الإدخالات!C196="","",الإدخالات!C196)</f>
        <v/>
      </c>
      <c r="E196" s="24" t="str">
        <f>IF(الإدخالات!C196="","",الإدخالات!D196)</f>
        <v/>
      </c>
      <c r="F196" t="str">
        <f>IF(الإدخالات!C196="","",IF(الإدخالات!G196="","",الإدخالات!G196))</f>
        <v/>
      </c>
      <c r="G196" t="str">
        <f>IF($B196&lt;&gt;"",SUMPRODUCT(($B$2:$B196&lt;&gt;"")*1),"")</f>
        <v/>
      </c>
    </row>
    <row r="197" spans="1:7">
      <c r="A197" s="23" t="str">
        <f>IF(الإدخالات!C197="","",الإدخالات!B197)</f>
        <v/>
      </c>
      <c r="B197" t="str">
        <f>IF(الإدخالات!C197="","","شراء")</f>
        <v/>
      </c>
      <c r="C197" t="str">
        <f>IF(الإدخالات!C197="","",IF(الإدخالات!E197="","-",الإدخالات!E197))</f>
        <v/>
      </c>
      <c r="D197" t="str">
        <f>IF(الإدخالات!C197="","",الإدخالات!C197)</f>
        <v/>
      </c>
      <c r="E197" s="24" t="str">
        <f>IF(الإدخالات!C197="","",الإدخالات!D197)</f>
        <v/>
      </c>
      <c r="F197" t="str">
        <f>IF(الإدخالات!C197="","",IF(الإدخالات!G197="","",الإدخالات!G197))</f>
        <v/>
      </c>
      <c r="G197" t="str">
        <f>IF($B197&lt;&gt;"",SUMPRODUCT(($B$2:$B197&lt;&gt;"")*1),"")</f>
        <v/>
      </c>
    </row>
    <row r="198" spans="1:7">
      <c r="A198" s="23" t="str">
        <f>IF(الإدخالات!C198="","",الإدخالات!B198)</f>
        <v/>
      </c>
      <c r="B198" t="str">
        <f>IF(الإدخالات!C198="","","شراء")</f>
        <v/>
      </c>
      <c r="C198" t="str">
        <f>IF(الإدخالات!C198="","",IF(الإدخالات!E198="","-",الإدخالات!E198))</f>
        <v/>
      </c>
      <c r="D198" t="str">
        <f>IF(الإدخالات!C198="","",الإدخالات!C198)</f>
        <v/>
      </c>
      <c r="E198" s="24" t="str">
        <f>IF(الإدخالات!C198="","",الإدخالات!D198)</f>
        <v/>
      </c>
      <c r="F198" t="str">
        <f>IF(الإدخالات!C198="","",IF(الإدخالات!G198="","",الإدخالات!G198))</f>
        <v/>
      </c>
      <c r="G198" t="str">
        <f>IF($B198&lt;&gt;"",SUMPRODUCT(($B$2:$B198&lt;&gt;"")*1),"")</f>
        <v/>
      </c>
    </row>
    <row r="199" spans="1:7">
      <c r="A199" s="23" t="str">
        <f>IF(الإدخالات!C199="","",الإدخالات!B199)</f>
        <v/>
      </c>
      <c r="B199" t="str">
        <f>IF(الإدخالات!C199="","","شراء")</f>
        <v/>
      </c>
      <c r="C199" t="str">
        <f>IF(الإدخالات!C199="","",IF(الإدخالات!E199="","-",الإدخالات!E199))</f>
        <v/>
      </c>
      <c r="D199" t="str">
        <f>IF(الإدخالات!C199="","",الإدخالات!C199)</f>
        <v/>
      </c>
      <c r="E199" s="24" t="str">
        <f>IF(الإدخالات!C199="","",الإدخالات!D199)</f>
        <v/>
      </c>
      <c r="F199" t="str">
        <f>IF(الإدخالات!C199="","",IF(الإدخالات!G199="","",الإدخالات!G199))</f>
        <v/>
      </c>
      <c r="G199" t="str">
        <f>IF($B199&lt;&gt;"",SUMPRODUCT(($B$2:$B199&lt;&gt;"")*1),"")</f>
        <v/>
      </c>
    </row>
    <row r="200" spans="1:7">
      <c r="A200" s="23" t="str">
        <f>IF(الإدخالات!C200="","",الإدخالات!B200)</f>
        <v/>
      </c>
      <c r="B200" t="str">
        <f>IF(الإدخالات!C200="","","شراء")</f>
        <v/>
      </c>
      <c r="C200" t="str">
        <f>IF(الإدخالات!C200="","",IF(الإدخالات!E200="","-",الإدخالات!E200))</f>
        <v/>
      </c>
      <c r="D200" t="str">
        <f>IF(الإدخالات!C200="","",الإدخالات!C200)</f>
        <v/>
      </c>
      <c r="E200" s="24" t="str">
        <f>IF(الإدخالات!C200="","",الإدخالات!D200)</f>
        <v/>
      </c>
      <c r="F200" t="str">
        <f>IF(الإدخالات!C200="","",IF(الإدخالات!G200="","",الإدخالات!G200))</f>
        <v/>
      </c>
      <c r="G200" t="str">
        <f>IF($B200&lt;&gt;"",SUMPRODUCT(($B$2:$B200&lt;&gt;"")*1),"")</f>
        <v/>
      </c>
    </row>
    <row r="201" spans="1:7">
      <c r="A201" s="23" t="str">
        <f>IF(الإدخالات!C201="","",الإدخالات!B201)</f>
        <v/>
      </c>
      <c r="B201" t="str">
        <f>IF(الإدخالات!C201="","","شراء")</f>
        <v/>
      </c>
      <c r="C201" t="str">
        <f>IF(الإدخالات!C201="","",IF(الإدخالات!E201="","-",الإدخالات!E201))</f>
        <v/>
      </c>
      <c r="D201" t="str">
        <f>IF(الإدخالات!C201="","",الإدخالات!C201)</f>
        <v/>
      </c>
      <c r="E201" s="24" t="str">
        <f>IF(الإدخالات!C201="","",الإدخالات!D201)</f>
        <v/>
      </c>
      <c r="F201" t="str">
        <f>IF(الإدخالات!C201="","",IF(الإدخالات!G201="","",الإدخالات!G201))</f>
        <v/>
      </c>
      <c r="G201" t="str">
        <f>IF($B201&lt;&gt;"",SUMPRODUCT(($B$2:$B201&lt;&gt;"")*1),"")</f>
        <v/>
      </c>
    </row>
    <row r="202" spans="1:7">
      <c r="A202" s="23" t="str">
        <f>IF(الإدخالات!C202="","",الإدخالات!B202)</f>
        <v/>
      </c>
      <c r="B202" t="str">
        <f>IF(الإدخالات!C202="","","شراء")</f>
        <v/>
      </c>
      <c r="C202" t="str">
        <f>IF(الإدخالات!C202="","",IF(الإدخالات!E202="","-",الإدخالات!E202))</f>
        <v/>
      </c>
      <c r="D202" t="str">
        <f>IF(الإدخالات!C202="","",الإدخالات!C202)</f>
        <v/>
      </c>
      <c r="E202" s="24" t="str">
        <f>IF(الإدخالات!C202="","",الإدخالات!D202)</f>
        <v/>
      </c>
      <c r="F202" t="str">
        <f>IF(الإدخالات!C202="","",IF(الإدخالات!G202="","",الإدخالات!G202))</f>
        <v/>
      </c>
      <c r="G202" t="str">
        <f>IF($B202&lt;&gt;"",SUMPRODUCT(($B$2:$B202&lt;&gt;"")*1),"")</f>
        <v/>
      </c>
    </row>
    <row r="203" spans="1:7">
      <c r="A203" s="23" t="str">
        <f>IF(الإدخالات!C203="","",الإدخالات!B203)</f>
        <v/>
      </c>
      <c r="B203" t="str">
        <f>IF(الإدخالات!C203="","","شراء")</f>
        <v/>
      </c>
      <c r="C203" t="str">
        <f>IF(الإدخالات!C203="","",IF(الإدخالات!E203="","-",الإدخالات!E203))</f>
        <v/>
      </c>
      <c r="D203" t="str">
        <f>IF(الإدخالات!C203="","",الإدخالات!C203)</f>
        <v/>
      </c>
      <c r="E203" s="24" t="str">
        <f>IF(الإدخالات!C203="","",الإدخالات!D203)</f>
        <v/>
      </c>
      <c r="F203" t="str">
        <f>IF(الإدخالات!C203="","",IF(الإدخالات!G203="","",الإدخالات!G203))</f>
        <v/>
      </c>
      <c r="G203" t="str">
        <f>IF($B203&lt;&gt;"",SUMPRODUCT(($B$2:$B203&lt;&gt;"")*1),"")</f>
        <v/>
      </c>
    </row>
    <row r="204" spans="1:7">
      <c r="A204" s="23" t="str">
        <f>IF(الإدخالات!C204="","",الإدخالات!B204)</f>
        <v/>
      </c>
      <c r="B204" t="str">
        <f>IF(الإدخالات!C204="","","شراء")</f>
        <v/>
      </c>
      <c r="C204" t="str">
        <f>IF(الإدخالات!C204="","",IF(الإدخالات!E204="","-",الإدخالات!E204))</f>
        <v/>
      </c>
      <c r="D204" t="str">
        <f>IF(الإدخالات!C204="","",الإدخالات!C204)</f>
        <v/>
      </c>
      <c r="E204" s="24" t="str">
        <f>IF(الإدخالات!C204="","",الإدخالات!D204)</f>
        <v/>
      </c>
      <c r="F204" t="str">
        <f>IF(الإدخالات!C204="","",IF(الإدخالات!G204="","",الإدخالات!G204))</f>
        <v/>
      </c>
      <c r="G204" t="str">
        <f>IF($B204&lt;&gt;"",SUMPRODUCT(($B$2:$B204&lt;&gt;"")*1),"")</f>
        <v/>
      </c>
    </row>
    <row r="205" spans="1:7">
      <c r="A205" s="23" t="str">
        <f>IF(الإدخالات!C205="","",الإدخالات!B205)</f>
        <v/>
      </c>
      <c r="B205" t="str">
        <f>IF(الإدخالات!C205="","","شراء")</f>
        <v/>
      </c>
      <c r="C205" t="str">
        <f>IF(الإدخالات!C205="","",IF(الإدخالات!E205="","-",الإدخالات!E205))</f>
        <v/>
      </c>
      <c r="D205" t="str">
        <f>IF(الإدخالات!C205="","",الإدخالات!C205)</f>
        <v/>
      </c>
      <c r="E205" s="24" t="str">
        <f>IF(الإدخالات!C205="","",الإدخالات!D205)</f>
        <v/>
      </c>
      <c r="F205" t="str">
        <f>IF(الإدخالات!C205="","",IF(الإدخالات!G205="","",الإدخالات!G205))</f>
        <v/>
      </c>
      <c r="G205" t="str">
        <f>IF($B205&lt;&gt;"",SUMPRODUCT(($B$2:$B205&lt;&gt;"")*1),"")</f>
        <v/>
      </c>
    </row>
    <row r="206" spans="1:7">
      <c r="A206" s="23" t="str">
        <f>IF(الإدخالات!C206="","",الإدخالات!B206)</f>
        <v/>
      </c>
      <c r="B206" t="str">
        <f>IF(الإدخالات!C206="","","شراء")</f>
        <v/>
      </c>
      <c r="C206" t="str">
        <f>IF(الإدخالات!C206="","",IF(الإدخالات!E206="","-",الإدخالات!E206))</f>
        <v/>
      </c>
      <c r="D206" t="str">
        <f>IF(الإدخالات!C206="","",الإدخالات!C206)</f>
        <v/>
      </c>
      <c r="E206" s="24" t="str">
        <f>IF(الإدخالات!C206="","",الإدخالات!D206)</f>
        <v/>
      </c>
      <c r="F206" t="str">
        <f>IF(الإدخالات!C206="","",IF(الإدخالات!G206="","",الإدخالات!G206))</f>
        <v/>
      </c>
      <c r="G206" t="str">
        <f>IF($B206&lt;&gt;"",SUMPRODUCT(($B$2:$B206&lt;&gt;"")*1),"")</f>
        <v/>
      </c>
    </row>
    <row r="207" spans="1:7">
      <c r="A207" s="23" t="str">
        <f>IF(الإدخالات!C207="","",الإدخالات!B207)</f>
        <v/>
      </c>
      <c r="B207" t="str">
        <f>IF(الإدخالات!C207="","","شراء")</f>
        <v/>
      </c>
      <c r="C207" t="str">
        <f>IF(الإدخالات!C207="","",IF(الإدخالات!E207="","-",الإدخالات!E207))</f>
        <v/>
      </c>
      <c r="D207" t="str">
        <f>IF(الإدخالات!C207="","",الإدخالات!C207)</f>
        <v/>
      </c>
      <c r="E207" s="24" t="str">
        <f>IF(الإدخالات!C207="","",الإدخالات!D207)</f>
        <v/>
      </c>
      <c r="F207" t="str">
        <f>IF(الإدخالات!C207="","",IF(الإدخالات!G207="","",الإدخالات!G207))</f>
        <v/>
      </c>
      <c r="G207" t="str">
        <f>IF($B207&lt;&gt;"",SUMPRODUCT(($B$2:$B207&lt;&gt;"")*1),"")</f>
        <v/>
      </c>
    </row>
    <row r="208" spans="1:7">
      <c r="A208" s="23" t="str">
        <f>IF(الإدخالات!C208="","",الإدخالات!B208)</f>
        <v/>
      </c>
      <c r="B208" t="str">
        <f>IF(الإدخالات!C208="","","شراء")</f>
        <v/>
      </c>
      <c r="C208" t="str">
        <f>IF(الإدخالات!C208="","",IF(الإدخالات!E208="","-",الإدخالات!E208))</f>
        <v/>
      </c>
      <c r="D208" t="str">
        <f>IF(الإدخالات!C208="","",الإدخالات!C208)</f>
        <v/>
      </c>
      <c r="E208" s="24" t="str">
        <f>IF(الإدخالات!C208="","",الإدخالات!D208)</f>
        <v/>
      </c>
      <c r="F208" t="str">
        <f>IF(الإدخالات!C208="","",IF(الإدخالات!G208="","",الإدخالات!G208))</f>
        <v/>
      </c>
      <c r="G208" t="str">
        <f>IF($B208&lt;&gt;"",SUMPRODUCT(($B$2:$B208&lt;&gt;"")*1),"")</f>
        <v/>
      </c>
    </row>
    <row r="209" spans="1:7">
      <c r="A209" s="23" t="str">
        <f>IF(الإدخالات!C209="","",الإدخالات!B209)</f>
        <v/>
      </c>
      <c r="B209" t="str">
        <f>IF(الإدخالات!C209="","","شراء")</f>
        <v/>
      </c>
      <c r="C209" t="str">
        <f>IF(الإدخالات!C209="","",IF(الإدخالات!E209="","-",الإدخالات!E209))</f>
        <v/>
      </c>
      <c r="D209" t="str">
        <f>IF(الإدخالات!C209="","",الإدخالات!C209)</f>
        <v/>
      </c>
      <c r="E209" s="24" t="str">
        <f>IF(الإدخالات!C209="","",الإدخالات!D209)</f>
        <v/>
      </c>
      <c r="F209" t="str">
        <f>IF(الإدخالات!C209="","",IF(الإدخالات!G209="","",الإدخالات!G209))</f>
        <v/>
      </c>
      <c r="G209" t="str">
        <f>IF($B209&lt;&gt;"",SUMPRODUCT(($B$2:$B209&lt;&gt;"")*1),"")</f>
        <v/>
      </c>
    </row>
    <row r="210" spans="1:7">
      <c r="A210" s="23" t="str">
        <f>IF(الإدخالات!C210="","",الإدخالات!B210)</f>
        <v/>
      </c>
      <c r="B210" t="str">
        <f>IF(الإدخالات!C210="","","شراء")</f>
        <v/>
      </c>
      <c r="C210" t="str">
        <f>IF(الإدخالات!C210="","",IF(الإدخالات!E210="","-",الإدخالات!E210))</f>
        <v/>
      </c>
      <c r="D210" t="str">
        <f>IF(الإدخالات!C210="","",الإدخالات!C210)</f>
        <v/>
      </c>
      <c r="E210" s="24" t="str">
        <f>IF(الإدخالات!C210="","",الإدخالات!D210)</f>
        <v/>
      </c>
      <c r="F210" t="str">
        <f>IF(الإدخالات!C210="","",IF(الإدخالات!G210="","",الإدخالات!G210))</f>
        <v/>
      </c>
      <c r="G210" t="str">
        <f>IF($B210&lt;&gt;"",SUMPRODUCT(($B$2:$B210&lt;&gt;"")*1),"")</f>
        <v/>
      </c>
    </row>
    <row r="211" spans="1:7">
      <c r="A211" s="23" t="str">
        <f>IF(الإدخالات!C211="","",الإدخالات!B211)</f>
        <v/>
      </c>
      <c r="B211" t="str">
        <f>IF(الإدخالات!C211="","","شراء")</f>
        <v/>
      </c>
      <c r="C211" t="str">
        <f>IF(الإدخالات!C211="","",IF(الإدخالات!E211="","-",الإدخالات!E211))</f>
        <v/>
      </c>
      <c r="D211" t="str">
        <f>IF(الإدخالات!C211="","",الإدخالات!C211)</f>
        <v/>
      </c>
      <c r="E211" s="24" t="str">
        <f>IF(الإدخالات!C211="","",الإدخالات!D211)</f>
        <v/>
      </c>
      <c r="F211" t="str">
        <f>IF(الإدخالات!C211="","",IF(الإدخالات!G211="","",الإدخالات!G211))</f>
        <v/>
      </c>
      <c r="G211" t="str">
        <f>IF($B211&lt;&gt;"",SUMPRODUCT(($B$2:$B211&lt;&gt;"")*1),"")</f>
        <v/>
      </c>
    </row>
    <row r="212" spans="1:7">
      <c r="A212" s="23" t="str">
        <f>IF(الإدخالات!C212="","",الإدخالات!B212)</f>
        <v/>
      </c>
      <c r="B212" t="str">
        <f>IF(الإدخالات!C212="","","شراء")</f>
        <v/>
      </c>
      <c r="C212" t="str">
        <f>IF(الإدخالات!C212="","",IF(الإدخالات!E212="","-",الإدخالات!E212))</f>
        <v/>
      </c>
      <c r="D212" t="str">
        <f>IF(الإدخالات!C212="","",الإدخالات!C212)</f>
        <v/>
      </c>
      <c r="E212" s="24" t="str">
        <f>IF(الإدخالات!C212="","",الإدخالات!D212)</f>
        <v/>
      </c>
      <c r="F212" t="str">
        <f>IF(الإدخالات!C212="","",IF(الإدخالات!G212="","",الإدخالات!G212))</f>
        <v/>
      </c>
      <c r="G212" t="str">
        <f>IF($B212&lt;&gt;"",SUMPRODUCT(($B$2:$B212&lt;&gt;"")*1),"")</f>
        <v/>
      </c>
    </row>
    <row r="213" spans="1:7">
      <c r="A213" s="23" t="str">
        <f>IF(الإدخالات!C213="","",الإدخالات!B213)</f>
        <v/>
      </c>
      <c r="B213" t="str">
        <f>IF(الإدخالات!C213="","","شراء")</f>
        <v/>
      </c>
      <c r="C213" t="str">
        <f>IF(الإدخالات!C213="","",IF(الإدخالات!E213="","-",الإدخالات!E213))</f>
        <v/>
      </c>
      <c r="D213" t="str">
        <f>IF(الإدخالات!C213="","",الإدخالات!C213)</f>
        <v/>
      </c>
      <c r="E213" s="24" t="str">
        <f>IF(الإدخالات!C213="","",الإدخالات!D213)</f>
        <v/>
      </c>
      <c r="F213" t="str">
        <f>IF(الإدخالات!C213="","",IF(الإدخالات!G213="","",الإدخالات!G213))</f>
        <v/>
      </c>
      <c r="G213" t="str">
        <f>IF($B213&lt;&gt;"",SUMPRODUCT(($B$2:$B213&lt;&gt;"")*1),"")</f>
        <v/>
      </c>
    </row>
    <row r="214" spans="1:7">
      <c r="A214" s="23" t="str">
        <f>IF(الإدخالات!C214="","",الإدخالات!B214)</f>
        <v/>
      </c>
      <c r="B214" t="str">
        <f>IF(الإدخالات!C214="","","شراء")</f>
        <v/>
      </c>
      <c r="C214" t="str">
        <f>IF(الإدخالات!C214="","",IF(الإدخالات!E214="","-",الإدخالات!E214))</f>
        <v/>
      </c>
      <c r="D214" t="str">
        <f>IF(الإدخالات!C214="","",الإدخالات!C214)</f>
        <v/>
      </c>
      <c r="E214" s="24" t="str">
        <f>IF(الإدخالات!C214="","",الإدخالات!D214)</f>
        <v/>
      </c>
      <c r="F214" t="str">
        <f>IF(الإدخالات!C214="","",IF(الإدخالات!G214="","",الإدخالات!G214))</f>
        <v/>
      </c>
      <c r="G214" t="str">
        <f>IF($B214&lt;&gt;"",SUMPRODUCT(($B$2:$B214&lt;&gt;"")*1),"")</f>
        <v/>
      </c>
    </row>
    <row r="215" spans="1:7">
      <c r="A215" s="23" t="str">
        <f>IF(الإدخالات!C215="","",الإدخالات!B215)</f>
        <v/>
      </c>
      <c r="B215" t="str">
        <f>IF(الإدخالات!C215="","","شراء")</f>
        <v/>
      </c>
      <c r="C215" t="str">
        <f>IF(الإدخالات!C215="","",IF(الإدخالات!E215="","-",الإدخالات!E215))</f>
        <v/>
      </c>
      <c r="D215" t="str">
        <f>IF(الإدخالات!C215="","",الإدخالات!C215)</f>
        <v/>
      </c>
      <c r="E215" s="24" t="str">
        <f>IF(الإدخالات!C215="","",الإدخالات!D215)</f>
        <v/>
      </c>
      <c r="F215" t="str">
        <f>IF(الإدخالات!C215="","",IF(الإدخالات!G215="","",الإدخالات!G215))</f>
        <v/>
      </c>
      <c r="G215" t="str">
        <f>IF($B215&lt;&gt;"",SUMPRODUCT(($B$2:$B215&lt;&gt;"")*1),"")</f>
        <v/>
      </c>
    </row>
    <row r="216" spans="1:7">
      <c r="A216" s="23" t="str">
        <f>IF(الإدخالات!C216="","",الإدخالات!B216)</f>
        <v/>
      </c>
      <c r="B216" t="str">
        <f>IF(الإدخالات!C216="","","شراء")</f>
        <v/>
      </c>
      <c r="C216" t="str">
        <f>IF(الإدخالات!C216="","",IF(الإدخالات!E216="","-",الإدخالات!E216))</f>
        <v/>
      </c>
      <c r="D216" t="str">
        <f>IF(الإدخالات!C216="","",الإدخالات!C216)</f>
        <v/>
      </c>
      <c r="E216" s="24" t="str">
        <f>IF(الإدخالات!C216="","",الإدخالات!D216)</f>
        <v/>
      </c>
      <c r="F216" t="str">
        <f>IF(الإدخالات!C216="","",IF(الإدخالات!G216="","",الإدخالات!G216))</f>
        <v/>
      </c>
      <c r="G216" t="str">
        <f>IF($B216&lt;&gt;"",SUMPRODUCT(($B$2:$B216&lt;&gt;"")*1),"")</f>
        <v/>
      </c>
    </row>
    <row r="217" spans="1:7">
      <c r="A217" s="23" t="str">
        <f>IF(الإدخالات!C217="","",الإدخالات!B217)</f>
        <v/>
      </c>
      <c r="B217" t="str">
        <f>IF(الإدخالات!C217="","","شراء")</f>
        <v/>
      </c>
      <c r="C217" t="str">
        <f>IF(الإدخالات!C217="","",IF(الإدخالات!E217="","-",الإدخالات!E217))</f>
        <v/>
      </c>
      <c r="D217" t="str">
        <f>IF(الإدخالات!C217="","",الإدخالات!C217)</f>
        <v/>
      </c>
      <c r="E217" s="24" t="str">
        <f>IF(الإدخالات!C217="","",الإدخالات!D217)</f>
        <v/>
      </c>
      <c r="F217" t="str">
        <f>IF(الإدخالات!C217="","",IF(الإدخالات!G217="","",الإدخالات!G217))</f>
        <v/>
      </c>
      <c r="G217" t="str">
        <f>IF($B217&lt;&gt;"",SUMPRODUCT(($B$2:$B217&lt;&gt;"")*1),"")</f>
        <v/>
      </c>
    </row>
    <row r="218" spans="1:7">
      <c r="A218" s="23" t="str">
        <f>IF(الإدخالات!C218="","",الإدخالات!B218)</f>
        <v/>
      </c>
      <c r="B218" t="str">
        <f>IF(الإدخالات!C218="","","شراء")</f>
        <v/>
      </c>
      <c r="C218" t="str">
        <f>IF(الإدخالات!C218="","",IF(الإدخالات!E218="","-",الإدخالات!E218))</f>
        <v/>
      </c>
      <c r="D218" t="str">
        <f>IF(الإدخالات!C218="","",الإدخالات!C218)</f>
        <v/>
      </c>
      <c r="E218" s="24" t="str">
        <f>IF(الإدخالات!C218="","",الإدخالات!D218)</f>
        <v/>
      </c>
      <c r="F218" t="str">
        <f>IF(الإدخالات!C218="","",IF(الإدخالات!G218="","",الإدخالات!G218))</f>
        <v/>
      </c>
      <c r="G218" t="str">
        <f>IF($B218&lt;&gt;"",SUMPRODUCT(($B$2:$B218&lt;&gt;"")*1),"")</f>
        <v/>
      </c>
    </row>
    <row r="219" spans="1:7">
      <c r="A219" s="23" t="str">
        <f>IF(الإدخالات!C219="","",الإدخالات!B219)</f>
        <v/>
      </c>
      <c r="B219" t="str">
        <f>IF(الإدخالات!C219="","","شراء")</f>
        <v/>
      </c>
      <c r="C219" t="str">
        <f>IF(الإدخالات!C219="","",IF(الإدخالات!E219="","-",الإدخالات!E219))</f>
        <v/>
      </c>
      <c r="D219" t="str">
        <f>IF(الإدخالات!C219="","",الإدخالات!C219)</f>
        <v/>
      </c>
      <c r="E219" s="24" t="str">
        <f>IF(الإدخالات!C219="","",الإدخالات!D219)</f>
        <v/>
      </c>
      <c r="F219" t="str">
        <f>IF(الإدخالات!C219="","",IF(الإدخالات!G219="","",الإدخالات!G219))</f>
        <v/>
      </c>
      <c r="G219" t="str">
        <f>IF($B219&lt;&gt;"",SUMPRODUCT(($B$2:$B219&lt;&gt;"")*1),"")</f>
        <v/>
      </c>
    </row>
    <row r="220" spans="1:7">
      <c r="A220" s="23" t="str">
        <f>IF(الإدخالات!C220="","",الإدخالات!B220)</f>
        <v/>
      </c>
      <c r="B220" t="str">
        <f>IF(الإدخالات!C220="","","شراء")</f>
        <v/>
      </c>
      <c r="C220" t="str">
        <f>IF(الإدخالات!C220="","",IF(الإدخالات!E220="","-",الإدخالات!E220))</f>
        <v/>
      </c>
      <c r="D220" t="str">
        <f>IF(الإدخالات!C220="","",الإدخالات!C220)</f>
        <v/>
      </c>
      <c r="E220" s="24" t="str">
        <f>IF(الإدخالات!C220="","",الإدخالات!D220)</f>
        <v/>
      </c>
      <c r="F220" t="str">
        <f>IF(الإدخالات!C220="","",IF(الإدخالات!G220="","",الإدخالات!G220))</f>
        <v/>
      </c>
      <c r="G220" t="str">
        <f>IF($B220&lt;&gt;"",SUMPRODUCT(($B$2:$B220&lt;&gt;"")*1),"")</f>
        <v/>
      </c>
    </row>
    <row r="221" spans="1:7">
      <c r="A221" s="23" t="str">
        <f>IF(الإدخالات!C221="","",الإدخالات!B221)</f>
        <v/>
      </c>
      <c r="B221" t="str">
        <f>IF(الإدخالات!C221="","","شراء")</f>
        <v/>
      </c>
      <c r="C221" t="str">
        <f>IF(الإدخالات!C221="","",IF(الإدخالات!E221="","-",الإدخالات!E221))</f>
        <v/>
      </c>
      <c r="D221" t="str">
        <f>IF(الإدخالات!C221="","",الإدخالات!C221)</f>
        <v/>
      </c>
      <c r="E221" s="24" t="str">
        <f>IF(الإدخالات!C221="","",الإدخالات!D221)</f>
        <v/>
      </c>
      <c r="F221" t="str">
        <f>IF(الإدخالات!C221="","",IF(الإدخالات!G221="","",الإدخالات!G221))</f>
        <v/>
      </c>
      <c r="G221" t="str">
        <f>IF($B221&lt;&gt;"",SUMPRODUCT(($B$2:$B221&lt;&gt;"")*1),"")</f>
        <v/>
      </c>
    </row>
    <row r="222" spans="1:7">
      <c r="A222" s="23" t="str">
        <f>IF(الإدخالات!C222="","",الإدخالات!B222)</f>
        <v/>
      </c>
      <c r="B222" t="str">
        <f>IF(الإدخالات!C222="","","شراء")</f>
        <v/>
      </c>
      <c r="C222" t="str">
        <f>IF(الإدخالات!C222="","",IF(الإدخالات!E222="","-",الإدخالات!E222))</f>
        <v/>
      </c>
      <c r="D222" t="str">
        <f>IF(الإدخالات!C222="","",الإدخالات!C222)</f>
        <v/>
      </c>
      <c r="E222" s="24" t="str">
        <f>IF(الإدخالات!C222="","",الإدخالات!D222)</f>
        <v/>
      </c>
      <c r="F222" t="str">
        <f>IF(الإدخالات!C222="","",IF(الإدخالات!G222="","",الإدخالات!G222))</f>
        <v/>
      </c>
      <c r="G222" t="str">
        <f>IF($B222&lt;&gt;"",SUMPRODUCT(($B$2:$B222&lt;&gt;"")*1),"")</f>
        <v/>
      </c>
    </row>
    <row r="223" spans="1:7">
      <c r="A223" s="23" t="str">
        <f>IF(الإدخالات!C223="","",الإدخالات!B223)</f>
        <v/>
      </c>
      <c r="B223" t="str">
        <f>IF(الإدخالات!C223="","","شراء")</f>
        <v/>
      </c>
      <c r="C223" t="str">
        <f>IF(الإدخالات!C223="","",IF(الإدخالات!E223="","-",الإدخالات!E223))</f>
        <v/>
      </c>
      <c r="D223" t="str">
        <f>IF(الإدخالات!C223="","",الإدخالات!C223)</f>
        <v/>
      </c>
      <c r="E223" s="24" t="str">
        <f>IF(الإدخالات!C223="","",الإدخالات!D223)</f>
        <v/>
      </c>
      <c r="F223" t="str">
        <f>IF(الإدخالات!C223="","",IF(الإدخالات!G223="","",الإدخالات!G223))</f>
        <v/>
      </c>
      <c r="G223" t="str">
        <f>IF($B223&lt;&gt;"",SUMPRODUCT(($B$2:$B223&lt;&gt;"")*1),"")</f>
        <v/>
      </c>
    </row>
    <row r="224" spans="1:7">
      <c r="A224" s="23" t="str">
        <f>IF(الإدخالات!C224="","",الإدخالات!B224)</f>
        <v/>
      </c>
      <c r="B224" t="str">
        <f>IF(الإدخالات!C224="","","شراء")</f>
        <v/>
      </c>
      <c r="C224" t="str">
        <f>IF(الإدخالات!C224="","",IF(الإدخالات!E224="","-",الإدخالات!E224))</f>
        <v/>
      </c>
      <c r="D224" t="str">
        <f>IF(الإدخالات!C224="","",الإدخالات!C224)</f>
        <v/>
      </c>
      <c r="E224" s="24" t="str">
        <f>IF(الإدخالات!C224="","",الإدخالات!D224)</f>
        <v/>
      </c>
      <c r="F224" t="str">
        <f>IF(الإدخالات!C224="","",IF(الإدخالات!G224="","",الإدخالات!G224))</f>
        <v/>
      </c>
      <c r="G224" t="str">
        <f>IF($B224&lt;&gt;"",SUMPRODUCT(($B$2:$B224&lt;&gt;"")*1),"")</f>
        <v/>
      </c>
    </row>
    <row r="225" spans="1:7">
      <c r="A225" s="23" t="str">
        <f>IF(الإدخالات!C225="","",الإدخالات!B225)</f>
        <v/>
      </c>
      <c r="B225" t="str">
        <f>IF(الإدخالات!C225="","","شراء")</f>
        <v/>
      </c>
      <c r="C225" t="str">
        <f>IF(الإدخالات!C225="","",IF(الإدخالات!E225="","-",الإدخالات!E225))</f>
        <v/>
      </c>
      <c r="D225" t="str">
        <f>IF(الإدخالات!C225="","",الإدخالات!C225)</f>
        <v/>
      </c>
      <c r="E225" s="24" t="str">
        <f>IF(الإدخالات!C225="","",الإدخالات!D225)</f>
        <v/>
      </c>
      <c r="F225" t="str">
        <f>IF(الإدخالات!C225="","",IF(الإدخالات!G225="","",الإدخالات!G225))</f>
        <v/>
      </c>
      <c r="G225" t="str">
        <f>IF($B225&lt;&gt;"",SUMPRODUCT(($B$2:$B225&lt;&gt;"")*1),"")</f>
        <v/>
      </c>
    </row>
    <row r="226" spans="1:7">
      <c r="A226" s="23" t="str">
        <f>IF(الإدخالات!C226="","",الإدخالات!B226)</f>
        <v/>
      </c>
      <c r="B226" t="str">
        <f>IF(الإدخالات!C226="","","شراء")</f>
        <v/>
      </c>
      <c r="C226" t="str">
        <f>IF(الإدخالات!C226="","",IF(الإدخالات!E226="","-",الإدخالات!E226))</f>
        <v/>
      </c>
      <c r="D226" t="str">
        <f>IF(الإدخالات!C226="","",الإدخالات!C226)</f>
        <v/>
      </c>
      <c r="E226" s="24" t="str">
        <f>IF(الإدخالات!C226="","",الإدخالات!D226)</f>
        <v/>
      </c>
      <c r="F226" t="str">
        <f>IF(الإدخالات!C226="","",IF(الإدخالات!G226="","",الإدخالات!G226))</f>
        <v/>
      </c>
      <c r="G226" t="str">
        <f>IF($B226&lt;&gt;"",SUMPRODUCT(($B$2:$B226&lt;&gt;"")*1),"")</f>
        <v/>
      </c>
    </row>
    <row r="227" spans="1:7">
      <c r="A227" s="23" t="str">
        <f>IF(الإدخالات!C227="","",الإدخالات!B227)</f>
        <v/>
      </c>
      <c r="B227" t="str">
        <f>IF(الإدخالات!C227="","","شراء")</f>
        <v/>
      </c>
      <c r="C227" t="str">
        <f>IF(الإدخالات!C227="","",IF(الإدخالات!E227="","-",الإدخالات!E227))</f>
        <v/>
      </c>
      <c r="D227" t="str">
        <f>IF(الإدخالات!C227="","",الإدخالات!C227)</f>
        <v/>
      </c>
      <c r="E227" s="24" t="str">
        <f>IF(الإدخالات!C227="","",الإدخالات!D227)</f>
        <v/>
      </c>
      <c r="F227" t="str">
        <f>IF(الإدخالات!C227="","",IF(الإدخالات!G227="","",الإدخالات!G227))</f>
        <v/>
      </c>
      <c r="G227" t="str">
        <f>IF($B227&lt;&gt;"",SUMPRODUCT(($B$2:$B227&lt;&gt;"")*1),"")</f>
        <v/>
      </c>
    </row>
    <row r="228" spans="1:7">
      <c r="A228" s="23" t="str">
        <f>IF(الإدخالات!C228="","",الإدخالات!B228)</f>
        <v/>
      </c>
      <c r="B228" t="str">
        <f>IF(الإدخالات!C228="","","شراء")</f>
        <v/>
      </c>
      <c r="C228" t="str">
        <f>IF(الإدخالات!C228="","",IF(الإدخالات!E228="","-",الإدخالات!E228))</f>
        <v/>
      </c>
      <c r="D228" t="str">
        <f>IF(الإدخالات!C228="","",الإدخالات!C228)</f>
        <v/>
      </c>
      <c r="E228" s="24" t="str">
        <f>IF(الإدخالات!C228="","",الإدخالات!D228)</f>
        <v/>
      </c>
      <c r="F228" t="str">
        <f>IF(الإدخالات!C228="","",IF(الإدخالات!G228="","",الإدخالات!G228))</f>
        <v/>
      </c>
      <c r="G228" t="str">
        <f>IF($B228&lt;&gt;"",SUMPRODUCT(($B$2:$B228&lt;&gt;"")*1),"")</f>
        <v/>
      </c>
    </row>
    <row r="229" spans="1:7">
      <c r="A229" s="23" t="str">
        <f>IF(الإدخالات!C229="","",الإدخالات!B229)</f>
        <v/>
      </c>
      <c r="B229" t="str">
        <f>IF(الإدخالات!C229="","","شراء")</f>
        <v/>
      </c>
      <c r="C229" t="str">
        <f>IF(الإدخالات!C229="","",IF(الإدخالات!E229="","-",الإدخالات!E229))</f>
        <v/>
      </c>
      <c r="D229" t="str">
        <f>IF(الإدخالات!C229="","",الإدخالات!C229)</f>
        <v/>
      </c>
      <c r="E229" s="24" t="str">
        <f>IF(الإدخالات!C229="","",الإدخالات!D229)</f>
        <v/>
      </c>
      <c r="F229" t="str">
        <f>IF(الإدخالات!C229="","",IF(الإدخالات!G229="","",الإدخالات!G229))</f>
        <v/>
      </c>
      <c r="G229" t="str">
        <f>IF($B229&lt;&gt;"",SUMPRODUCT(($B$2:$B229&lt;&gt;"")*1),"")</f>
        <v/>
      </c>
    </row>
    <row r="230" spans="1:7">
      <c r="A230" s="23" t="str">
        <f>IF(الإدخالات!C230="","",الإدخالات!B230)</f>
        <v/>
      </c>
      <c r="B230" t="str">
        <f>IF(الإدخالات!C230="","","شراء")</f>
        <v/>
      </c>
      <c r="C230" t="str">
        <f>IF(الإدخالات!C230="","",IF(الإدخالات!E230="","-",الإدخالات!E230))</f>
        <v/>
      </c>
      <c r="D230" t="str">
        <f>IF(الإدخالات!C230="","",الإدخالات!C230)</f>
        <v/>
      </c>
      <c r="E230" s="24" t="str">
        <f>IF(الإدخالات!C230="","",الإدخالات!D230)</f>
        <v/>
      </c>
      <c r="F230" t="str">
        <f>IF(الإدخالات!C230="","",IF(الإدخالات!G230="","",الإدخالات!G230))</f>
        <v/>
      </c>
      <c r="G230" t="str">
        <f>IF($B230&lt;&gt;"",SUMPRODUCT(($B$2:$B230&lt;&gt;"")*1),"")</f>
        <v/>
      </c>
    </row>
    <row r="231" spans="1:7">
      <c r="A231" s="23" t="str">
        <f>IF(الإدخالات!C231="","",الإدخالات!B231)</f>
        <v/>
      </c>
      <c r="B231" t="str">
        <f>IF(الإدخالات!C231="","","شراء")</f>
        <v/>
      </c>
      <c r="C231" t="str">
        <f>IF(الإدخالات!C231="","",IF(الإدخالات!E231="","-",الإدخالات!E231))</f>
        <v/>
      </c>
      <c r="D231" t="str">
        <f>IF(الإدخالات!C231="","",الإدخالات!C231)</f>
        <v/>
      </c>
      <c r="E231" s="24" t="str">
        <f>IF(الإدخالات!C231="","",الإدخالات!D231)</f>
        <v/>
      </c>
      <c r="F231" t="str">
        <f>IF(الإدخالات!C231="","",IF(الإدخالات!G231="","",الإدخالات!G231))</f>
        <v/>
      </c>
      <c r="G231" t="str">
        <f>IF($B231&lt;&gt;"",SUMPRODUCT(($B$2:$B231&lt;&gt;"")*1),"")</f>
        <v/>
      </c>
    </row>
    <row r="232" spans="1:7">
      <c r="A232" s="23" t="str">
        <f>IF(الإدخالات!C232="","",الإدخالات!B232)</f>
        <v/>
      </c>
      <c r="B232" t="str">
        <f>IF(الإدخالات!C232="","","شراء")</f>
        <v/>
      </c>
      <c r="C232" t="str">
        <f>IF(الإدخالات!C232="","",IF(الإدخالات!E232="","-",الإدخالات!E232))</f>
        <v/>
      </c>
      <c r="D232" t="str">
        <f>IF(الإدخالات!C232="","",الإدخالات!C232)</f>
        <v/>
      </c>
      <c r="E232" s="24" t="str">
        <f>IF(الإدخالات!C232="","",الإدخالات!D232)</f>
        <v/>
      </c>
      <c r="F232" t="str">
        <f>IF(الإدخالات!C232="","",IF(الإدخالات!G232="","",الإدخالات!G232))</f>
        <v/>
      </c>
      <c r="G232" t="str">
        <f>IF($B232&lt;&gt;"",SUMPRODUCT(($B$2:$B232&lt;&gt;"")*1),"")</f>
        <v/>
      </c>
    </row>
    <row r="233" spans="1:7">
      <c r="A233" s="23" t="str">
        <f>IF(الإدخالات!C233="","",الإدخالات!B233)</f>
        <v/>
      </c>
      <c r="B233" t="str">
        <f>IF(الإدخالات!C233="","","شراء")</f>
        <v/>
      </c>
      <c r="C233" t="str">
        <f>IF(الإدخالات!C233="","",IF(الإدخالات!E233="","-",الإدخالات!E233))</f>
        <v/>
      </c>
      <c r="D233" t="str">
        <f>IF(الإدخالات!C233="","",الإدخالات!C233)</f>
        <v/>
      </c>
      <c r="E233" s="24" t="str">
        <f>IF(الإدخالات!C233="","",الإدخالات!D233)</f>
        <v/>
      </c>
      <c r="F233" t="str">
        <f>IF(الإدخالات!C233="","",IF(الإدخالات!G233="","",الإدخالات!G233))</f>
        <v/>
      </c>
      <c r="G233" t="str">
        <f>IF($B233&lt;&gt;"",SUMPRODUCT(($B$2:$B233&lt;&gt;"")*1),"")</f>
        <v/>
      </c>
    </row>
    <row r="234" spans="1:7">
      <c r="A234" s="23" t="str">
        <f>IF(الإدخالات!C234="","",الإدخالات!B234)</f>
        <v/>
      </c>
      <c r="B234" t="str">
        <f>IF(الإدخالات!C234="","","شراء")</f>
        <v/>
      </c>
      <c r="C234" t="str">
        <f>IF(الإدخالات!C234="","",IF(الإدخالات!E234="","-",الإدخالات!E234))</f>
        <v/>
      </c>
      <c r="D234" t="str">
        <f>IF(الإدخالات!C234="","",الإدخالات!C234)</f>
        <v/>
      </c>
      <c r="E234" s="24" t="str">
        <f>IF(الإدخالات!C234="","",الإدخالات!D234)</f>
        <v/>
      </c>
      <c r="F234" t="str">
        <f>IF(الإدخالات!C234="","",IF(الإدخالات!G234="","",الإدخالات!G234))</f>
        <v/>
      </c>
      <c r="G234" t="str">
        <f>IF($B234&lt;&gt;"",SUMPRODUCT(($B$2:$B234&lt;&gt;"")*1),"")</f>
        <v/>
      </c>
    </row>
    <row r="235" spans="1:7">
      <c r="A235" s="23" t="str">
        <f>IF(الإدخالات!C235="","",الإدخالات!B235)</f>
        <v/>
      </c>
      <c r="B235" t="str">
        <f>IF(الإدخالات!C235="","","شراء")</f>
        <v/>
      </c>
      <c r="C235" t="str">
        <f>IF(الإدخالات!C235="","",IF(الإدخالات!E235="","-",الإدخالات!E235))</f>
        <v/>
      </c>
      <c r="D235" t="str">
        <f>IF(الإدخالات!C235="","",الإدخالات!C235)</f>
        <v/>
      </c>
      <c r="E235" s="24" t="str">
        <f>IF(الإدخالات!C235="","",الإدخالات!D235)</f>
        <v/>
      </c>
      <c r="F235" t="str">
        <f>IF(الإدخالات!C235="","",IF(الإدخالات!G235="","",الإدخالات!G235))</f>
        <v/>
      </c>
      <c r="G235" t="str">
        <f>IF($B235&lt;&gt;"",SUMPRODUCT(($B$2:$B235&lt;&gt;"")*1),"")</f>
        <v/>
      </c>
    </row>
    <row r="236" spans="1:7">
      <c r="A236" s="23" t="str">
        <f>IF(الإدخالات!C236="","",الإدخالات!B236)</f>
        <v/>
      </c>
      <c r="B236" t="str">
        <f>IF(الإدخالات!C236="","","شراء")</f>
        <v/>
      </c>
      <c r="C236" t="str">
        <f>IF(الإدخالات!C236="","",IF(الإدخالات!E236="","-",الإدخالات!E236))</f>
        <v/>
      </c>
      <c r="D236" t="str">
        <f>IF(الإدخالات!C236="","",الإدخالات!C236)</f>
        <v/>
      </c>
      <c r="E236" s="24" t="str">
        <f>IF(الإدخالات!C236="","",الإدخالات!D236)</f>
        <v/>
      </c>
      <c r="F236" t="str">
        <f>IF(الإدخالات!C236="","",IF(الإدخالات!G236="","",الإدخالات!G236))</f>
        <v/>
      </c>
      <c r="G236" t="str">
        <f>IF($B236&lt;&gt;"",SUMPRODUCT(($B$2:$B236&lt;&gt;"")*1),"")</f>
        <v/>
      </c>
    </row>
    <row r="237" spans="1:7">
      <c r="A237" s="23" t="str">
        <f>IF(الإدخالات!C237="","",الإدخالات!B237)</f>
        <v/>
      </c>
      <c r="B237" t="str">
        <f>IF(الإدخالات!C237="","","شراء")</f>
        <v/>
      </c>
      <c r="C237" t="str">
        <f>IF(الإدخالات!C237="","",IF(الإدخالات!E237="","-",الإدخالات!E237))</f>
        <v/>
      </c>
      <c r="D237" t="str">
        <f>IF(الإدخالات!C237="","",الإدخالات!C237)</f>
        <v/>
      </c>
      <c r="E237" s="24" t="str">
        <f>IF(الإدخالات!C237="","",الإدخالات!D237)</f>
        <v/>
      </c>
      <c r="F237" t="str">
        <f>IF(الإدخالات!C237="","",IF(الإدخالات!G237="","",الإدخالات!G237))</f>
        <v/>
      </c>
      <c r="G237" t="str">
        <f>IF($B237&lt;&gt;"",SUMPRODUCT(($B$2:$B237&lt;&gt;"")*1),"")</f>
        <v/>
      </c>
    </row>
    <row r="238" spans="1:7">
      <c r="A238" s="23" t="str">
        <f>IF(الإدخالات!C238="","",الإدخالات!B238)</f>
        <v/>
      </c>
      <c r="B238" t="str">
        <f>IF(الإدخالات!C238="","","شراء")</f>
        <v/>
      </c>
      <c r="C238" t="str">
        <f>IF(الإدخالات!C238="","",IF(الإدخالات!E238="","-",الإدخالات!E238))</f>
        <v/>
      </c>
      <c r="D238" t="str">
        <f>IF(الإدخالات!C238="","",الإدخالات!C238)</f>
        <v/>
      </c>
      <c r="E238" s="24" t="str">
        <f>IF(الإدخالات!C238="","",الإدخالات!D238)</f>
        <v/>
      </c>
      <c r="F238" t="str">
        <f>IF(الإدخالات!C238="","",IF(الإدخالات!G238="","",الإدخالات!G238))</f>
        <v/>
      </c>
      <c r="G238" t="str">
        <f>IF($B238&lt;&gt;"",SUMPRODUCT(($B$2:$B238&lt;&gt;"")*1),"")</f>
        <v/>
      </c>
    </row>
    <row r="239" spans="1:7">
      <c r="A239" s="23" t="str">
        <f>IF(الإدخالات!C239="","",الإدخالات!B239)</f>
        <v/>
      </c>
      <c r="B239" t="str">
        <f>IF(الإدخالات!C239="","","شراء")</f>
        <v/>
      </c>
      <c r="C239" t="str">
        <f>IF(الإدخالات!C239="","",IF(الإدخالات!E239="","-",الإدخالات!E239))</f>
        <v/>
      </c>
      <c r="D239" t="str">
        <f>IF(الإدخالات!C239="","",الإدخالات!C239)</f>
        <v/>
      </c>
      <c r="E239" s="24" t="str">
        <f>IF(الإدخالات!C239="","",الإدخالات!D239)</f>
        <v/>
      </c>
      <c r="F239" t="str">
        <f>IF(الإدخالات!C239="","",IF(الإدخالات!G239="","",الإدخالات!G239))</f>
        <v/>
      </c>
      <c r="G239" t="str">
        <f>IF($B239&lt;&gt;"",SUMPRODUCT(($B$2:$B239&lt;&gt;"")*1),"")</f>
        <v/>
      </c>
    </row>
    <row r="240" spans="1:7">
      <c r="A240" s="23" t="str">
        <f>IF(الإدخالات!C240="","",الإدخالات!B240)</f>
        <v/>
      </c>
      <c r="B240" t="str">
        <f>IF(الإدخالات!C240="","","شراء")</f>
        <v/>
      </c>
      <c r="C240" t="str">
        <f>IF(الإدخالات!C240="","",IF(الإدخالات!E240="","-",الإدخالات!E240))</f>
        <v/>
      </c>
      <c r="D240" t="str">
        <f>IF(الإدخالات!C240="","",الإدخالات!C240)</f>
        <v/>
      </c>
      <c r="E240" s="24" t="str">
        <f>IF(الإدخالات!C240="","",الإدخالات!D240)</f>
        <v/>
      </c>
      <c r="F240" t="str">
        <f>IF(الإدخالات!C240="","",IF(الإدخالات!G240="","",الإدخالات!G240))</f>
        <v/>
      </c>
      <c r="G240" t="str">
        <f>IF($B240&lt;&gt;"",SUMPRODUCT(($B$2:$B240&lt;&gt;"")*1),"")</f>
        <v/>
      </c>
    </row>
    <row r="241" spans="1:7">
      <c r="A241" s="23" t="str">
        <f>IF(الإدخالات!C241="","",الإدخالات!B241)</f>
        <v/>
      </c>
      <c r="B241" t="str">
        <f>IF(الإدخالات!C241="","","شراء")</f>
        <v/>
      </c>
      <c r="C241" t="str">
        <f>IF(الإدخالات!C241="","",IF(الإدخالات!E241="","-",الإدخالات!E241))</f>
        <v/>
      </c>
      <c r="D241" t="str">
        <f>IF(الإدخالات!C241="","",الإدخالات!C241)</f>
        <v/>
      </c>
      <c r="E241" s="24" t="str">
        <f>IF(الإدخالات!C241="","",الإدخالات!D241)</f>
        <v/>
      </c>
      <c r="F241" t="str">
        <f>IF(الإدخالات!C241="","",IF(الإدخالات!G241="","",الإدخالات!G241))</f>
        <v/>
      </c>
      <c r="G241" t="str">
        <f>IF($B241&lt;&gt;"",SUMPRODUCT(($B$2:$B241&lt;&gt;"")*1),"")</f>
        <v/>
      </c>
    </row>
    <row r="242" spans="1:7">
      <c r="A242" s="23" t="str">
        <f>IF(الإدخالات!C242="","",الإدخالات!B242)</f>
        <v/>
      </c>
      <c r="B242" t="str">
        <f>IF(الإدخالات!C242="","","شراء")</f>
        <v/>
      </c>
      <c r="C242" t="str">
        <f>IF(الإدخالات!C242="","",IF(الإدخالات!E242="","-",الإدخالات!E242))</f>
        <v/>
      </c>
      <c r="D242" t="str">
        <f>IF(الإدخالات!C242="","",الإدخالات!C242)</f>
        <v/>
      </c>
      <c r="E242" s="24" t="str">
        <f>IF(الإدخالات!C242="","",الإدخالات!D242)</f>
        <v/>
      </c>
      <c r="F242" t="str">
        <f>IF(الإدخالات!C242="","",IF(الإدخالات!G242="","",الإدخالات!G242))</f>
        <v/>
      </c>
      <c r="G242" t="str">
        <f>IF($B242&lt;&gt;"",SUMPRODUCT(($B$2:$B242&lt;&gt;"")*1),"")</f>
        <v/>
      </c>
    </row>
    <row r="243" spans="1:7">
      <c r="A243" s="23" t="str">
        <f>IF(الإدخالات!C243="","",الإدخالات!B243)</f>
        <v/>
      </c>
      <c r="B243" t="str">
        <f>IF(الإدخالات!C243="","","شراء")</f>
        <v/>
      </c>
      <c r="C243" t="str">
        <f>IF(الإدخالات!C243="","",IF(الإدخالات!E243="","-",الإدخالات!E243))</f>
        <v/>
      </c>
      <c r="D243" t="str">
        <f>IF(الإدخالات!C243="","",الإدخالات!C243)</f>
        <v/>
      </c>
      <c r="E243" s="24" t="str">
        <f>IF(الإدخالات!C243="","",الإدخالات!D243)</f>
        <v/>
      </c>
      <c r="F243" t="str">
        <f>IF(الإدخالات!C243="","",IF(الإدخالات!G243="","",الإدخالات!G243))</f>
        <v/>
      </c>
      <c r="G243" t="str">
        <f>IF($B243&lt;&gt;"",SUMPRODUCT(($B$2:$B243&lt;&gt;"")*1),"")</f>
        <v/>
      </c>
    </row>
    <row r="244" spans="1:7">
      <c r="A244" s="23" t="str">
        <f>IF(الإدخالات!C244="","",الإدخالات!B244)</f>
        <v/>
      </c>
      <c r="B244" t="str">
        <f>IF(الإدخالات!C244="","","شراء")</f>
        <v/>
      </c>
      <c r="C244" t="str">
        <f>IF(الإدخالات!C244="","",IF(الإدخالات!E244="","-",الإدخالات!E244))</f>
        <v/>
      </c>
      <c r="D244" t="str">
        <f>IF(الإدخالات!C244="","",الإدخالات!C244)</f>
        <v/>
      </c>
      <c r="E244" s="24" t="str">
        <f>IF(الإدخالات!C244="","",الإدخالات!D244)</f>
        <v/>
      </c>
      <c r="F244" t="str">
        <f>IF(الإدخالات!C244="","",IF(الإدخالات!G244="","",الإدخالات!G244))</f>
        <v/>
      </c>
      <c r="G244" t="str">
        <f>IF($B244&lt;&gt;"",SUMPRODUCT(($B$2:$B244&lt;&gt;"")*1),"")</f>
        <v/>
      </c>
    </row>
    <row r="245" spans="1:7">
      <c r="A245" s="23" t="str">
        <f>IF(الإدخالات!C245="","",الإدخالات!B245)</f>
        <v/>
      </c>
      <c r="B245" t="str">
        <f>IF(الإدخالات!C245="","","شراء")</f>
        <v/>
      </c>
      <c r="C245" t="str">
        <f>IF(الإدخالات!C245="","",IF(الإدخالات!E245="","-",الإدخالات!E245))</f>
        <v/>
      </c>
      <c r="D245" t="str">
        <f>IF(الإدخالات!C245="","",الإدخالات!C245)</f>
        <v/>
      </c>
      <c r="E245" s="24" t="str">
        <f>IF(الإدخالات!C245="","",الإدخالات!D245)</f>
        <v/>
      </c>
      <c r="F245" t="str">
        <f>IF(الإدخالات!C245="","",IF(الإدخالات!G245="","",الإدخالات!G245))</f>
        <v/>
      </c>
      <c r="G245" t="str">
        <f>IF($B245&lt;&gt;"",SUMPRODUCT(($B$2:$B245&lt;&gt;"")*1),"")</f>
        <v/>
      </c>
    </row>
    <row r="246" spans="1:7">
      <c r="A246" s="23" t="str">
        <f>IF(الإدخالات!C246="","",الإدخالات!B246)</f>
        <v/>
      </c>
      <c r="B246" t="str">
        <f>IF(الإدخالات!C246="","","شراء")</f>
        <v/>
      </c>
      <c r="C246" t="str">
        <f>IF(الإدخالات!C246="","",IF(الإدخالات!E246="","-",الإدخالات!E246))</f>
        <v/>
      </c>
      <c r="D246" t="str">
        <f>IF(الإدخالات!C246="","",الإدخالات!C246)</f>
        <v/>
      </c>
      <c r="E246" s="24" t="str">
        <f>IF(الإدخالات!C246="","",الإدخالات!D246)</f>
        <v/>
      </c>
      <c r="F246" t="str">
        <f>IF(الإدخالات!C246="","",IF(الإدخالات!G246="","",الإدخالات!G246))</f>
        <v/>
      </c>
      <c r="G246" t="str">
        <f>IF($B246&lt;&gt;"",SUMPRODUCT(($B$2:$B246&lt;&gt;"")*1),"")</f>
        <v/>
      </c>
    </row>
    <row r="247" spans="1:7">
      <c r="A247" s="23" t="str">
        <f>IF(الإدخالات!C247="","",الإدخالات!B247)</f>
        <v/>
      </c>
      <c r="B247" t="str">
        <f>IF(الإدخالات!C247="","","شراء")</f>
        <v/>
      </c>
      <c r="C247" t="str">
        <f>IF(الإدخالات!C247="","",IF(الإدخالات!E247="","-",الإدخالات!E247))</f>
        <v/>
      </c>
      <c r="D247" t="str">
        <f>IF(الإدخالات!C247="","",الإدخالات!C247)</f>
        <v/>
      </c>
      <c r="E247" s="24" t="str">
        <f>IF(الإدخالات!C247="","",الإدخالات!D247)</f>
        <v/>
      </c>
      <c r="F247" t="str">
        <f>IF(الإدخالات!C247="","",IF(الإدخالات!G247="","",الإدخالات!G247))</f>
        <v/>
      </c>
      <c r="G247" t="str">
        <f>IF($B247&lt;&gt;"",SUMPRODUCT(($B$2:$B247&lt;&gt;"")*1),"")</f>
        <v/>
      </c>
    </row>
    <row r="248" spans="1:7">
      <c r="A248" s="23" t="str">
        <f>IF(الإدخالات!C248="","",الإدخالات!B248)</f>
        <v/>
      </c>
      <c r="B248" t="str">
        <f>IF(الإدخالات!C248="","","شراء")</f>
        <v/>
      </c>
      <c r="C248" t="str">
        <f>IF(الإدخالات!C248="","",IF(الإدخالات!E248="","-",الإدخالات!E248))</f>
        <v/>
      </c>
      <c r="D248" t="str">
        <f>IF(الإدخالات!C248="","",الإدخالات!C248)</f>
        <v/>
      </c>
      <c r="E248" s="24" t="str">
        <f>IF(الإدخالات!C248="","",الإدخالات!D248)</f>
        <v/>
      </c>
      <c r="F248" t="str">
        <f>IF(الإدخالات!C248="","",IF(الإدخالات!G248="","",الإدخالات!G248))</f>
        <v/>
      </c>
      <c r="G248" t="str">
        <f>IF($B248&lt;&gt;"",SUMPRODUCT(($B$2:$B248&lt;&gt;"")*1),"")</f>
        <v/>
      </c>
    </row>
    <row r="249" spans="1:7">
      <c r="A249" s="23" t="str">
        <f>IF(الإدخالات!C249="","",الإدخالات!B249)</f>
        <v/>
      </c>
      <c r="B249" t="str">
        <f>IF(الإدخالات!C249="","","شراء")</f>
        <v/>
      </c>
      <c r="C249" t="str">
        <f>IF(الإدخالات!C249="","",IF(الإدخالات!E249="","-",الإدخالات!E249))</f>
        <v/>
      </c>
      <c r="D249" t="str">
        <f>IF(الإدخالات!C249="","",الإدخالات!C249)</f>
        <v/>
      </c>
      <c r="E249" s="24" t="str">
        <f>IF(الإدخالات!C249="","",الإدخالات!D249)</f>
        <v/>
      </c>
      <c r="F249" t="str">
        <f>IF(الإدخالات!C249="","",IF(الإدخالات!G249="","",الإدخالات!G249))</f>
        <v/>
      </c>
      <c r="G249" t="str">
        <f>IF($B249&lt;&gt;"",SUMPRODUCT(($B$2:$B249&lt;&gt;"")*1),"")</f>
        <v/>
      </c>
    </row>
    <row r="250" spans="1:7">
      <c r="A250" s="23" t="str">
        <f>IF(الإدخالات!C250="","",الإدخالات!B250)</f>
        <v/>
      </c>
      <c r="B250" t="str">
        <f>IF(الإدخالات!C250="","","شراء")</f>
        <v/>
      </c>
      <c r="C250" t="str">
        <f>IF(الإدخالات!C250="","",IF(الإدخالات!E250="","-",الإدخالات!E250))</f>
        <v/>
      </c>
      <c r="D250" t="str">
        <f>IF(الإدخالات!C250="","",الإدخالات!C250)</f>
        <v/>
      </c>
      <c r="E250" s="24" t="str">
        <f>IF(الإدخالات!C250="","",الإدخالات!D250)</f>
        <v/>
      </c>
      <c r="F250" t="str">
        <f>IF(الإدخالات!C250="","",IF(الإدخالات!G250="","",الإدخالات!G250))</f>
        <v/>
      </c>
      <c r="G250" t="str">
        <f>IF($B250&lt;&gt;"",SUMPRODUCT(($B$2:$B250&lt;&gt;"")*1),"")</f>
        <v/>
      </c>
    </row>
    <row r="251" spans="1:7">
      <c r="A251" s="23" t="str">
        <f>IF(الإدخالات!C251="","",الإدخالات!B251)</f>
        <v/>
      </c>
      <c r="B251" t="str">
        <f>IF(الإدخالات!C251="","","شراء")</f>
        <v/>
      </c>
      <c r="C251" t="str">
        <f>IF(الإدخالات!C251="","",IF(الإدخالات!E251="","-",الإدخالات!E251))</f>
        <v/>
      </c>
      <c r="D251" t="str">
        <f>IF(الإدخالات!C251="","",الإدخالات!C251)</f>
        <v/>
      </c>
      <c r="E251" s="24" t="str">
        <f>IF(الإدخالات!C251="","",الإدخالات!D251)</f>
        <v/>
      </c>
      <c r="F251" t="str">
        <f>IF(الإدخالات!C251="","",IF(الإدخالات!G251="","",الإدخالات!G251))</f>
        <v/>
      </c>
      <c r="G251" t="str">
        <f>IF($B251&lt;&gt;"",SUMPRODUCT(($B$2:$B251&lt;&gt;"")*1),"")</f>
        <v/>
      </c>
    </row>
    <row r="252" spans="1:7">
      <c r="A252" s="23" t="str">
        <f>IF(الإدخالات!C252="","",الإدخالات!B252)</f>
        <v/>
      </c>
      <c r="B252" t="str">
        <f>IF(الإدخالات!C252="","","شراء")</f>
        <v/>
      </c>
      <c r="C252" t="str">
        <f>IF(الإدخالات!C252="","",IF(الإدخالات!E252="","-",الإدخالات!E252))</f>
        <v/>
      </c>
      <c r="D252" t="str">
        <f>IF(الإدخالات!C252="","",الإدخالات!C252)</f>
        <v/>
      </c>
      <c r="E252" s="24" t="str">
        <f>IF(الإدخالات!C252="","",الإدخالات!D252)</f>
        <v/>
      </c>
      <c r="F252" t="str">
        <f>IF(الإدخالات!C252="","",IF(الإدخالات!G252="","",الإدخالات!G252))</f>
        <v/>
      </c>
      <c r="G252" t="str">
        <f>IF($B252&lt;&gt;"",SUMPRODUCT(($B$2:$B252&lt;&gt;"")*1),"")</f>
        <v/>
      </c>
    </row>
    <row r="253" spans="1:7">
      <c r="A253" s="23" t="str">
        <f>IF(الإدخالات!C253="","",الإدخالات!B253)</f>
        <v/>
      </c>
      <c r="B253" t="str">
        <f>IF(الإدخالات!C253="","","شراء")</f>
        <v/>
      </c>
      <c r="C253" t="str">
        <f>IF(الإدخالات!C253="","",IF(الإدخالات!E253="","-",الإدخالات!E253))</f>
        <v/>
      </c>
      <c r="D253" t="str">
        <f>IF(الإدخالات!C253="","",الإدخالات!C253)</f>
        <v/>
      </c>
      <c r="E253" s="24" t="str">
        <f>IF(الإدخالات!C253="","",الإدخالات!D253)</f>
        <v/>
      </c>
      <c r="F253" t="str">
        <f>IF(الإدخالات!C253="","",IF(الإدخالات!G253="","",الإدخالات!G253))</f>
        <v/>
      </c>
      <c r="G253" t="str">
        <f>IF($B253&lt;&gt;"",SUMPRODUCT(($B$2:$B253&lt;&gt;"")*1),"")</f>
        <v/>
      </c>
    </row>
    <row r="254" spans="1:7">
      <c r="A254" s="23" t="str">
        <f>IF(الإدخالات!C254="","",الإدخالات!B254)</f>
        <v/>
      </c>
      <c r="B254" t="str">
        <f>IF(الإدخالات!C254="","","شراء")</f>
        <v/>
      </c>
      <c r="C254" t="str">
        <f>IF(الإدخالات!C254="","",IF(الإدخالات!E254="","-",الإدخالات!E254))</f>
        <v/>
      </c>
      <c r="D254" t="str">
        <f>IF(الإدخالات!C254="","",الإدخالات!C254)</f>
        <v/>
      </c>
      <c r="E254" s="24" t="str">
        <f>IF(الإدخالات!C254="","",الإدخالات!D254)</f>
        <v/>
      </c>
      <c r="F254" t="str">
        <f>IF(الإدخالات!C254="","",IF(الإدخالات!G254="","",الإدخالات!G254))</f>
        <v/>
      </c>
      <c r="G254" t="str">
        <f>IF($B254&lt;&gt;"",SUMPRODUCT(($B$2:$B254&lt;&gt;"")*1),"")</f>
        <v/>
      </c>
    </row>
    <row r="255" spans="1:7">
      <c r="A255" s="23" t="str">
        <f>IF(الإدخالات!C255="","",الإدخالات!B255)</f>
        <v/>
      </c>
      <c r="B255" t="str">
        <f>IF(الإدخالات!C255="","","شراء")</f>
        <v/>
      </c>
      <c r="C255" t="str">
        <f>IF(الإدخالات!C255="","",IF(الإدخالات!E255="","-",الإدخالات!E255))</f>
        <v/>
      </c>
      <c r="D255" t="str">
        <f>IF(الإدخالات!C255="","",الإدخالات!C255)</f>
        <v/>
      </c>
      <c r="E255" s="24" t="str">
        <f>IF(الإدخالات!C255="","",الإدخالات!D255)</f>
        <v/>
      </c>
      <c r="F255" t="str">
        <f>IF(الإدخالات!C255="","",IF(الإدخالات!G255="","",الإدخالات!G255))</f>
        <v/>
      </c>
      <c r="G255" t="str">
        <f>IF($B255&lt;&gt;"",SUMPRODUCT(($B$2:$B255&lt;&gt;"")*1),"")</f>
        <v/>
      </c>
    </row>
    <row r="256" spans="1:7">
      <c r="A256" s="23" t="str">
        <f>IF(الإدخالات!C256="","",الإدخالات!B256)</f>
        <v/>
      </c>
      <c r="B256" t="str">
        <f>IF(الإدخالات!C256="","","شراء")</f>
        <v/>
      </c>
      <c r="C256" t="str">
        <f>IF(الإدخالات!C256="","",IF(الإدخالات!E256="","-",الإدخالات!E256))</f>
        <v/>
      </c>
      <c r="D256" t="str">
        <f>IF(الإدخالات!C256="","",الإدخالات!C256)</f>
        <v/>
      </c>
      <c r="E256" s="24" t="str">
        <f>IF(الإدخالات!C256="","",الإدخالات!D256)</f>
        <v/>
      </c>
      <c r="F256" t="str">
        <f>IF(الإدخالات!C256="","",IF(الإدخالات!G256="","",الإدخالات!G256))</f>
        <v/>
      </c>
      <c r="G256" t="str">
        <f>IF($B256&lt;&gt;"",SUMPRODUCT(($B$2:$B256&lt;&gt;"")*1),"")</f>
        <v/>
      </c>
    </row>
    <row r="257" spans="1:7">
      <c r="A257" s="23" t="str">
        <f>IF(الإدخالات!C257="","",الإدخالات!B257)</f>
        <v/>
      </c>
      <c r="B257" t="str">
        <f>IF(الإدخالات!C257="","","شراء")</f>
        <v/>
      </c>
      <c r="C257" t="str">
        <f>IF(الإدخالات!C257="","",IF(الإدخالات!E257="","-",الإدخالات!E257))</f>
        <v/>
      </c>
      <c r="D257" t="str">
        <f>IF(الإدخالات!C257="","",الإدخالات!C257)</f>
        <v/>
      </c>
      <c r="E257" s="24" t="str">
        <f>IF(الإدخالات!C257="","",الإدخالات!D257)</f>
        <v/>
      </c>
      <c r="F257" t="str">
        <f>IF(الإدخالات!C257="","",IF(الإدخالات!G257="","",الإدخالات!G257))</f>
        <v/>
      </c>
      <c r="G257" t="str">
        <f>IF($B257&lt;&gt;"",SUMPRODUCT(($B$2:$B257&lt;&gt;"")*1),"")</f>
        <v/>
      </c>
    </row>
    <row r="258" spans="1:7">
      <c r="A258" s="23" t="str">
        <f>IF(الإدخالات!C258="","",الإدخالات!B258)</f>
        <v/>
      </c>
      <c r="B258" t="str">
        <f>IF(الإدخالات!C258="","","شراء")</f>
        <v/>
      </c>
      <c r="C258" t="str">
        <f>IF(الإدخالات!C258="","",IF(الإدخالات!E258="","-",الإدخالات!E258))</f>
        <v/>
      </c>
      <c r="D258" t="str">
        <f>IF(الإدخالات!C258="","",الإدخالات!C258)</f>
        <v/>
      </c>
      <c r="E258" s="24" t="str">
        <f>IF(الإدخالات!C258="","",الإدخالات!D258)</f>
        <v/>
      </c>
      <c r="F258" t="str">
        <f>IF(الإدخالات!C258="","",IF(الإدخالات!G258="","",الإدخالات!G258))</f>
        <v/>
      </c>
      <c r="G258" t="str">
        <f>IF($B258&lt;&gt;"",SUMPRODUCT(($B$2:$B258&lt;&gt;"")*1),"")</f>
        <v/>
      </c>
    </row>
    <row r="259" spans="1:7">
      <c r="A259" s="23" t="str">
        <f>IF(الإدخالات!C259="","",الإدخالات!B259)</f>
        <v/>
      </c>
      <c r="B259" t="str">
        <f>IF(الإدخالات!C259="","","شراء")</f>
        <v/>
      </c>
      <c r="C259" t="str">
        <f>IF(الإدخالات!C259="","",IF(الإدخالات!E259="","-",الإدخالات!E259))</f>
        <v/>
      </c>
      <c r="D259" t="str">
        <f>IF(الإدخالات!C259="","",الإدخالات!C259)</f>
        <v/>
      </c>
      <c r="E259" s="24" t="str">
        <f>IF(الإدخالات!C259="","",الإدخالات!D259)</f>
        <v/>
      </c>
      <c r="F259" t="str">
        <f>IF(الإدخالات!C259="","",IF(الإدخالات!G259="","",الإدخالات!G259))</f>
        <v/>
      </c>
      <c r="G259" t="str">
        <f>IF($B259&lt;&gt;"",SUMPRODUCT(($B$2:$B259&lt;&gt;"")*1),"")</f>
        <v/>
      </c>
    </row>
    <row r="260" spans="1:7">
      <c r="A260" s="23" t="str">
        <f>IF(الإدخالات!C260="","",الإدخالات!B260)</f>
        <v/>
      </c>
      <c r="B260" t="str">
        <f>IF(الإدخالات!C260="","","شراء")</f>
        <v/>
      </c>
      <c r="C260" t="str">
        <f>IF(الإدخالات!C260="","",IF(الإدخالات!E260="","-",الإدخالات!E260))</f>
        <v/>
      </c>
      <c r="D260" t="str">
        <f>IF(الإدخالات!C260="","",الإدخالات!C260)</f>
        <v/>
      </c>
      <c r="E260" s="24" t="str">
        <f>IF(الإدخالات!C260="","",الإدخالات!D260)</f>
        <v/>
      </c>
      <c r="F260" t="str">
        <f>IF(الإدخالات!C260="","",IF(الإدخالات!G260="","",الإدخالات!G260))</f>
        <v/>
      </c>
      <c r="G260" t="str">
        <f>IF($B260&lt;&gt;"",SUMPRODUCT(($B$2:$B260&lt;&gt;"")*1),"")</f>
        <v/>
      </c>
    </row>
    <row r="261" spans="1:7">
      <c r="A261" s="23" t="str">
        <f>IF(الإدخالات!C261="","",الإدخالات!B261)</f>
        <v/>
      </c>
      <c r="B261" t="str">
        <f>IF(الإدخالات!C261="","","شراء")</f>
        <v/>
      </c>
      <c r="C261" t="str">
        <f>IF(الإدخالات!C261="","",IF(الإدخالات!E261="","-",الإدخالات!E261))</f>
        <v/>
      </c>
      <c r="D261" t="str">
        <f>IF(الإدخالات!C261="","",الإدخالات!C261)</f>
        <v/>
      </c>
      <c r="E261" s="24" t="str">
        <f>IF(الإدخالات!C261="","",الإدخالات!D261)</f>
        <v/>
      </c>
      <c r="F261" t="str">
        <f>IF(الإدخالات!C261="","",IF(الإدخالات!G261="","",الإدخالات!G261))</f>
        <v/>
      </c>
      <c r="G261" t="str">
        <f>IF($B261&lt;&gt;"",SUMPRODUCT(($B$2:$B261&lt;&gt;"")*1),"")</f>
        <v/>
      </c>
    </row>
    <row r="262" spans="1:7">
      <c r="A262" s="23" t="str">
        <f>IF(الإدخالات!C262="","",الإدخالات!B262)</f>
        <v/>
      </c>
      <c r="B262" t="str">
        <f>IF(الإدخالات!C262="","","شراء")</f>
        <v/>
      </c>
      <c r="C262" t="str">
        <f>IF(الإدخالات!C262="","",IF(الإدخالات!E262="","-",الإدخالات!E262))</f>
        <v/>
      </c>
      <c r="D262" t="str">
        <f>IF(الإدخالات!C262="","",الإدخالات!C262)</f>
        <v/>
      </c>
      <c r="E262" s="24" t="str">
        <f>IF(الإدخالات!C262="","",الإدخالات!D262)</f>
        <v/>
      </c>
      <c r="F262" t="str">
        <f>IF(الإدخالات!C262="","",IF(الإدخالات!G262="","",الإدخالات!G262))</f>
        <v/>
      </c>
      <c r="G262" t="str">
        <f>IF($B262&lt;&gt;"",SUMPRODUCT(($B$2:$B262&lt;&gt;"")*1),"")</f>
        <v/>
      </c>
    </row>
    <row r="263" spans="1:7">
      <c r="A263" s="23" t="str">
        <f>IF(الإدخالات!C263="","",الإدخالات!B263)</f>
        <v/>
      </c>
      <c r="B263" t="str">
        <f>IF(الإدخالات!C263="","","شراء")</f>
        <v/>
      </c>
      <c r="C263" t="str">
        <f>IF(الإدخالات!C263="","",IF(الإدخالات!E263="","-",الإدخالات!E263))</f>
        <v/>
      </c>
      <c r="D263" t="str">
        <f>IF(الإدخالات!C263="","",الإدخالات!C263)</f>
        <v/>
      </c>
      <c r="E263" s="24" t="str">
        <f>IF(الإدخالات!C263="","",الإدخالات!D263)</f>
        <v/>
      </c>
      <c r="F263" t="str">
        <f>IF(الإدخالات!C263="","",IF(الإدخالات!G263="","",الإدخالات!G263))</f>
        <v/>
      </c>
      <c r="G263" t="str">
        <f>IF($B263&lt;&gt;"",SUMPRODUCT(($B$2:$B263&lt;&gt;"")*1),"")</f>
        <v/>
      </c>
    </row>
    <row r="264" spans="1:7">
      <c r="A264" s="23" t="str">
        <f>IF(الإدخالات!C264="","",الإدخالات!B264)</f>
        <v/>
      </c>
      <c r="B264" t="str">
        <f>IF(الإدخالات!C264="","","شراء")</f>
        <v/>
      </c>
      <c r="C264" t="str">
        <f>IF(الإدخالات!C264="","",IF(الإدخالات!E264="","-",الإدخالات!E264))</f>
        <v/>
      </c>
      <c r="D264" t="str">
        <f>IF(الإدخالات!C264="","",الإدخالات!C264)</f>
        <v/>
      </c>
      <c r="E264" s="24" t="str">
        <f>IF(الإدخالات!C264="","",الإدخالات!D264)</f>
        <v/>
      </c>
      <c r="F264" t="str">
        <f>IF(الإدخالات!C264="","",IF(الإدخالات!G264="","",الإدخالات!G264))</f>
        <v/>
      </c>
      <c r="G264" t="str">
        <f>IF($B264&lt;&gt;"",SUMPRODUCT(($B$2:$B264&lt;&gt;"")*1),"")</f>
        <v/>
      </c>
    </row>
    <row r="265" spans="1:7">
      <c r="A265" s="23" t="str">
        <f>IF(الإدخالات!C265="","",الإدخالات!B265)</f>
        <v/>
      </c>
      <c r="B265" t="str">
        <f>IF(الإدخالات!C265="","","شراء")</f>
        <v/>
      </c>
      <c r="C265" t="str">
        <f>IF(الإدخالات!C265="","",IF(الإدخالات!E265="","-",الإدخالات!E265))</f>
        <v/>
      </c>
      <c r="D265" t="str">
        <f>IF(الإدخالات!C265="","",الإدخالات!C265)</f>
        <v/>
      </c>
      <c r="E265" s="24" t="str">
        <f>IF(الإدخالات!C265="","",الإدخالات!D265)</f>
        <v/>
      </c>
      <c r="F265" t="str">
        <f>IF(الإدخالات!C265="","",IF(الإدخالات!G265="","",الإدخالات!G265))</f>
        <v/>
      </c>
      <c r="G265" t="str">
        <f>IF($B265&lt;&gt;"",SUMPRODUCT(($B$2:$B265&lt;&gt;"")*1),"")</f>
        <v/>
      </c>
    </row>
    <row r="266" spans="1:7">
      <c r="A266" s="23" t="str">
        <f>IF(الإدخالات!C266="","",الإدخالات!B266)</f>
        <v/>
      </c>
      <c r="B266" t="str">
        <f>IF(الإدخالات!C266="","","شراء")</f>
        <v/>
      </c>
      <c r="C266" t="str">
        <f>IF(الإدخالات!C266="","",IF(الإدخالات!E266="","-",الإدخالات!E266))</f>
        <v/>
      </c>
      <c r="D266" t="str">
        <f>IF(الإدخالات!C266="","",الإدخالات!C266)</f>
        <v/>
      </c>
      <c r="E266" s="24" t="str">
        <f>IF(الإدخالات!C266="","",الإدخالات!D266)</f>
        <v/>
      </c>
      <c r="F266" t="str">
        <f>IF(الإدخالات!C266="","",IF(الإدخالات!G266="","",الإدخالات!G266))</f>
        <v/>
      </c>
      <c r="G266" t="str">
        <f>IF($B266&lt;&gt;"",SUMPRODUCT(($B$2:$B266&lt;&gt;"")*1),"")</f>
        <v/>
      </c>
    </row>
    <row r="267" spans="1:7">
      <c r="A267" s="23" t="str">
        <f>IF(الإدخالات!C267="","",الإدخالات!B267)</f>
        <v/>
      </c>
      <c r="B267" t="str">
        <f>IF(الإدخالات!C267="","","شراء")</f>
        <v/>
      </c>
      <c r="C267" t="str">
        <f>IF(الإدخالات!C267="","",IF(الإدخالات!E267="","-",الإدخالات!E267))</f>
        <v/>
      </c>
      <c r="D267" t="str">
        <f>IF(الإدخالات!C267="","",الإدخالات!C267)</f>
        <v/>
      </c>
      <c r="E267" s="24" t="str">
        <f>IF(الإدخالات!C267="","",الإدخالات!D267)</f>
        <v/>
      </c>
      <c r="F267" t="str">
        <f>IF(الإدخالات!C267="","",IF(الإدخالات!G267="","",الإدخالات!G267))</f>
        <v/>
      </c>
      <c r="G267" t="str">
        <f>IF($B267&lt;&gt;"",SUMPRODUCT(($B$2:$B267&lt;&gt;"")*1),"")</f>
        <v/>
      </c>
    </row>
    <row r="268" spans="1:7">
      <c r="A268" s="23" t="str">
        <f>IF(الإدخالات!C268="","",الإدخالات!B268)</f>
        <v/>
      </c>
      <c r="B268" t="str">
        <f>IF(الإدخالات!C268="","","شراء")</f>
        <v/>
      </c>
      <c r="C268" t="str">
        <f>IF(الإدخالات!C268="","",IF(الإدخالات!E268="","-",الإدخالات!E268))</f>
        <v/>
      </c>
      <c r="D268" t="str">
        <f>IF(الإدخالات!C268="","",الإدخالات!C268)</f>
        <v/>
      </c>
      <c r="E268" s="24" t="str">
        <f>IF(الإدخالات!C268="","",الإدخالات!D268)</f>
        <v/>
      </c>
      <c r="F268" t="str">
        <f>IF(الإدخالات!C268="","",IF(الإدخالات!G268="","",الإدخالات!G268))</f>
        <v/>
      </c>
      <c r="G268" t="str">
        <f>IF($B268&lt;&gt;"",SUMPRODUCT(($B$2:$B268&lt;&gt;"")*1),"")</f>
        <v/>
      </c>
    </row>
    <row r="269" spans="1:7">
      <c r="A269" s="23" t="str">
        <f>IF(الإدخالات!C269="","",الإدخالات!B269)</f>
        <v/>
      </c>
      <c r="B269" t="str">
        <f>IF(الإدخالات!C269="","","شراء")</f>
        <v/>
      </c>
      <c r="C269" t="str">
        <f>IF(الإدخالات!C269="","",IF(الإدخالات!E269="","-",الإدخالات!E269))</f>
        <v/>
      </c>
      <c r="D269" t="str">
        <f>IF(الإدخالات!C269="","",الإدخالات!C269)</f>
        <v/>
      </c>
      <c r="E269" s="24" t="str">
        <f>IF(الإدخالات!C269="","",الإدخالات!D269)</f>
        <v/>
      </c>
      <c r="F269" t="str">
        <f>IF(الإدخالات!C269="","",IF(الإدخالات!G269="","",الإدخالات!G269))</f>
        <v/>
      </c>
      <c r="G269" t="str">
        <f>IF($B269&lt;&gt;"",SUMPRODUCT(($B$2:$B269&lt;&gt;"")*1),"")</f>
        <v/>
      </c>
    </row>
    <row r="270" spans="1:7">
      <c r="A270" s="23" t="str">
        <f>IF(الإدخالات!C270="","",الإدخالات!B270)</f>
        <v/>
      </c>
      <c r="B270" t="str">
        <f>IF(الإدخالات!C270="","","شراء")</f>
        <v/>
      </c>
      <c r="C270" t="str">
        <f>IF(الإدخالات!C270="","",IF(الإدخالات!E270="","-",الإدخالات!E270))</f>
        <v/>
      </c>
      <c r="D270" t="str">
        <f>IF(الإدخالات!C270="","",الإدخالات!C270)</f>
        <v/>
      </c>
      <c r="E270" s="24" t="str">
        <f>IF(الإدخالات!C270="","",الإدخالات!D270)</f>
        <v/>
      </c>
      <c r="F270" t="str">
        <f>IF(الإدخالات!C270="","",IF(الإدخالات!G270="","",الإدخالات!G270))</f>
        <v/>
      </c>
      <c r="G270" t="str">
        <f>IF($B270&lt;&gt;"",SUMPRODUCT(($B$2:$B270&lt;&gt;"")*1),"")</f>
        <v/>
      </c>
    </row>
    <row r="271" spans="1:7">
      <c r="A271" s="23" t="str">
        <f>IF(الإدخالات!C271="","",الإدخالات!B271)</f>
        <v/>
      </c>
      <c r="B271" t="str">
        <f>IF(الإدخالات!C271="","","شراء")</f>
        <v/>
      </c>
      <c r="C271" t="str">
        <f>IF(الإدخالات!C271="","",IF(الإدخالات!E271="","-",الإدخالات!E271))</f>
        <v/>
      </c>
      <c r="D271" t="str">
        <f>IF(الإدخالات!C271="","",الإدخالات!C271)</f>
        <v/>
      </c>
      <c r="E271" s="24" t="str">
        <f>IF(الإدخالات!C271="","",الإدخالات!D271)</f>
        <v/>
      </c>
      <c r="F271" t="str">
        <f>IF(الإدخالات!C271="","",IF(الإدخالات!G271="","",الإدخالات!G271))</f>
        <v/>
      </c>
      <c r="G271" t="str">
        <f>IF($B271&lt;&gt;"",SUMPRODUCT(($B$2:$B271&lt;&gt;"")*1),"")</f>
        <v/>
      </c>
    </row>
    <row r="272" spans="1:7">
      <c r="A272" s="23" t="str">
        <f>IF(الإدخالات!C272="","",الإدخالات!B272)</f>
        <v/>
      </c>
      <c r="B272" t="str">
        <f>IF(الإدخالات!C272="","","شراء")</f>
        <v/>
      </c>
      <c r="C272" t="str">
        <f>IF(الإدخالات!C272="","",IF(الإدخالات!E272="","-",الإدخالات!E272))</f>
        <v/>
      </c>
      <c r="D272" t="str">
        <f>IF(الإدخالات!C272="","",الإدخالات!C272)</f>
        <v/>
      </c>
      <c r="E272" s="24" t="str">
        <f>IF(الإدخالات!C272="","",الإدخالات!D272)</f>
        <v/>
      </c>
      <c r="F272" t="str">
        <f>IF(الإدخالات!C272="","",IF(الإدخالات!G272="","",الإدخالات!G272))</f>
        <v/>
      </c>
      <c r="G272" t="str">
        <f>IF($B272&lt;&gt;"",SUMPRODUCT(($B$2:$B272&lt;&gt;"")*1),"")</f>
        <v/>
      </c>
    </row>
    <row r="273" spans="1:7">
      <c r="A273" s="23" t="str">
        <f>IF(الإدخالات!C273="","",الإدخالات!B273)</f>
        <v/>
      </c>
      <c r="B273" t="str">
        <f>IF(الإدخالات!C273="","","شراء")</f>
        <v/>
      </c>
      <c r="C273" t="str">
        <f>IF(الإدخالات!C273="","",IF(الإدخالات!E273="","-",الإدخالات!E273))</f>
        <v/>
      </c>
      <c r="D273" t="str">
        <f>IF(الإدخالات!C273="","",الإدخالات!C273)</f>
        <v/>
      </c>
      <c r="E273" s="24" t="str">
        <f>IF(الإدخالات!C273="","",الإدخالات!D273)</f>
        <v/>
      </c>
      <c r="F273" t="str">
        <f>IF(الإدخالات!C273="","",IF(الإدخالات!G273="","",الإدخالات!G273))</f>
        <v/>
      </c>
      <c r="G273" t="str">
        <f>IF($B273&lt;&gt;"",SUMPRODUCT(($B$2:$B273&lt;&gt;"")*1),"")</f>
        <v/>
      </c>
    </row>
    <row r="274" spans="1:7">
      <c r="A274" s="23" t="str">
        <f>IF(الإدخالات!C274="","",الإدخالات!B274)</f>
        <v/>
      </c>
      <c r="B274" t="str">
        <f>IF(الإدخالات!C274="","","شراء")</f>
        <v/>
      </c>
      <c r="C274" t="str">
        <f>IF(الإدخالات!C274="","",IF(الإدخالات!E274="","-",الإدخالات!E274))</f>
        <v/>
      </c>
      <c r="D274" t="str">
        <f>IF(الإدخالات!C274="","",الإدخالات!C274)</f>
        <v/>
      </c>
      <c r="E274" s="24" t="str">
        <f>IF(الإدخالات!C274="","",الإدخالات!D274)</f>
        <v/>
      </c>
      <c r="F274" t="str">
        <f>IF(الإدخالات!C274="","",IF(الإدخالات!G274="","",الإدخالات!G274))</f>
        <v/>
      </c>
      <c r="G274" t="str">
        <f>IF($B274&lt;&gt;"",SUMPRODUCT(($B$2:$B274&lt;&gt;"")*1),"")</f>
        <v/>
      </c>
    </row>
    <row r="275" spans="1:7">
      <c r="A275" s="23" t="str">
        <f>IF(الإدخالات!C275="","",الإدخالات!B275)</f>
        <v/>
      </c>
      <c r="B275" t="str">
        <f>IF(الإدخالات!C275="","","شراء")</f>
        <v/>
      </c>
      <c r="C275" t="str">
        <f>IF(الإدخالات!C275="","",IF(الإدخالات!E275="","-",الإدخالات!E275))</f>
        <v/>
      </c>
      <c r="D275" t="str">
        <f>IF(الإدخالات!C275="","",الإدخالات!C275)</f>
        <v/>
      </c>
      <c r="E275" s="24" t="str">
        <f>IF(الإدخالات!C275="","",الإدخالات!D275)</f>
        <v/>
      </c>
      <c r="F275" t="str">
        <f>IF(الإدخالات!C275="","",IF(الإدخالات!G275="","",الإدخالات!G275))</f>
        <v/>
      </c>
      <c r="G275" t="str">
        <f>IF($B275&lt;&gt;"",SUMPRODUCT(($B$2:$B275&lt;&gt;"")*1),"")</f>
        <v/>
      </c>
    </row>
    <row r="276" spans="1:7">
      <c r="A276" s="23" t="str">
        <f>IF(الإدخالات!C276="","",الإدخالات!B276)</f>
        <v/>
      </c>
      <c r="B276" t="str">
        <f>IF(الإدخالات!C276="","","شراء")</f>
        <v/>
      </c>
      <c r="C276" t="str">
        <f>IF(الإدخالات!C276="","",IF(الإدخالات!E276="","-",الإدخالات!E276))</f>
        <v/>
      </c>
      <c r="D276" t="str">
        <f>IF(الإدخالات!C276="","",الإدخالات!C276)</f>
        <v/>
      </c>
      <c r="E276" s="24" t="str">
        <f>IF(الإدخالات!C276="","",الإدخالات!D276)</f>
        <v/>
      </c>
      <c r="F276" t="str">
        <f>IF(الإدخالات!C276="","",IF(الإدخالات!G276="","",الإدخالات!G276))</f>
        <v/>
      </c>
      <c r="G276" t="str">
        <f>IF($B276&lt;&gt;"",SUMPRODUCT(($B$2:$B276&lt;&gt;"")*1),"")</f>
        <v/>
      </c>
    </row>
    <row r="277" spans="1:7">
      <c r="A277" s="23" t="str">
        <f>IF(الإدخالات!C277="","",الإدخالات!B277)</f>
        <v/>
      </c>
      <c r="B277" t="str">
        <f>IF(الإدخالات!C277="","","شراء")</f>
        <v/>
      </c>
      <c r="C277" t="str">
        <f>IF(الإدخالات!C277="","",IF(الإدخالات!E277="","-",الإدخالات!E277))</f>
        <v/>
      </c>
      <c r="D277" t="str">
        <f>IF(الإدخالات!C277="","",الإدخالات!C277)</f>
        <v/>
      </c>
      <c r="E277" s="24" t="str">
        <f>IF(الإدخالات!C277="","",الإدخالات!D277)</f>
        <v/>
      </c>
      <c r="F277" t="str">
        <f>IF(الإدخالات!C277="","",IF(الإدخالات!G277="","",الإدخالات!G277))</f>
        <v/>
      </c>
      <c r="G277" t="str">
        <f>IF($B277&lt;&gt;"",SUMPRODUCT(($B$2:$B277&lt;&gt;"")*1),"")</f>
        <v/>
      </c>
    </row>
    <row r="278" spans="1:7">
      <c r="A278" s="23" t="str">
        <f>IF(الإدخالات!C278="","",الإدخالات!B278)</f>
        <v/>
      </c>
      <c r="B278" t="str">
        <f>IF(الإدخالات!C278="","","شراء")</f>
        <v/>
      </c>
      <c r="C278" t="str">
        <f>IF(الإدخالات!C278="","",IF(الإدخالات!E278="","-",الإدخالات!E278))</f>
        <v/>
      </c>
      <c r="D278" t="str">
        <f>IF(الإدخالات!C278="","",الإدخالات!C278)</f>
        <v/>
      </c>
      <c r="E278" s="24" t="str">
        <f>IF(الإدخالات!C278="","",الإدخالات!D278)</f>
        <v/>
      </c>
      <c r="F278" t="str">
        <f>IF(الإدخالات!C278="","",IF(الإدخالات!G278="","",الإدخالات!G278))</f>
        <v/>
      </c>
      <c r="G278" t="str">
        <f>IF($B278&lt;&gt;"",SUMPRODUCT(($B$2:$B278&lt;&gt;"")*1),"")</f>
        <v/>
      </c>
    </row>
    <row r="279" spans="1:7">
      <c r="A279" s="23" t="str">
        <f>IF(الإدخالات!C279="","",الإدخالات!B279)</f>
        <v/>
      </c>
      <c r="B279" t="str">
        <f>IF(الإدخالات!C279="","","شراء")</f>
        <v/>
      </c>
      <c r="C279" t="str">
        <f>IF(الإدخالات!C279="","",IF(الإدخالات!E279="","-",الإدخالات!E279))</f>
        <v/>
      </c>
      <c r="D279" t="str">
        <f>IF(الإدخالات!C279="","",الإدخالات!C279)</f>
        <v/>
      </c>
      <c r="E279" s="24" t="str">
        <f>IF(الإدخالات!C279="","",الإدخالات!D279)</f>
        <v/>
      </c>
      <c r="F279" t="str">
        <f>IF(الإدخالات!C279="","",IF(الإدخالات!G279="","",الإدخالات!G279))</f>
        <v/>
      </c>
      <c r="G279" t="str">
        <f>IF($B279&lt;&gt;"",SUMPRODUCT(($B$2:$B279&lt;&gt;"")*1),"")</f>
        <v/>
      </c>
    </row>
    <row r="280" spans="1:7">
      <c r="A280" s="23" t="str">
        <f>IF(الإدخالات!C280="","",الإدخالات!B280)</f>
        <v/>
      </c>
      <c r="B280" t="str">
        <f>IF(الإدخالات!C280="","","شراء")</f>
        <v/>
      </c>
      <c r="C280" t="str">
        <f>IF(الإدخالات!C280="","",IF(الإدخالات!E280="","-",الإدخالات!E280))</f>
        <v/>
      </c>
      <c r="D280" t="str">
        <f>IF(الإدخالات!C280="","",الإدخالات!C280)</f>
        <v/>
      </c>
      <c r="E280" s="24" t="str">
        <f>IF(الإدخالات!C280="","",الإدخالات!D280)</f>
        <v/>
      </c>
      <c r="F280" t="str">
        <f>IF(الإدخالات!C280="","",IF(الإدخالات!G280="","",الإدخالات!G280))</f>
        <v/>
      </c>
      <c r="G280" t="str">
        <f>IF($B280&lt;&gt;"",SUMPRODUCT(($B$2:$B280&lt;&gt;"")*1),"")</f>
        <v/>
      </c>
    </row>
    <row r="281" spans="1:7">
      <c r="A281" s="23" t="str">
        <f>IF(الإدخالات!C281="","",الإدخالات!B281)</f>
        <v/>
      </c>
      <c r="B281" t="str">
        <f>IF(الإدخالات!C281="","","شراء")</f>
        <v/>
      </c>
      <c r="C281" t="str">
        <f>IF(الإدخالات!C281="","",IF(الإدخالات!E281="","-",الإدخالات!E281))</f>
        <v/>
      </c>
      <c r="D281" t="str">
        <f>IF(الإدخالات!C281="","",الإدخالات!C281)</f>
        <v/>
      </c>
      <c r="E281" s="24" t="str">
        <f>IF(الإدخالات!C281="","",الإدخالات!D281)</f>
        <v/>
      </c>
      <c r="F281" t="str">
        <f>IF(الإدخالات!C281="","",IF(الإدخالات!G281="","",الإدخالات!G281))</f>
        <v/>
      </c>
      <c r="G281" t="str">
        <f>IF($B281&lt;&gt;"",SUMPRODUCT(($B$2:$B281&lt;&gt;"")*1),"")</f>
        <v/>
      </c>
    </row>
    <row r="282" spans="1:7">
      <c r="A282" s="23" t="str">
        <f>IF(الإدخالات!C282="","",الإدخالات!B282)</f>
        <v/>
      </c>
      <c r="B282" t="str">
        <f>IF(الإدخالات!C282="","","شراء")</f>
        <v/>
      </c>
      <c r="C282" t="str">
        <f>IF(الإدخالات!C282="","",IF(الإدخالات!E282="","-",الإدخالات!E282))</f>
        <v/>
      </c>
      <c r="D282" t="str">
        <f>IF(الإدخالات!C282="","",الإدخالات!C282)</f>
        <v/>
      </c>
      <c r="E282" s="24" t="str">
        <f>IF(الإدخالات!C282="","",الإدخالات!D282)</f>
        <v/>
      </c>
      <c r="F282" t="str">
        <f>IF(الإدخالات!C282="","",IF(الإدخالات!G282="","",الإدخالات!G282))</f>
        <v/>
      </c>
      <c r="G282" t="str">
        <f>IF($B282&lt;&gt;"",SUMPRODUCT(($B$2:$B282&lt;&gt;"")*1),"")</f>
        <v/>
      </c>
    </row>
    <row r="283" spans="1:7">
      <c r="A283" s="23" t="str">
        <f>IF(الإدخالات!C283="","",الإدخالات!B283)</f>
        <v/>
      </c>
      <c r="B283" t="str">
        <f>IF(الإدخالات!C283="","","شراء")</f>
        <v/>
      </c>
      <c r="C283" t="str">
        <f>IF(الإدخالات!C283="","",IF(الإدخالات!E283="","-",الإدخالات!E283))</f>
        <v/>
      </c>
      <c r="D283" t="str">
        <f>IF(الإدخالات!C283="","",الإدخالات!C283)</f>
        <v/>
      </c>
      <c r="E283" s="24" t="str">
        <f>IF(الإدخالات!C283="","",الإدخالات!D283)</f>
        <v/>
      </c>
      <c r="F283" t="str">
        <f>IF(الإدخالات!C283="","",IF(الإدخالات!G283="","",الإدخالات!G283))</f>
        <v/>
      </c>
      <c r="G283" t="str">
        <f>IF($B283&lt;&gt;"",SUMPRODUCT(($B$2:$B283&lt;&gt;"")*1),"")</f>
        <v/>
      </c>
    </row>
    <row r="284" spans="1:7">
      <c r="A284" s="23" t="str">
        <f>IF(الإدخالات!C284="","",الإدخالات!B284)</f>
        <v/>
      </c>
      <c r="B284" t="str">
        <f>IF(الإدخالات!C284="","","شراء")</f>
        <v/>
      </c>
      <c r="C284" t="str">
        <f>IF(الإدخالات!C284="","",IF(الإدخالات!E284="","-",الإدخالات!E284))</f>
        <v/>
      </c>
      <c r="D284" t="str">
        <f>IF(الإدخالات!C284="","",الإدخالات!C284)</f>
        <v/>
      </c>
      <c r="E284" s="24" t="str">
        <f>IF(الإدخالات!C284="","",الإدخالات!D284)</f>
        <v/>
      </c>
      <c r="F284" t="str">
        <f>IF(الإدخالات!C284="","",IF(الإدخالات!G284="","",الإدخالات!G284))</f>
        <v/>
      </c>
      <c r="G284" t="str">
        <f>IF($B284&lt;&gt;"",SUMPRODUCT(($B$2:$B284&lt;&gt;"")*1),"")</f>
        <v/>
      </c>
    </row>
    <row r="285" spans="1:7">
      <c r="A285" s="23" t="str">
        <f>IF(الإدخالات!C285="","",الإدخالات!B285)</f>
        <v/>
      </c>
      <c r="B285" t="str">
        <f>IF(الإدخالات!C285="","","شراء")</f>
        <v/>
      </c>
      <c r="C285" t="str">
        <f>IF(الإدخالات!C285="","",IF(الإدخالات!E285="","-",الإدخالات!E285))</f>
        <v/>
      </c>
      <c r="D285" t="str">
        <f>IF(الإدخالات!C285="","",الإدخالات!C285)</f>
        <v/>
      </c>
      <c r="E285" s="24" t="str">
        <f>IF(الإدخالات!C285="","",الإدخالات!D285)</f>
        <v/>
      </c>
      <c r="F285" t="str">
        <f>IF(الإدخالات!C285="","",IF(الإدخالات!G285="","",الإدخالات!G285))</f>
        <v/>
      </c>
      <c r="G285" t="str">
        <f>IF($B285&lt;&gt;"",SUMPRODUCT(($B$2:$B285&lt;&gt;"")*1),"")</f>
        <v/>
      </c>
    </row>
    <row r="286" spans="1:7">
      <c r="A286" s="23" t="str">
        <f>IF(الإدخالات!C286="","",الإدخالات!B286)</f>
        <v/>
      </c>
      <c r="B286" t="str">
        <f>IF(الإدخالات!C286="","","شراء")</f>
        <v/>
      </c>
      <c r="C286" t="str">
        <f>IF(الإدخالات!C286="","",IF(الإدخالات!E286="","-",الإدخالات!E286))</f>
        <v/>
      </c>
      <c r="D286" t="str">
        <f>IF(الإدخالات!C286="","",الإدخالات!C286)</f>
        <v/>
      </c>
      <c r="E286" s="24" t="str">
        <f>IF(الإدخالات!C286="","",الإدخالات!D286)</f>
        <v/>
      </c>
      <c r="F286" t="str">
        <f>IF(الإدخالات!C286="","",IF(الإدخالات!G286="","",الإدخالات!G286))</f>
        <v/>
      </c>
      <c r="G286" t="str">
        <f>IF($B286&lt;&gt;"",SUMPRODUCT(($B$2:$B286&lt;&gt;"")*1),"")</f>
        <v/>
      </c>
    </row>
    <row r="287" spans="1:7">
      <c r="A287" s="23" t="str">
        <f>IF(الإدخالات!C287="","",الإدخالات!B287)</f>
        <v/>
      </c>
      <c r="B287" t="str">
        <f>IF(الإدخالات!C287="","","شراء")</f>
        <v/>
      </c>
      <c r="C287" t="str">
        <f>IF(الإدخالات!C287="","",IF(الإدخالات!E287="","-",الإدخالات!E287))</f>
        <v/>
      </c>
      <c r="D287" t="str">
        <f>IF(الإدخالات!C287="","",الإدخالات!C287)</f>
        <v/>
      </c>
      <c r="E287" s="24" t="str">
        <f>IF(الإدخالات!C287="","",الإدخالات!D287)</f>
        <v/>
      </c>
      <c r="F287" t="str">
        <f>IF(الإدخالات!C287="","",IF(الإدخالات!G287="","",الإدخالات!G287))</f>
        <v/>
      </c>
      <c r="G287" t="str">
        <f>IF($B287&lt;&gt;"",SUMPRODUCT(($B$2:$B287&lt;&gt;"")*1),"")</f>
        <v/>
      </c>
    </row>
    <row r="288" spans="1:7">
      <c r="A288" s="23" t="str">
        <f>IF(الإدخالات!C288="","",الإدخالات!B288)</f>
        <v/>
      </c>
      <c r="B288" t="str">
        <f>IF(الإدخالات!C288="","","شراء")</f>
        <v/>
      </c>
      <c r="C288" t="str">
        <f>IF(الإدخالات!C288="","",IF(الإدخالات!E288="","-",الإدخالات!E288))</f>
        <v/>
      </c>
      <c r="D288" t="str">
        <f>IF(الإدخالات!C288="","",الإدخالات!C288)</f>
        <v/>
      </c>
      <c r="E288" s="24" t="str">
        <f>IF(الإدخالات!C288="","",الإدخالات!D288)</f>
        <v/>
      </c>
      <c r="F288" t="str">
        <f>IF(الإدخالات!C288="","",IF(الإدخالات!G288="","",الإدخالات!G288))</f>
        <v/>
      </c>
      <c r="G288" t="str">
        <f>IF($B288&lt;&gt;"",SUMPRODUCT(($B$2:$B288&lt;&gt;"")*1),"")</f>
        <v/>
      </c>
    </row>
    <row r="289" spans="1:7">
      <c r="A289" s="23" t="str">
        <f>IF(الإدخالات!C289="","",الإدخالات!B289)</f>
        <v/>
      </c>
      <c r="B289" t="str">
        <f>IF(الإدخالات!C289="","","شراء")</f>
        <v/>
      </c>
      <c r="C289" t="str">
        <f>IF(الإدخالات!C289="","",IF(الإدخالات!E289="","-",الإدخالات!E289))</f>
        <v/>
      </c>
      <c r="D289" t="str">
        <f>IF(الإدخالات!C289="","",الإدخالات!C289)</f>
        <v/>
      </c>
      <c r="E289" s="24" t="str">
        <f>IF(الإدخالات!C289="","",الإدخالات!D289)</f>
        <v/>
      </c>
      <c r="F289" t="str">
        <f>IF(الإدخالات!C289="","",IF(الإدخالات!G289="","",الإدخالات!G289))</f>
        <v/>
      </c>
      <c r="G289" t="str">
        <f>IF($B289&lt;&gt;"",SUMPRODUCT(($B$2:$B289&lt;&gt;"")*1),"")</f>
        <v/>
      </c>
    </row>
    <row r="290" spans="1:7">
      <c r="A290" s="23" t="str">
        <f>IF(الإدخالات!C290="","",الإدخالات!B290)</f>
        <v/>
      </c>
      <c r="B290" t="str">
        <f>IF(الإدخالات!C290="","","شراء")</f>
        <v/>
      </c>
      <c r="C290" t="str">
        <f>IF(الإدخالات!C290="","",IF(الإدخالات!E290="","-",الإدخالات!E290))</f>
        <v/>
      </c>
      <c r="D290" t="str">
        <f>IF(الإدخالات!C290="","",الإدخالات!C290)</f>
        <v/>
      </c>
      <c r="E290" s="24" t="str">
        <f>IF(الإدخالات!C290="","",الإدخالات!D290)</f>
        <v/>
      </c>
      <c r="F290" t="str">
        <f>IF(الإدخالات!C290="","",IF(الإدخالات!G290="","",الإدخالات!G290))</f>
        <v/>
      </c>
      <c r="G290" t="str">
        <f>IF($B290&lt;&gt;"",SUMPRODUCT(($B$2:$B290&lt;&gt;"")*1),"")</f>
        <v/>
      </c>
    </row>
    <row r="291" spans="1:7">
      <c r="A291" s="23" t="str">
        <f>IF(الإدخالات!C291="","",الإدخالات!B291)</f>
        <v/>
      </c>
      <c r="B291" t="str">
        <f>IF(الإدخالات!C291="","","شراء")</f>
        <v/>
      </c>
      <c r="C291" t="str">
        <f>IF(الإدخالات!C291="","",IF(الإدخالات!E291="","-",الإدخالات!E291))</f>
        <v/>
      </c>
      <c r="D291" t="str">
        <f>IF(الإدخالات!C291="","",الإدخالات!C291)</f>
        <v/>
      </c>
      <c r="E291" s="24" t="str">
        <f>IF(الإدخالات!C291="","",الإدخالات!D291)</f>
        <v/>
      </c>
      <c r="F291" t="str">
        <f>IF(الإدخالات!C291="","",IF(الإدخالات!G291="","",الإدخالات!G291))</f>
        <v/>
      </c>
      <c r="G291" t="str">
        <f>IF($B291&lt;&gt;"",SUMPRODUCT(($B$2:$B291&lt;&gt;"")*1),"")</f>
        <v/>
      </c>
    </row>
    <row r="292" spans="1:7">
      <c r="A292" s="23" t="str">
        <f>IF(الإدخالات!C292="","",الإدخالات!B292)</f>
        <v/>
      </c>
      <c r="B292" t="str">
        <f>IF(الإدخالات!C292="","","شراء")</f>
        <v/>
      </c>
      <c r="C292" t="str">
        <f>IF(الإدخالات!C292="","",IF(الإدخالات!E292="","-",الإدخالات!E292))</f>
        <v/>
      </c>
      <c r="D292" t="str">
        <f>IF(الإدخالات!C292="","",الإدخالات!C292)</f>
        <v/>
      </c>
      <c r="E292" s="24" t="str">
        <f>IF(الإدخالات!C292="","",الإدخالات!D292)</f>
        <v/>
      </c>
      <c r="F292" t="str">
        <f>IF(الإدخالات!C292="","",IF(الإدخالات!G292="","",الإدخالات!G292))</f>
        <v/>
      </c>
      <c r="G292" t="str">
        <f>IF($B292&lt;&gt;"",SUMPRODUCT(($B$2:$B292&lt;&gt;"")*1),"")</f>
        <v/>
      </c>
    </row>
    <row r="293" spans="1:7">
      <c r="A293" s="23" t="str">
        <f>IF(الإدخالات!C293="","",الإدخالات!B293)</f>
        <v/>
      </c>
      <c r="B293" t="str">
        <f>IF(الإدخالات!C293="","","شراء")</f>
        <v/>
      </c>
      <c r="C293" t="str">
        <f>IF(الإدخالات!C293="","",IF(الإدخالات!E293="","-",الإدخالات!E293))</f>
        <v/>
      </c>
      <c r="D293" t="str">
        <f>IF(الإدخالات!C293="","",الإدخالات!C293)</f>
        <v/>
      </c>
      <c r="E293" s="24" t="str">
        <f>IF(الإدخالات!C293="","",الإدخالات!D293)</f>
        <v/>
      </c>
      <c r="F293" t="str">
        <f>IF(الإدخالات!C293="","",IF(الإدخالات!G293="","",الإدخالات!G293))</f>
        <v/>
      </c>
      <c r="G293" t="str">
        <f>IF($B293&lt;&gt;"",SUMPRODUCT(($B$2:$B293&lt;&gt;"")*1),"")</f>
        <v/>
      </c>
    </row>
    <row r="294" spans="1:7">
      <c r="A294" s="23" t="str">
        <f>IF(الإدخالات!C294="","",الإدخالات!B294)</f>
        <v/>
      </c>
      <c r="B294" t="str">
        <f>IF(الإدخالات!C294="","","شراء")</f>
        <v/>
      </c>
      <c r="C294" t="str">
        <f>IF(الإدخالات!C294="","",IF(الإدخالات!E294="","-",الإدخالات!E294))</f>
        <v/>
      </c>
      <c r="D294" t="str">
        <f>IF(الإدخالات!C294="","",الإدخالات!C294)</f>
        <v/>
      </c>
      <c r="E294" s="24" t="str">
        <f>IF(الإدخالات!C294="","",الإدخالات!D294)</f>
        <v/>
      </c>
      <c r="F294" t="str">
        <f>IF(الإدخالات!C294="","",IF(الإدخالات!G294="","",الإدخالات!G294))</f>
        <v/>
      </c>
      <c r="G294" t="str">
        <f>IF($B294&lt;&gt;"",SUMPRODUCT(($B$2:$B294&lt;&gt;"")*1),"")</f>
        <v/>
      </c>
    </row>
    <row r="295" spans="1:7">
      <c r="A295" s="23" t="str">
        <f>IF(الإدخالات!C295="","",الإدخالات!B295)</f>
        <v/>
      </c>
      <c r="B295" t="str">
        <f>IF(الإدخالات!C295="","","شراء")</f>
        <v/>
      </c>
      <c r="C295" t="str">
        <f>IF(الإدخالات!C295="","",IF(الإدخالات!E295="","-",الإدخالات!E295))</f>
        <v/>
      </c>
      <c r="D295" t="str">
        <f>IF(الإدخالات!C295="","",الإدخالات!C295)</f>
        <v/>
      </c>
      <c r="E295" s="24" t="str">
        <f>IF(الإدخالات!C295="","",الإدخالات!D295)</f>
        <v/>
      </c>
      <c r="F295" t="str">
        <f>IF(الإدخالات!C295="","",IF(الإدخالات!G295="","",الإدخالات!G295))</f>
        <v/>
      </c>
      <c r="G295" t="str">
        <f>IF($B295&lt;&gt;"",SUMPRODUCT(($B$2:$B295&lt;&gt;"")*1),"")</f>
        <v/>
      </c>
    </row>
    <row r="296" spans="1:7">
      <c r="A296" s="23" t="str">
        <f>IF(الإدخالات!C296="","",الإدخالات!B296)</f>
        <v/>
      </c>
      <c r="B296" t="str">
        <f>IF(الإدخالات!C296="","","شراء")</f>
        <v/>
      </c>
      <c r="C296" t="str">
        <f>IF(الإدخالات!C296="","",IF(الإدخالات!E296="","-",الإدخالات!E296))</f>
        <v/>
      </c>
      <c r="D296" t="str">
        <f>IF(الإدخالات!C296="","",الإدخالات!C296)</f>
        <v/>
      </c>
      <c r="E296" s="24" t="str">
        <f>IF(الإدخالات!C296="","",الإدخالات!D296)</f>
        <v/>
      </c>
      <c r="F296" t="str">
        <f>IF(الإدخالات!C296="","",IF(الإدخالات!G296="","",الإدخالات!G296))</f>
        <v/>
      </c>
      <c r="G296" t="str">
        <f>IF($B296&lt;&gt;"",SUMPRODUCT(($B$2:$B296&lt;&gt;"")*1),"")</f>
        <v/>
      </c>
    </row>
    <row r="297" spans="1:7">
      <c r="A297" s="23" t="str">
        <f>IF(الإدخالات!C297="","",الإدخالات!B297)</f>
        <v/>
      </c>
      <c r="B297" t="str">
        <f>IF(الإدخالات!C297="","","شراء")</f>
        <v/>
      </c>
      <c r="C297" t="str">
        <f>IF(الإدخالات!C297="","",IF(الإدخالات!E297="","-",الإدخالات!E297))</f>
        <v/>
      </c>
      <c r="D297" t="str">
        <f>IF(الإدخالات!C297="","",الإدخالات!C297)</f>
        <v/>
      </c>
      <c r="E297" s="24" t="str">
        <f>IF(الإدخالات!C297="","",الإدخالات!D297)</f>
        <v/>
      </c>
      <c r="F297" t="str">
        <f>IF(الإدخالات!C297="","",IF(الإدخالات!G297="","",الإدخالات!G297))</f>
        <v/>
      </c>
      <c r="G297" t="str">
        <f>IF($B297&lt;&gt;"",SUMPRODUCT(($B$2:$B297&lt;&gt;"")*1),"")</f>
        <v/>
      </c>
    </row>
    <row r="298" spans="1:7">
      <c r="A298" s="23" t="str">
        <f>IF(الإدخالات!C298="","",الإدخالات!B298)</f>
        <v/>
      </c>
      <c r="B298" t="str">
        <f>IF(الإدخالات!C298="","","شراء")</f>
        <v/>
      </c>
      <c r="C298" t="str">
        <f>IF(الإدخالات!C298="","",IF(الإدخالات!E298="","-",الإدخالات!E298))</f>
        <v/>
      </c>
      <c r="D298" t="str">
        <f>IF(الإدخالات!C298="","",الإدخالات!C298)</f>
        <v/>
      </c>
      <c r="E298" s="24" t="str">
        <f>IF(الإدخالات!C298="","",الإدخالات!D298)</f>
        <v/>
      </c>
      <c r="F298" t="str">
        <f>IF(الإدخالات!C298="","",IF(الإدخالات!G298="","",الإدخالات!G298))</f>
        <v/>
      </c>
      <c r="G298" t="str">
        <f>IF($B298&lt;&gt;"",SUMPRODUCT(($B$2:$B298&lt;&gt;"")*1),"")</f>
        <v/>
      </c>
    </row>
    <row r="299" spans="1:7">
      <c r="A299" s="23" t="str">
        <f>IF(الإدخالات!C299="","",الإدخالات!B299)</f>
        <v/>
      </c>
      <c r="B299" t="str">
        <f>IF(الإدخالات!C299="","","شراء")</f>
        <v/>
      </c>
      <c r="C299" t="str">
        <f>IF(الإدخالات!C299="","",IF(الإدخالات!E299="","-",الإدخالات!E299))</f>
        <v/>
      </c>
      <c r="D299" t="str">
        <f>IF(الإدخالات!C299="","",الإدخالات!C299)</f>
        <v/>
      </c>
      <c r="E299" s="24" t="str">
        <f>IF(الإدخالات!C299="","",الإدخالات!D299)</f>
        <v/>
      </c>
      <c r="F299" t="str">
        <f>IF(الإدخالات!C299="","",IF(الإدخالات!G299="","",الإدخالات!G299))</f>
        <v/>
      </c>
      <c r="G299" t="str">
        <f>IF($B299&lt;&gt;"",SUMPRODUCT(($B$2:$B299&lt;&gt;"")*1),"")</f>
        <v/>
      </c>
    </row>
    <row r="300" spans="1:7">
      <c r="A300" s="23" t="str">
        <f>IF(الإدخالات!C300="","",الإدخالات!B300)</f>
        <v/>
      </c>
      <c r="B300" t="str">
        <f>IF(الإدخالات!C300="","","شراء")</f>
        <v/>
      </c>
      <c r="C300" t="str">
        <f>IF(الإدخالات!C300="","",IF(الإدخالات!E300="","-",الإدخالات!E300))</f>
        <v/>
      </c>
      <c r="D300" t="str">
        <f>IF(الإدخالات!C300="","",الإدخالات!C300)</f>
        <v/>
      </c>
      <c r="E300" s="24" t="str">
        <f>IF(الإدخالات!C300="","",الإدخالات!D300)</f>
        <v/>
      </c>
      <c r="F300" t="str">
        <f>IF(الإدخالات!C300="","",IF(الإدخالات!G300="","",الإدخالات!G300))</f>
        <v/>
      </c>
      <c r="G300" t="str">
        <f>IF($B300&lt;&gt;"",SUMPRODUCT(($B$2:$B300&lt;&gt;"")*1),"")</f>
        <v/>
      </c>
    </row>
    <row r="301" spans="1:7">
      <c r="A301" s="23" t="str">
        <f>IF(الإدخالات!C301="","",الإدخالات!B301)</f>
        <v/>
      </c>
      <c r="B301" t="str">
        <f>IF(الإدخالات!C301="","","شراء")</f>
        <v/>
      </c>
      <c r="C301" t="str">
        <f>IF(الإدخالات!C301="","",IF(الإدخالات!E301="","-",الإدخالات!E301))</f>
        <v/>
      </c>
      <c r="D301" t="str">
        <f>IF(الإدخالات!C301="","",الإدخالات!C301)</f>
        <v/>
      </c>
      <c r="E301" s="24" t="str">
        <f>IF(الإدخالات!C301="","",الإدخالات!D301)</f>
        <v/>
      </c>
      <c r="F301" t="str">
        <f>IF(الإدخالات!C301="","",IF(الإدخالات!G301="","",الإدخالات!G301))</f>
        <v/>
      </c>
      <c r="G301" t="str">
        <f>IF($B301&lt;&gt;"",SUMPRODUCT(($B$2:$B301&lt;&gt;"")*1),"")</f>
        <v/>
      </c>
    </row>
    <row r="302" spans="1:7">
      <c r="A302" s="23" t="str">
        <f>IF(الإدخالات!C302="","",الإدخالات!B302)</f>
        <v/>
      </c>
      <c r="B302" t="str">
        <f>IF(الإدخالات!C302="","","شراء")</f>
        <v/>
      </c>
      <c r="C302" t="str">
        <f>IF(الإدخالات!C302="","",IF(الإدخالات!E302="","-",الإدخالات!E302))</f>
        <v/>
      </c>
      <c r="D302" t="str">
        <f>IF(الإدخالات!C302="","",الإدخالات!C302)</f>
        <v/>
      </c>
      <c r="E302" s="24" t="str">
        <f>IF(الإدخالات!C302="","",الإدخالات!D302)</f>
        <v/>
      </c>
      <c r="F302" t="str">
        <f>IF(الإدخالات!C302="","",IF(الإدخالات!G302="","",الإدخالات!G302))</f>
        <v/>
      </c>
      <c r="G302" t="str">
        <f>IF($B302&lt;&gt;"",SUMPRODUCT(($B$2:$B302&lt;&gt;"")*1),"")</f>
        <v/>
      </c>
    </row>
    <row r="303" spans="1:7">
      <c r="A303" s="23" t="str">
        <f>IF(الإدخالات!C303="","",الإدخالات!B303)</f>
        <v/>
      </c>
      <c r="B303" t="str">
        <f>IF(الإدخالات!C303="","","شراء")</f>
        <v/>
      </c>
      <c r="C303" t="str">
        <f>IF(الإدخالات!C303="","",IF(الإدخالات!E303="","-",الإدخالات!E303))</f>
        <v/>
      </c>
      <c r="D303" t="str">
        <f>IF(الإدخالات!C303="","",الإدخالات!C303)</f>
        <v/>
      </c>
      <c r="E303" s="24" t="str">
        <f>IF(الإدخالات!C303="","",الإدخالات!D303)</f>
        <v/>
      </c>
      <c r="F303" t="str">
        <f>IF(الإدخالات!C303="","",IF(الإدخالات!G303="","",الإدخالات!G303))</f>
        <v/>
      </c>
      <c r="G303" t="str">
        <f>IF($B303&lt;&gt;"",SUMPRODUCT(($B$2:$B303&lt;&gt;"")*1),"")</f>
        <v/>
      </c>
    </row>
    <row r="304" spans="1:7">
      <c r="A304" s="23" t="str">
        <f>IF(الإدخالات!C304="","",الإدخالات!B304)</f>
        <v/>
      </c>
      <c r="B304" t="str">
        <f>IF(الإدخالات!C304="","","شراء")</f>
        <v/>
      </c>
      <c r="C304" t="str">
        <f>IF(الإدخالات!C304="","",IF(الإدخالات!E304="","-",الإدخالات!E304))</f>
        <v/>
      </c>
      <c r="D304" t="str">
        <f>IF(الإدخالات!C304="","",الإدخالات!C304)</f>
        <v/>
      </c>
      <c r="E304" s="24" t="str">
        <f>IF(الإدخالات!C304="","",الإدخالات!D304)</f>
        <v/>
      </c>
      <c r="F304" t="str">
        <f>IF(الإدخالات!C304="","",IF(الإدخالات!G304="","",الإدخالات!G304))</f>
        <v/>
      </c>
      <c r="G304" t="str">
        <f>IF($B304&lt;&gt;"",SUMPRODUCT(($B$2:$B304&lt;&gt;"")*1),"")</f>
        <v/>
      </c>
    </row>
    <row r="305" spans="1:7">
      <c r="A305" s="23" t="str">
        <f>IF(الإدخالات!C305="","",الإدخالات!B305)</f>
        <v/>
      </c>
      <c r="B305" t="str">
        <f>IF(الإدخالات!C305="","","شراء")</f>
        <v/>
      </c>
      <c r="C305" t="str">
        <f>IF(الإدخالات!C305="","",IF(الإدخالات!E305="","-",الإدخالات!E305))</f>
        <v/>
      </c>
      <c r="D305" t="str">
        <f>IF(الإدخالات!C305="","",الإدخالات!C305)</f>
        <v/>
      </c>
      <c r="E305" s="24" t="str">
        <f>IF(الإدخالات!C305="","",الإدخالات!D305)</f>
        <v/>
      </c>
      <c r="F305" t="str">
        <f>IF(الإدخالات!C305="","",IF(الإدخالات!G305="","",الإدخالات!G305))</f>
        <v/>
      </c>
      <c r="G305" t="str">
        <f>IF($B305&lt;&gt;"",SUMPRODUCT(($B$2:$B305&lt;&gt;"")*1),"")</f>
        <v/>
      </c>
    </row>
    <row r="306" spans="1:7">
      <c r="A306" s="23" t="str">
        <f>IF(الإدخالات!C306="","",الإدخالات!B306)</f>
        <v/>
      </c>
      <c r="B306" t="str">
        <f>IF(الإدخالات!C306="","","شراء")</f>
        <v/>
      </c>
      <c r="C306" t="str">
        <f>IF(الإدخالات!C306="","",IF(الإدخالات!E306="","-",الإدخالات!E306))</f>
        <v/>
      </c>
      <c r="D306" t="str">
        <f>IF(الإدخالات!C306="","",الإدخالات!C306)</f>
        <v/>
      </c>
      <c r="E306" s="24" t="str">
        <f>IF(الإدخالات!C306="","",الإدخالات!D306)</f>
        <v/>
      </c>
      <c r="F306" t="str">
        <f>IF(الإدخالات!C306="","",IF(الإدخالات!G306="","",الإدخالات!G306))</f>
        <v/>
      </c>
      <c r="G306" t="str">
        <f>IF($B306&lt;&gt;"",SUMPRODUCT(($B$2:$B306&lt;&gt;"")*1),"")</f>
        <v/>
      </c>
    </row>
    <row r="307" spans="1:7">
      <c r="A307" s="23" t="str">
        <f>IF(الإدخالات!C307="","",الإدخالات!B307)</f>
        <v/>
      </c>
      <c r="B307" t="str">
        <f>IF(الإدخالات!C307="","","شراء")</f>
        <v/>
      </c>
      <c r="C307" t="str">
        <f>IF(الإدخالات!C307="","",IF(الإدخالات!E307="","-",الإدخالات!E307))</f>
        <v/>
      </c>
      <c r="D307" t="str">
        <f>IF(الإدخالات!C307="","",الإدخالات!C307)</f>
        <v/>
      </c>
      <c r="E307" s="24" t="str">
        <f>IF(الإدخالات!C307="","",الإدخالات!D307)</f>
        <v/>
      </c>
      <c r="F307" t="str">
        <f>IF(الإدخالات!C307="","",IF(الإدخالات!G307="","",الإدخالات!G307))</f>
        <v/>
      </c>
      <c r="G307" t="str">
        <f>IF($B307&lt;&gt;"",SUMPRODUCT(($B$2:$B307&lt;&gt;"")*1),"")</f>
        <v/>
      </c>
    </row>
    <row r="308" spans="1:7">
      <c r="A308" s="23" t="str">
        <f>IF(الإدخالات!C308="","",الإدخالات!B308)</f>
        <v/>
      </c>
      <c r="B308" t="str">
        <f>IF(الإدخالات!C308="","","شراء")</f>
        <v/>
      </c>
      <c r="C308" t="str">
        <f>IF(الإدخالات!C308="","",IF(الإدخالات!E308="","-",الإدخالات!E308))</f>
        <v/>
      </c>
      <c r="D308" t="str">
        <f>IF(الإدخالات!C308="","",الإدخالات!C308)</f>
        <v/>
      </c>
      <c r="E308" s="24" t="str">
        <f>IF(الإدخالات!C308="","",الإدخالات!D308)</f>
        <v/>
      </c>
      <c r="F308" t="str">
        <f>IF(الإدخالات!C308="","",IF(الإدخالات!G308="","",الإدخالات!G308))</f>
        <v/>
      </c>
      <c r="G308" t="str">
        <f>IF($B308&lt;&gt;"",SUMPRODUCT(($B$2:$B308&lt;&gt;"")*1),"")</f>
        <v/>
      </c>
    </row>
    <row r="309" spans="1:7">
      <c r="A309" s="23" t="str">
        <f>IF(الإدخالات!C309="","",الإدخالات!B309)</f>
        <v/>
      </c>
      <c r="B309" t="str">
        <f>IF(الإدخالات!C309="","","شراء")</f>
        <v/>
      </c>
      <c r="C309" t="str">
        <f>IF(الإدخالات!C309="","",IF(الإدخالات!E309="","-",الإدخالات!E309))</f>
        <v/>
      </c>
      <c r="D309" t="str">
        <f>IF(الإدخالات!C309="","",الإدخالات!C309)</f>
        <v/>
      </c>
      <c r="E309" s="24" t="str">
        <f>IF(الإدخالات!C309="","",الإدخالات!D309)</f>
        <v/>
      </c>
      <c r="F309" t="str">
        <f>IF(الإدخالات!C309="","",IF(الإدخالات!G309="","",الإدخالات!G309))</f>
        <v/>
      </c>
      <c r="G309" t="str">
        <f>IF($B309&lt;&gt;"",SUMPRODUCT(($B$2:$B309&lt;&gt;"")*1),"")</f>
        <v/>
      </c>
    </row>
    <row r="310" spans="1:7">
      <c r="A310" s="23" t="str">
        <f>IF(الإدخالات!C310="","",الإدخالات!B310)</f>
        <v/>
      </c>
      <c r="B310" t="str">
        <f>IF(الإدخالات!C310="","","شراء")</f>
        <v/>
      </c>
      <c r="C310" t="str">
        <f>IF(الإدخالات!C310="","",IF(الإدخالات!E310="","-",الإدخالات!E310))</f>
        <v/>
      </c>
      <c r="D310" t="str">
        <f>IF(الإدخالات!C310="","",الإدخالات!C310)</f>
        <v/>
      </c>
      <c r="E310" s="24" t="str">
        <f>IF(الإدخالات!C310="","",الإدخالات!D310)</f>
        <v/>
      </c>
      <c r="F310" t="str">
        <f>IF(الإدخالات!C310="","",IF(الإدخالات!G310="","",الإدخالات!G310))</f>
        <v/>
      </c>
      <c r="G310" t="str">
        <f>IF($B310&lt;&gt;"",SUMPRODUCT(($B$2:$B310&lt;&gt;"")*1),"")</f>
        <v/>
      </c>
    </row>
    <row r="311" spans="1:7">
      <c r="A311" s="23" t="str">
        <f>IF(الإدخالات!C311="","",الإدخالات!B311)</f>
        <v/>
      </c>
      <c r="B311" t="str">
        <f>IF(الإدخالات!C311="","","شراء")</f>
        <v/>
      </c>
      <c r="C311" t="str">
        <f>IF(الإدخالات!C311="","",IF(الإدخالات!E311="","-",الإدخالات!E311))</f>
        <v/>
      </c>
      <c r="D311" t="str">
        <f>IF(الإدخالات!C311="","",الإدخالات!C311)</f>
        <v/>
      </c>
      <c r="E311" s="24" t="str">
        <f>IF(الإدخالات!C311="","",الإدخالات!D311)</f>
        <v/>
      </c>
      <c r="F311" t="str">
        <f>IF(الإدخالات!C311="","",IF(الإدخالات!G311="","",الإدخالات!G311))</f>
        <v/>
      </c>
      <c r="G311" t="str">
        <f>IF($B311&lt;&gt;"",SUMPRODUCT(($B$2:$B311&lt;&gt;"")*1),"")</f>
        <v/>
      </c>
    </row>
    <row r="312" spans="1:7">
      <c r="A312" s="23" t="str">
        <f>IF(الإدخالات!C312="","",الإدخالات!B312)</f>
        <v/>
      </c>
      <c r="B312" t="str">
        <f>IF(الإدخالات!C312="","","شراء")</f>
        <v/>
      </c>
      <c r="C312" t="str">
        <f>IF(الإدخالات!C312="","",IF(الإدخالات!E312="","-",الإدخالات!E312))</f>
        <v/>
      </c>
      <c r="D312" t="str">
        <f>IF(الإدخالات!C312="","",الإدخالات!C312)</f>
        <v/>
      </c>
      <c r="E312" s="24" t="str">
        <f>IF(الإدخالات!C312="","",الإدخالات!D312)</f>
        <v/>
      </c>
      <c r="F312" t="str">
        <f>IF(الإدخالات!C312="","",IF(الإدخالات!G312="","",الإدخالات!G312))</f>
        <v/>
      </c>
      <c r="G312" t="str">
        <f>IF($B312&lt;&gt;"",SUMPRODUCT(($B$2:$B312&lt;&gt;"")*1),"")</f>
        <v/>
      </c>
    </row>
    <row r="313" spans="1:7">
      <c r="A313" s="23" t="str">
        <f>IF(الإدخالات!C313="","",الإدخالات!B313)</f>
        <v/>
      </c>
      <c r="B313" t="str">
        <f>IF(الإدخالات!C313="","","شراء")</f>
        <v/>
      </c>
      <c r="C313" t="str">
        <f>IF(الإدخالات!C313="","",IF(الإدخالات!E313="","-",الإدخالات!E313))</f>
        <v/>
      </c>
      <c r="D313" t="str">
        <f>IF(الإدخالات!C313="","",الإدخالات!C313)</f>
        <v/>
      </c>
      <c r="E313" s="24" t="str">
        <f>IF(الإدخالات!C313="","",الإدخالات!D313)</f>
        <v/>
      </c>
      <c r="F313" t="str">
        <f>IF(الإدخالات!C313="","",IF(الإدخالات!G313="","",الإدخالات!G313))</f>
        <v/>
      </c>
      <c r="G313" t="str">
        <f>IF($B313&lt;&gt;"",SUMPRODUCT(($B$2:$B313&lt;&gt;"")*1),"")</f>
        <v/>
      </c>
    </row>
    <row r="314" spans="1:7">
      <c r="A314" s="23" t="str">
        <f>IF(الإدخالات!C314="","",الإدخالات!B314)</f>
        <v/>
      </c>
      <c r="B314" t="str">
        <f>IF(الإدخالات!C314="","","شراء")</f>
        <v/>
      </c>
      <c r="C314" t="str">
        <f>IF(الإدخالات!C314="","",IF(الإدخالات!E314="","-",الإدخالات!E314))</f>
        <v/>
      </c>
      <c r="D314" t="str">
        <f>IF(الإدخالات!C314="","",الإدخالات!C314)</f>
        <v/>
      </c>
      <c r="E314" s="24" t="str">
        <f>IF(الإدخالات!C314="","",الإدخالات!D314)</f>
        <v/>
      </c>
      <c r="F314" t="str">
        <f>IF(الإدخالات!C314="","",IF(الإدخالات!G314="","",الإدخالات!G314))</f>
        <v/>
      </c>
      <c r="G314" t="str">
        <f>IF($B314&lt;&gt;"",SUMPRODUCT(($B$2:$B314&lt;&gt;"")*1),"")</f>
        <v/>
      </c>
    </row>
    <row r="315" spans="1:7">
      <c r="A315" s="23" t="str">
        <f>IF(الإدخالات!C315="","",الإدخالات!B315)</f>
        <v/>
      </c>
      <c r="B315" t="str">
        <f>IF(الإدخالات!C315="","","شراء")</f>
        <v/>
      </c>
      <c r="C315" t="str">
        <f>IF(الإدخالات!C315="","",IF(الإدخالات!E315="","-",الإدخالات!E315))</f>
        <v/>
      </c>
      <c r="D315" t="str">
        <f>IF(الإدخالات!C315="","",الإدخالات!C315)</f>
        <v/>
      </c>
      <c r="E315" s="24" t="str">
        <f>IF(الإدخالات!C315="","",الإدخالات!D315)</f>
        <v/>
      </c>
      <c r="F315" t="str">
        <f>IF(الإدخالات!C315="","",IF(الإدخالات!G315="","",الإدخالات!G315))</f>
        <v/>
      </c>
      <c r="G315" t="str">
        <f>IF($B315&lt;&gt;"",SUMPRODUCT(($B$2:$B315&lt;&gt;"")*1),"")</f>
        <v/>
      </c>
    </row>
    <row r="316" spans="1:7">
      <c r="A316" s="23" t="str">
        <f>IF(الإدخالات!C316="","",الإدخالات!B316)</f>
        <v/>
      </c>
      <c r="B316" t="str">
        <f>IF(الإدخالات!C316="","","شراء")</f>
        <v/>
      </c>
      <c r="C316" t="str">
        <f>IF(الإدخالات!C316="","",IF(الإدخالات!E316="","-",الإدخالات!E316))</f>
        <v/>
      </c>
      <c r="D316" t="str">
        <f>IF(الإدخالات!C316="","",الإدخالات!C316)</f>
        <v/>
      </c>
      <c r="E316" s="24" t="str">
        <f>IF(الإدخالات!C316="","",الإدخالات!D316)</f>
        <v/>
      </c>
      <c r="F316" t="str">
        <f>IF(الإدخالات!C316="","",IF(الإدخالات!G316="","",الإدخالات!G316))</f>
        <v/>
      </c>
      <c r="G316" t="str">
        <f>IF($B316&lt;&gt;"",SUMPRODUCT(($B$2:$B316&lt;&gt;"")*1),"")</f>
        <v/>
      </c>
    </row>
    <row r="317" spans="1:7">
      <c r="A317" s="23" t="str">
        <f>IF(الإدخالات!C317="","",الإدخالات!B317)</f>
        <v/>
      </c>
      <c r="B317" t="str">
        <f>IF(الإدخالات!C317="","","شراء")</f>
        <v/>
      </c>
      <c r="C317" t="str">
        <f>IF(الإدخالات!C317="","",IF(الإدخالات!E317="","-",الإدخالات!E317))</f>
        <v/>
      </c>
      <c r="D317" t="str">
        <f>IF(الإدخالات!C317="","",الإدخالات!C317)</f>
        <v/>
      </c>
      <c r="E317" s="24" t="str">
        <f>IF(الإدخالات!C317="","",الإدخالات!D317)</f>
        <v/>
      </c>
      <c r="F317" t="str">
        <f>IF(الإدخالات!C317="","",IF(الإدخالات!G317="","",الإدخالات!G317))</f>
        <v/>
      </c>
      <c r="G317" t="str">
        <f>IF($B317&lt;&gt;"",SUMPRODUCT(($B$2:$B317&lt;&gt;"")*1),"")</f>
        <v/>
      </c>
    </row>
    <row r="318" spans="1:7">
      <c r="A318" s="23" t="str">
        <f>IF(الإدخالات!C318="","",الإدخالات!B318)</f>
        <v/>
      </c>
      <c r="B318" t="str">
        <f>IF(الإدخالات!C318="","","شراء")</f>
        <v/>
      </c>
      <c r="C318" t="str">
        <f>IF(الإدخالات!C318="","",IF(الإدخالات!E318="","-",الإدخالات!E318))</f>
        <v/>
      </c>
      <c r="D318" t="str">
        <f>IF(الإدخالات!C318="","",الإدخالات!C318)</f>
        <v/>
      </c>
      <c r="E318" s="24" t="str">
        <f>IF(الإدخالات!C318="","",الإدخالات!D318)</f>
        <v/>
      </c>
      <c r="F318" t="str">
        <f>IF(الإدخالات!C318="","",IF(الإدخالات!G318="","",الإدخالات!G318))</f>
        <v/>
      </c>
      <c r="G318" t="str">
        <f>IF($B318&lt;&gt;"",SUMPRODUCT(($B$2:$B318&lt;&gt;"")*1),"")</f>
        <v/>
      </c>
    </row>
    <row r="319" spans="1:7">
      <c r="A319" s="23" t="str">
        <f>IF(الإدخالات!C319="","",الإدخالات!B319)</f>
        <v/>
      </c>
      <c r="B319" t="str">
        <f>IF(الإدخالات!C319="","","شراء")</f>
        <v/>
      </c>
      <c r="C319" t="str">
        <f>IF(الإدخالات!C319="","",IF(الإدخالات!E319="","-",الإدخالات!E319))</f>
        <v/>
      </c>
      <c r="D319" t="str">
        <f>IF(الإدخالات!C319="","",الإدخالات!C319)</f>
        <v/>
      </c>
      <c r="E319" s="24" t="str">
        <f>IF(الإدخالات!C319="","",الإدخالات!D319)</f>
        <v/>
      </c>
      <c r="F319" t="str">
        <f>IF(الإدخالات!C319="","",IF(الإدخالات!G319="","",الإدخالات!G319))</f>
        <v/>
      </c>
      <c r="G319" t="str">
        <f>IF($B319&lt;&gt;"",SUMPRODUCT(($B$2:$B319&lt;&gt;"")*1),"")</f>
        <v/>
      </c>
    </row>
    <row r="320" spans="1:7">
      <c r="A320" s="23" t="str">
        <f>IF(الإدخالات!C320="","",الإدخالات!B320)</f>
        <v/>
      </c>
      <c r="B320" t="str">
        <f>IF(الإدخالات!C320="","","شراء")</f>
        <v/>
      </c>
      <c r="C320" t="str">
        <f>IF(الإدخالات!C320="","",IF(الإدخالات!E320="","-",الإدخالات!E320))</f>
        <v/>
      </c>
      <c r="D320" t="str">
        <f>IF(الإدخالات!C320="","",الإدخالات!C320)</f>
        <v/>
      </c>
      <c r="E320" s="24" t="str">
        <f>IF(الإدخالات!C320="","",الإدخالات!D320)</f>
        <v/>
      </c>
      <c r="F320" t="str">
        <f>IF(الإدخالات!C320="","",IF(الإدخالات!G320="","",الإدخالات!G320))</f>
        <v/>
      </c>
      <c r="G320" t="str">
        <f>IF($B320&lt;&gt;"",SUMPRODUCT(($B$2:$B320&lt;&gt;"")*1),"")</f>
        <v/>
      </c>
    </row>
    <row r="321" spans="1:7">
      <c r="A321" s="23" t="str">
        <f>IF(الإدخالات!C321="","",الإدخالات!B321)</f>
        <v/>
      </c>
      <c r="B321" t="str">
        <f>IF(الإدخالات!C321="","","شراء")</f>
        <v/>
      </c>
      <c r="C321" t="str">
        <f>IF(الإدخالات!C321="","",IF(الإدخالات!E321="","-",الإدخالات!E321))</f>
        <v/>
      </c>
      <c r="D321" t="str">
        <f>IF(الإدخالات!C321="","",الإدخالات!C321)</f>
        <v/>
      </c>
      <c r="E321" s="24" t="str">
        <f>IF(الإدخالات!C321="","",الإدخالات!D321)</f>
        <v/>
      </c>
      <c r="F321" t="str">
        <f>IF(الإدخالات!C321="","",IF(الإدخالات!G321="","",الإدخالات!G321))</f>
        <v/>
      </c>
      <c r="G321" t="str">
        <f>IF($B321&lt;&gt;"",SUMPRODUCT(($B$2:$B321&lt;&gt;"")*1),"")</f>
        <v/>
      </c>
    </row>
    <row r="322" spans="1:7">
      <c r="A322" s="23" t="str">
        <f>IF(الإدخالات!C322="","",الإدخالات!B322)</f>
        <v/>
      </c>
      <c r="B322" t="str">
        <f>IF(الإدخالات!C322="","","شراء")</f>
        <v/>
      </c>
      <c r="C322" t="str">
        <f>IF(الإدخالات!C322="","",IF(الإدخالات!E322="","-",الإدخالات!E322))</f>
        <v/>
      </c>
      <c r="D322" t="str">
        <f>IF(الإدخالات!C322="","",الإدخالات!C322)</f>
        <v/>
      </c>
      <c r="E322" s="24" t="str">
        <f>IF(الإدخالات!C322="","",الإدخالات!D322)</f>
        <v/>
      </c>
      <c r="F322" t="str">
        <f>IF(الإدخالات!C322="","",IF(الإدخالات!G322="","",الإدخالات!G322))</f>
        <v/>
      </c>
      <c r="G322" t="str">
        <f>IF($B322&lt;&gt;"",SUMPRODUCT(($B$2:$B322&lt;&gt;"")*1),"")</f>
        <v/>
      </c>
    </row>
    <row r="323" spans="1:7">
      <c r="A323" s="23" t="str">
        <f>IF(الإدخالات!C323="","",الإدخالات!B323)</f>
        <v/>
      </c>
      <c r="B323" t="str">
        <f>IF(الإدخالات!C323="","","شراء")</f>
        <v/>
      </c>
      <c r="C323" t="str">
        <f>IF(الإدخالات!C323="","",IF(الإدخالات!E323="","-",الإدخالات!E323))</f>
        <v/>
      </c>
      <c r="D323" t="str">
        <f>IF(الإدخالات!C323="","",الإدخالات!C323)</f>
        <v/>
      </c>
      <c r="E323" s="24" t="str">
        <f>IF(الإدخالات!C323="","",الإدخالات!D323)</f>
        <v/>
      </c>
      <c r="F323" t="str">
        <f>IF(الإدخالات!C323="","",IF(الإدخالات!G323="","",الإدخالات!G323))</f>
        <v/>
      </c>
      <c r="G323" t="str">
        <f>IF($B323&lt;&gt;"",SUMPRODUCT(($B$2:$B323&lt;&gt;"")*1),"")</f>
        <v/>
      </c>
    </row>
    <row r="324" spans="1:7">
      <c r="A324" s="23" t="str">
        <f>IF(الإدخالات!C324="","",الإدخالات!B324)</f>
        <v/>
      </c>
      <c r="B324" t="str">
        <f>IF(الإدخالات!C324="","","شراء")</f>
        <v/>
      </c>
      <c r="C324" t="str">
        <f>IF(الإدخالات!C324="","",IF(الإدخالات!E324="","-",الإدخالات!E324))</f>
        <v/>
      </c>
      <c r="D324" t="str">
        <f>IF(الإدخالات!C324="","",الإدخالات!C324)</f>
        <v/>
      </c>
      <c r="E324" s="24" t="str">
        <f>IF(الإدخالات!C324="","",الإدخالات!D324)</f>
        <v/>
      </c>
      <c r="F324" t="str">
        <f>IF(الإدخالات!C324="","",IF(الإدخالات!G324="","",الإدخالات!G324))</f>
        <v/>
      </c>
      <c r="G324" t="str">
        <f>IF($B324&lt;&gt;"",SUMPRODUCT(($B$2:$B324&lt;&gt;"")*1),"")</f>
        <v/>
      </c>
    </row>
    <row r="325" spans="1:7">
      <c r="A325" s="23" t="str">
        <f>IF(الإدخالات!C325="","",الإدخالات!B325)</f>
        <v/>
      </c>
      <c r="B325" t="str">
        <f>IF(الإدخالات!C325="","","شراء")</f>
        <v/>
      </c>
      <c r="C325" t="str">
        <f>IF(الإدخالات!C325="","",IF(الإدخالات!E325="","-",الإدخالات!E325))</f>
        <v/>
      </c>
      <c r="D325" t="str">
        <f>IF(الإدخالات!C325="","",الإدخالات!C325)</f>
        <v/>
      </c>
      <c r="E325" s="24" t="str">
        <f>IF(الإدخالات!C325="","",الإدخالات!D325)</f>
        <v/>
      </c>
      <c r="F325" t="str">
        <f>IF(الإدخالات!C325="","",IF(الإدخالات!G325="","",الإدخالات!G325))</f>
        <v/>
      </c>
      <c r="G325" t="str">
        <f>IF($B325&lt;&gt;"",SUMPRODUCT(($B$2:$B325&lt;&gt;"")*1),"")</f>
        <v/>
      </c>
    </row>
    <row r="326" spans="1:7">
      <c r="A326" s="23" t="str">
        <f>IF(الإدخالات!C326="","",الإدخالات!B326)</f>
        <v/>
      </c>
      <c r="B326" t="str">
        <f>IF(الإدخالات!C326="","","شراء")</f>
        <v/>
      </c>
      <c r="C326" t="str">
        <f>IF(الإدخالات!C326="","",IF(الإدخالات!E326="","-",الإدخالات!E326))</f>
        <v/>
      </c>
      <c r="D326" t="str">
        <f>IF(الإدخالات!C326="","",الإدخالات!C326)</f>
        <v/>
      </c>
      <c r="E326" s="24" t="str">
        <f>IF(الإدخالات!C326="","",الإدخالات!D326)</f>
        <v/>
      </c>
      <c r="F326" t="str">
        <f>IF(الإدخالات!C326="","",IF(الإدخالات!G326="","",الإدخالات!G326))</f>
        <v/>
      </c>
      <c r="G326" t="str">
        <f>IF($B326&lt;&gt;"",SUMPRODUCT(($B$2:$B326&lt;&gt;"")*1),"")</f>
        <v/>
      </c>
    </row>
    <row r="327" spans="1:7">
      <c r="A327" s="23" t="str">
        <f>IF(الإدخالات!C327="","",الإدخالات!B327)</f>
        <v/>
      </c>
      <c r="B327" t="str">
        <f>IF(الإدخالات!C327="","","شراء")</f>
        <v/>
      </c>
      <c r="C327" t="str">
        <f>IF(الإدخالات!C327="","",IF(الإدخالات!E327="","-",الإدخالات!E327))</f>
        <v/>
      </c>
      <c r="D327" t="str">
        <f>IF(الإدخالات!C327="","",الإدخالات!C327)</f>
        <v/>
      </c>
      <c r="E327" s="24" t="str">
        <f>IF(الإدخالات!C327="","",الإدخالات!D327)</f>
        <v/>
      </c>
      <c r="F327" t="str">
        <f>IF(الإدخالات!C327="","",IF(الإدخالات!G327="","",الإدخالات!G327))</f>
        <v/>
      </c>
      <c r="G327" t="str">
        <f>IF($B327&lt;&gt;"",SUMPRODUCT(($B$2:$B327&lt;&gt;"")*1),"")</f>
        <v/>
      </c>
    </row>
    <row r="328" spans="1:7">
      <c r="A328" s="23" t="str">
        <f>IF(الإدخالات!C328="","",الإدخالات!B328)</f>
        <v/>
      </c>
      <c r="B328" t="str">
        <f>IF(الإدخالات!C328="","","شراء")</f>
        <v/>
      </c>
      <c r="C328" t="str">
        <f>IF(الإدخالات!C328="","",IF(الإدخالات!E328="","-",الإدخالات!E328))</f>
        <v/>
      </c>
      <c r="D328" t="str">
        <f>IF(الإدخالات!C328="","",الإدخالات!C328)</f>
        <v/>
      </c>
      <c r="E328" s="24" t="str">
        <f>IF(الإدخالات!C328="","",الإدخالات!D328)</f>
        <v/>
      </c>
      <c r="F328" t="str">
        <f>IF(الإدخالات!C328="","",IF(الإدخالات!G328="","",الإدخالات!G328))</f>
        <v/>
      </c>
      <c r="G328" t="str">
        <f>IF($B328&lt;&gt;"",SUMPRODUCT(($B$2:$B328&lt;&gt;"")*1),"")</f>
        <v/>
      </c>
    </row>
    <row r="329" spans="1:7">
      <c r="A329" s="23" t="str">
        <f>IF(الإدخالات!C329="","",الإدخالات!B329)</f>
        <v/>
      </c>
      <c r="B329" t="str">
        <f>IF(الإدخالات!C329="","","شراء")</f>
        <v/>
      </c>
      <c r="C329" t="str">
        <f>IF(الإدخالات!C329="","",IF(الإدخالات!E329="","-",الإدخالات!E329))</f>
        <v/>
      </c>
      <c r="D329" t="str">
        <f>IF(الإدخالات!C329="","",الإدخالات!C329)</f>
        <v/>
      </c>
      <c r="E329" s="24" t="str">
        <f>IF(الإدخالات!C329="","",الإدخالات!D329)</f>
        <v/>
      </c>
      <c r="F329" t="str">
        <f>IF(الإدخالات!C329="","",IF(الإدخالات!G329="","",الإدخالات!G329))</f>
        <v/>
      </c>
      <c r="G329" t="str">
        <f>IF($B329&lt;&gt;"",SUMPRODUCT(($B$2:$B329&lt;&gt;"")*1),"")</f>
        <v/>
      </c>
    </row>
    <row r="330" spans="1:7">
      <c r="A330" s="23" t="str">
        <f>IF(الإدخالات!C330="","",الإدخالات!B330)</f>
        <v/>
      </c>
      <c r="B330" t="str">
        <f>IF(الإدخالات!C330="","","شراء")</f>
        <v/>
      </c>
      <c r="C330" t="str">
        <f>IF(الإدخالات!C330="","",IF(الإدخالات!E330="","-",الإدخالات!E330))</f>
        <v/>
      </c>
      <c r="D330" t="str">
        <f>IF(الإدخالات!C330="","",الإدخالات!C330)</f>
        <v/>
      </c>
      <c r="E330" s="24" t="str">
        <f>IF(الإدخالات!C330="","",الإدخالات!D330)</f>
        <v/>
      </c>
      <c r="F330" t="str">
        <f>IF(الإدخالات!C330="","",IF(الإدخالات!G330="","",الإدخالات!G330))</f>
        <v/>
      </c>
      <c r="G330" t="str">
        <f>IF($B330&lt;&gt;"",SUMPRODUCT(($B$2:$B330&lt;&gt;"")*1),"")</f>
        <v/>
      </c>
    </row>
    <row r="331" spans="1:7">
      <c r="A331" s="23" t="str">
        <f>IF(الإدخالات!C331="","",الإدخالات!B331)</f>
        <v/>
      </c>
      <c r="B331" t="str">
        <f>IF(الإدخالات!C331="","","شراء")</f>
        <v/>
      </c>
      <c r="C331" t="str">
        <f>IF(الإدخالات!C331="","",IF(الإدخالات!E331="","-",الإدخالات!E331))</f>
        <v/>
      </c>
      <c r="D331" t="str">
        <f>IF(الإدخالات!C331="","",الإدخالات!C331)</f>
        <v/>
      </c>
      <c r="E331" s="24" t="str">
        <f>IF(الإدخالات!C331="","",الإدخالات!D331)</f>
        <v/>
      </c>
      <c r="F331" t="str">
        <f>IF(الإدخالات!C331="","",IF(الإدخالات!G331="","",الإدخالات!G331))</f>
        <v/>
      </c>
      <c r="G331" t="str">
        <f>IF($B331&lt;&gt;"",SUMPRODUCT(($B$2:$B331&lt;&gt;"")*1),"")</f>
        <v/>
      </c>
    </row>
    <row r="332" spans="1:7">
      <c r="A332" s="23" t="str">
        <f>IF(الإدخالات!C332="","",الإدخالات!B332)</f>
        <v/>
      </c>
      <c r="B332" t="str">
        <f>IF(الإدخالات!C332="","","شراء")</f>
        <v/>
      </c>
      <c r="C332" t="str">
        <f>IF(الإدخالات!C332="","",IF(الإدخالات!E332="","-",الإدخالات!E332))</f>
        <v/>
      </c>
      <c r="D332" t="str">
        <f>IF(الإدخالات!C332="","",الإدخالات!C332)</f>
        <v/>
      </c>
      <c r="E332" s="24" t="str">
        <f>IF(الإدخالات!C332="","",الإدخالات!D332)</f>
        <v/>
      </c>
      <c r="F332" t="str">
        <f>IF(الإدخالات!C332="","",IF(الإدخالات!G332="","",الإدخالات!G332))</f>
        <v/>
      </c>
      <c r="G332" t="str">
        <f>IF($B332&lt;&gt;"",SUMPRODUCT(($B$2:$B332&lt;&gt;"")*1),"")</f>
        <v/>
      </c>
    </row>
    <row r="333" spans="1:7">
      <c r="A333" s="23" t="str">
        <f>IF(الإدخالات!C333="","",الإدخالات!B333)</f>
        <v/>
      </c>
      <c r="B333" t="str">
        <f>IF(الإدخالات!C333="","","شراء")</f>
        <v/>
      </c>
      <c r="C333" t="str">
        <f>IF(الإدخالات!C333="","",IF(الإدخالات!E333="","-",الإدخالات!E333))</f>
        <v/>
      </c>
      <c r="D333" t="str">
        <f>IF(الإدخالات!C333="","",الإدخالات!C333)</f>
        <v/>
      </c>
      <c r="E333" s="24" t="str">
        <f>IF(الإدخالات!C333="","",الإدخالات!D333)</f>
        <v/>
      </c>
      <c r="F333" t="str">
        <f>IF(الإدخالات!C333="","",IF(الإدخالات!G333="","",الإدخالات!G333))</f>
        <v/>
      </c>
      <c r="G333" t="str">
        <f>IF($B333&lt;&gt;"",SUMPRODUCT(($B$2:$B333&lt;&gt;"")*1),"")</f>
        <v/>
      </c>
    </row>
    <row r="334" spans="1:7">
      <c r="A334" s="23" t="str">
        <f>IF(الإدخالات!C334="","",الإدخالات!B334)</f>
        <v/>
      </c>
      <c r="B334" t="str">
        <f>IF(الإدخالات!C334="","","شراء")</f>
        <v/>
      </c>
      <c r="C334" t="str">
        <f>IF(الإدخالات!C334="","",IF(الإدخالات!E334="","-",الإدخالات!E334))</f>
        <v/>
      </c>
      <c r="D334" t="str">
        <f>IF(الإدخالات!C334="","",الإدخالات!C334)</f>
        <v/>
      </c>
      <c r="E334" s="24" t="str">
        <f>IF(الإدخالات!C334="","",الإدخالات!D334)</f>
        <v/>
      </c>
      <c r="F334" t="str">
        <f>IF(الإدخالات!C334="","",IF(الإدخالات!G334="","",الإدخالات!G334))</f>
        <v/>
      </c>
      <c r="G334" t="str">
        <f>IF($B334&lt;&gt;"",SUMPRODUCT(($B$2:$B334&lt;&gt;"")*1),"")</f>
        <v/>
      </c>
    </row>
    <row r="335" spans="1:7">
      <c r="A335" s="23" t="str">
        <f>IF(الإدخالات!C335="","",الإدخالات!B335)</f>
        <v/>
      </c>
      <c r="B335" t="str">
        <f>IF(الإدخالات!C335="","","شراء")</f>
        <v/>
      </c>
      <c r="C335" t="str">
        <f>IF(الإدخالات!C335="","",IF(الإدخالات!E335="","-",الإدخالات!E335))</f>
        <v/>
      </c>
      <c r="D335" t="str">
        <f>IF(الإدخالات!C335="","",الإدخالات!C335)</f>
        <v/>
      </c>
      <c r="E335" s="24" t="str">
        <f>IF(الإدخالات!C335="","",الإدخالات!D335)</f>
        <v/>
      </c>
      <c r="F335" t="str">
        <f>IF(الإدخالات!C335="","",IF(الإدخالات!G335="","",الإدخالات!G335))</f>
        <v/>
      </c>
      <c r="G335" t="str">
        <f>IF($B335&lt;&gt;"",SUMPRODUCT(($B$2:$B335&lt;&gt;"")*1),"")</f>
        <v/>
      </c>
    </row>
    <row r="336" spans="1:7">
      <c r="A336" s="23" t="str">
        <f>IF(الإدخالات!C336="","",الإدخالات!B336)</f>
        <v/>
      </c>
      <c r="B336" t="str">
        <f>IF(الإدخالات!C336="","","شراء")</f>
        <v/>
      </c>
      <c r="C336" t="str">
        <f>IF(الإدخالات!C336="","",IF(الإدخالات!E336="","-",الإدخالات!E336))</f>
        <v/>
      </c>
      <c r="D336" t="str">
        <f>IF(الإدخالات!C336="","",الإدخالات!C336)</f>
        <v/>
      </c>
      <c r="E336" s="24" t="str">
        <f>IF(الإدخالات!C336="","",الإدخالات!D336)</f>
        <v/>
      </c>
      <c r="F336" t="str">
        <f>IF(الإدخالات!C336="","",IF(الإدخالات!G336="","",الإدخالات!G336))</f>
        <v/>
      </c>
      <c r="G336" t="str">
        <f>IF($B336&lt;&gt;"",SUMPRODUCT(($B$2:$B336&lt;&gt;"")*1),"")</f>
        <v/>
      </c>
    </row>
    <row r="337" spans="1:7">
      <c r="A337" s="23" t="str">
        <f>IF(الإدخالات!C337="","",الإدخالات!B337)</f>
        <v/>
      </c>
      <c r="B337" t="str">
        <f>IF(الإدخالات!C337="","","شراء")</f>
        <v/>
      </c>
      <c r="C337" t="str">
        <f>IF(الإدخالات!C337="","",IF(الإدخالات!E337="","-",الإدخالات!E337))</f>
        <v/>
      </c>
      <c r="D337" t="str">
        <f>IF(الإدخالات!C337="","",الإدخالات!C337)</f>
        <v/>
      </c>
      <c r="E337" s="24" t="str">
        <f>IF(الإدخالات!C337="","",الإدخالات!D337)</f>
        <v/>
      </c>
      <c r="F337" t="str">
        <f>IF(الإدخالات!C337="","",IF(الإدخالات!G337="","",الإدخالات!G337))</f>
        <v/>
      </c>
      <c r="G337" t="str">
        <f>IF($B337&lt;&gt;"",SUMPRODUCT(($B$2:$B337&lt;&gt;"")*1),"")</f>
        <v/>
      </c>
    </row>
    <row r="338" spans="1:7">
      <c r="A338" s="23" t="str">
        <f>IF(الإدخالات!C338="","",الإدخالات!B338)</f>
        <v/>
      </c>
      <c r="B338" t="str">
        <f>IF(الإدخالات!C338="","","شراء")</f>
        <v/>
      </c>
      <c r="C338" t="str">
        <f>IF(الإدخالات!C338="","",IF(الإدخالات!E338="","-",الإدخالات!E338))</f>
        <v/>
      </c>
      <c r="D338" t="str">
        <f>IF(الإدخالات!C338="","",الإدخالات!C338)</f>
        <v/>
      </c>
      <c r="E338" s="24" t="str">
        <f>IF(الإدخالات!C338="","",الإدخالات!D338)</f>
        <v/>
      </c>
      <c r="F338" t="str">
        <f>IF(الإدخالات!C338="","",IF(الإدخالات!G338="","",الإدخالات!G338))</f>
        <v/>
      </c>
      <c r="G338" t="str">
        <f>IF($B338&lt;&gt;"",SUMPRODUCT(($B$2:$B338&lt;&gt;"")*1),"")</f>
        <v/>
      </c>
    </row>
    <row r="339" spans="1:7">
      <c r="A339" s="23" t="str">
        <f>IF(الإدخالات!C339="","",الإدخالات!B339)</f>
        <v/>
      </c>
      <c r="B339" t="str">
        <f>IF(الإدخالات!C339="","","شراء")</f>
        <v/>
      </c>
      <c r="C339" t="str">
        <f>IF(الإدخالات!C339="","",IF(الإدخالات!E339="","-",الإدخالات!E339))</f>
        <v/>
      </c>
      <c r="D339" t="str">
        <f>IF(الإدخالات!C339="","",الإدخالات!C339)</f>
        <v/>
      </c>
      <c r="E339" s="24" t="str">
        <f>IF(الإدخالات!C339="","",الإدخالات!D339)</f>
        <v/>
      </c>
      <c r="F339" t="str">
        <f>IF(الإدخالات!C339="","",IF(الإدخالات!G339="","",الإدخالات!G339))</f>
        <v/>
      </c>
      <c r="G339" t="str">
        <f>IF($B339&lt;&gt;"",SUMPRODUCT(($B$2:$B339&lt;&gt;"")*1),"")</f>
        <v/>
      </c>
    </row>
    <row r="340" spans="1:7">
      <c r="A340" s="23" t="str">
        <f>IF(الإدخالات!C340="","",الإدخالات!B340)</f>
        <v/>
      </c>
      <c r="B340" t="str">
        <f>IF(الإدخالات!C340="","","شراء")</f>
        <v/>
      </c>
      <c r="C340" t="str">
        <f>IF(الإدخالات!C340="","",IF(الإدخالات!E340="","-",الإدخالات!E340))</f>
        <v/>
      </c>
      <c r="D340" t="str">
        <f>IF(الإدخالات!C340="","",الإدخالات!C340)</f>
        <v/>
      </c>
      <c r="E340" s="24" t="str">
        <f>IF(الإدخالات!C340="","",الإدخالات!D340)</f>
        <v/>
      </c>
      <c r="F340" t="str">
        <f>IF(الإدخالات!C340="","",IF(الإدخالات!G340="","",الإدخالات!G340))</f>
        <v/>
      </c>
      <c r="G340" t="str">
        <f>IF($B340&lt;&gt;"",SUMPRODUCT(($B$2:$B340&lt;&gt;"")*1),"")</f>
        <v/>
      </c>
    </row>
    <row r="341" spans="1:7">
      <c r="A341" s="23" t="str">
        <f>IF(الإدخالات!C341="","",الإدخالات!B341)</f>
        <v/>
      </c>
      <c r="B341" t="str">
        <f>IF(الإدخالات!C341="","","شراء")</f>
        <v/>
      </c>
      <c r="C341" t="str">
        <f>IF(الإدخالات!C341="","",IF(الإدخالات!E341="","-",الإدخالات!E341))</f>
        <v/>
      </c>
      <c r="D341" t="str">
        <f>IF(الإدخالات!C341="","",الإدخالات!C341)</f>
        <v/>
      </c>
      <c r="E341" s="24" t="str">
        <f>IF(الإدخالات!C341="","",الإدخالات!D341)</f>
        <v/>
      </c>
      <c r="F341" t="str">
        <f>IF(الإدخالات!C341="","",IF(الإدخالات!G341="","",الإدخالات!G341))</f>
        <v/>
      </c>
      <c r="G341" t="str">
        <f>IF($B341&lt;&gt;"",SUMPRODUCT(($B$2:$B341&lt;&gt;"")*1),"")</f>
        <v/>
      </c>
    </row>
    <row r="342" spans="1:7">
      <c r="A342" s="23" t="str">
        <f>IF(الإدخالات!C342="","",الإدخالات!B342)</f>
        <v/>
      </c>
      <c r="B342" t="str">
        <f>IF(الإدخالات!C342="","","شراء")</f>
        <v/>
      </c>
      <c r="C342" t="str">
        <f>IF(الإدخالات!C342="","",IF(الإدخالات!E342="","-",الإدخالات!E342))</f>
        <v/>
      </c>
      <c r="D342" t="str">
        <f>IF(الإدخالات!C342="","",الإدخالات!C342)</f>
        <v/>
      </c>
      <c r="E342" s="24" t="str">
        <f>IF(الإدخالات!C342="","",الإدخالات!D342)</f>
        <v/>
      </c>
      <c r="F342" t="str">
        <f>IF(الإدخالات!C342="","",IF(الإدخالات!G342="","",الإدخالات!G342))</f>
        <v/>
      </c>
      <c r="G342" t="str">
        <f>IF($B342&lt;&gt;"",SUMPRODUCT(($B$2:$B342&lt;&gt;"")*1),"")</f>
        <v/>
      </c>
    </row>
    <row r="343" spans="1:7">
      <c r="A343" s="23" t="str">
        <f>IF(الإدخالات!C343="","",الإدخالات!B343)</f>
        <v/>
      </c>
      <c r="B343" t="str">
        <f>IF(الإدخالات!C343="","","شراء")</f>
        <v/>
      </c>
      <c r="C343" t="str">
        <f>IF(الإدخالات!C343="","",IF(الإدخالات!E343="","-",الإدخالات!E343))</f>
        <v/>
      </c>
      <c r="D343" t="str">
        <f>IF(الإدخالات!C343="","",الإدخالات!C343)</f>
        <v/>
      </c>
      <c r="E343" s="24" t="str">
        <f>IF(الإدخالات!C343="","",الإدخالات!D343)</f>
        <v/>
      </c>
      <c r="F343" t="str">
        <f>IF(الإدخالات!C343="","",IF(الإدخالات!G343="","",الإدخالات!G343))</f>
        <v/>
      </c>
      <c r="G343" t="str">
        <f>IF($B343&lt;&gt;"",SUMPRODUCT(($B$2:$B343&lt;&gt;"")*1),"")</f>
        <v/>
      </c>
    </row>
    <row r="344" spans="1:7">
      <c r="A344" s="23" t="str">
        <f>IF(الإدخالات!C344="","",الإدخالات!B344)</f>
        <v/>
      </c>
      <c r="B344" t="str">
        <f>IF(الإدخالات!C344="","","شراء")</f>
        <v/>
      </c>
      <c r="C344" t="str">
        <f>IF(الإدخالات!C344="","",IF(الإدخالات!E344="","-",الإدخالات!E344))</f>
        <v/>
      </c>
      <c r="D344" t="str">
        <f>IF(الإدخالات!C344="","",الإدخالات!C344)</f>
        <v/>
      </c>
      <c r="E344" s="24" t="str">
        <f>IF(الإدخالات!C344="","",الإدخالات!D344)</f>
        <v/>
      </c>
      <c r="F344" t="str">
        <f>IF(الإدخالات!C344="","",IF(الإدخالات!G344="","",الإدخالات!G344))</f>
        <v/>
      </c>
      <c r="G344" t="str">
        <f>IF($B344&lt;&gt;"",SUMPRODUCT(($B$2:$B344&lt;&gt;"")*1),"")</f>
        <v/>
      </c>
    </row>
    <row r="345" spans="1:7">
      <c r="A345" s="23" t="str">
        <f>IF(الإدخالات!C345="","",الإدخالات!B345)</f>
        <v/>
      </c>
      <c r="B345" t="str">
        <f>IF(الإدخالات!C345="","","شراء")</f>
        <v/>
      </c>
      <c r="C345" t="str">
        <f>IF(الإدخالات!C345="","",IF(الإدخالات!E345="","-",الإدخالات!E345))</f>
        <v/>
      </c>
      <c r="D345" t="str">
        <f>IF(الإدخالات!C345="","",الإدخالات!C345)</f>
        <v/>
      </c>
      <c r="E345" s="24" t="str">
        <f>IF(الإدخالات!C345="","",الإدخالات!D345)</f>
        <v/>
      </c>
      <c r="F345" t="str">
        <f>IF(الإدخالات!C345="","",IF(الإدخالات!G345="","",الإدخالات!G345))</f>
        <v/>
      </c>
      <c r="G345" t="str">
        <f>IF($B345&lt;&gt;"",SUMPRODUCT(($B$2:$B345&lt;&gt;"")*1),"")</f>
        <v/>
      </c>
    </row>
    <row r="346" spans="1:7">
      <c r="A346" s="23" t="str">
        <f>IF(الإدخالات!C346="","",الإدخالات!B346)</f>
        <v/>
      </c>
      <c r="B346" t="str">
        <f>IF(الإدخالات!C346="","","شراء")</f>
        <v/>
      </c>
      <c r="C346" t="str">
        <f>IF(الإدخالات!C346="","",IF(الإدخالات!E346="","-",الإدخالات!E346))</f>
        <v/>
      </c>
      <c r="D346" t="str">
        <f>IF(الإدخالات!C346="","",الإدخالات!C346)</f>
        <v/>
      </c>
      <c r="E346" s="24" t="str">
        <f>IF(الإدخالات!C346="","",الإدخالات!D346)</f>
        <v/>
      </c>
      <c r="F346" t="str">
        <f>IF(الإدخالات!C346="","",IF(الإدخالات!G346="","",الإدخالات!G346))</f>
        <v/>
      </c>
      <c r="G346" t="str">
        <f>IF($B346&lt;&gt;"",SUMPRODUCT(($B$2:$B346&lt;&gt;"")*1),"")</f>
        <v/>
      </c>
    </row>
    <row r="347" spans="1:7">
      <c r="A347" s="23" t="str">
        <f>IF(الإدخالات!C347="","",الإدخالات!B347)</f>
        <v/>
      </c>
      <c r="B347" t="str">
        <f>IF(الإدخالات!C347="","","شراء")</f>
        <v/>
      </c>
      <c r="C347" t="str">
        <f>IF(الإدخالات!C347="","",IF(الإدخالات!E347="","-",الإدخالات!E347))</f>
        <v/>
      </c>
      <c r="D347" t="str">
        <f>IF(الإدخالات!C347="","",الإدخالات!C347)</f>
        <v/>
      </c>
      <c r="E347" s="24" t="str">
        <f>IF(الإدخالات!C347="","",الإدخالات!D347)</f>
        <v/>
      </c>
      <c r="F347" t="str">
        <f>IF(الإدخالات!C347="","",IF(الإدخالات!G347="","",الإدخالات!G347))</f>
        <v/>
      </c>
      <c r="G347" t="str">
        <f>IF($B347&lt;&gt;"",SUMPRODUCT(($B$2:$B347&lt;&gt;"")*1),"")</f>
        <v/>
      </c>
    </row>
    <row r="348" spans="1:7">
      <c r="A348" s="23" t="str">
        <f>IF(الإدخالات!C348="","",الإدخالات!B348)</f>
        <v/>
      </c>
      <c r="B348" t="str">
        <f>IF(الإدخالات!C348="","","شراء")</f>
        <v/>
      </c>
      <c r="C348" t="str">
        <f>IF(الإدخالات!C348="","",IF(الإدخالات!E348="","-",الإدخالات!E348))</f>
        <v/>
      </c>
      <c r="D348" t="str">
        <f>IF(الإدخالات!C348="","",الإدخالات!C348)</f>
        <v/>
      </c>
      <c r="E348" s="24" t="str">
        <f>IF(الإدخالات!C348="","",الإدخالات!D348)</f>
        <v/>
      </c>
      <c r="F348" t="str">
        <f>IF(الإدخالات!C348="","",IF(الإدخالات!G348="","",الإدخالات!G348))</f>
        <v/>
      </c>
      <c r="G348" t="str">
        <f>IF($B348&lt;&gt;"",SUMPRODUCT(($B$2:$B348&lt;&gt;"")*1),"")</f>
        <v/>
      </c>
    </row>
    <row r="349" spans="1:7">
      <c r="A349" s="23" t="str">
        <f>IF(الإدخالات!C349="","",الإدخالات!B349)</f>
        <v/>
      </c>
      <c r="B349" t="str">
        <f>IF(الإدخالات!C349="","","شراء")</f>
        <v/>
      </c>
      <c r="C349" t="str">
        <f>IF(الإدخالات!C349="","",IF(الإدخالات!E349="","-",الإدخالات!E349))</f>
        <v/>
      </c>
      <c r="D349" t="str">
        <f>IF(الإدخالات!C349="","",الإدخالات!C349)</f>
        <v/>
      </c>
      <c r="E349" s="24" t="str">
        <f>IF(الإدخالات!C349="","",الإدخالات!D349)</f>
        <v/>
      </c>
      <c r="F349" t="str">
        <f>IF(الإدخالات!C349="","",IF(الإدخالات!G349="","",الإدخالات!G349))</f>
        <v/>
      </c>
      <c r="G349" t="str">
        <f>IF($B349&lt;&gt;"",SUMPRODUCT(($B$2:$B349&lt;&gt;"")*1),"")</f>
        <v/>
      </c>
    </row>
    <row r="350" spans="1:7">
      <c r="A350" s="23" t="str">
        <f>IF(الإدخالات!C350="","",الإدخالات!B350)</f>
        <v/>
      </c>
      <c r="B350" t="str">
        <f>IF(الإدخالات!C350="","","شراء")</f>
        <v/>
      </c>
      <c r="C350" t="str">
        <f>IF(الإدخالات!C350="","",IF(الإدخالات!E350="","-",الإدخالات!E350))</f>
        <v/>
      </c>
      <c r="D350" t="str">
        <f>IF(الإدخالات!C350="","",الإدخالات!C350)</f>
        <v/>
      </c>
      <c r="E350" s="24" t="str">
        <f>IF(الإدخالات!C350="","",الإدخالات!D350)</f>
        <v/>
      </c>
      <c r="F350" t="str">
        <f>IF(الإدخالات!C350="","",IF(الإدخالات!G350="","",الإدخالات!G350))</f>
        <v/>
      </c>
      <c r="G350" t="str">
        <f>IF($B350&lt;&gt;"",SUMPRODUCT(($B$2:$B350&lt;&gt;"")*1),"")</f>
        <v/>
      </c>
    </row>
    <row r="351" spans="1:7">
      <c r="A351" s="23" t="str">
        <f>IF(الإدخالات!C351="","",الإدخالات!B351)</f>
        <v/>
      </c>
      <c r="B351" t="str">
        <f>IF(الإدخالات!C351="","","شراء")</f>
        <v/>
      </c>
      <c r="C351" t="str">
        <f>IF(الإدخالات!C351="","",IF(الإدخالات!E351="","-",الإدخالات!E351))</f>
        <v/>
      </c>
      <c r="D351" t="str">
        <f>IF(الإدخالات!C351="","",الإدخالات!C351)</f>
        <v/>
      </c>
      <c r="E351" s="24" t="str">
        <f>IF(الإدخالات!C351="","",الإدخالات!D351)</f>
        <v/>
      </c>
      <c r="F351" t="str">
        <f>IF(الإدخالات!C351="","",IF(الإدخالات!G351="","",الإدخالات!G351))</f>
        <v/>
      </c>
      <c r="G351" t="str">
        <f>IF($B351&lt;&gt;"",SUMPRODUCT(($B$2:$B351&lt;&gt;"")*1),"")</f>
        <v/>
      </c>
    </row>
    <row r="352" spans="1:7">
      <c r="A352" s="23" t="str">
        <f>IF(الإدخالات!C352="","",الإدخالات!B352)</f>
        <v/>
      </c>
      <c r="B352" t="str">
        <f>IF(الإدخالات!C352="","","شراء")</f>
        <v/>
      </c>
      <c r="C352" t="str">
        <f>IF(الإدخالات!C352="","",IF(الإدخالات!E352="","-",الإدخالات!E352))</f>
        <v/>
      </c>
      <c r="D352" t="str">
        <f>IF(الإدخالات!C352="","",الإدخالات!C352)</f>
        <v/>
      </c>
      <c r="E352" s="24" t="str">
        <f>IF(الإدخالات!C352="","",الإدخالات!D352)</f>
        <v/>
      </c>
      <c r="F352" t="str">
        <f>IF(الإدخالات!C352="","",IF(الإدخالات!G352="","",الإدخالات!G352))</f>
        <v/>
      </c>
      <c r="G352" t="str">
        <f>IF($B352&lt;&gt;"",SUMPRODUCT(($B$2:$B352&lt;&gt;"")*1),"")</f>
        <v/>
      </c>
    </row>
    <row r="353" spans="1:7">
      <c r="A353" s="23" t="str">
        <f>IF(الإدخالات!C353="","",الإدخالات!B353)</f>
        <v/>
      </c>
      <c r="B353" t="str">
        <f>IF(الإدخالات!C353="","","شراء")</f>
        <v/>
      </c>
      <c r="C353" t="str">
        <f>IF(الإدخالات!C353="","",IF(الإدخالات!E353="","-",الإدخالات!E353))</f>
        <v/>
      </c>
      <c r="D353" t="str">
        <f>IF(الإدخالات!C353="","",الإدخالات!C353)</f>
        <v/>
      </c>
      <c r="E353" s="24" t="str">
        <f>IF(الإدخالات!C353="","",الإدخالات!D353)</f>
        <v/>
      </c>
      <c r="F353" t="str">
        <f>IF(الإدخالات!C353="","",IF(الإدخالات!G353="","",الإدخالات!G353))</f>
        <v/>
      </c>
      <c r="G353" t="str">
        <f>IF($B353&lt;&gt;"",SUMPRODUCT(($B$2:$B353&lt;&gt;"")*1),"")</f>
        <v/>
      </c>
    </row>
    <row r="354" spans="1:7">
      <c r="A354" s="23" t="str">
        <f>IF(الإدخالات!C354="","",الإدخالات!B354)</f>
        <v/>
      </c>
      <c r="B354" t="str">
        <f>IF(الإدخالات!C354="","","شراء")</f>
        <v/>
      </c>
      <c r="C354" t="str">
        <f>IF(الإدخالات!C354="","",IF(الإدخالات!E354="","-",الإدخالات!E354))</f>
        <v/>
      </c>
      <c r="D354" t="str">
        <f>IF(الإدخالات!C354="","",الإدخالات!C354)</f>
        <v/>
      </c>
      <c r="E354" s="24" t="str">
        <f>IF(الإدخالات!C354="","",الإدخالات!D354)</f>
        <v/>
      </c>
      <c r="F354" t="str">
        <f>IF(الإدخالات!C354="","",IF(الإدخالات!G354="","",الإدخالات!G354))</f>
        <v/>
      </c>
      <c r="G354" t="str">
        <f>IF($B354&lt;&gt;"",SUMPRODUCT(($B$2:$B354&lt;&gt;"")*1),"")</f>
        <v/>
      </c>
    </row>
    <row r="355" spans="1:7">
      <c r="A355" s="23" t="str">
        <f>IF(الإدخالات!C355="","",الإدخالات!B355)</f>
        <v/>
      </c>
      <c r="B355" t="str">
        <f>IF(الإدخالات!C355="","","شراء")</f>
        <v/>
      </c>
      <c r="C355" t="str">
        <f>IF(الإدخالات!C355="","",IF(الإدخالات!E355="","-",الإدخالات!E355))</f>
        <v/>
      </c>
      <c r="D355" t="str">
        <f>IF(الإدخالات!C355="","",الإدخالات!C355)</f>
        <v/>
      </c>
      <c r="E355" s="24" t="str">
        <f>IF(الإدخالات!C355="","",الإدخالات!D355)</f>
        <v/>
      </c>
      <c r="F355" t="str">
        <f>IF(الإدخالات!C355="","",IF(الإدخالات!G355="","",الإدخالات!G355))</f>
        <v/>
      </c>
      <c r="G355" t="str">
        <f>IF($B355&lt;&gt;"",SUMPRODUCT(($B$2:$B355&lt;&gt;"")*1),"")</f>
        <v/>
      </c>
    </row>
    <row r="356" spans="1:7">
      <c r="A356" s="23" t="str">
        <f>IF(الإدخالات!C356="","",الإدخالات!B356)</f>
        <v/>
      </c>
      <c r="B356" t="str">
        <f>IF(الإدخالات!C356="","","شراء")</f>
        <v/>
      </c>
      <c r="C356" t="str">
        <f>IF(الإدخالات!C356="","",IF(الإدخالات!E356="","-",الإدخالات!E356))</f>
        <v/>
      </c>
      <c r="D356" t="str">
        <f>IF(الإدخالات!C356="","",الإدخالات!C356)</f>
        <v/>
      </c>
      <c r="E356" s="24" t="str">
        <f>IF(الإدخالات!C356="","",الإدخالات!D356)</f>
        <v/>
      </c>
      <c r="F356" t="str">
        <f>IF(الإدخالات!C356="","",IF(الإدخالات!G356="","",الإدخالات!G356))</f>
        <v/>
      </c>
      <c r="G356" t="str">
        <f>IF($B356&lt;&gt;"",SUMPRODUCT(($B$2:$B356&lt;&gt;"")*1),"")</f>
        <v/>
      </c>
    </row>
    <row r="357" spans="1:7">
      <c r="A357" s="23" t="str">
        <f>IF(الإدخالات!C357="","",الإدخالات!B357)</f>
        <v/>
      </c>
      <c r="B357" t="str">
        <f>IF(الإدخالات!C357="","","شراء")</f>
        <v/>
      </c>
      <c r="C357" t="str">
        <f>IF(الإدخالات!C357="","",IF(الإدخالات!E357="","-",الإدخالات!E357))</f>
        <v/>
      </c>
      <c r="D357" t="str">
        <f>IF(الإدخالات!C357="","",الإدخالات!C357)</f>
        <v/>
      </c>
      <c r="E357" s="24" t="str">
        <f>IF(الإدخالات!C357="","",الإدخالات!D357)</f>
        <v/>
      </c>
      <c r="F357" t="str">
        <f>IF(الإدخالات!C357="","",IF(الإدخالات!G357="","",الإدخالات!G357))</f>
        <v/>
      </c>
      <c r="G357" t="str">
        <f>IF($B357&lt;&gt;"",SUMPRODUCT(($B$2:$B357&lt;&gt;"")*1),"")</f>
        <v/>
      </c>
    </row>
    <row r="358" spans="1:7">
      <c r="A358" s="23" t="str">
        <f>IF(الإدخالات!C358="","",الإدخالات!B358)</f>
        <v/>
      </c>
      <c r="B358" t="str">
        <f>IF(الإدخالات!C358="","","شراء")</f>
        <v/>
      </c>
      <c r="C358" t="str">
        <f>IF(الإدخالات!C358="","",IF(الإدخالات!E358="","-",الإدخالات!E358))</f>
        <v/>
      </c>
      <c r="D358" t="str">
        <f>IF(الإدخالات!C358="","",الإدخالات!C358)</f>
        <v/>
      </c>
      <c r="E358" s="24" t="str">
        <f>IF(الإدخالات!C358="","",الإدخالات!D358)</f>
        <v/>
      </c>
      <c r="F358" t="str">
        <f>IF(الإدخالات!C358="","",IF(الإدخالات!G358="","",الإدخالات!G358))</f>
        <v/>
      </c>
      <c r="G358" t="str">
        <f>IF($B358&lt;&gt;"",SUMPRODUCT(($B$2:$B358&lt;&gt;"")*1),"")</f>
        <v/>
      </c>
    </row>
    <row r="359" spans="1:7">
      <c r="A359" s="23" t="str">
        <f>IF(الإدخالات!C359="","",الإدخالات!B359)</f>
        <v/>
      </c>
      <c r="B359" t="str">
        <f>IF(الإدخالات!C359="","","شراء")</f>
        <v/>
      </c>
      <c r="C359" t="str">
        <f>IF(الإدخالات!C359="","",IF(الإدخالات!E359="","-",الإدخالات!E359))</f>
        <v/>
      </c>
      <c r="D359" t="str">
        <f>IF(الإدخالات!C359="","",الإدخالات!C359)</f>
        <v/>
      </c>
      <c r="E359" s="24" t="str">
        <f>IF(الإدخالات!C359="","",الإدخالات!D359)</f>
        <v/>
      </c>
      <c r="F359" t="str">
        <f>IF(الإدخالات!C359="","",IF(الإدخالات!G359="","",الإدخالات!G359))</f>
        <v/>
      </c>
      <c r="G359" t="str">
        <f>IF($B359&lt;&gt;"",SUMPRODUCT(($B$2:$B359&lt;&gt;"")*1),"")</f>
        <v/>
      </c>
    </row>
    <row r="360" spans="1:7">
      <c r="A360" s="23" t="str">
        <f>IF(الإدخالات!C360="","",الإدخالات!B360)</f>
        <v/>
      </c>
      <c r="B360" t="str">
        <f>IF(الإدخالات!C360="","","شراء")</f>
        <v/>
      </c>
      <c r="C360" t="str">
        <f>IF(الإدخالات!C360="","",IF(الإدخالات!E360="","-",الإدخالات!E360))</f>
        <v/>
      </c>
      <c r="D360" t="str">
        <f>IF(الإدخالات!C360="","",الإدخالات!C360)</f>
        <v/>
      </c>
      <c r="E360" s="24" t="str">
        <f>IF(الإدخالات!C360="","",الإدخالات!D360)</f>
        <v/>
      </c>
      <c r="F360" t="str">
        <f>IF(الإدخالات!C360="","",IF(الإدخالات!G360="","",الإدخالات!G360))</f>
        <v/>
      </c>
      <c r="G360" t="str">
        <f>IF($B360&lt;&gt;"",SUMPRODUCT(($B$2:$B360&lt;&gt;"")*1),"")</f>
        <v/>
      </c>
    </row>
    <row r="361" spans="1:7">
      <c r="A361" s="23" t="str">
        <f>IF(الإدخالات!C361="","",الإدخالات!B361)</f>
        <v/>
      </c>
      <c r="B361" t="str">
        <f>IF(الإدخالات!C361="","","شراء")</f>
        <v/>
      </c>
      <c r="C361" t="str">
        <f>IF(الإدخالات!C361="","",IF(الإدخالات!E361="","-",الإدخالات!E361))</f>
        <v/>
      </c>
      <c r="D361" t="str">
        <f>IF(الإدخالات!C361="","",الإدخالات!C361)</f>
        <v/>
      </c>
      <c r="E361" s="24" t="str">
        <f>IF(الإدخالات!C361="","",الإدخالات!D361)</f>
        <v/>
      </c>
      <c r="F361" t="str">
        <f>IF(الإدخالات!C361="","",IF(الإدخالات!G361="","",الإدخالات!G361))</f>
        <v/>
      </c>
      <c r="G361" t="str">
        <f>IF($B361&lt;&gt;"",SUMPRODUCT(($B$2:$B361&lt;&gt;"")*1),"")</f>
        <v/>
      </c>
    </row>
    <row r="362" spans="1:7">
      <c r="A362" s="23" t="str">
        <f>IF(الإدخالات!C362="","",الإدخالات!B362)</f>
        <v/>
      </c>
      <c r="B362" t="str">
        <f>IF(الإدخالات!C362="","","شراء")</f>
        <v/>
      </c>
      <c r="C362" t="str">
        <f>IF(الإدخالات!C362="","",IF(الإدخالات!E362="","-",الإدخالات!E362))</f>
        <v/>
      </c>
      <c r="D362" t="str">
        <f>IF(الإدخالات!C362="","",الإدخالات!C362)</f>
        <v/>
      </c>
      <c r="E362" s="24" t="str">
        <f>IF(الإدخالات!C362="","",الإدخالات!D362)</f>
        <v/>
      </c>
      <c r="F362" t="str">
        <f>IF(الإدخالات!C362="","",IF(الإدخالات!G362="","",الإدخالات!G362))</f>
        <v/>
      </c>
      <c r="G362" t="str">
        <f>IF($B362&lt;&gt;"",SUMPRODUCT(($B$2:$B362&lt;&gt;"")*1),"")</f>
        <v/>
      </c>
    </row>
    <row r="363" spans="1:7">
      <c r="A363" s="23" t="str">
        <f>IF(الإدخالات!C363="","",الإدخالات!B363)</f>
        <v/>
      </c>
      <c r="B363" t="str">
        <f>IF(الإدخالات!C363="","","شراء")</f>
        <v/>
      </c>
      <c r="C363" t="str">
        <f>IF(الإدخالات!C363="","",IF(الإدخالات!E363="","-",الإدخالات!E363))</f>
        <v/>
      </c>
      <c r="D363" t="str">
        <f>IF(الإدخالات!C363="","",الإدخالات!C363)</f>
        <v/>
      </c>
      <c r="E363" s="24" t="str">
        <f>IF(الإدخالات!C363="","",الإدخالات!D363)</f>
        <v/>
      </c>
      <c r="F363" t="str">
        <f>IF(الإدخالات!C363="","",IF(الإدخالات!G363="","",الإدخالات!G363))</f>
        <v/>
      </c>
      <c r="G363" t="str">
        <f>IF($B363&lt;&gt;"",SUMPRODUCT(($B$2:$B363&lt;&gt;"")*1),"")</f>
        <v/>
      </c>
    </row>
    <row r="364" spans="1:7">
      <c r="A364" s="23" t="str">
        <f>IF(الإدخالات!C364="","",الإدخالات!B364)</f>
        <v/>
      </c>
      <c r="B364" t="str">
        <f>IF(الإدخالات!C364="","","شراء")</f>
        <v/>
      </c>
      <c r="C364" t="str">
        <f>IF(الإدخالات!C364="","",IF(الإدخالات!E364="","-",الإدخالات!E364))</f>
        <v/>
      </c>
      <c r="D364" t="str">
        <f>IF(الإدخالات!C364="","",الإدخالات!C364)</f>
        <v/>
      </c>
      <c r="E364" s="24" t="str">
        <f>IF(الإدخالات!C364="","",الإدخالات!D364)</f>
        <v/>
      </c>
      <c r="F364" t="str">
        <f>IF(الإدخالات!C364="","",IF(الإدخالات!G364="","",الإدخالات!G364))</f>
        <v/>
      </c>
      <c r="G364" t="str">
        <f>IF($B364&lt;&gt;"",SUMPRODUCT(($B$2:$B364&lt;&gt;"")*1),"")</f>
        <v/>
      </c>
    </row>
    <row r="365" spans="1:7">
      <c r="A365" s="23" t="str">
        <f>IF(الإدخالات!C365="","",الإدخالات!B365)</f>
        <v/>
      </c>
      <c r="B365" t="str">
        <f>IF(الإدخالات!C365="","","شراء")</f>
        <v/>
      </c>
      <c r="C365" t="str">
        <f>IF(الإدخالات!C365="","",IF(الإدخالات!E365="","-",الإدخالات!E365))</f>
        <v/>
      </c>
      <c r="D365" t="str">
        <f>IF(الإدخالات!C365="","",الإدخالات!C365)</f>
        <v/>
      </c>
      <c r="E365" s="24" t="str">
        <f>IF(الإدخالات!C365="","",الإدخالات!D365)</f>
        <v/>
      </c>
      <c r="F365" t="str">
        <f>IF(الإدخالات!C365="","",IF(الإدخالات!G365="","",الإدخالات!G365))</f>
        <v/>
      </c>
      <c r="G365" t="str">
        <f>IF($B365&lt;&gt;"",SUMPRODUCT(($B$2:$B365&lt;&gt;"")*1),"")</f>
        <v/>
      </c>
    </row>
    <row r="366" spans="1:7">
      <c r="A366" s="23" t="str">
        <f>IF(الإدخالات!C366="","",الإدخالات!B366)</f>
        <v/>
      </c>
      <c r="B366" t="str">
        <f>IF(الإدخالات!C366="","","شراء")</f>
        <v/>
      </c>
      <c r="C366" t="str">
        <f>IF(الإدخالات!C366="","",IF(الإدخالات!E366="","-",الإدخالات!E366))</f>
        <v/>
      </c>
      <c r="D366" t="str">
        <f>IF(الإدخالات!C366="","",الإدخالات!C366)</f>
        <v/>
      </c>
      <c r="E366" s="24" t="str">
        <f>IF(الإدخالات!C366="","",الإدخالات!D366)</f>
        <v/>
      </c>
      <c r="F366" t="str">
        <f>IF(الإدخالات!C366="","",IF(الإدخالات!G366="","",الإدخالات!G366))</f>
        <v/>
      </c>
      <c r="G366" t="str">
        <f>IF($B366&lt;&gt;"",SUMPRODUCT(($B$2:$B366&lt;&gt;"")*1),"")</f>
        <v/>
      </c>
    </row>
    <row r="367" spans="1:7">
      <c r="A367" s="23" t="str">
        <f>IF(الإدخالات!C367="","",الإدخالات!B367)</f>
        <v/>
      </c>
      <c r="B367" t="str">
        <f>IF(الإدخالات!C367="","","شراء")</f>
        <v/>
      </c>
      <c r="C367" t="str">
        <f>IF(الإدخالات!C367="","",IF(الإدخالات!E367="","-",الإدخالات!E367))</f>
        <v/>
      </c>
      <c r="D367" t="str">
        <f>IF(الإدخالات!C367="","",الإدخالات!C367)</f>
        <v/>
      </c>
      <c r="E367" s="24" t="str">
        <f>IF(الإدخالات!C367="","",الإدخالات!D367)</f>
        <v/>
      </c>
      <c r="F367" t="str">
        <f>IF(الإدخالات!C367="","",IF(الإدخالات!G367="","",الإدخالات!G367))</f>
        <v/>
      </c>
      <c r="G367" t="str">
        <f>IF($B367&lt;&gt;"",SUMPRODUCT(($B$2:$B367&lt;&gt;"")*1),"")</f>
        <v/>
      </c>
    </row>
    <row r="368" spans="1:7">
      <c r="A368" s="23" t="str">
        <f>IF(الإدخالات!C368="","",الإدخالات!B368)</f>
        <v/>
      </c>
      <c r="B368" t="str">
        <f>IF(الإدخالات!C368="","","شراء")</f>
        <v/>
      </c>
      <c r="C368" t="str">
        <f>IF(الإدخالات!C368="","",IF(الإدخالات!E368="","-",الإدخالات!E368))</f>
        <v/>
      </c>
      <c r="D368" t="str">
        <f>IF(الإدخالات!C368="","",الإدخالات!C368)</f>
        <v/>
      </c>
      <c r="E368" s="24" t="str">
        <f>IF(الإدخالات!C368="","",الإدخالات!D368)</f>
        <v/>
      </c>
      <c r="F368" t="str">
        <f>IF(الإدخالات!C368="","",IF(الإدخالات!G368="","",الإدخالات!G368))</f>
        <v/>
      </c>
      <c r="G368" t="str">
        <f>IF($B368&lt;&gt;"",SUMPRODUCT(($B$2:$B368&lt;&gt;"")*1),"")</f>
        <v/>
      </c>
    </row>
    <row r="369" spans="1:7">
      <c r="A369" s="23" t="str">
        <f>IF(الإدخالات!C369="","",الإدخالات!B369)</f>
        <v/>
      </c>
      <c r="B369" t="str">
        <f>IF(الإدخالات!C369="","","شراء")</f>
        <v/>
      </c>
      <c r="C369" t="str">
        <f>IF(الإدخالات!C369="","",IF(الإدخالات!E369="","-",الإدخالات!E369))</f>
        <v/>
      </c>
      <c r="D369" t="str">
        <f>IF(الإدخالات!C369="","",الإدخالات!C369)</f>
        <v/>
      </c>
      <c r="E369" s="24" t="str">
        <f>IF(الإدخالات!C369="","",الإدخالات!D369)</f>
        <v/>
      </c>
      <c r="F369" t="str">
        <f>IF(الإدخالات!C369="","",IF(الإدخالات!G369="","",الإدخالات!G369))</f>
        <v/>
      </c>
      <c r="G369" t="str">
        <f>IF($B369&lt;&gt;"",SUMPRODUCT(($B$2:$B369&lt;&gt;"")*1),"")</f>
        <v/>
      </c>
    </row>
    <row r="370" spans="1:7">
      <c r="A370" s="23" t="str">
        <f>IF(الإدخالات!C370="","",الإدخالات!B370)</f>
        <v/>
      </c>
      <c r="B370" t="str">
        <f>IF(الإدخالات!C370="","","شراء")</f>
        <v/>
      </c>
      <c r="C370" t="str">
        <f>IF(الإدخالات!C370="","",IF(الإدخالات!E370="","-",الإدخالات!E370))</f>
        <v/>
      </c>
      <c r="D370" t="str">
        <f>IF(الإدخالات!C370="","",الإدخالات!C370)</f>
        <v/>
      </c>
      <c r="E370" s="24" t="str">
        <f>IF(الإدخالات!C370="","",الإدخالات!D370)</f>
        <v/>
      </c>
      <c r="F370" t="str">
        <f>IF(الإدخالات!C370="","",IF(الإدخالات!G370="","",الإدخالات!G370))</f>
        <v/>
      </c>
      <c r="G370" t="str">
        <f>IF($B370&lt;&gt;"",SUMPRODUCT(($B$2:$B370&lt;&gt;"")*1),"")</f>
        <v/>
      </c>
    </row>
    <row r="371" spans="1:7">
      <c r="A371" s="23" t="str">
        <f>IF(الإدخالات!C371="","",الإدخالات!B371)</f>
        <v/>
      </c>
      <c r="B371" t="str">
        <f>IF(الإدخالات!C371="","","شراء")</f>
        <v/>
      </c>
      <c r="C371" t="str">
        <f>IF(الإدخالات!C371="","",IF(الإدخالات!E371="","-",الإدخالات!E371))</f>
        <v/>
      </c>
      <c r="D371" t="str">
        <f>IF(الإدخالات!C371="","",الإدخالات!C371)</f>
        <v/>
      </c>
      <c r="E371" s="24" t="str">
        <f>IF(الإدخالات!C371="","",الإدخالات!D371)</f>
        <v/>
      </c>
      <c r="F371" t="str">
        <f>IF(الإدخالات!C371="","",IF(الإدخالات!G371="","",الإدخالات!G371))</f>
        <v/>
      </c>
      <c r="G371" t="str">
        <f>IF($B371&lt;&gt;"",SUMPRODUCT(($B$2:$B371&lt;&gt;"")*1),"")</f>
        <v/>
      </c>
    </row>
    <row r="372" spans="1:7">
      <c r="A372" s="23" t="str">
        <f>IF(الإدخالات!C372="","",الإدخالات!B372)</f>
        <v/>
      </c>
      <c r="B372" t="str">
        <f>IF(الإدخالات!C372="","","شراء")</f>
        <v/>
      </c>
      <c r="C372" t="str">
        <f>IF(الإدخالات!C372="","",IF(الإدخالات!E372="","-",الإدخالات!E372))</f>
        <v/>
      </c>
      <c r="D372" t="str">
        <f>IF(الإدخالات!C372="","",الإدخالات!C372)</f>
        <v/>
      </c>
      <c r="E372" s="24" t="str">
        <f>IF(الإدخالات!C372="","",الإدخالات!D372)</f>
        <v/>
      </c>
      <c r="F372" t="str">
        <f>IF(الإدخالات!C372="","",IF(الإدخالات!G372="","",الإدخالات!G372))</f>
        <v/>
      </c>
      <c r="G372" t="str">
        <f>IF($B372&lt;&gt;"",SUMPRODUCT(($B$2:$B372&lt;&gt;"")*1),"")</f>
        <v/>
      </c>
    </row>
    <row r="373" spans="1:7">
      <c r="A373" s="23" t="str">
        <f>IF(الإدخالات!C373="","",الإدخالات!B373)</f>
        <v/>
      </c>
      <c r="B373" t="str">
        <f>IF(الإدخالات!C373="","","شراء")</f>
        <v/>
      </c>
      <c r="C373" t="str">
        <f>IF(الإدخالات!C373="","",IF(الإدخالات!E373="","-",الإدخالات!E373))</f>
        <v/>
      </c>
      <c r="D373" t="str">
        <f>IF(الإدخالات!C373="","",الإدخالات!C373)</f>
        <v/>
      </c>
      <c r="E373" s="24" t="str">
        <f>IF(الإدخالات!C373="","",الإدخالات!D373)</f>
        <v/>
      </c>
      <c r="F373" t="str">
        <f>IF(الإدخالات!C373="","",IF(الإدخالات!G373="","",الإدخالات!G373))</f>
        <v/>
      </c>
      <c r="G373" t="str">
        <f>IF($B373&lt;&gt;"",SUMPRODUCT(($B$2:$B373&lt;&gt;"")*1),"")</f>
        <v/>
      </c>
    </row>
    <row r="374" spans="1:7">
      <c r="A374" s="23" t="str">
        <f>IF(الإدخالات!C374="","",الإدخالات!B374)</f>
        <v/>
      </c>
      <c r="B374" t="str">
        <f>IF(الإدخالات!C374="","","شراء")</f>
        <v/>
      </c>
      <c r="C374" t="str">
        <f>IF(الإدخالات!C374="","",IF(الإدخالات!E374="","-",الإدخالات!E374))</f>
        <v/>
      </c>
      <c r="D374" t="str">
        <f>IF(الإدخالات!C374="","",الإدخالات!C374)</f>
        <v/>
      </c>
      <c r="E374" s="24" t="str">
        <f>IF(الإدخالات!C374="","",الإدخالات!D374)</f>
        <v/>
      </c>
      <c r="F374" t="str">
        <f>IF(الإدخالات!C374="","",IF(الإدخالات!G374="","",الإدخالات!G374))</f>
        <v/>
      </c>
      <c r="G374" t="str">
        <f>IF($B374&lt;&gt;"",SUMPRODUCT(($B$2:$B374&lt;&gt;"")*1),"")</f>
        <v/>
      </c>
    </row>
    <row r="375" spans="1:7">
      <c r="A375" s="23" t="str">
        <f>IF(الإدخالات!C375="","",الإدخالات!B375)</f>
        <v/>
      </c>
      <c r="B375" t="str">
        <f>IF(الإدخالات!C375="","","شراء")</f>
        <v/>
      </c>
      <c r="C375" t="str">
        <f>IF(الإدخالات!C375="","",IF(الإدخالات!E375="","-",الإدخالات!E375))</f>
        <v/>
      </c>
      <c r="D375" t="str">
        <f>IF(الإدخالات!C375="","",الإدخالات!C375)</f>
        <v/>
      </c>
      <c r="E375" s="24" t="str">
        <f>IF(الإدخالات!C375="","",الإدخالات!D375)</f>
        <v/>
      </c>
      <c r="F375" t="str">
        <f>IF(الإدخالات!C375="","",IF(الإدخالات!G375="","",الإدخالات!G375))</f>
        <v/>
      </c>
      <c r="G375" t="str">
        <f>IF($B375&lt;&gt;"",SUMPRODUCT(($B$2:$B375&lt;&gt;"")*1),"")</f>
        <v/>
      </c>
    </row>
    <row r="376" spans="1:7">
      <c r="A376" s="23" t="str">
        <f>IF(الإدخالات!C376="","",الإدخالات!B376)</f>
        <v/>
      </c>
      <c r="B376" t="str">
        <f>IF(الإدخالات!C376="","","شراء")</f>
        <v/>
      </c>
      <c r="C376" t="str">
        <f>IF(الإدخالات!C376="","",IF(الإدخالات!E376="","-",الإدخالات!E376))</f>
        <v/>
      </c>
      <c r="D376" t="str">
        <f>IF(الإدخالات!C376="","",الإدخالات!C376)</f>
        <v/>
      </c>
      <c r="E376" s="24" t="str">
        <f>IF(الإدخالات!C376="","",الإدخالات!D376)</f>
        <v/>
      </c>
      <c r="F376" t="str">
        <f>IF(الإدخالات!C376="","",IF(الإدخالات!G376="","",الإدخالات!G376))</f>
        <v/>
      </c>
      <c r="G376" t="str">
        <f>IF($B376&lt;&gt;"",SUMPRODUCT(($B$2:$B376&lt;&gt;"")*1),"")</f>
        <v/>
      </c>
    </row>
    <row r="377" spans="1:7">
      <c r="A377" s="23" t="str">
        <f>IF(الإدخالات!C377="","",الإدخالات!B377)</f>
        <v/>
      </c>
      <c r="B377" t="str">
        <f>IF(الإدخالات!C377="","","شراء")</f>
        <v/>
      </c>
      <c r="C377" t="str">
        <f>IF(الإدخالات!C377="","",IF(الإدخالات!E377="","-",الإدخالات!E377))</f>
        <v/>
      </c>
      <c r="D377" t="str">
        <f>IF(الإدخالات!C377="","",الإدخالات!C377)</f>
        <v/>
      </c>
      <c r="E377" s="24" t="str">
        <f>IF(الإدخالات!C377="","",الإدخالات!D377)</f>
        <v/>
      </c>
      <c r="F377" t="str">
        <f>IF(الإدخالات!C377="","",IF(الإدخالات!G377="","",الإدخالات!G377))</f>
        <v/>
      </c>
      <c r="G377" t="str">
        <f>IF($B377&lt;&gt;"",SUMPRODUCT(($B$2:$B377&lt;&gt;"")*1),"")</f>
        <v/>
      </c>
    </row>
    <row r="378" spans="1:7">
      <c r="A378" s="23" t="str">
        <f>IF(الإدخالات!C378="","",الإدخالات!B378)</f>
        <v/>
      </c>
      <c r="B378" t="str">
        <f>IF(الإدخالات!C378="","","شراء")</f>
        <v/>
      </c>
      <c r="C378" t="str">
        <f>IF(الإدخالات!C378="","",IF(الإدخالات!E378="","-",الإدخالات!E378))</f>
        <v/>
      </c>
      <c r="D378" t="str">
        <f>IF(الإدخالات!C378="","",الإدخالات!C378)</f>
        <v/>
      </c>
      <c r="E378" s="24" t="str">
        <f>IF(الإدخالات!C378="","",الإدخالات!D378)</f>
        <v/>
      </c>
      <c r="F378" t="str">
        <f>IF(الإدخالات!C378="","",IF(الإدخالات!G378="","",الإدخالات!G378))</f>
        <v/>
      </c>
      <c r="G378" t="str">
        <f>IF($B378&lt;&gt;"",SUMPRODUCT(($B$2:$B378&lt;&gt;"")*1),"")</f>
        <v/>
      </c>
    </row>
    <row r="379" spans="1:7">
      <c r="A379" s="23" t="str">
        <f>IF(الإدخالات!C379="","",الإدخالات!B379)</f>
        <v/>
      </c>
      <c r="B379" t="str">
        <f>IF(الإدخالات!C379="","","شراء")</f>
        <v/>
      </c>
      <c r="C379" t="str">
        <f>IF(الإدخالات!C379="","",IF(الإدخالات!E379="","-",الإدخالات!E379))</f>
        <v/>
      </c>
      <c r="D379" t="str">
        <f>IF(الإدخالات!C379="","",الإدخالات!C379)</f>
        <v/>
      </c>
      <c r="E379" s="24" t="str">
        <f>IF(الإدخالات!C379="","",الإدخالات!D379)</f>
        <v/>
      </c>
      <c r="F379" t="str">
        <f>IF(الإدخالات!C379="","",IF(الإدخالات!G379="","",الإدخالات!G379))</f>
        <v/>
      </c>
      <c r="G379" t="str">
        <f>IF($B379&lt;&gt;"",SUMPRODUCT(($B$2:$B379&lt;&gt;"")*1),"")</f>
        <v/>
      </c>
    </row>
    <row r="380" spans="1:7">
      <c r="A380" s="23" t="str">
        <f>IF(الإدخالات!C380="","",الإدخالات!B380)</f>
        <v/>
      </c>
      <c r="B380" t="str">
        <f>IF(الإدخالات!C380="","","شراء")</f>
        <v/>
      </c>
      <c r="C380" t="str">
        <f>IF(الإدخالات!C380="","",IF(الإدخالات!E380="","-",الإدخالات!E380))</f>
        <v/>
      </c>
      <c r="D380" t="str">
        <f>IF(الإدخالات!C380="","",الإدخالات!C380)</f>
        <v/>
      </c>
      <c r="E380" s="24" t="str">
        <f>IF(الإدخالات!C380="","",الإدخالات!D380)</f>
        <v/>
      </c>
      <c r="F380" t="str">
        <f>IF(الإدخالات!C380="","",IF(الإدخالات!G380="","",الإدخالات!G380))</f>
        <v/>
      </c>
      <c r="G380" t="str">
        <f>IF($B380&lt;&gt;"",SUMPRODUCT(($B$2:$B380&lt;&gt;"")*1),"")</f>
        <v/>
      </c>
    </row>
    <row r="381" spans="1:7">
      <c r="A381" s="23" t="str">
        <f>IF(الإدخالات!C381="","",الإدخالات!B381)</f>
        <v/>
      </c>
      <c r="B381" t="str">
        <f>IF(الإدخالات!C381="","","شراء")</f>
        <v/>
      </c>
      <c r="C381" t="str">
        <f>IF(الإدخالات!C381="","",IF(الإدخالات!E381="","-",الإدخالات!E381))</f>
        <v/>
      </c>
      <c r="D381" t="str">
        <f>IF(الإدخالات!C381="","",الإدخالات!C381)</f>
        <v/>
      </c>
      <c r="E381" s="24" t="str">
        <f>IF(الإدخالات!C381="","",الإدخالات!D381)</f>
        <v/>
      </c>
      <c r="F381" t="str">
        <f>IF(الإدخالات!C381="","",IF(الإدخالات!G381="","",الإدخالات!G381))</f>
        <v/>
      </c>
      <c r="G381" t="str">
        <f>IF($B381&lt;&gt;"",SUMPRODUCT(($B$2:$B381&lt;&gt;"")*1),"")</f>
        <v/>
      </c>
    </row>
    <row r="382" spans="1:7">
      <c r="A382" s="23" t="str">
        <f>IF(الإدخالات!C382="","",الإدخالات!B382)</f>
        <v/>
      </c>
      <c r="B382" t="str">
        <f>IF(الإدخالات!C382="","","شراء")</f>
        <v/>
      </c>
      <c r="C382" t="str">
        <f>IF(الإدخالات!C382="","",IF(الإدخالات!E382="","-",الإدخالات!E382))</f>
        <v/>
      </c>
      <c r="D382" t="str">
        <f>IF(الإدخالات!C382="","",الإدخالات!C382)</f>
        <v/>
      </c>
      <c r="E382" s="24" t="str">
        <f>IF(الإدخالات!C382="","",الإدخالات!D382)</f>
        <v/>
      </c>
      <c r="F382" t="str">
        <f>IF(الإدخالات!C382="","",IF(الإدخالات!G382="","",الإدخالات!G382))</f>
        <v/>
      </c>
      <c r="G382" t="str">
        <f>IF($B382&lt;&gt;"",SUMPRODUCT(($B$2:$B382&lt;&gt;"")*1),"")</f>
        <v/>
      </c>
    </row>
    <row r="383" spans="1:7">
      <c r="A383" s="23" t="str">
        <f>IF(الإدخالات!C383="","",الإدخالات!B383)</f>
        <v/>
      </c>
      <c r="B383" t="str">
        <f>IF(الإدخالات!C383="","","شراء")</f>
        <v/>
      </c>
      <c r="C383" t="str">
        <f>IF(الإدخالات!C383="","",IF(الإدخالات!E383="","-",الإدخالات!E383))</f>
        <v/>
      </c>
      <c r="D383" t="str">
        <f>IF(الإدخالات!C383="","",الإدخالات!C383)</f>
        <v/>
      </c>
      <c r="E383" s="24" t="str">
        <f>IF(الإدخالات!C383="","",الإدخالات!D383)</f>
        <v/>
      </c>
      <c r="F383" t="str">
        <f>IF(الإدخالات!C383="","",IF(الإدخالات!G383="","",الإدخالات!G383))</f>
        <v/>
      </c>
      <c r="G383" t="str">
        <f>IF($B383&lt;&gt;"",SUMPRODUCT(($B$2:$B383&lt;&gt;"")*1),"")</f>
        <v/>
      </c>
    </row>
    <row r="384" spans="1:7">
      <c r="A384" s="23" t="str">
        <f>IF(الإدخالات!C384="","",الإدخالات!B384)</f>
        <v/>
      </c>
      <c r="B384" t="str">
        <f>IF(الإدخالات!C384="","","شراء")</f>
        <v/>
      </c>
      <c r="C384" t="str">
        <f>IF(الإدخالات!C384="","",IF(الإدخالات!E384="","-",الإدخالات!E384))</f>
        <v/>
      </c>
      <c r="D384" t="str">
        <f>IF(الإدخالات!C384="","",الإدخالات!C384)</f>
        <v/>
      </c>
      <c r="E384" s="24" t="str">
        <f>IF(الإدخالات!C384="","",الإدخالات!D384)</f>
        <v/>
      </c>
      <c r="F384" t="str">
        <f>IF(الإدخالات!C384="","",IF(الإدخالات!G384="","",الإدخالات!G384))</f>
        <v/>
      </c>
      <c r="G384" t="str">
        <f>IF($B384&lt;&gt;"",SUMPRODUCT(($B$2:$B384&lt;&gt;"")*1),"")</f>
        <v/>
      </c>
    </row>
    <row r="385" spans="1:7">
      <c r="A385" s="23" t="str">
        <f>IF(الإدخالات!C385="","",الإدخالات!B385)</f>
        <v/>
      </c>
      <c r="B385" t="str">
        <f>IF(الإدخالات!C385="","","شراء")</f>
        <v/>
      </c>
      <c r="C385" t="str">
        <f>IF(الإدخالات!C385="","",IF(الإدخالات!E385="","-",الإدخالات!E385))</f>
        <v/>
      </c>
      <c r="D385" t="str">
        <f>IF(الإدخالات!C385="","",الإدخالات!C385)</f>
        <v/>
      </c>
      <c r="E385" s="24" t="str">
        <f>IF(الإدخالات!C385="","",الإدخالات!D385)</f>
        <v/>
      </c>
      <c r="F385" t="str">
        <f>IF(الإدخالات!C385="","",IF(الإدخالات!G385="","",الإدخالات!G385))</f>
        <v/>
      </c>
      <c r="G385" t="str">
        <f>IF($B385&lt;&gt;"",SUMPRODUCT(($B$2:$B385&lt;&gt;"")*1),"")</f>
        <v/>
      </c>
    </row>
    <row r="386" spans="1:7">
      <c r="A386" s="23" t="str">
        <f>IF(الإدخالات!C386="","",الإدخالات!B386)</f>
        <v/>
      </c>
      <c r="B386" t="str">
        <f>IF(الإدخالات!C386="","","شراء")</f>
        <v/>
      </c>
      <c r="C386" t="str">
        <f>IF(الإدخالات!C386="","",IF(الإدخالات!E386="","-",الإدخالات!E386))</f>
        <v/>
      </c>
      <c r="D386" t="str">
        <f>IF(الإدخالات!C386="","",الإدخالات!C386)</f>
        <v/>
      </c>
      <c r="E386" s="24" t="str">
        <f>IF(الإدخالات!C386="","",الإدخالات!D386)</f>
        <v/>
      </c>
      <c r="F386" t="str">
        <f>IF(الإدخالات!C386="","",IF(الإدخالات!G386="","",الإدخالات!G386))</f>
        <v/>
      </c>
      <c r="G386" t="str">
        <f>IF($B386&lt;&gt;"",SUMPRODUCT(($B$2:$B386&lt;&gt;"")*1),"")</f>
        <v/>
      </c>
    </row>
    <row r="387" spans="1:7">
      <c r="A387" s="23" t="str">
        <f>IF(الإدخالات!C387="","",الإدخالات!B387)</f>
        <v/>
      </c>
      <c r="B387" t="str">
        <f>IF(الإدخالات!C387="","","شراء")</f>
        <v/>
      </c>
      <c r="C387" t="str">
        <f>IF(الإدخالات!C387="","",IF(الإدخالات!E387="","-",الإدخالات!E387))</f>
        <v/>
      </c>
      <c r="D387" t="str">
        <f>IF(الإدخالات!C387="","",الإدخالات!C387)</f>
        <v/>
      </c>
      <c r="E387" s="24" t="str">
        <f>IF(الإدخالات!C387="","",الإدخالات!D387)</f>
        <v/>
      </c>
      <c r="F387" t="str">
        <f>IF(الإدخالات!C387="","",IF(الإدخالات!G387="","",الإدخالات!G387))</f>
        <v/>
      </c>
      <c r="G387" t="str">
        <f>IF($B387&lt;&gt;"",SUMPRODUCT(($B$2:$B387&lt;&gt;"")*1),"")</f>
        <v/>
      </c>
    </row>
    <row r="388" spans="1:7">
      <c r="A388" s="23" t="str">
        <f>IF(الإدخالات!C388="","",الإدخالات!B388)</f>
        <v/>
      </c>
      <c r="B388" t="str">
        <f>IF(الإدخالات!C388="","","شراء")</f>
        <v/>
      </c>
      <c r="C388" t="str">
        <f>IF(الإدخالات!C388="","",IF(الإدخالات!E388="","-",الإدخالات!E388))</f>
        <v/>
      </c>
      <c r="D388" t="str">
        <f>IF(الإدخالات!C388="","",الإدخالات!C388)</f>
        <v/>
      </c>
      <c r="E388" s="24" t="str">
        <f>IF(الإدخالات!C388="","",الإدخالات!D388)</f>
        <v/>
      </c>
      <c r="F388" t="str">
        <f>IF(الإدخالات!C388="","",IF(الإدخالات!G388="","",الإدخالات!G388))</f>
        <v/>
      </c>
      <c r="G388" t="str">
        <f>IF($B388&lt;&gt;"",SUMPRODUCT(($B$2:$B388&lt;&gt;"")*1),"")</f>
        <v/>
      </c>
    </row>
    <row r="389" spans="1:7">
      <c r="A389" s="23" t="str">
        <f>IF(الإدخالات!C389="","",الإدخالات!B389)</f>
        <v/>
      </c>
      <c r="B389" t="str">
        <f>IF(الإدخالات!C389="","","شراء")</f>
        <v/>
      </c>
      <c r="C389" t="str">
        <f>IF(الإدخالات!C389="","",IF(الإدخالات!E389="","-",الإدخالات!E389))</f>
        <v/>
      </c>
      <c r="D389" t="str">
        <f>IF(الإدخالات!C389="","",الإدخالات!C389)</f>
        <v/>
      </c>
      <c r="E389" s="24" t="str">
        <f>IF(الإدخالات!C389="","",الإدخالات!D389)</f>
        <v/>
      </c>
      <c r="F389" t="str">
        <f>IF(الإدخالات!C389="","",IF(الإدخالات!G389="","",الإدخالات!G389))</f>
        <v/>
      </c>
      <c r="G389" t="str">
        <f>IF($B389&lt;&gt;"",SUMPRODUCT(($B$2:$B389&lt;&gt;"")*1),"")</f>
        <v/>
      </c>
    </row>
    <row r="390" spans="1:7">
      <c r="A390" s="23" t="str">
        <f>IF(الإدخالات!C390="","",الإدخالات!B390)</f>
        <v/>
      </c>
      <c r="B390" t="str">
        <f>IF(الإدخالات!C390="","","شراء")</f>
        <v/>
      </c>
      <c r="C390" t="str">
        <f>IF(الإدخالات!C390="","",IF(الإدخالات!E390="","-",الإدخالات!E390))</f>
        <v/>
      </c>
      <c r="D390" t="str">
        <f>IF(الإدخالات!C390="","",الإدخالات!C390)</f>
        <v/>
      </c>
      <c r="E390" s="24" t="str">
        <f>IF(الإدخالات!C390="","",الإدخالات!D390)</f>
        <v/>
      </c>
      <c r="F390" t="str">
        <f>IF(الإدخالات!C390="","",IF(الإدخالات!G390="","",الإدخالات!G390))</f>
        <v/>
      </c>
      <c r="G390" t="str">
        <f>IF($B390&lt;&gt;"",SUMPRODUCT(($B$2:$B390&lt;&gt;"")*1),"")</f>
        <v/>
      </c>
    </row>
    <row r="391" spans="1:7">
      <c r="A391" s="23" t="str">
        <f>IF(الإدخالات!C391="","",الإدخالات!B391)</f>
        <v/>
      </c>
      <c r="B391" t="str">
        <f>IF(الإدخالات!C391="","","شراء")</f>
        <v/>
      </c>
      <c r="C391" t="str">
        <f>IF(الإدخالات!C391="","",IF(الإدخالات!E391="","-",الإدخالات!E391))</f>
        <v/>
      </c>
      <c r="D391" t="str">
        <f>IF(الإدخالات!C391="","",الإدخالات!C391)</f>
        <v/>
      </c>
      <c r="E391" s="24" t="str">
        <f>IF(الإدخالات!C391="","",الإدخالات!D391)</f>
        <v/>
      </c>
      <c r="F391" t="str">
        <f>IF(الإدخالات!C391="","",IF(الإدخالات!G391="","",الإدخالات!G391))</f>
        <v/>
      </c>
      <c r="G391" t="str">
        <f>IF($B391&lt;&gt;"",SUMPRODUCT(($B$2:$B391&lt;&gt;"")*1),"")</f>
        <v/>
      </c>
    </row>
    <row r="392" spans="1:7">
      <c r="A392" s="23" t="str">
        <f>IF(الإدخالات!C392="","",الإدخالات!B392)</f>
        <v/>
      </c>
      <c r="B392" t="str">
        <f>IF(الإدخالات!C392="","","شراء")</f>
        <v/>
      </c>
      <c r="C392" t="str">
        <f>IF(الإدخالات!C392="","",IF(الإدخالات!E392="","-",الإدخالات!E392))</f>
        <v/>
      </c>
      <c r="D392" t="str">
        <f>IF(الإدخالات!C392="","",الإدخالات!C392)</f>
        <v/>
      </c>
      <c r="E392" s="24" t="str">
        <f>IF(الإدخالات!C392="","",الإدخالات!D392)</f>
        <v/>
      </c>
      <c r="F392" t="str">
        <f>IF(الإدخالات!C392="","",IF(الإدخالات!G392="","",الإدخالات!G392))</f>
        <v/>
      </c>
      <c r="G392" t="str">
        <f>IF($B392&lt;&gt;"",SUMPRODUCT(($B$2:$B392&lt;&gt;"")*1),"")</f>
        <v/>
      </c>
    </row>
    <row r="393" spans="1:7">
      <c r="A393" s="23" t="str">
        <f>IF(الإدخالات!C393="","",الإدخالات!B393)</f>
        <v/>
      </c>
      <c r="B393" t="str">
        <f>IF(الإدخالات!C393="","","شراء")</f>
        <v/>
      </c>
      <c r="C393" t="str">
        <f>IF(الإدخالات!C393="","",IF(الإدخالات!E393="","-",الإدخالات!E393))</f>
        <v/>
      </c>
      <c r="D393" t="str">
        <f>IF(الإدخالات!C393="","",الإدخالات!C393)</f>
        <v/>
      </c>
      <c r="E393" s="24" t="str">
        <f>IF(الإدخالات!C393="","",الإدخالات!D393)</f>
        <v/>
      </c>
      <c r="F393" t="str">
        <f>IF(الإدخالات!C393="","",IF(الإدخالات!G393="","",الإدخالات!G393))</f>
        <v/>
      </c>
      <c r="G393" t="str">
        <f>IF($B393&lt;&gt;"",SUMPRODUCT(($B$2:$B393&lt;&gt;"")*1),"")</f>
        <v/>
      </c>
    </row>
    <row r="394" spans="1:7">
      <c r="A394" s="23" t="str">
        <f>IF(الإدخالات!C394="","",الإدخالات!B394)</f>
        <v/>
      </c>
      <c r="B394" t="str">
        <f>IF(الإدخالات!C394="","","شراء")</f>
        <v/>
      </c>
      <c r="C394" t="str">
        <f>IF(الإدخالات!C394="","",IF(الإدخالات!E394="","-",الإدخالات!E394))</f>
        <v/>
      </c>
      <c r="D394" t="str">
        <f>IF(الإدخالات!C394="","",الإدخالات!C394)</f>
        <v/>
      </c>
      <c r="E394" s="24" t="str">
        <f>IF(الإدخالات!C394="","",الإدخالات!D394)</f>
        <v/>
      </c>
      <c r="F394" t="str">
        <f>IF(الإدخالات!C394="","",IF(الإدخالات!G394="","",الإدخالات!G394))</f>
        <v/>
      </c>
      <c r="G394" t="str">
        <f>IF($B394&lt;&gt;"",SUMPRODUCT(($B$2:$B394&lt;&gt;"")*1),"")</f>
        <v/>
      </c>
    </row>
    <row r="395" spans="1:7">
      <c r="A395" s="23" t="str">
        <f>IF(الإدخالات!C395="","",الإدخالات!B395)</f>
        <v/>
      </c>
      <c r="B395" t="str">
        <f>IF(الإدخالات!C395="","","شراء")</f>
        <v/>
      </c>
      <c r="C395" t="str">
        <f>IF(الإدخالات!C395="","",IF(الإدخالات!E395="","-",الإدخالات!E395))</f>
        <v/>
      </c>
      <c r="D395" t="str">
        <f>IF(الإدخالات!C395="","",الإدخالات!C395)</f>
        <v/>
      </c>
      <c r="E395" s="24" t="str">
        <f>IF(الإدخالات!C395="","",الإدخالات!D395)</f>
        <v/>
      </c>
      <c r="F395" t="str">
        <f>IF(الإدخالات!C395="","",IF(الإدخالات!G395="","",الإدخالات!G395))</f>
        <v/>
      </c>
      <c r="G395" t="str">
        <f>IF($B395&lt;&gt;"",SUMPRODUCT(($B$2:$B395&lt;&gt;"")*1),"")</f>
        <v/>
      </c>
    </row>
    <row r="396" spans="1:7">
      <c r="A396" s="23" t="str">
        <f>IF(الإدخالات!C396="","",الإدخالات!B396)</f>
        <v/>
      </c>
      <c r="B396" t="str">
        <f>IF(الإدخالات!C396="","","شراء")</f>
        <v/>
      </c>
      <c r="C396" t="str">
        <f>IF(الإدخالات!C396="","",IF(الإدخالات!E396="","-",الإدخالات!E396))</f>
        <v/>
      </c>
      <c r="D396" t="str">
        <f>IF(الإدخالات!C396="","",الإدخالات!C396)</f>
        <v/>
      </c>
      <c r="E396" s="24" t="str">
        <f>IF(الإدخالات!C396="","",الإدخالات!D396)</f>
        <v/>
      </c>
      <c r="F396" t="str">
        <f>IF(الإدخالات!C396="","",IF(الإدخالات!G396="","",الإدخالات!G396))</f>
        <v/>
      </c>
      <c r="G396" t="str">
        <f>IF($B396&lt;&gt;"",SUMPRODUCT(($B$2:$B396&lt;&gt;"")*1),"")</f>
        <v/>
      </c>
    </row>
    <row r="397" spans="1:7">
      <c r="A397" s="23" t="str">
        <f>IF(الإدخالات!C397="","",الإدخالات!B397)</f>
        <v/>
      </c>
      <c r="B397" t="str">
        <f>IF(الإدخالات!C397="","","شراء")</f>
        <v/>
      </c>
      <c r="C397" t="str">
        <f>IF(الإدخالات!C397="","",IF(الإدخالات!E397="","-",الإدخالات!E397))</f>
        <v/>
      </c>
      <c r="D397" t="str">
        <f>IF(الإدخالات!C397="","",الإدخالات!C397)</f>
        <v/>
      </c>
      <c r="E397" s="24" t="str">
        <f>IF(الإدخالات!C397="","",الإدخالات!D397)</f>
        <v/>
      </c>
      <c r="F397" t="str">
        <f>IF(الإدخالات!C397="","",IF(الإدخالات!G397="","",الإدخالات!G397))</f>
        <v/>
      </c>
      <c r="G397" t="str">
        <f>IF($B397&lt;&gt;"",SUMPRODUCT(($B$2:$B397&lt;&gt;"")*1),"")</f>
        <v/>
      </c>
    </row>
    <row r="398" spans="1:7">
      <c r="A398" s="23" t="str">
        <f>IF(الإدخالات!C398="","",الإدخالات!B398)</f>
        <v/>
      </c>
      <c r="B398" t="str">
        <f>IF(الإدخالات!C398="","","شراء")</f>
        <v/>
      </c>
      <c r="C398" t="str">
        <f>IF(الإدخالات!C398="","",IF(الإدخالات!E398="","-",الإدخالات!E398))</f>
        <v/>
      </c>
      <c r="D398" t="str">
        <f>IF(الإدخالات!C398="","",الإدخالات!C398)</f>
        <v/>
      </c>
      <c r="E398" s="24" t="str">
        <f>IF(الإدخالات!C398="","",الإدخالات!D398)</f>
        <v/>
      </c>
      <c r="F398" t="str">
        <f>IF(الإدخالات!C398="","",IF(الإدخالات!G398="","",الإدخالات!G398))</f>
        <v/>
      </c>
      <c r="G398" t="str">
        <f>IF($B398&lt;&gt;"",SUMPRODUCT(($B$2:$B398&lt;&gt;"")*1),"")</f>
        <v/>
      </c>
    </row>
    <row r="399" spans="1:7">
      <c r="A399" s="23" t="str">
        <f>IF(الإدخالات!C399="","",الإدخالات!B399)</f>
        <v/>
      </c>
      <c r="B399" t="str">
        <f>IF(الإدخالات!C399="","","شراء")</f>
        <v/>
      </c>
      <c r="C399" t="str">
        <f>IF(الإدخالات!C399="","",IF(الإدخالات!E399="","-",الإدخالات!E399))</f>
        <v/>
      </c>
      <c r="D399" t="str">
        <f>IF(الإدخالات!C399="","",الإدخالات!C399)</f>
        <v/>
      </c>
      <c r="E399" s="24" t="str">
        <f>IF(الإدخالات!C399="","",الإدخالات!D399)</f>
        <v/>
      </c>
      <c r="F399" t="str">
        <f>IF(الإدخالات!C399="","",IF(الإدخالات!G399="","",الإدخالات!G399))</f>
        <v/>
      </c>
      <c r="G399" t="str">
        <f>IF($B399&lt;&gt;"",SUMPRODUCT(($B$2:$B399&lt;&gt;"")*1),"")</f>
        <v/>
      </c>
    </row>
    <row r="400" spans="1:7">
      <c r="A400" s="23" t="str">
        <f>IF(الإدخالات!C400="","",الإدخالات!B400)</f>
        <v/>
      </c>
      <c r="B400" t="str">
        <f>IF(الإدخالات!C400="","","شراء")</f>
        <v/>
      </c>
      <c r="C400" t="str">
        <f>IF(الإدخالات!C400="","",IF(الإدخالات!E400="","-",الإدخالات!E400))</f>
        <v/>
      </c>
      <c r="D400" t="str">
        <f>IF(الإدخالات!C400="","",الإدخالات!C400)</f>
        <v/>
      </c>
      <c r="E400" s="24" t="str">
        <f>IF(الإدخالات!C400="","",الإدخالات!D400)</f>
        <v/>
      </c>
      <c r="F400" t="str">
        <f>IF(الإدخالات!C400="","",IF(الإدخالات!G400="","",الإدخالات!G400))</f>
        <v/>
      </c>
      <c r="G400" t="str">
        <f>IF($B400&lt;&gt;"",SUMPRODUCT(($B$2:$B400&lt;&gt;"")*1),"")</f>
        <v/>
      </c>
    </row>
    <row r="401" spans="1:7">
      <c r="A401" s="23" t="str">
        <f>IF(الإدخالات!C401="","",الإدخالات!B401)</f>
        <v/>
      </c>
      <c r="B401" t="str">
        <f>IF(الإدخالات!C401="","","شراء")</f>
        <v/>
      </c>
      <c r="C401" t="str">
        <f>IF(الإدخالات!C401="","",IF(الإدخالات!E401="","-",الإدخالات!E401))</f>
        <v/>
      </c>
      <c r="D401" t="str">
        <f>IF(الإدخالات!C401="","",الإدخالات!C401)</f>
        <v/>
      </c>
      <c r="E401" s="24" t="str">
        <f>IF(الإدخالات!C401="","",الإدخالات!D401)</f>
        <v/>
      </c>
      <c r="F401" t="str">
        <f>IF(الإدخالات!C401="","",IF(الإدخالات!G401="","",الإدخالات!G401))</f>
        <v/>
      </c>
      <c r="G401" t="str">
        <f>IF($B401&lt;&gt;"",SUMPRODUCT(($B$2:$B401&lt;&gt;"")*1),"")</f>
        <v/>
      </c>
    </row>
    <row r="402" spans="1:7">
      <c r="A402" s="23" t="str">
        <f>IF(الإدخالات!C402="","",الإدخالات!B402)</f>
        <v/>
      </c>
      <c r="B402" t="str">
        <f>IF(الإدخالات!C402="","","شراء")</f>
        <v/>
      </c>
      <c r="C402" t="str">
        <f>IF(الإدخالات!C402="","",IF(الإدخالات!E402="","-",الإدخالات!E402))</f>
        <v/>
      </c>
      <c r="D402" t="str">
        <f>IF(الإدخالات!C402="","",الإدخالات!C402)</f>
        <v/>
      </c>
      <c r="E402" s="24" t="str">
        <f>IF(الإدخالات!C402="","",الإدخالات!D402)</f>
        <v/>
      </c>
      <c r="F402" t="str">
        <f>IF(الإدخالات!C402="","",IF(الإدخالات!G402="","",الإدخالات!G402))</f>
        <v/>
      </c>
      <c r="G402" t="str">
        <f>IF($B402&lt;&gt;"",SUMPRODUCT(($B$2:$B402&lt;&gt;"")*1),"")</f>
        <v/>
      </c>
    </row>
    <row r="403" spans="1:7">
      <c r="A403" s="23" t="str">
        <f>IF(الإدخالات!C403="","",الإدخالات!B403)</f>
        <v/>
      </c>
      <c r="B403" t="str">
        <f>IF(الإدخالات!C403="","","شراء")</f>
        <v/>
      </c>
      <c r="C403" t="str">
        <f>IF(الإدخالات!C403="","",IF(الإدخالات!E403="","-",الإدخالات!E403))</f>
        <v/>
      </c>
      <c r="D403" t="str">
        <f>IF(الإدخالات!C403="","",الإدخالات!C403)</f>
        <v/>
      </c>
      <c r="E403" s="24" t="str">
        <f>IF(الإدخالات!C403="","",الإدخالات!D403)</f>
        <v/>
      </c>
      <c r="F403" t="str">
        <f>IF(الإدخالات!C403="","",IF(الإدخالات!G403="","",الإدخالات!G403))</f>
        <v/>
      </c>
      <c r="G403" t="str">
        <f>IF($B403&lt;&gt;"",SUMPRODUCT(($B$2:$B403&lt;&gt;"")*1),"")</f>
        <v/>
      </c>
    </row>
    <row r="404" spans="1:7">
      <c r="A404" s="23" t="str">
        <f>IF(الإدخالات!C404="","",الإدخالات!B404)</f>
        <v/>
      </c>
      <c r="B404" t="str">
        <f>IF(الإدخالات!C404="","","شراء")</f>
        <v/>
      </c>
      <c r="C404" t="str">
        <f>IF(الإدخالات!C404="","",IF(الإدخالات!E404="","-",الإدخالات!E404))</f>
        <v/>
      </c>
      <c r="D404" t="str">
        <f>IF(الإدخالات!C404="","",الإدخالات!C404)</f>
        <v/>
      </c>
      <c r="E404" s="24" t="str">
        <f>IF(الإدخالات!C404="","",الإدخالات!D404)</f>
        <v/>
      </c>
      <c r="F404" t="str">
        <f>IF(الإدخالات!C404="","",IF(الإدخالات!G404="","",الإدخالات!G404))</f>
        <v/>
      </c>
      <c r="G404" t="str">
        <f>IF($B404&lt;&gt;"",SUMPRODUCT(($B$2:$B404&lt;&gt;"")*1),"")</f>
        <v/>
      </c>
    </row>
    <row r="405" spans="1:7">
      <c r="A405" s="23" t="str">
        <f>IF(الإدخالات!C405="","",الإدخالات!B405)</f>
        <v/>
      </c>
      <c r="B405" t="str">
        <f>IF(الإدخالات!C405="","","شراء")</f>
        <v/>
      </c>
      <c r="C405" t="str">
        <f>IF(الإدخالات!C405="","",IF(الإدخالات!E405="","-",الإدخالات!E405))</f>
        <v/>
      </c>
      <c r="D405" t="str">
        <f>IF(الإدخالات!C405="","",الإدخالات!C405)</f>
        <v/>
      </c>
      <c r="E405" s="24" t="str">
        <f>IF(الإدخالات!C405="","",الإدخالات!D405)</f>
        <v/>
      </c>
      <c r="F405" t="str">
        <f>IF(الإدخالات!C405="","",IF(الإدخالات!G405="","",الإدخالات!G405))</f>
        <v/>
      </c>
      <c r="G405" t="str">
        <f>IF($B405&lt;&gt;"",SUMPRODUCT(($B$2:$B405&lt;&gt;"")*1),"")</f>
        <v/>
      </c>
    </row>
    <row r="406" spans="1:7">
      <c r="A406" s="23" t="str">
        <f>IF(الإدخالات!C406="","",الإدخالات!B406)</f>
        <v/>
      </c>
      <c r="B406" t="str">
        <f>IF(الإدخالات!C406="","","شراء")</f>
        <v/>
      </c>
      <c r="C406" t="str">
        <f>IF(الإدخالات!C406="","",IF(الإدخالات!E406="","-",الإدخالات!E406))</f>
        <v/>
      </c>
      <c r="D406" t="str">
        <f>IF(الإدخالات!C406="","",الإدخالات!C406)</f>
        <v/>
      </c>
      <c r="E406" s="24" t="str">
        <f>IF(الإدخالات!C406="","",الإدخالات!D406)</f>
        <v/>
      </c>
      <c r="F406" t="str">
        <f>IF(الإدخالات!C406="","",IF(الإدخالات!G406="","",الإدخالات!G406))</f>
        <v/>
      </c>
      <c r="G406" t="str">
        <f>IF($B406&lt;&gt;"",SUMPRODUCT(($B$2:$B406&lt;&gt;"")*1),"")</f>
        <v/>
      </c>
    </row>
    <row r="407" spans="1:7">
      <c r="A407" s="23" t="str">
        <f>IF(الإدخالات!C407="","",الإدخالات!B407)</f>
        <v/>
      </c>
      <c r="B407" t="str">
        <f>IF(الإدخالات!C407="","","شراء")</f>
        <v/>
      </c>
      <c r="C407" t="str">
        <f>IF(الإدخالات!C407="","",IF(الإدخالات!E407="","-",الإدخالات!E407))</f>
        <v/>
      </c>
      <c r="D407" t="str">
        <f>IF(الإدخالات!C407="","",الإدخالات!C407)</f>
        <v/>
      </c>
      <c r="E407" s="24" t="str">
        <f>IF(الإدخالات!C407="","",الإدخالات!D407)</f>
        <v/>
      </c>
      <c r="F407" t="str">
        <f>IF(الإدخالات!C407="","",IF(الإدخالات!G407="","",الإدخالات!G407))</f>
        <v/>
      </c>
      <c r="G407" t="str">
        <f>IF($B407&lt;&gt;"",SUMPRODUCT(($B$2:$B407&lt;&gt;"")*1),"")</f>
        <v/>
      </c>
    </row>
    <row r="408" spans="1:7">
      <c r="A408" s="23" t="str">
        <f>IF(الإدخالات!C408="","",الإدخالات!B408)</f>
        <v/>
      </c>
      <c r="B408" t="str">
        <f>IF(الإدخالات!C408="","","شراء")</f>
        <v/>
      </c>
      <c r="C408" t="str">
        <f>IF(الإدخالات!C408="","",IF(الإدخالات!E408="","-",الإدخالات!E408))</f>
        <v/>
      </c>
      <c r="D408" t="str">
        <f>IF(الإدخالات!C408="","",الإدخالات!C408)</f>
        <v/>
      </c>
      <c r="E408" s="24" t="str">
        <f>IF(الإدخالات!C408="","",الإدخالات!D408)</f>
        <v/>
      </c>
      <c r="F408" t="str">
        <f>IF(الإدخالات!C408="","",IF(الإدخالات!G408="","",الإدخالات!G408))</f>
        <v/>
      </c>
      <c r="G408" t="str">
        <f>IF($B408&lt;&gt;"",SUMPRODUCT(($B$2:$B408&lt;&gt;"")*1),"")</f>
        <v/>
      </c>
    </row>
    <row r="409" spans="1:7">
      <c r="A409" s="23" t="str">
        <f>IF(الإدخالات!C409="","",الإدخالات!B409)</f>
        <v/>
      </c>
      <c r="B409" t="str">
        <f>IF(الإدخالات!C409="","","شراء")</f>
        <v/>
      </c>
      <c r="C409" t="str">
        <f>IF(الإدخالات!C409="","",IF(الإدخالات!E409="","-",الإدخالات!E409))</f>
        <v/>
      </c>
      <c r="D409" t="str">
        <f>IF(الإدخالات!C409="","",الإدخالات!C409)</f>
        <v/>
      </c>
      <c r="E409" s="24" t="str">
        <f>IF(الإدخالات!C409="","",الإدخالات!D409)</f>
        <v/>
      </c>
      <c r="F409" t="str">
        <f>IF(الإدخالات!C409="","",IF(الإدخالات!G409="","",الإدخالات!G409))</f>
        <v/>
      </c>
      <c r="G409" t="str">
        <f>IF($B409&lt;&gt;"",SUMPRODUCT(($B$2:$B409&lt;&gt;"")*1),"")</f>
        <v/>
      </c>
    </row>
    <row r="410" spans="1:7">
      <c r="A410" s="23" t="str">
        <f>IF(الإدخالات!C410="","",الإدخالات!B410)</f>
        <v/>
      </c>
      <c r="B410" t="str">
        <f>IF(الإدخالات!C410="","","شراء")</f>
        <v/>
      </c>
      <c r="C410" t="str">
        <f>IF(الإدخالات!C410="","",IF(الإدخالات!E410="","-",الإدخالات!E410))</f>
        <v/>
      </c>
      <c r="D410" t="str">
        <f>IF(الإدخالات!C410="","",الإدخالات!C410)</f>
        <v/>
      </c>
      <c r="E410" s="24" t="str">
        <f>IF(الإدخالات!C410="","",الإدخالات!D410)</f>
        <v/>
      </c>
      <c r="F410" t="str">
        <f>IF(الإدخالات!C410="","",IF(الإدخالات!G410="","",الإدخالات!G410))</f>
        <v/>
      </c>
      <c r="G410" t="str">
        <f>IF($B410&lt;&gt;"",SUMPRODUCT(($B$2:$B410&lt;&gt;"")*1),"")</f>
        <v/>
      </c>
    </row>
    <row r="411" spans="1:7">
      <c r="A411" s="23" t="str">
        <f>IF(الإدخالات!C411="","",الإدخالات!B411)</f>
        <v/>
      </c>
      <c r="B411" t="str">
        <f>IF(الإدخالات!C411="","","شراء")</f>
        <v/>
      </c>
      <c r="C411" t="str">
        <f>IF(الإدخالات!C411="","",IF(الإدخالات!E411="","-",الإدخالات!E411))</f>
        <v/>
      </c>
      <c r="D411" t="str">
        <f>IF(الإدخالات!C411="","",الإدخالات!C411)</f>
        <v/>
      </c>
      <c r="E411" s="24" t="str">
        <f>IF(الإدخالات!C411="","",الإدخالات!D411)</f>
        <v/>
      </c>
      <c r="F411" t="str">
        <f>IF(الإدخالات!C411="","",IF(الإدخالات!G411="","",الإدخالات!G411))</f>
        <v/>
      </c>
      <c r="G411" t="str">
        <f>IF($B411&lt;&gt;"",SUMPRODUCT(($B$2:$B411&lt;&gt;"")*1),"")</f>
        <v/>
      </c>
    </row>
    <row r="412" spans="1:7">
      <c r="A412" s="23" t="str">
        <f>IF(الإدخالات!C412="","",الإدخالات!B412)</f>
        <v/>
      </c>
      <c r="B412" t="str">
        <f>IF(الإدخالات!C412="","","شراء")</f>
        <v/>
      </c>
      <c r="C412" t="str">
        <f>IF(الإدخالات!C412="","",IF(الإدخالات!E412="","-",الإدخالات!E412))</f>
        <v/>
      </c>
      <c r="D412" t="str">
        <f>IF(الإدخالات!C412="","",الإدخالات!C412)</f>
        <v/>
      </c>
      <c r="E412" s="24" t="str">
        <f>IF(الإدخالات!C412="","",الإدخالات!D412)</f>
        <v/>
      </c>
      <c r="F412" t="str">
        <f>IF(الإدخالات!C412="","",IF(الإدخالات!G412="","",الإدخالات!G412))</f>
        <v/>
      </c>
      <c r="G412" t="str">
        <f>IF($B412&lt;&gt;"",SUMPRODUCT(($B$2:$B412&lt;&gt;"")*1),"")</f>
        <v/>
      </c>
    </row>
    <row r="413" spans="1:7">
      <c r="A413" s="23" t="str">
        <f>IF(الإدخالات!C413="","",الإدخالات!B413)</f>
        <v/>
      </c>
      <c r="B413" t="str">
        <f>IF(الإدخالات!C413="","","شراء")</f>
        <v/>
      </c>
      <c r="C413" t="str">
        <f>IF(الإدخالات!C413="","",IF(الإدخالات!E413="","-",الإدخالات!E413))</f>
        <v/>
      </c>
      <c r="D413" t="str">
        <f>IF(الإدخالات!C413="","",الإدخالات!C413)</f>
        <v/>
      </c>
      <c r="E413" s="24" t="str">
        <f>IF(الإدخالات!C413="","",الإدخالات!D413)</f>
        <v/>
      </c>
      <c r="F413" t="str">
        <f>IF(الإدخالات!C413="","",IF(الإدخالات!G413="","",الإدخالات!G413))</f>
        <v/>
      </c>
      <c r="G413" t="str">
        <f>IF($B413&lt;&gt;"",SUMPRODUCT(($B$2:$B413&lt;&gt;"")*1),"")</f>
        <v/>
      </c>
    </row>
    <row r="414" spans="1:7">
      <c r="A414" s="23" t="str">
        <f>IF(الإدخالات!C414="","",الإدخالات!B414)</f>
        <v/>
      </c>
      <c r="B414" t="str">
        <f>IF(الإدخالات!C414="","","شراء")</f>
        <v/>
      </c>
      <c r="C414" t="str">
        <f>IF(الإدخالات!C414="","",IF(الإدخالات!E414="","-",الإدخالات!E414))</f>
        <v/>
      </c>
      <c r="D414" t="str">
        <f>IF(الإدخالات!C414="","",الإدخالات!C414)</f>
        <v/>
      </c>
      <c r="E414" s="24" t="str">
        <f>IF(الإدخالات!C414="","",الإدخالات!D414)</f>
        <v/>
      </c>
      <c r="F414" t="str">
        <f>IF(الإدخالات!C414="","",IF(الإدخالات!G414="","",الإدخالات!G414))</f>
        <v/>
      </c>
      <c r="G414" t="str">
        <f>IF($B414&lt;&gt;"",SUMPRODUCT(($B$2:$B414&lt;&gt;"")*1),"")</f>
        <v/>
      </c>
    </row>
    <row r="415" spans="1:7">
      <c r="A415" s="23" t="str">
        <f>IF(الإدخالات!C415="","",الإدخالات!B415)</f>
        <v/>
      </c>
      <c r="B415" t="str">
        <f>IF(الإدخالات!C415="","","شراء")</f>
        <v/>
      </c>
      <c r="C415" t="str">
        <f>IF(الإدخالات!C415="","",IF(الإدخالات!E415="","-",الإدخالات!E415))</f>
        <v/>
      </c>
      <c r="D415" t="str">
        <f>IF(الإدخالات!C415="","",الإدخالات!C415)</f>
        <v/>
      </c>
      <c r="E415" s="24" t="str">
        <f>IF(الإدخالات!C415="","",الإدخالات!D415)</f>
        <v/>
      </c>
      <c r="F415" t="str">
        <f>IF(الإدخالات!C415="","",IF(الإدخالات!G415="","",الإدخالات!G415))</f>
        <v/>
      </c>
      <c r="G415" t="str">
        <f>IF($B415&lt;&gt;"",SUMPRODUCT(($B$2:$B415&lt;&gt;"")*1),"")</f>
        <v/>
      </c>
    </row>
    <row r="416" spans="1:7">
      <c r="A416" s="23" t="str">
        <f>IF(الإدخالات!C416="","",الإدخالات!B416)</f>
        <v/>
      </c>
      <c r="B416" t="str">
        <f>IF(الإدخالات!C416="","","شراء")</f>
        <v/>
      </c>
      <c r="C416" t="str">
        <f>IF(الإدخالات!C416="","",IF(الإدخالات!E416="","-",الإدخالات!E416))</f>
        <v/>
      </c>
      <c r="D416" t="str">
        <f>IF(الإدخالات!C416="","",الإدخالات!C416)</f>
        <v/>
      </c>
      <c r="E416" s="24" t="str">
        <f>IF(الإدخالات!C416="","",الإدخالات!D416)</f>
        <v/>
      </c>
      <c r="F416" t="str">
        <f>IF(الإدخالات!C416="","",IF(الإدخالات!G416="","",الإدخالات!G416))</f>
        <v/>
      </c>
      <c r="G416" t="str">
        <f>IF($B416&lt;&gt;"",SUMPRODUCT(($B$2:$B416&lt;&gt;"")*1),"")</f>
        <v/>
      </c>
    </row>
    <row r="417" spans="1:7">
      <c r="A417" s="23" t="str">
        <f>IF(الإدخالات!C417="","",الإدخالات!B417)</f>
        <v/>
      </c>
      <c r="B417" t="str">
        <f>IF(الإدخالات!C417="","","شراء")</f>
        <v/>
      </c>
      <c r="C417" t="str">
        <f>IF(الإدخالات!C417="","",IF(الإدخالات!E417="","-",الإدخالات!E417))</f>
        <v/>
      </c>
      <c r="D417" t="str">
        <f>IF(الإدخالات!C417="","",الإدخالات!C417)</f>
        <v/>
      </c>
      <c r="E417" s="24" t="str">
        <f>IF(الإدخالات!C417="","",الإدخالات!D417)</f>
        <v/>
      </c>
      <c r="F417" t="str">
        <f>IF(الإدخالات!C417="","",IF(الإدخالات!G417="","",الإدخالات!G417))</f>
        <v/>
      </c>
      <c r="G417" t="str">
        <f>IF($B417&lt;&gt;"",SUMPRODUCT(($B$2:$B417&lt;&gt;"")*1),"")</f>
        <v/>
      </c>
    </row>
    <row r="418" spans="1:7">
      <c r="A418" s="23" t="str">
        <f>IF(الإدخالات!C418="","",الإدخالات!B418)</f>
        <v/>
      </c>
      <c r="B418" t="str">
        <f>IF(الإدخالات!C418="","","شراء")</f>
        <v/>
      </c>
      <c r="C418" t="str">
        <f>IF(الإدخالات!C418="","",IF(الإدخالات!E418="","-",الإدخالات!E418))</f>
        <v/>
      </c>
      <c r="D418" t="str">
        <f>IF(الإدخالات!C418="","",الإدخالات!C418)</f>
        <v/>
      </c>
      <c r="E418" s="24" t="str">
        <f>IF(الإدخالات!C418="","",الإدخالات!D418)</f>
        <v/>
      </c>
      <c r="F418" t="str">
        <f>IF(الإدخالات!C418="","",IF(الإدخالات!G418="","",الإدخالات!G418))</f>
        <v/>
      </c>
      <c r="G418" t="str">
        <f>IF($B418&lt;&gt;"",SUMPRODUCT(($B$2:$B418&lt;&gt;"")*1),"")</f>
        <v/>
      </c>
    </row>
    <row r="419" spans="1:7">
      <c r="A419" s="23" t="str">
        <f>IF(الإدخالات!C419="","",الإدخالات!B419)</f>
        <v/>
      </c>
      <c r="B419" t="str">
        <f>IF(الإدخالات!C419="","","شراء")</f>
        <v/>
      </c>
      <c r="C419" t="str">
        <f>IF(الإدخالات!C419="","",IF(الإدخالات!E419="","-",الإدخالات!E419))</f>
        <v/>
      </c>
      <c r="D419" t="str">
        <f>IF(الإدخالات!C419="","",الإدخالات!C419)</f>
        <v/>
      </c>
      <c r="E419" s="24" t="str">
        <f>IF(الإدخالات!C419="","",الإدخالات!D419)</f>
        <v/>
      </c>
      <c r="F419" t="str">
        <f>IF(الإدخالات!C419="","",IF(الإدخالات!G419="","",الإدخالات!G419))</f>
        <v/>
      </c>
      <c r="G419" t="str">
        <f>IF($B419&lt;&gt;"",SUMPRODUCT(($B$2:$B419&lt;&gt;"")*1),"")</f>
        <v/>
      </c>
    </row>
    <row r="420" spans="1:7">
      <c r="A420" s="23" t="str">
        <f>IF(الإدخالات!C420="","",الإدخالات!B420)</f>
        <v/>
      </c>
      <c r="B420" t="str">
        <f>IF(الإدخالات!C420="","","شراء")</f>
        <v/>
      </c>
      <c r="C420" t="str">
        <f>IF(الإدخالات!C420="","",IF(الإدخالات!E420="","-",الإدخالات!E420))</f>
        <v/>
      </c>
      <c r="D420" t="str">
        <f>IF(الإدخالات!C420="","",الإدخالات!C420)</f>
        <v/>
      </c>
      <c r="E420" s="24" t="str">
        <f>IF(الإدخالات!C420="","",الإدخالات!D420)</f>
        <v/>
      </c>
      <c r="F420" t="str">
        <f>IF(الإدخالات!C420="","",IF(الإدخالات!G420="","",الإدخالات!G420))</f>
        <v/>
      </c>
      <c r="G420" t="str">
        <f>IF($B420&lt;&gt;"",SUMPRODUCT(($B$2:$B420&lt;&gt;"")*1),"")</f>
        <v/>
      </c>
    </row>
    <row r="421" spans="1:7">
      <c r="A421" s="23" t="str">
        <f>IF(الإدخالات!C421="","",الإدخالات!B421)</f>
        <v/>
      </c>
      <c r="B421" t="str">
        <f>IF(الإدخالات!C421="","","شراء")</f>
        <v/>
      </c>
      <c r="C421" t="str">
        <f>IF(الإدخالات!C421="","",IF(الإدخالات!E421="","-",الإدخالات!E421))</f>
        <v/>
      </c>
      <c r="D421" t="str">
        <f>IF(الإدخالات!C421="","",الإدخالات!C421)</f>
        <v/>
      </c>
      <c r="E421" s="24" t="str">
        <f>IF(الإدخالات!C421="","",الإدخالات!D421)</f>
        <v/>
      </c>
      <c r="F421" t="str">
        <f>IF(الإدخالات!C421="","",IF(الإدخالات!G421="","",الإدخالات!G421))</f>
        <v/>
      </c>
      <c r="G421" t="str">
        <f>IF($B421&lt;&gt;"",SUMPRODUCT(($B$2:$B421&lt;&gt;"")*1),"")</f>
        <v/>
      </c>
    </row>
    <row r="422" spans="1:7">
      <c r="A422" s="23" t="str">
        <f>IF(الإدخالات!C422="","",الإدخالات!B422)</f>
        <v/>
      </c>
      <c r="B422" t="str">
        <f>IF(الإدخالات!C422="","","شراء")</f>
        <v/>
      </c>
      <c r="C422" t="str">
        <f>IF(الإدخالات!C422="","",IF(الإدخالات!E422="","-",الإدخالات!E422))</f>
        <v/>
      </c>
      <c r="D422" t="str">
        <f>IF(الإدخالات!C422="","",الإدخالات!C422)</f>
        <v/>
      </c>
      <c r="E422" s="24" t="str">
        <f>IF(الإدخالات!C422="","",الإدخالات!D422)</f>
        <v/>
      </c>
      <c r="F422" t="str">
        <f>IF(الإدخالات!C422="","",IF(الإدخالات!G422="","",الإدخالات!G422))</f>
        <v/>
      </c>
      <c r="G422" t="str">
        <f>IF($B422&lt;&gt;"",SUMPRODUCT(($B$2:$B422&lt;&gt;"")*1),"")</f>
        <v/>
      </c>
    </row>
    <row r="423" spans="1:7">
      <c r="A423" s="23" t="str">
        <f>IF(الإدخالات!C423="","",الإدخالات!B423)</f>
        <v/>
      </c>
      <c r="B423" t="str">
        <f>IF(الإدخالات!C423="","","شراء")</f>
        <v/>
      </c>
      <c r="C423" t="str">
        <f>IF(الإدخالات!C423="","",IF(الإدخالات!E423="","-",الإدخالات!E423))</f>
        <v/>
      </c>
      <c r="D423" t="str">
        <f>IF(الإدخالات!C423="","",الإدخالات!C423)</f>
        <v/>
      </c>
      <c r="E423" s="24" t="str">
        <f>IF(الإدخالات!C423="","",الإدخالات!D423)</f>
        <v/>
      </c>
      <c r="F423" t="str">
        <f>IF(الإدخالات!C423="","",IF(الإدخالات!G423="","",الإدخالات!G423))</f>
        <v/>
      </c>
      <c r="G423" t="str">
        <f>IF($B423&lt;&gt;"",SUMPRODUCT(($B$2:$B423&lt;&gt;"")*1),"")</f>
        <v/>
      </c>
    </row>
    <row r="424" spans="1:7">
      <c r="A424" s="23" t="str">
        <f>IF(الإدخالات!C424="","",الإدخالات!B424)</f>
        <v/>
      </c>
      <c r="B424" t="str">
        <f>IF(الإدخالات!C424="","","شراء")</f>
        <v/>
      </c>
      <c r="C424" t="str">
        <f>IF(الإدخالات!C424="","",IF(الإدخالات!E424="","-",الإدخالات!E424))</f>
        <v/>
      </c>
      <c r="D424" t="str">
        <f>IF(الإدخالات!C424="","",الإدخالات!C424)</f>
        <v/>
      </c>
      <c r="E424" s="24" t="str">
        <f>IF(الإدخالات!C424="","",الإدخالات!D424)</f>
        <v/>
      </c>
      <c r="F424" t="str">
        <f>IF(الإدخالات!C424="","",IF(الإدخالات!G424="","",الإدخالات!G424))</f>
        <v/>
      </c>
      <c r="G424" t="str">
        <f>IF($B424&lt;&gt;"",SUMPRODUCT(($B$2:$B424&lt;&gt;"")*1),"")</f>
        <v/>
      </c>
    </row>
    <row r="425" spans="1:7">
      <c r="A425" s="23" t="str">
        <f>IF(الإدخالات!C425="","",الإدخالات!B425)</f>
        <v/>
      </c>
      <c r="B425" t="str">
        <f>IF(الإدخالات!C425="","","شراء")</f>
        <v/>
      </c>
      <c r="C425" t="str">
        <f>IF(الإدخالات!C425="","",IF(الإدخالات!E425="","-",الإدخالات!E425))</f>
        <v/>
      </c>
      <c r="D425" t="str">
        <f>IF(الإدخالات!C425="","",الإدخالات!C425)</f>
        <v/>
      </c>
      <c r="E425" s="24" t="str">
        <f>IF(الإدخالات!C425="","",الإدخالات!D425)</f>
        <v/>
      </c>
      <c r="F425" t="str">
        <f>IF(الإدخالات!C425="","",IF(الإدخالات!G425="","",الإدخالات!G425))</f>
        <v/>
      </c>
      <c r="G425" t="str">
        <f>IF($B425&lt;&gt;"",SUMPRODUCT(($B$2:$B425&lt;&gt;"")*1),"")</f>
        <v/>
      </c>
    </row>
    <row r="426" spans="1:7">
      <c r="A426" s="23" t="str">
        <f>IF(الإدخالات!C426="","",الإدخالات!B426)</f>
        <v/>
      </c>
      <c r="B426" t="str">
        <f>IF(الإدخالات!C426="","","شراء")</f>
        <v/>
      </c>
      <c r="C426" t="str">
        <f>IF(الإدخالات!C426="","",IF(الإدخالات!E426="","-",الإدخالات!E426))</f>
        <v/>
      </c>
      <c r="D426" t="str">
        <f>IF(الإدخالات!C426="","",الإدخالات!C426)</f>
        <v/>
      </c>
      <c r="E426" s="24" t="str">
        <f>IF(الإدخالات!C426="","",الإدخالات!D426)</f>
        <v/>
      </c>
      <c r="F426" t="str">
        <f>IF(الإدخالات!C426="","",IF(الإدخالات!G426="","",الإدخالات!G426))</f>
        <v/>
      </c>
      <c r="G426" t="str">
        <f>IF($B426&lt;&gt;"",SUMPRODUCT(($B$2:$B426&lt;&gt;"")*1),"")</f>
        <v/>
      </c>
    </row>
    <row r="427" spans="1:7">
      <c r="A427" s="23" t="str">
        <f>IF(الإدخالات!C427="","",الإدخالات!B427)</f>
        <v/>
      </c>
      <c r="B427" t="str">
        <f>IF(الإدخالات!C427="","","شراء")</f>
        <v/>
      </c>
      <c r="C427" t="str">
        <f>IF(الإدخالات!C427="","",IF(الإدخالات!E427="","-",الإدخالات!E427))</f>
        <v/>
      </c>
      <c r="D427" t="str">
        <f>IF(الإدخالات!C427="","",الإدخالات!C427)</f>
        <v/>
      </c>
      <c r="E427" s="24" t="str">
        <f>IF(الإدخالات!C427="","",الإدخالات!D427)</f>
        <v/>
      </c>
      <c r="F427" t="str">
        <f>IF(الإدخالات!C427="","",IF(الإدخالات!G427="","",الإدخالات!G427))</f>
        <v/>
      </c>
      <c r="G427" t="str">
        <f>IF($B427&lt;&gt;"",SUMPRODUCT(($B$2:$B427&lt;&gt;"")*1),"")</f>
        <v/>
      </c>
    </row>
    <row r="428" spans="1:7">
      <c r="A428" s="23" t="str">
        <f>IF(الإدخالات!C428="","",الإدخالات!B428)</f>
        <v/>
      </c>
      <c r="B428" t="str">
        <f>IF(الإدخالات!C428="","","شراء")</f>
        <v/>
      </c>
      <c r="C428" t="str">
        <f>IF(الإدخالات!C428="","",IF(الإدخالات!E428="","-",الإدخالات!E428))</f>
        <v/>
      </c>
      <c r="D428" t="str">
        <f>IF(الإدخالات!C428="","",الإدخالات!C428)</f>
        <v/>
      </c>
      <c r="E428" s="24" t="str">
        <f>IF(الإدخالات!C428="","",الإدخالات!D428)</f>
        <v/>
      </c>
      <c r="F428" t="str">
        <f>IF(الإدخالات!C428="","",IF(الإدخالات!G428="","",الإدخالات!G428))</f>
        <v/>
      </c>
      <c r="G428" t="str">
        <f>IF($B428&lt;&gt;"",SUMPRODUCT(($B$2:$B428&lt;&gt;"")*1),"")</f>
        <v/>
      </c>
    </row>
    <row r="429" spans="1:7">
      <c r="A429" s="23" t="str">
        <f>IF(الإدخالات!C429="","",الإدخالات!B429)</f>
        <v/>
      </c>
      <c r="B429" t="str">
        <f>IF(الإدخالات!C429="","","شراء")</f>
        <v/>
      </c>
      <c r="C429" t="str">
        <f>IF(الإدخالات!C429="","",IF(الإدخالات!E429="","-",الإدخالات!E429))</f>
        <v/>
      </c>
      <c r="D429" t="str">
        <f>IF(الإدخالات!C429="","",الإدخالات!C429)</f>
        <v/>
      </c>
      <c r="E429" s="24" t="str">
        <f>IF(الإدخالات!C429="","",الإدخالات!D429)</f>
        <v/>
      </c>
      <c r="F429" t="str">
        <f>IF(الإدخالات!C429="","",IF(الإدخالات!G429="","",الإدخالات!G429))</f>
        <v/>
      </c>
      <c r="G429" t="str">
        <f>IF($B429&lt;&gt;"",SUMPRODUCT(($B$2:$B429&lt;&gt;"")*1),"")</f>
        <v/>
      </c>
    </row>
    <row r="430" spans="1:7">
      <c r="A430" s="23" t="str">
        <f>IF(الإدخالات!C430="","",الإدخالات!B430)</f>
        <v/>
      </c>
      <c r="B430" t="str">
        <f>IF(الإدخالات!C430="","","شراء")</f>
        <v/>
      </c>
      <c r="C430" t="str">
        <f>IF(الإدخالات!C430="","",IF(الإدخالات!E430="","-",الإدخالات!E430))</f>
        <v/>
      </c>
      <c r="D430" t="str">
        <f>IF(الإدخالات!C430="","",الإدخالات!C430)</f>
        <v/>
      </c>
      <c r="E430" s="24" t="str">
        <f>IF(الإدخالات!C430="","",الإدخالات!D430)</f>
        <v/>
      </c>
      <c r="F430" t="str">
        <f>IF(الإدخالات!C430="","",IF(الإدخالات!G430="","",الإدخالات!G430))</f>
        <v/>
      </c>
      <c r="G430" t="str">
        <f>IF($B430&lt;&gt;"",SUMPRODUCT(($B$2:$B430&lt;&gt;"")*1),"")</f>
        <v/>
      </c>
    </row>
    <row r="431" spans="1:7">
      <c r="A431" s="23" t="str">
        <f>IF(الإدخالات!C431="","",الإدخالات!B431)</f>
        <v/>
      </c>
      <c r="B431" t="str">
        <f>IF(الإدخالات!C431="","","شراء")</f>
        <v/>
      </c>
      <c r="C431" t="str">
        <f>IF(الإدخالات!C431="","",IF(الإدخالات!E431="","-",الإدخالات!E431))</f>
        <v/>
      </c>
      <c r="D431" t="str">
        <f>IF(الإدخالات!C431="","",الإدخالات!C431)</f>
        <v/>
      </c>
      <c r="E431" s="24" t="str">
        <f>IF(الإدخالات!C431="","",الإدخالات!D431)</f>
        <v/>
      </c>
      <c r="F431" t="str">
        <f>IF(الإدخالات!C431="","",IF(الإدخالات!G431="","",الإدخالات!G431))</f>
        <v/>
      </c>
      <c r="G431" t="str">
        <f>IF($B431&lt;&gt;"",SUMPRODUCT(($B$2:$B431&lt;&gt;"")*1),"")</f>
        <v/>
      </c>
    </row>
    <row r="432" spans="1:7">
      <c r="A432" s="23" t="str">
        <f>IF(الإدخالات!C432="","",الإدخالات!B432)</f>
        <v/>
      </c>
      <c r="B432" t="str">
        <f>IF(الإدخالات!C432="","","شراء")</f>
        <v/>
      </c>
      <c r="C432" t="str">
        <f>IF(الإدخالات!C432="","",IF(الإدخالات!E432="","-",الإدخالات!E432))</f>
        <v/>
      </c>
      <c r="D432" t="str">
        <f>IF(الإدخالات!C432="","",الإدخالات!C432)</f>
        <v/>
      </c>
      <c r="E432" s="24" t="str">
        <f>IF(الإدخالات!C432="","",الإدخالات!D432)</f>
        <v/>
      </c>
      <c r="F432" t="str">
        <f>IF(الإدخالات!C432="","",IF(الإدخالات!G432="","",الإدخالات!G432))</f>
        <v/>
      </c>
      <c r="G432" t="str">
        <f>IF($B432&lt;&gt;"",SUMPRODUCT(($B$2:$B432&lt;&gt;"")*1),"")</f>
        <v/>
      </c>
    </row>
    <row r="433" spans="1:7">
      <c r="A433" s="23" t="str">
        <f>IF(الإدخالات!C433="","",الإدخالات!B433)</f>
        <v/>
      </c>
      <c r="B433" t="str">
        <f>IF(الإدخالات!C433="","","شراء")</f>
        <v/>
      </c>
      <c r="C433" t="str">
        <f>IF(الإدخالات!C433="","",IF(الإدخالات!E433="","-",الإدخالات!E433))</f>
        <v/>
      </c>
      <c r="D433" t="str">
        <f>IF(الإدخالات!C433="","",الإدخالات!C433)</f>
        <v/>
      </c>
      <c r="E433" s="24" t="str">
        <f>IF(الإدخالات!C433="","",الإدخالات!D433)</f>
        <v/>
      </c>
      <c r="F433" t="str">
        <f>IF(الإدخالات!C433="","",IF(الإدخالات!G433="","",الإدخالات!G433))</f>
        <v/>
      </c>
      <c r="G433" t="str">
        <f>IF($B433&lt;&gt;"",SUMPRODUCT(($B$2:$B433&lt;&gt;"")*1),"")</f>
        <v/>
      </c>
    </row>
    <row r="434" spans="1:7">
      <c r="A434" s="23" t="str">
        <f>IF(الإدخالات!C434="","",الإدخالات!B434)</f>
        <v/>
      </c>
      <c r="B434" t="str">
        <f>IF(الإدخالات!C434="","","شراء")</f>
        <v/>
      </c>
      <c r="C434" t="str">
        <f>IF(الإدخالات!C434="","",IF(الإدخالات!E434="","-",الإدخالات!E434))</f>
        <v/>
      </c>
      <c r="D434" t="str">
        <f>IF(الإدخالات!C434="","",الإدخالات!C434)</f>
        <v/>
      </c>
      <c r="E434" s="24" t="str">
        <f>IF(الإدخالات!C434="","",الإدخالات!D434)</f>
        <v/>
      </c>
      <c r="F434" t="str">
        <f>IF(الإدخالات!C434="","",IF(الإدخالات!G434="","",الإدخالات!G434))</f>
        <v/>
      </c>
      <c r="G434" t="str">
        <f>IF($B434&lt;&gt;"",SUMPRODUCT(($B$2:$B434&lt;&gt;"")*1),"")</f>
        <v/>
      </c>
    </row>
    <row r="435" spans="1:7">
      <c r="A435" s="23" t="str">
        <f>IF(الإدخالات!C435="","",الإدخالات!B435)</f>
        <v/>
      </c>
      <c r="B435" t="str">
        <f>IF(الإدخالات!C435="","","شراء")</f>
        <v/>
      </c>
      <c r="C435" t="str">
        <f>IF(الإدخالات!C435="","",IF(الإدخالات!E435="","-",الإدخالات!E435))</f>
        <v/>
      </c>
      <c r="D435" t="str">
        <f>IF(الإدخالات!C435="","",الإدخالات!C435)</f>
        <v/>
      </c>
      <c r="E435" s="24" t="str">
        <f>IF(الإدخالات!C435="","",الإدخالات!D435)</f>
        <v/>
      </c>
      <c r="F435" t="str">
        <f>IF(الإدخالات!C435="","",IF(الإدخالات!G435="","",الإدخالات!G435))</f>
        <v/>
      </c>
      <c r="G435" t="str">
        <f>IF($B435&lt;&gt;"",SUMPRODUCT(($B$2:$B435&lt;&gt;"")*1),"")</f>
        <v/>
      </c>
    </row>
    <row r="436" spans="1:7">
      <c r="A436" s="23" t="str">
        <f>IF(الإدخالات!C436="","",الإدخالات!B436)</f>
        <v/>
      </c>
      <c r="B436" t="str">
        <f>IF(الإدخالات!C436="","","شراء")</f>
        <v/>
      </c>
      <c r="C436" t="str">
        <f>IF(الإدخالات!C436="","",IF(الإدخالات!E436="","-",الإدخالات!E436))</f>
        <v/>
      </c>
      <c r="D436" t="str">
        <f>IF(الإدخالات!C436="","",الإدخالات!C436)</f>
        <v/>
      </c>
      <c r="E436" s="24" t="str">
        <f>IF(الإدخالات!C436="","",الإدخالات!D436)</f>
        <v/>
      </c>
      <c r="F436" t="str">
        <f>IF(الإدخالات!C436="","",IF(الإدخالات!G436="","",الإدخالات!G436))</f>
        <v/>
      </c>
      <c r="G436" t="str">
        <f>IF($B436&lt;&gt;"",SUMPRODUCT(($B$2:$B436&lt;&gt;"")*1),"")</f>
        <v/>
      </c>
    </row>
    <row r="437" spans="1:7">
      <c r="A437" s="23" t="str">
        <f>IF(الإدخالات!C437="","",الإدخالات!B437)</f>
        <v/>
      </c>
      <c r="B437" t="str">
        <f>IF(الإدخالات!C437="","","شراء")</f>
        <v/>
      </c>
      <c r="C437" t="str">
        <f>IF(الإدخالات!C437="","",IF(الإدخالات!E437="","-",الإدخالات!E437))</f>
        <v/>
      </c>
      <c r="D437" t="str">
        <f>IF(الإدخالات!C437="","",الإدخالات!C437)</f>
        <v/>
      </c>
      <c r="E437" s="24" t="str">
        <f>IF(الإدخالات!C437="","",الإدخالات!D437)</f>
        <v/>
      </c>
      <c r="F437" t="str">
        <f>IF(الإدخالات!C437="","",IF(الإدخالات!G437="","",الإدخالات!G437))</f>
        <v/>
      </c>
      <c r="G437" t="str">
        <f>IF($B437&lt;&gt;"",SUMPRODUCT(($B$2:$B437&lt;&gt;"")*1),"")</f>
        <v/>
      </c>
    </row>
    <row r="438" spans="1:7">
      <c r="A438" s="23" t="str">
        <f>IF(الإدخالات!C438="","",الإدخالات!B438)</f>
        <v/>
      </c>
      <c r="B438" t="str">
        <f>IF(الإدخالات!C438="","","شراء")</f>
        <v/>
      </c>
      <c r="C438" t="str">
        <f>IF(الإدخالات!C438="","",IF(الإدخالات!E438="","-",الإدخالات!E438))</f>
        <v/>
      </c>
      <c r="D438" t="str">
        <f>IF(الإدخالات!C438="","",الإدخالات!C438)</f>
        <v/>
      </c>
      <c r="E438" s="24" t="str">
        <f>IF(الإدخالات!C438="","",الإدخالات!D438)</f>
        <v/>
      </c>
      <c r="F438" t="str">
        <f>IF(الإدخالات!C438="","",IF(الإدخالات!G438="","",الإدخالات!G438))</f>
        <v/>
      </c>
      <c r="G438" t="str">
        <f>IF($B438&lt;&gt;"",SUMPRODUCT(($B$2:$B438&lt;&gt;"")*1),"")</f>
        <v/>
      </c>
    </row>
    <row r="439" spans="1:7">
      <c r="A439" s="23" t="str">
        <f>IF(الإدخالات!C439="","",الإدخالات!B439)</f>
        <v/>
      </c>
      <c r="B439" t="str">
        <f>IF(الإدخالات!C439="","","شراء")</f>
        <v/>
      </c>
      <c r="C439" t="str">
        <f>IF(الإدخالات!C439="","",IF(الإدخالات!E439="","-",الإدخالات!E439))</f>
        <v/>
      </c>
      <c r="D439" t="str">
        <f>IF(الإدخالات!C439="","",الإدخالات!C439)</f>
        <v/>
      </c>
      <c r="E439" s="24" t="str">
        <f>IF(الإدخالات!C439="","",الإدخالات!D439)</f>
        <v/>
      </c>
      <c r="F439" t="str">
        <f>IF(الإدخالات!C439="","",IF(الإدخالات!G439="","",الإدخالات!G439))</f>
        <v/>
      </c>
      <c r="G439" t="str">
        <f>IF($B439&lt;&gt;"",SUMPRODUCT(($B$2:$B439&lt;&gt;"")*1),"")</f>
        <v/>
      </c>
    </row>
    <row r="440" spans="1:7">
      <c r="A440" s="23" t="str">
        <f>IF(الإدخالات!C440="","",الإدخالات!B440)</f>
        <v/>
      </c>
      <c r="B440" t="str">
        <f>IF(الإدخالات!C440="","","شراء")</f>
        <v/>
      </c>
      <c r="C440" t="str">
        <f>IF(الإدخالات!C440="","",IF(الإدخالات!E440="","-",الإدخالات!E440))</f>
        <v/>
      </c>
      <c r="D440" t="str">
        <f>IF(الإدخالات!C440="","",الإدخالات!C440)</f>
        <v/>
      </c>
      <c r="E440" s="24" t="str">
        <f>IF(الإدخالات!C440="","",الإدخالات!D440)</f>
        <v/>
      </c>
      <c r="F440" t="str">
        <f>IF(الإدخالات!C440="","",IF(الإدخالات!G440="","",الإدخالات!G440))</f>
        <v/>
      </c>
      <c r="G440" t="str">
        <f>IF($B440&lt;&gt;"",SUMPRODUCT(($B$2:$B440&lt;&gt;"")*1),"")</f>
        <v/>
      </c>
    </row>
    <row r="441" spans="1:7">
      <c r="A441" s="23" t="str">
        <f>IF(الإدخالات!C441="","",الإدخالات!B441)</f>
        <v/>
      </c>
      <c r="B441" t="str">
        <f>IF(الإدخالات!C441="","","شراء")</f>
        <v/>
      </c>
      <c r="C441" t="str">
        <f>IF(الإدخالات!C441="","",IF(الإدخالات!E441="","-",الإدخالات!E441))</f>
        <v/>
      </c>
      <c r="D441" t="str">
        <f>IF(الإدخالات!C441="","",الإدخالات!C441)</f>
        <v/>
      </c>
      <c r="E441" s="24" t="str">
        <f>IF(الإدخالات!C441="","",الإدخالات!D441)</f>
        <v/>
      </c>
      <c r="F441" t="str">
        <f>IF(الإدخالات!C441="","",IF(الإدخالات!G441="","",الإدخالات!G441))</f>
        <v/>
      </c>
      <c r="G441" t="str">
        <f>IF($B441&lt;&gt;"",SUMPRODUCT(($B$2:$B441&lt;&gt;"")*1),"")</f>
        <v/>
      </c>
    </row>
    <row r="442" spans="1:7">
      <c r="A442" s="23" t="str">
        <f>IF(الإدخالات!C442="","",الإدخالات!B442)</f>
        <v/>
      </c>
      <c r="B442" t="str">
        <f>IF(الإدخالات!C442="","","شراء")</f>
        <v/>
      </c>
      <c r="C442" t="str">
        <f>IF(الإدخالات!C442="","",IF(الإدخالات!E442="","-",الإدخالات!E442))</f>
        <v/>
      </c>
      <c r="D442" t="str">
        <f>IF(الإدخالات!C442="","",الإدخالات!C442)</f>
        <v/>
      </c>
      <c r="E442" s="24" t="str">
        <f>IF(الإدخالات!C442="","",الإدخالات!D442)</f>
        <v/>
      </c>
      <c r="F442" t="str">
        <f>IF(الإدخالات!C442="","",IF(الإدخالات!G442="","",الإدخالات!G442))</f>
        <v/>
      </c>
      <c r="G442" t="str">
        <f>IF($B442&lt;&gt;"",SUMPRODUCT(($B$2:$B442&lt;&gt;"")*1),"")</f>
        <v/>
      </c>
    </row>
    <row r="443" spans="1:7">
      <c r="A443" s="23" t="str">
        <f>IF(الإدخالات!C443="","",الإدخالات!B443)</f>
        <v/>
      </c>
      <c r="B443" t="str">
        <f>IF(الإدخالات!C443="","","شراء")</f>
        <v/>
      </c>
      <c r="C443" t="str">
        <f>IF(الإدخالات!C443="","",IF(الإدخالات!E443="","-",الإدخالات!E443))</f>
        <v/>
      </c>
      <c r="D443" t="str">
        <f>IF(الإدخالات!C443="","",الإدخالات!C443)</f>
        <v/>
      </c>
      <c r="E443" s="24" t="str">
        <f>IF(الإدخالات!C443="","",الإدخالات!D443)</f>
        <v/>
      </c>
      <c r="F443" t="str">
        <f>IF(الإدخالات!C443="","",IF(الإدخالات!G443="","",الإدخالات!G443))</f>
        <v/>
      </c>
      <c r="G443" t="str">
        <f>IF($B443&lt;&gt;"",SUMPRODUCT(($B$2:$B443&lt;&gt;"")*1),"")</f>
        <v/>
      </c>
    </row>
    <row r="444" spans="1:7">
      <c r="A444" s="23" t="str">
        <f>IF(الإدخالات!C444="","",الإدخالات!B444)</f>
        <v/>
      </c>
      <c r="B444" t="str">
        <f>IF(الإدخالات!C444="","","شراء")</f>
        <v/>
      </c>
      <c r="C444" t="str">
        <f>IF(الإدخالات!C444="","",IF(الإدخالات!E444="","-",الإدخالات!E444))</f>
        <v/>
      </c>
      <c r="D444" t="str">
        <f>IF(الإدخالات!C444="","",الإدخالات!C444)</f>
        <v/>
      </c>
      <c r="E444" s="24" t="str">
        <f>IF(الإدخالات!C444="","",الإدخالات!D444)</f>
        <v/>
      </c>
      <c r="F444" t="str">
        <f>IF(الإدخالات!C444="","",IF(الإدخالات!G444="","",الإدخالات!G444))</f>
        <v/>
      </c>
      <c r="G444" t="str">
        <f>IF($B444&lt;&gt;"",SUMPRODUCT(($B$2:$B444&lt;&gt;"")*1),"")</f>
        <v/>
      </c>
    </row>
    <row r="445" spans="1:7">
      <c r="A445" s="23" t="str">
        <f>IF(الإدخالات!C445="","",الإدخالات!B445)</f>
        <v/>
      </c>
      <c r="B445" t="str">
        <f>IF(الإدخالات!C445="","","شراء")</f>
        <v/>
      </c>
      <c r="C445" t="str">
        <f>IF(الإدخالات!C445="","",IF(الإدخالات!E445="","-",الإدخالات!E445))</f>
        <v/>
      </c>
      <c r="D445" t="str">
        <f>IF(الإدخالات!C445="","",الإدخالات!C445)</f>
        <v/>
      </c>
      <c r="E445" s="24" t="str">
        <f>IF(الإدخالات!C445="","",الإدخالات!D445)</f>
        <v/>
      </c>
      <c r="F445" t="str">
        <f>IF(الإدخالات!C445="","",IF(الإدخالات!G445="","",الإدخالات!G445))</f>
        <v/>
      </c>
      <c r="G445" t="str">
        <f>IF($B445&lt;&gt;"",SUMPRODUCT(($B$2:$B445&lt;&gt;"")*1),"")</f>
        <v/>
      </c>
    </row>
    <row r="446" spans="1:7">
      <c r="A446" s="23" t="str">
        <f>IF(الإدخالات!C446="","",الإدخالات!B446)</f>
        <v/>
      </c>
      <c r="B446" t="str">
        <f>IF(الإدخالات!C446="","","شراء")</f>
        <v/>
      </c>
      <c r="C446" t="str">
        <f>IF(الإدخالات!C446="","",IF(الإدخالات!E446="","-",الإدخالات!E446))</f>
        <v/>
      </c>
      <c r="D446" t="str">
        <f>IF(الإدخالات!C446="","",الإدخالات!C446)</f>
        <v/>
      </c>
      <c r="E446" s="24" t="str">
        <f>IF(الإدخالات!C446="","",الإدخالات!D446)</f>
        <v/>
      </c>
      <c r="F446" t="str">
        <f>IF(الإدخالات!C446="","",IF(الإدخالات!G446="","",الإدخالات!G446))</f>
        <v/>
      </c>
      <c r="G446" t="str">
        <f>IF($B446&lt;&gt;"",SUMPRODUCT(($B$2:$B446&lt;&gt;"")*1),"")</f>
        <v/>
      </c>
    </row>
    <row r="447" spans="1:7">
      <c r="A447" s="23" t="str">
        <f>IF(الإدخالات!C447="","",الإدخالات!B447)</f>
        <v/>
      </c>
      <c r="B447" t="str">
        <f>IF(الإدخالات!C447="","","شراء")</f>
        <v/>
      </c>
      <c r="C447" t="str">
        <f>IF(الإدخالات!C447="","",IF(الإدخالات!E447="","-",الإدخالات!E447))</f>
        <v/>
      </c>
      <c r="D447" t="str">
        <f>IF(الإدخالات!C447="","",الإدخالات!C447)</f>
        <v/>
      </c>
      <c r="E447" s="24" t="str">
        <f>IF(الإدخالات!C447="","",الإدخالات!D447)</f>
        <v/>
      </c>
      <c r="F447" t="str">
        <f>IF(الإدخالات!C447="","",IF(الإدخالات!G447="","",الإدخالات!G447))</f>
        <v/>
      </c>
      <c r="G447" t="str">
        <f>IF($B447&lt;&gt;"",SUMPRODUCT(($B$2:$B447&lt;&gt;"")*1),"")</f>
        <v/>
      </c>
    </row>
    <row r="448" spans="1:7">
      <c r="A448" s="23" t="str">
        <f>IF(الإدخالات!C448="","",الإدخالات!B448)</f>
        <v/>
      </c>
      <c r="B448" t="str">
        <f>IF(الإدخالات!C448="","","شراء")</f>
        <v/>
      </c>
      <c r="C448" t="str">
        <f>IF(الإدخالات!C448="","",IF(الإدخالات!E448="","-",الإدخالات!E448))</f>
        <v/>
      </c>
      <c r="D448" t="str">
        <f>IF(الإدخالات!C448="","",الإدخالات!C448)</f>
        <v/>
      </c>
      <c r="E448" s="24" t="str">
        <f>IF(الإدخالات!C448="","",الإدخالات!D448)</f>
        <v/>
      </c>
      <c r="F448" t="str">
        <f>IF(الإدخالات!C448="","",IF(الإدخالات!G448="","",الإدخالات!G448))</f>
        <v/>
      </c>
      <c r="G448" t="str">
        <f>IF($B448&lt;&gt;"",SUMPRODUCT(($B$2:$B448&lt;&gt;"")*1),"")</f>
        <v/>
      </c>
    </row>
    <row r="449" spans="1:7">
      <c r="A449" s="23" t="str">
        <f>IF(الإدخالات!C449="","",الإدخالات!B449)</f>
        <v/>
      </c>
      <c r="B449" t="str">
        <f>IF(الإدخالات!C449="","","شراء")</f>
        <v/>
      </c>
      <c r="C449" t="str">
        <f>IF(الإدخالات!C449="","",IF(الإدخالات!E449="","-",الإدخالات!E449))</f>
        <v/>
      </c>
      <c r="D449" t="str">
        <f>IF(الإدخالات!C449="","",الإدخالات!C449)</f>
        <v/>
      </c>
      <c r="E449" s="24" t="str">
        <f>IF(الإدخالات!C449="","",الإدخالات!D449)</f>
        <v/>
      </c>
      <c r="F449" t="str">
        <f>IF(الإدخالات!C449="","",IF(الإدخالات!G449="","",الإدخالات!G449))</f>
        <v/>
      </c>
      <c r="G449" t="str">
        <f>IF($B449&lt;&gt;"",SUMPRODUCT(($B$2:$B449&lt;&gt;"")*1),"")</f>
        <v/>
      </c>
    </row>
    <row r="450" spans="1:7">
      <c r="A450" s="23" t="str">
        <f>IF(الإدخالات!C450="","",الإدخالات!B450)</f>
        <v/>
      </c>
      <c r="B450" t="str">
        <f>IF(الإدخالات!C450="","","شراء")</f>
        <v/>
      </c>
      <c r="C450" t="str">
        <f>IF(الإدخالات!C450="","",IF(الإدخالات!E450="","-",الإدخالات!E450))</f>
        <v/>
      </c>
      <c r="D450" t="str">
        <f>IF(الإدخالات!C450="","",الإدخالات!C450)</f>
        <v/>
      </c>
      <c r="E450" s="24" t="str">
        <f>IF(الإدخالات!C450="","",الإدخالات!D450)</f>
        <v/>
      </c>
      <c r="F450" t="str">
        <f>IF(الإدخالات!C450="","",IF(الإدخالات!G450="","",الإدخالات!G450))</f>
        <v/>
      </c>
      <c r="G450" t="str">
        <f>IF($B450&lt;&gt;"",SUMPRODUCT(($B$2:$B450&lt;&gt;"")*1),"")</f>
        <v/>
      </c>
    </row>
    <row r="451" spans="1:7">
      <c r="A451" s="23" t="str">
        <f>IF(الإدخالات!C451="","",الإدخالات!B451)</f>
        <v/>
      </c>
      <c r="B451" t="str">
        <f>IF(الإدخالات!C451="","","شراء")</f>
        <v/>
      </c>
      <c r="C451" t="str">
        <f>IF(الإدخالات!C451="","",IF(الإدخالات!E451="","-",الإدخالات!E451))</f>
        <v/>
      </c>
      <c r="D451" t="str">
        <f>IF(الإدخالات!C451="","",الإدخالات!C451)</f>
        <v/>
      </c>
      <c r="E451" s="24" t="str">
        <f>IF(الإدخالات!C451="","",الإدخالات!D451)</f>
        <v/>
      </c>
      <c r="F451" t="str">
        <f>IF(الإدخالات!C451="","",IF(الإدخالات!G451="","",الإدخالات!G451))</f>
        <v/>
      </c>
      <c r="G451" t="str">
        <f>IF($B451&lt;&gt;"",SUMPRODUCT(($B$2:$B451&lt;&gt;"")*1),"")</f>
        <v/>
      </c>
    </row>
    <row r="452" spans="1:7">
      <c r="A452" s="23" t="str">
        <f>IF(الإدخالات!C452="","",الإدخالات!B452)</f>
        <v/>
      </c>
      <c r="B452" t="str">
        <f>IF(الإدخالات!C452="","","شراء")</f>
        <v/>
      </c>
      <c r="C452" t="str">
        <f>IF(الإدخالات!C452="","",IF(الإدخالات!E452="","-",الإدخالات!E452))</f>
        <v/>
      </c>
      <c r="D452" t="str">
        <f>IF(الإدخالات!C452="","",الإدخالات!C452)</f>
        <v/>
      </c>
      <c r="E452" s="24" t="str">
        <f>IF(الإدخالات!C452="","",الإدخالات!D452)</f>
        <v/>
      </c>
      <c r="F452" t="str">
        <f>IF(الإدخالات!C452="","",IF(الإدخالات!G452="","",الإدخالات!G452))</f>
        <v/>
      </c>
      <c r="G452" t="str">
        <f>IF($B452&lt;&gt;"",SUMPRODUCT(($B$2:$B452&lt;&gt;"")*1),"")</f>
        <v/>
      </c>
    </row>
    <row r="453" spans="1:7">
      <c r="A453" s="23" t="str">
        <f>IF(الإدخالات!C453="","",الإدخالات!B453)</f>
        <v/>
      </c>
      <c r="B453" t="str">
        <f>IF(الإدخالات!C453="","","شراء")</f>
        <v/>
      </c>
      <c r="C453" t="str">
        <f>IF(الإدخالات!C453="","",IF(الإدخالات!E453="","-",الإدخالات!E453))</f>
        <v/>
      </c>
      <c r="D453" t="str">
        <f>IF(الإدخالات!C453="","",الإدخالات!C453)</f>
        <v/>
      </c>
      <c r="E453" s="24" t="str">
        <f>IF(الإدخالات!C453="","",الإدخالات!D453)</f>
        <v/>
      </c>
      <c r="F453" t="str">
        <f>IF(الإدخالات!C453="","",IF(الإدخالات!G453="","",الإدخالات!G453))</f>
        <v/>
      </c>
      <c r="G453" t="str">
        <f>IF($B453&lt;&gt;"",SUMPRODUCT(($B$2:$B453&lt;&gt;"")*1),"")</f>
        <v/>
      </c>
    </row>
    <row r="454" spans="1:7">
      <c r="A454" s="23" t="str">
        <f>IF(الإدخالات!C454="","",الإدخالات!B454)</f>
        <v/>
      </c>
      <c r="B454" t="str">
        <f>IF(الإدخالات!C454="","","شراء")</f>
        <v/>
      </c>
      <c r="C454" t="str">
        <f>IF(الإدخالات!C454="","",IF(الإدخالات!E454="","-",الإدخالات!E454))</f>
        <v/>
      </c>
      <c r="D454" t="str">
        <f>IF(الإدخالات!C454="","",الإدخالات!C454)</f>
        <v/>
      </c>
      <c r="E454" s="24" t="str">
        <f>IF(الإدخالات!C454="","",الإدخالات!D454)</f>
        <v/>
      </c>
      <c r="F454" t="str">
        <f>IF(الإدخالات!C454="","",IF(الإدخالات!G454="","",الإدخالات!G454))</f>
        <v/>
      </c>
      <c r="G454" t="str">
        <f>IF($B454&lt;&gt;"",SUMPRODUCT(($B$2:$B454&lt;&gt;"")*1),"")</f>
        <v/>
      </c>
    </row>
    <row r="455" spans="1:7">
      <c r="A455" s="23" t="str">
        <f>IF(الإدخالات!C455="","",الإدخالات!B455)</f>
        <v/>
      </c>
      <c r="B455" t="str">
        <f>IF(الإدخالات!C455="","","شراء")</f>
        <v/>
      </c>
      <c r="C455" t="str">
        <f>IF(الإدخالات!C455="","",IF(الإدخالات!E455="","-",الإدخالات!E455))</f>
        <v/>
      </c>
      <c r="D455" t="str">
        <f>IF(الإدخالات!C455="","",الإدخالات!C455)</f>
        <v/>
      </c>
      <c r="E455" s="24" t="str">
        <f>IF(الإدخالات!C455="","",الإدخالات!D455)</f>
        <v/>
      </c>
      <c r="F455" t="str">
        <f>IF(الإدخالات!C455="","",IF(الإدخالات!G455="","",الإدخالات!G455))</f>
        <v/>
      </c>
      <c r="G455" t="str">
        <f>IF($B455&lt;&gt;"",SUMPRODUCT(($B$2:$B455&lt;&gt;"")*1),"")</f>
        <v/>
      </c>
    </row>
    <row r="456" spans="1:7">
      <c r="A456" s="23" t="str">
        <f>IF(الإدخالات!C456="","",الإدخالات!B456)</f>
        <v/>
      </c>
      <c r="B456" t="str">
        <f>IF(الإدخالات!C456="","","شراء")</f>
        <v/>
      </c>
      <c r="C456" t="str">
        <f>IF(الإدخالات!C456="","",IF(الإدخالات!E456="","-",الإدخالات!E456))</f>
        <v/>
      </c>
      <c r="D456" t="str">
        <f>IF(الإدخالات!C456="","",الإدخالات!C456)</f>
        <v/>
      </c>
      <c r="E456" s="24" t="str">
        <f>IF(الإدخالات!C456="","",الإدخالات!D456)</f>
        <v/>
      </c>
      <c r="F456" t="str">
        <f>IF(الإدخالات!C456="","",IF(الإدخالات!G456="","",الإدخالات!G456))</f>
        <v/>
      </c>
      <c r="G456" t="str">
        <f>IF($B456&lt;&gt;"",SUMPRODUCT(($B$2:$B456&lt;&gt;"")*1),"")</f>
        <v/>
      </c>
    </row>
    <row r="457" spans="1:7">
      <c r="A457" s="23" t="str">
        <f>IF(الإدخالات!C457="","",الإدخالات!B457)</f>
        <v/>
      </c>
      <c r="B457" t="str">
        <f>IF(الإدخالات!C457="","","شراء")</f>
        <v/>
      </c>
      <c r="C457" t="str">
        <f>IF(الإدخالات!C457="","",IF(الإدخالات!E457="","-",الإدخالات!E457))</f>
        <v/>
      </c>
      <c r="D457" t="str">
        <f>IF(الإدخالات!C457="","",الإدخالات!C457)</f>
        <v/>
      </c>
      <c r="E457" s="24" t="str">
        <f>IF(الإدخالات!C457="","",الإدخالات!D457)</f>
        <v/>
      </c>
      <c r="F457" t="str">
        <f>IF(الإدخالات!C457="","",IF(الإدخالات!G457="","",الإدخالات!G457))</f>
        <v/>
      </c>
      <c r="G457" t="str">
        <f>IF($B457&lt;&gt;"",SUMPRODUCT(($B$2:$B457&lt;&gt;"")*1),"")</f>
        <v/>
      </c>
    </row>
    <row r="458" spans="1:7">
      <c r="A458" s="23" t="str">
        <f>IF(الإدخالات!C458="","",الإدخالات!B458)</f>
        <v/>
      </c>
      <c r="B458" t="str">
        <f>IF(الإدخالات!C458="","","شراء")</f>
        <v/>
      </c>
      <c r="C458" t="str">
        <f>IF(الإدخالات!C458="","",IF(الإدخالات!E458="","-",الإدخالات!E458))</f>
        <v/>
      </c>
      <c r="D458" t="str">
        <f>IF(الإدخالات!C458="","",الإدخالات!C458)</f>
        <v/>
      </c>
      <c r="E458" s="24" t="str">
        <f>IF(الإدخالات!C458="","",الإدخالات!D458)</f>
        <v/>
      </c>
      <c r="F458" t="str">
        <f>IF(الإدخالات!C458="","",IF(الإدخالات!G458="","",الإدخالات!G458))</f>
        <v/>
      </c>
      <c r="G458" t="str">
        <f>IF($B458&lt;&gt;"",SUMPRODUCT(($B$2:$B458&lt;&gt;"")*1),"")</f>
        <v/>
      </c>
    </row>
    <row r="459" spans="1:7">
      <c r="A459" s="23" t="str">
        <f>IF(الإدخالات!C459="","",الإدخالات!B459)</f>
        <v/>
      </c>
      <c r="B459" t="str">
        <f>IF(الإدخالات!C459="","","شراء")</f>
        <v/>
      </c>
      <c r="C459" t="str">
        <f>IF(الإدخالات!C459="","",IF(الإدخالات!E459="","-",الإدخالات!E459))</f>
        <v/>
      </c>
      <c r="D459" t="str">
        <f>IF(الإدخالات!C459="","",الإدخالات!C459)</f>
        <v/>
      </c>
      <c r="E459" s="24" t="str">
        <f>IF(الإدخالات!C459="","",الإدخالات!D459)</f>
        <v/>
      </c>
      <c r="F459" t="str">
        <f>IF(الإدخالات!C459="","",IF(الإدخالات!G459="","",الإدخالات!G459))</f>
        <v/>
      </c>
      <c r="G459" t="str">
        <f>IF($B459&lt;&gt;"",SUMPRODUCT(($B$2:$B459&lt;&gt;"")*1),"")</f>
        <v/>
      </c>
    </row>
    <row r="460" spans="1:7">
      <c r="A460" s="23" t="str">
        <f>IF(الإدخالات!C460="","",الإدخالات!B460)</f>
        <v/>
      </c>
      <c r="B460" t="str">
        <f>IF(الإدخالات!C460="","","شراء")</f>
        <v/>
      </c>
      <c r="C460" t="str">
        <f>IF(الإدخالات!C460="","",IF(الإدخالات!E460="","-",الإدخالات!E460))</f>
        <v/>
      </c>
      <c r="D460" t="str">
        <f>IF(الإدخالات!C460="","",الإدخالات!C460)</f>
        <v/>
      </c>
      <c r="E460" s="24" t="str">
        <f>IF(الإدخالات!C460="","",الإدخالات!D460)</f>
        <v/>
      </c>
      <c r="F460" t="str">
        <f>IF(الإدخالات!C460="","",IF(الإدخالات!G460="","",الإدخالات!G460))</f>
        <v/>
      </c>
      <c r="G460" t="str">
        <f>IF($B460&lt;&gt;"",SUMPRODUCT(($B$2:$B460&lt;&gt;"")*1),"")</f>
        <v/>
      </c>
    </row>
    <row r="461" spans="1:7">
      <c r="A461" s="23" t="str">
        <f>IF(الإدخالات!C461="","",الإدخالات!B461)</f>
        <v/>
      </c>
      <c r="B461" t="str">
        <f>IF(الإدخالات!C461="","","شراء")</f>
        <v/>
      </c>
      <c r="C461" t="str">
        <f>IF(الإدخالات!C461="","",IF(الإدخالات!E461="","-",الإدخالات!E461))</f>
        <v/>
      </c>
      <c r="D461" t="str">
        <f>IF(الإدخالات!C461="","",الإدخالات!C461)</f>
        <v/>
      </c>
      <c r="E461" s="24" t="str">
        <f>IF(الإدخالات!C461="","",الإدخالات!D461)</f>
        <v/>
      </c>
      <c r="F461" t="str">
        <f>IF(الإدخالات!C461="","",IF(الإدخالات!G461="","",الإدخالات!G461))</f>
        <v/>
      </c>
      <c r="G461" t="str">
        <f>IF($B461&lt;&gt;"",SUMPRODUCT(($B$2:$B461&lt;&gt;"")*1),"")</f>
        <v/>
      </c>
    </row>
    <row r="462" spans="1:7">
      <c r="A462" s="23" t="str">
        <f>IF(الإدخالات!C462="","",الإدخالات!B462)</f>
        <v/>
      </c>
      <c r="B462" t="str">
        <f>IF(الإدخالات!C462="","","شراء")</f>
        <v/>
      </c>
      <c r="C462" t="str">
        <f>IF(الإدخالات!C462="","",IF(الإدخالات!E462="","-",الإدخالات!E462))</f>
        <v/>
      </c>
      <c r="D462" t="str">
        <f>IF(الإدخالات!C462="","",الإدخالات!C462)</f>
        <v/>
      </c>
      <c r="E462" s="24" t="str">
        <f>IF(الإدخالات!C462="","",الإدخالات!D462)</f>
        <v/>
      </c>
      <c r="F462" t="str">
        <f>IF(الإدخالات!C462="","",IF(الإدخالات!G462="","",الإدخالات!G462))</f>
        <v/>
      </c>
      <c r="G462" t="str">
        <f>IF($B462&lt;&gt;"",SUMPRODUCT(($B$2:$B462&lt;&gt;"")*1),"")</f>
        <v/>
      </c>
    </row>
    <row r="463" spans="1:7">
      <c r="A463" s="23" t="str">
        <f>IF(الإدخالات!C463="","",الإدخالات!B463)</f>
        <v/>
      </c>
      <c r="B463" t="str">
        <f>IF(الإدخالات!C463="","","شراء")</f>
        <v/>
      </c>
      <c r="C463" t="str">
        <f>IF(الإدخالات!C463="","",IF(الإدخالات!E463="","-",الإدخالات!E463))</f>
        <v/>
      </c>
      <c r="D463" t="str">
        <f>IF(الإدخالات!C463="","",الإدخالات!C463)</f>
        <v/>
      </c>
      <c r="E463" s="24" t="str">
        <f>IF(الإدخالات!C463="","",الإدخالات!D463)</f>
        <v/>
      </c>
      <c r="F463" t="str">
        <f>IF(الإدخالات!C463="","",IF(الإدخالات!G463="","",الإدخالات!G463))</f>
        <v/>
      </c>
      <c r="G463" t="str">
        <f>IF($B463&lt;&gt;"",SUMPRODUCT(($B$2:$B463&lt;&gt;"")*1),"")</f>
        <v/>
      </c>
    </row>
    <row r="464" spans="1:7">
      <c r="A464" s="23" t="str">
        <f>IF(الإدخالات!C464="","",الإدخالات!B464)</f>
        <v/>
      </c>
      <c r="B464" t="str">
        <f>IF(الإدخالات!C464="","","شراء")</f>
        <v/>
      </c>
      <c r="C464" t="str">
        <f>IF(الإدخالات!C464="","",IF(الإدخالات!E464="","-",الإدخالات!E464))</f>
        <v/>
      </c>
      <c r="D464" t="str">
        <f>IF(الإدخالات!C464="","",الإدخالات!C464)</f>
        <v/>
      </c>
      <c r="E464" s="24" t="str">
        <f>IF(الإدخالات!C464="","",الإدخالات!D464)</f>
        <v/>
      </c>
      <c r="F464" t="str">
        <f>IF(الإدخالات!C464="","",IF(الإدخالات!G464="","",الإدخالات!G464))</f>
        <v/>
      </c>
      <c r="G464" t="str">
        <f>IF($B464&lt;&gt;"",SUMPRODUCT(($B$2:$B464&lt;&gt;"")*1),"")</f>
        <v/>
      </c>
    </row>
    <row r="465" spans="1:7">
      <c r="A465" s="23" t="str">
        <f>IF(الإدخالات!C465="","",الإدخالات!B465)</f>
        <v/>
      </c>
      <c r="B465" t="str">
        <f>IF(الإدخالات!C465="","","شراء")</f>
        <v/>
      </c>
      <c r="C465" t="str">
        <f>IF(الإدخالات!C465="","",IF(الإدخالات!E465="","-",الإدخالات!E465))</f>
        <v/>
      </c>
      <c r="D465" t="str">
        <f>IF(الإدخالات!C465="","",الإدخالات!C465)</f>
        <v/>
      </c>
      <c r="E465" s="24" t="str">
        <f>IF(الإدخالات!C465="","",الإدخالات!D465)</f>
        <v/>
      </c>
      <c r="F465" t="str">
        <f>IF(الإدخالات!C465="","",IF(الإدخالات!G465="","",الإدخالات!G465))</f>
        <v/>
      </c>
      <c r="G465" t="str">
        <f>IF($B465&lt;&gt;"",SUMPRODUCT(($B$2:$B465&lt;&gt;"")*1),"")</f>
        <v/>
      </c>
    </row>
    <row r="466" spans="1:7">
      <c r="A466" s="23" t="str">
        <f>IF(الإدخالات!C466="","",الإدخالات!B466)</f>
        <v/>
      </c>
      <c r="B466" t="str">
        <f>IF(الإدخالات!C466="","","شراء")</f>
        <v/>
      </c>
      <c r="C466" t="str">
        <f>IF(الإدخالات!C466="","",IF(الإدخالات!E466="","-",الإدخالات!E466))</f>
        <v/>
      </c>
      <c r="D466" t="str">
        <f>IF(الإدخالات!C466="","",الإدخالات!C466)</f>
        <v/>
      </c>
      <c r="E466" s="24" t="str">
        <f>IF(الإدخالات!C466="","",الإدخالات!D466)</f>
        <v/>
      </c>
      <c r="F466" t="str">
        <f>IF(الإدخالات!C466="","",IF(الإدخالات!G466="","",الإدخالات!G466))</f>
        <v/>
      </c>
      <c r="G466" t="str">
        <f>IF($B466&lt;&gt;"",SUMPRODUCT(($B$2:$B466&lt;&gt;"")*1),"")</f>
        <v/>
      </c>
    </row>
    <row r="467" spans="1:7">
      <c r="A467" s="23" t="str">
        <f>IF(الإدخالات!C467="","",الإدخالات!B467)</f>
        <v/>
      </c>
      <c r="B467" t="str">
        <f>IF(الإدخالات!C467="","","شراء")</f>
        <v/>
      </c>
      <c r="C467" t="str">
        <f>IF(الإدخالات!C467="","",IF(الإدخالات!E467="","-",الإدخالات!E467))</f>
        <v/>
      </c>
      <c r="D467" t="str">
        <f>IF(الإدخالات!C467="","",الإدخالات!C467)</f>
        <v/>
      </c>
      <c r="E467" s="24" t="str">
        <f>IF(الإدخالات!C467="","",الإدخالات!D467)</f>
        <v/>
      </c>
      <c r="F467" t="str">
        <f>IF(الإدخالات!C467="","",IF(الإدخالات!G467="","",الإدخالات!G467))</f>
        <v/>
      </c>
      <c r="G467" t="str">
        <f>IF($B467&lt;&gt;"",SUMPRODUCT(($B$2:$B467&lt;&gt;"")*1),"")</f>
        <v/>
      </c>
    </row>
    <row r="468" spans="1:7">
      <c r="A468" s="23" t="str">
        <f>IF(الإدخالات!C468="","",الإدخالات!B468)</f>
        <v/>
      </c>
      <c r="B468" t="str">
        <f>IF(الإدخالات!C468="","","شراء")</f>
        <v/>
      </c>
      <c r="C468" t="str">
        <f>IF(الإدخالات!C468="","",IF(الإدخالات!E468="","-",الإدخالات!E468))</f>
        <v/>
      </c>
      <c r="D468" t="str">
        <f>IF(الإدخالات!C468="","",الإدخالات!C468)</f>
        <v/>
      </c>
      <c r="E468" s="24" t="str">
        <f>IF(الإدخالات!C468="","",الإدخالات!D468)</f>
        <v/>
      </c>
      <c r="F468" t="str">
        <f>IF(الإدخالات!C468="","",IF(الإدخالات!G468="","",الإدخالات!G468))</f>
        <v/>
      </c>
      <c r="G468" t="str">
        <f>IF($B468&lt;&gt;"",SUMPRODUCT(($B$2:$B468&lt;&gt;"")*1),"")</f>
        <v/>
      </c>
    </row>
    <row r="469" spans="1:7">
      <c r="A469" s="23" t="str">
        <f>IF(الإدخالات!C469="","",الإدخالات!B469)</f>
        <v/>
      </c>
      <c r="B469" t="str">
        <f>IF(الإدخالات!C469="","","شراء")</f>
        <v/>
      </c>
      <c r="C469" t="str">
        <f>IF(الإدخالات!C469="","",IF(الإدخالات!E469="","-",الإدخالات!E469))</f>
        <v/>
      </c>
      <c r="D469" t="str">
        <f>IF(الإدخالات!C469="","",الإدخالات!C469)</f>
        <v/>
      </c>
      <c r="E469" s="24" t="str">
        <f>IF(الإدخالات!C469="","",الإدخالات!D469)</f>
        <v/>
      </c>
      <c r="F469" t="str">
        <f>IF(الإدخالات!C469="","",IF(الإدخالات!G469="","",الإدخالات!G469))</f>
        <v/>
      </c>
      <c r="G469" t="str">
        <f>IF($B469&lt;&gt;"",SUMPRODUCT(($B$2:$B469&lt;&gt;"")*1),"")</f>
        <v/>
      </c>
    </row>
    <row r="470" spans="1:7">
      <c r="A470" s="23" t="str">
        <f>IF(الإدخالات!C470="","",الإدخالات!B470)</f>
        <v/>
      </c>
      <c r="B470" t="str">
        <f>IF(الإدخالات!C470="","","شراء")</f>
        <v/>
      </c>
      <c r="C470" t="str">
        <f>IF(الإدخالات!C470="","",IF(الإدخالات!E470="","-",الإدخالات!E470))</f>
        <v/>
      </c>
      <c r="D470" t="str">
        <f>IF(الإدخالات!C470="","",الإدخالات!C470)</f>
        <v/>
      </c>
      <c r="E470" s="24" t="str">
        <f>IF(الإدخالات!C470="","",الإدخالات!D470)</f>
        <v/>
      </c>
      <c r="F470" t="str">
        <f>IF(الإدخالات!C470="","",IF(الإدخالات!G470="","",الإدخالات!G470))</f>
        <v/>
      </c>
      <c r="G470" t="str">
        <f>IF($B470&lt;&gt;"",SUMPRODUCT(($B$2:$B470&lt;&gt;"")*1),"")</f>
        <v/>
      </c>
    </row>
    <row r="471" spans="1:7">
      <c r="A471" s="23" t="str">
        <f>IF(الإدخالات!C471="","",الإدخالات!B471)</f>
        <v/>
      </c>
      <c r="B471" t="str">
        <f>IF(الإدخالات!C471="","","شراء")</f>
        <v/>
      </c>
      <c r="C471" t="str">
        <f>IF(الإدخالات!C471="","",IF(الإدخالات!E471="","-",الإدخالات!E471))</f>
        <v/>
      </c>
      <c r="D471" t="str">
        <f>IF(الإدخالات!C471="","",الإدخالات!C471)</f>
        <v/>
      </c>
      <c r="E471" s="24" t="str">
        <f>IF(الإدخالات!C471="","",الإدخالات!D471)</f>
        <v/>
      </c>
      <c r="F471" t="str">
        <f>IF(الإدخالات!C471="","",IF(الإدخالات!G471="","",الإدخالات!G471))</f>
        <v/>
      </c>
      <c r="G471" t="str">
        <f>IF($B471&lt;&gt;"",SUMPRODUCT(($B$2:$B471&lt;&gt;"")*1),"")</f>
        <v/>
      </c>
    </row>
    <row r="472" spans="1:7">
      <c r="A472" s="23" t="str">
        <f>IF(الإدخالات!C472="","",الإدخالات!B472)</f>
        <v/>
      </c>
      <c r="B472" t="str">
        <f>IF(الإدخالات!C472="","","شراء")</f>
        <v/>
      </c>
      <c r="C472" t="str">
        <f>IF(الإدخالات!C472="","",IF(الإدخالات!E472="","-",الإدخالات!E472))</f>
        <v/>
      </c>
      <c r="D472" t="str">
        <f>IF(الإدخالات!C472="","",الإدخالات!C472)</f>
        <v/>
      </c>
      <c r="E472" s="24" t="str">
        <f>IF(الإدخالات!C472="","",الإدخالات!D472)</f>
        <v/>
      </c>
      <c r="F472" t="str">
        <f>IF(الإدخالات!C472="","",IF(الإدخالات!G472="","",الإدخالات!G472))</f>
        <v/>
      </c>
      <c r="G472" t="str">
        <f>IF($B472&lt;&gt;"",SUMPRODUCT(($B$2:$B472&lt;&gt;"")*1),"")</f>
        <v/>
      </c>
    </row>
    <row r="473" spans="1:7">
      <c r="A473" s="23" t="str">
        <f>IF(الإدخالات!C473="","",الإدخالات!B473)</f>
        <v/>
      </c>
      <c r="B473" t="str">
        <f>IF(الإدخالات!C473="","","شراء")</f>
        <v/>
      </c>
      <c r="C473" t="str">
        <f>IF(الإدخالات!C473="","",IF(الإدخالات!E473="","-",الإدخالات!E473))</f>
        <v/>
      </c>
      <c r="D473" t="str">
        <f>IF(الإدخالات!C473="","",الإدخالات!C473)</f>
        <v/>
      </c>
      <c r="E473" s="24" t="str">
        <f>IF(الإدخالات!C473="","",الإدخالات!D473)</f>
        <v/>
      </c>
      <c r="F473" t="str">
        <f>IF(الإدخالات!C473="","",IF(الإدخالات!G473="","",الإدخالات!G473))</f>
        <v/>
      </c>
      <c r="G473" t="str">
        <f>IF($B473&lt;&gt;"",SUMPRODUCT(($B$2:$B473&lt;&gt;"")*1),"")</f>
        <v/>
      </c>
    </row>
    <row r="474" spans="1:7">
      <c r="A474" s="23" t="str">
        <f>IF(الإدخالات!C474="","",الإدخالات!B474)</f>
        <v/>
      </c>
      <c r="B474" t="str">
        <f>IF(الإدخالات!C474="","","شراء")</f>
        <v/>
      </c>
      <c r="C474" t="str">
        <f>IF(الإدخالات!C474="","",IF(الإدخالات!E474="","-",الإدخالات!E474))</f>
        <v/>
      </c>
      <c r="D474" t="str">
        <f>IF(الإدخالات!C474="","",الإدخالات!C474)</f>
        <v/>
      </c>
      <c r="E474" s="24" t="str">
        <f>IF(الإدخالات!C474="","",الإدخالات!D474)</f>
        <v/>
      </c>
      <c r="F474" t="str">
        <f>IF(الإدخالات!C474="","",IF(الإدخالات!G474="","",الإدخالات!G474))</f>
        <v/>
      </c>
      <c r="G474" t="str">
        <f>IF($B474&lt;&gt;"",SUMPRODUCT(($B$2:$B474&lt;&gt;"")*1),"")</f>
        <v/>
      </c>
    </row>
    <row r="475" spans="1:7">
      <c r="A475" s="23" t="str">
        <f>IF(الإدخالات!C475="","",الإدخالات!B475)</f>
        <v/>
      </c>
      <c r="B475" t="str">
        <f>IF(الإدخالات!C475="","","شراء")</f>
        <v/>
      </c>
      <c r="C475" t="str">
        <f>IF(الإدخالات!C475="","",IF(الإدخالات!E475="","-",الإدخالات!E475))</f>
        <v/>
      </c>
      <c r="D475" t="str">
        <f>IF(الإدخالات!C475="","",الإدخالات!C475)</f>
        <v/>
      </c>
      <c r="E475" s="24" t="str">
        <f>IF(الإدخالات!C475="","",الإدخالات!D475)</f>
        <v/>
      </c>
      <c r="F475" t="str">
        <f>IF(الإدخالات!C475="","",IF(الإدخالات!G475="","",الإدخالات!G475))</f>
        <v/>
      </c>
      <c r="G475" t="str">
        <f>IF($B475&lt;&gt;"",SUMPRODUCT(($B$2:$B475&lt;&gt;"")*1),"")</f>
        <v/>
      </c>
    </row>
    <row r="476" spans="1:7">
      <c r="A476" s="23" t="str">
        <f>IF(الإدخالات!C476="","",الإدخالات!B476)</f>
        <v/>
      </c>
      <c r="B476" t="str">
        <f>IF(الإدخالات!C476="","","شراء")</f>
        <v/>
      </c>
      <c r="C476" t="str">
        <f>IF(الإدخالات!C476="","",IF(الإدخالات!E476="","-",الإدخالات!E476))</f>
        <v/>
      </c>
      <c r="D476" t="str">
        <f>IF(الإدخالات!C476="","",الإدخالات!C476)</f>
        <v/>
      </c>
      <c r="E476" s="24" t="str">
        <f>IF(الإدخالات!C476="","",الإدخالات!D476)</f>
        <v/>
      </c>
      <c r="F476" t="str">
        <f>IF(الإدخالات!C476="","",IF(الإدخالات!G476="","",الإدخالات!G476))</f>
        <v/>
      </c>
      <c r="G476" t="str">
        <f>IF($B476&lt;&gt;"",SUMPRODUCT(($B$2:$B476&lt;&gt;"")*1),"")</f>
        <v/>
      </c>
    </row>
    <row r="477" spans="1:7">
      <c r="A477" s="23" t="str">
        <f>IF(الإدخالات!C477="","",الإدخالات!B477)</f>
        <v/>
      </c>
      <c r="B477" t="str">
        <f>IF(الإدخالات!C477="","","شراء")</f>
        <v/>
      </c>
      <c r="C477" t="str">
        <f>IF(الإدخالات!C477="","",IF(الإدخالات!E477="","-",الإدخالات!E477))</f>
        <v/>
      </c>
      <c r="D477" t="str">
        <f>IF(الإدخالات!C477="","",الإدخالات!C477)</f>
        <v/>
      </c>
      <c r="E477" s="24" t="str">
        <f>IF(الإدخالات!C477="","",الإدخالات!D477)</f>
        <v/>
      </c>
      <c r="F477" t="str">
        <f>IF(الإدخالات!C477="","",IF(الإدخالات!G477="","",الإدخالات!G477))</f>
        <v/>
      </c>
      <c r="G477" t="str">
        <f>IF($B477&lt;&gt;"",SUMPRODUCT(($B$2:$B477&lt;&gt;"")*1),"")</f>
        <v/>
      </c>
    </row>
    <row r="478" spans="1:7">
      <c r="A478" s="23" t="str">
        <f>IF(الإدخالات!C478="","",الإدخالات!B478)</f>
        <v/>
      </c>
      <c r="B478" t="str">
        <f>IF(الإدخالات!C478="","","شراء")</f>
        <v/>
      </c>
      <c r="C478" t="str">
        <f>IF(الإدخالات!C478="","",IF(الإدخالات!E478="","-",الإدخالات!E478))</f>
        <v/>
      </c>
      <c r="D478" t="str">
        <f>IF(الإدخالات!C478="","",الإدخالات!C478)</f>
        <v/>
      </c>
      <c r="E478" s="24" t="str">
        <f>IF(الإدخالات!C478="","",الإدخالات!D478)</f>
        <v/>
      </c>
      <c r="F478" t="str">
        <f>IF(الإدخالات!C478="","",IF(الإدخالات!G478="","",الإدخالات!G478))</f>
        <v/>
      </c>
      <c r="G478" t="str">
        <f>IF($B478&lt;&gt;"",SUMPRODUCT(($B$2:$B478&lt;&gt;"")*1),"")</f>
        <v/>
      </c>
    </row>
    <row r="479" spans="1:7">
      <c r="A479" s="23" t="str">
        <f>IF(الإدخالات!C479="","",الإدخالات!B479)</f>
        <v/>
      </c>
      <c r="B479" t="str">
        <f>IF(الإدخالات!C479="","","شراء")</f>
        <v/>
      </c>
      <c r="C479" t="str">
        <f>IF(الإدخالات!C479="","",IF(الإدخالات!E479="","-",الإدخالات!E479))</f>
        <v/>
      </c>
      <c r="D479" t="str">
        <f>IF(الإدخالات!C479="","",الإدخالات!C479)</f>
        <v/>
      </c>
      <c r="E479" s="24" t="str">
        <f>IF(الإدخالات!C479="","",الإدخالات!D479)</f>
        <v/>
      </c>
      <c r="F479" t="str">
        <f>IF(الإدخالات!C479="","",IF(الإدخالات!G479="","",الإدخالات!G479))</f>
        <v/>
      </c>
      <c r="G479" t="str">
        <f>IF($B479&lt;&gt;"",SUMPRODUCT(($B$2:$B479&lt;&gt;"")*1),"")</f>
        <v/>
      </c>
    </row>
    <row r="480" spans="1:7">
      <c r="A480" s="23" t="str">
        <f>IF(الإدخالات!C480="","",الإدخالات!B480)</f>
        <v/>
      </c>
      <c r="B480" t="str">
        <f>IF(الإدخالات!C480="","","شراء")</f>
        <v/>
      </c>
      <c r="C480" t="str">
        <f>IF(الإدخالات!C480="","",IF(الإدخالات!E480="","-",الإدخالات!E480))</f>
        <v/>
      </c>
      <c r="D480" t="str">
        <f>IF(الإدخالات!C480="","",الإدخالات!C480)</f>
        <v/>
      </c>
      <c r="E480" s="24" t="str">
        <f>IF(الإدخالات!C480="","",الإدخالات!D480)</f>
        <v/>
      </c>
      <c r="F480" t="str">
        <f>IF(الإدخالات!C480="","",IF(الإدخالات!G480="","",الإدخالات!G480))</f>
        <v/>
      </c>
      <c r="G480" t="str">
        <f>IF($B480&lt;&gt;"",SUMPRODUCT(($B$2:$B480&lt;&gt;"")*1),"")</f>
        <v/>
      </c>
    </row>
    <row r="481" spans="1:7">
      <c r="A481" s="23" t="str">
        <f>IF(الإدخالات!C481="","",الإدخالات!B481)</f>
        <v/>
      </c>
      <c r="B481" t="str">
        <f>IF(الإدخالات!C481="","","شراء")</f>
        <v/>
      </c>
      <c r="C481" t="str">
        <f>IF(الإدخالات!C481="","",IF(الإدخالات!E481="","-",الإدخالات!E481))</f>
        <v/>
      </c>
      <c r="D481" t="str">
        <f>IF(الإدخالات!C481="","",الإدخالات!C481)</f>
        <v/>
      </c>
      <c r="E481" s="24" t="str">
        <f>IF(الإدخالات!C481="","",الإدخالات!D481)</f>
        <v/>
      </c>
      <c r="F481" t="str">
        <f>IF(الإدخالات!C481="","",IF(الإدخالات!G481="","",الإدخالات!G481))</f>
        <v/>
      </c>
      <c r="G481" t="str">
        <f>IF($B481&lt;&gt;"",SUMPRODUCT(($B$2:$B481&lt;&gt;"")*1),"")</f>
        <v/>
      </c>
    </row>
    <row r="482" spans="1:7">
      <c r="A482" s="23" t="str">
        <f>IF(الإدخالات!C482="","",الإدخالات!B482)</f>
        <v/>
      </c>
      <c r="B482" t="str">
        <f>IF(الإدخالات!C482="","","شراء")</f>
        <v/>
      </c>
      <c r="C482" t="str">
        <f>IF(الإدخالات!C482="","",IF(الإدخالات!E482="","-",الإدخالات!E482))</f>
        <v/>
      </c>
      <c r="D482" t="str">
        <f>IF(الإدخالات!C482="","",الإدخالات!C482)</f>
        <v/>
      </c>
      <c r="E482" s="24" t="str">
        <f>IF(الإدخالات!C482="","",الإدخالات!D482)</f>
        <v/>
      </c>
      <c r="F482" t="str">
        <f>IF(الإدخالات!C482="","",IF(الإدخالات!G482="","",الإدخالات!G482))</f>
        <v/>
      </c>
      <c r="G482" t="str">
        <f>IF($B482&lt;&gt;"",SUMPRODUCT(($B$2:$B482&lt;&gt;"")*1),"")</f>
        <v/>
      </c>
    </row>
    <row r="483" spans="1:7">
      <c r="A483" s="23" t="str">
        <f>IF(الإدخالات!C483="","",الإدخالات!B483)</f>
        <v/>
      </c>
      <c r="B483" t="str">
        <f>IF(الإدخالات!C483="","","شراء")</f>
        <v/>
      </c>
      <c r="C483" t="str">
        <f>IF(الإدخالات!C483="","",IF(الإدخالات!E483="","-",الإدخالات!E483))</f>
        <v/>
      </c>
      <c r="D483" t="str">
        <f>IF(الإدخالات!C483="","",الإدخالات!C483)</f>
        <v/>
      </c>
      <c r="E483" s="24" t="str">
        <f>IF(الإدخالات!C483="","",الإدخالات!D483)</f>
        <v/>
      </c>
      <c r="F483" t="str">
        <f>IF(الإدخالات!C483="","",IF(الإدخالات!G483="","",الإدخالات!G483))</f>
        <v/>
      </c>
      <c r="G483" t="str">
        <f>IF($B483&lt;&gt;"",SUMPRODUCT(($B$2:$B483&lt;&gt;"")*1),"")</f>
        <v/>
      </c>
    </row>
    <row r="484" spans="1:7">
      <c r="A484" s="23" t="str">
        <f>IF(الإدخالات!C484="","",الإدخالات!B484)</f>
        <v/>
      </c>
      <c r="B484" t="str">
        <f>IF(الإدخالات!C484="","","شراء")</f>
        <v/>
      </c>
      <c r="C484" t="str">
        <f>IF(الإدخالات!C484="","",IF(الإدخالات!E484="","-",الإدخالات!E484))</f>
        <v/>
      </c>
      <c r="D484" t="str">
        <f>IF(الإدخالات!C484="","",الإدخالات!C484)</f>
        <v/>
      </c>
      <c r="E484" s="24" t="str">
        <f>IF(الإدخالات!C484="","",الإدخالات!D484)</f>
        <v/>
      </c>
      <c r="F484" t="str">
        <f>IF(الإدخالات!C484="","",IF(الإدخالات!G484="","",الإدخالات!G484))</f>
        <v/>
      </c>
      <c r="G484" t="str">
        <f>IF($B484&lt;&gt;"",SUMPRODUCT(($B$2:$B484&lt;&gt;"")*1),"")</f>
        <v/>
      </c>
    </row>
    <row r="485" spans="1:7">
      <c r="A485" s="23" t="str">
        <f>IF(الإدخالات!C485="","",الإدخالات!B485)</f>
        <v/>
      </c>
      <c r="B485" t="str">
        <f>IF(الإدخالات!C485="","","شراء")</f>
        <v/>
      </c>
      <c r="C485" t="str">
        <f>IF(الإدخالات!C485="","",IF(الإدخالات!E485="","-",الإدخالات!E485))</f>
        <v/>
      </c>
      <c r="D485" t="str">
        <f>IF(الإدخالات!C485="","",الإدخالات!C485)</f>
        <v/>
      </c>
      <c r="E485" s="24" t="str">
        <f>IF(الإدخالات!C485="","",الإدخالات!D485)</f>
        <v/>
      </c>
      <c r="F485" t="str">
        <f>IF(الإدخالات!C485="","",IF(الإدخالات!G485="","",الإدخالات!G485))</f>
        <v/>
      </c>
      <c r="G485" t="str">
        <f>IF($B485&lt;&gt;"",SUMPRODUCT(($B$2:$B485&lt;&gt;"")*1),"")</f>
        <v/>
      </c>
    </row>
    <row r="486" spans="1:7">
      <c r="A486" s="23" t="str">
        <f>IF(الإدخالات!C486="","",الإدخالات!B486)</f>
        <v/>
      </c>
      <c r="B486" t="str">
        <f>IF(الإدخالات!C486="","","شراء")</f>
        <v/>
      </c>
      <c r="C486" t="str">
        <f>IF(الإدخالات!C486="","",IF(الإدخالات!E486="","-",الإدخالات!E486))</f>
        <v/>
      </c>
      <c r="D486" t="str">
        <f>IF(الإدخالات!C486="","",الإدخالات!C486)</f>
        <v/>
      </c>
      <c r="E486" s="24" t="str">
        <f>IF(الإدخالات!C486="","",الإدخالات!D486)</f>
        <v/>
      </c>
      <c r="F486" t="str">
        <f>IF(الإدخالات!C486="","",IF(الإدخالات!G486="","",الإدخالات!G486))</f>
        <v/>
      </c>
      <c r="G486" t="str">
        <f>IF($B486&lt;&gt;"",SUMPRODUCT(($B$2:$B486&lt;&gt;"")*1),"")</f>
        <v/>
      </c>
    </row>
    <row r="487" spans="1:7">
      <c r="A487" s="23" t="str">
        <f>IF(الإدخالات!C487="","",الإدخالات!B487)</f>
        <v/>
      </c>
      <c r="B487" t="str">
        <f>IF(الإدخالات!C487="","","شراء")</f>
        <v/>
      </c>
      <c r="C487" t="str">
        <f>IF(الإدخالات!C487="","",IF(الإدخالات!E487="","-",الإدخالات!E487))</f>
        <v/>
      </c>
      <c r="D487" t="str">
        <f>IF(الإدخالات!C487="","",الإدخالات!C487)</f>
        <v/>
      </c>
      <c r="E487" s="24" t="str">
        <f>IF(الإدخالات!C487="","",الإدخالات!D487)</f>
        <v/>
      </c>
      <c r="F487" t="str">
        <f>IF(الإدخالات!C487="","",IF(الإدخالات!G487="","",الإدخالات!G487))</f>
        <v/>
      </c>
      <c r="G487" t="str">
        <f>IF($B487&lt;&gt;"",SUMPRODUCT(($B$2:$B487&lt;&gt;"")*1),"")</f>
        <v/>
      </c>
    </row>
    <row r="488" spans="1:7">
      <c r="A488" s="23" t="str">
        <f>IF(الإدخالات!C488="","",الإدخالات!B488)</f>
        <v/>
      </c>
      <c r="B488" t="str">
        <f>IF(الإدخالات!C488="","","شراء")</f>
        <v/>
      </c>
      <c r="C488" t="str">
        <f>IF(الإدخالات!C488="","",IF(الإدخالات!E488="","-",الإدخالات!E488))</f>
        <v/>
      </c>
      <c r="D488" t="str">
        <f>IF(الإدخالات!C488="","",الإدخالات!C488)</f>
        <v/>
      </c>
      <c r="E488" s="24" t="str">
        <f>IF(الإدخالات!C488="","",الإدخالات!D488)</f>
        <v/>
      </c>
      <c r="F488" t="str">
        <f>IF(الإدخالات!C488="","",IF(الإدخالات!G488="","",الإدخالات!G488))</f>
        <v/>
      </c>
      <c r="G488" t="str">
        <f>IF($B488&lt;&gt;"",SUMPRODUCT(($B$2:$B488&lt;&gt;"")*1),"")</f>
        <v/>
      </c>
    </row>
    <row r="489" spans="1:7">
      <c r="A489" s="23" t="str">
        <f>IF(الإدخالات!C489="","",الإدخالات!B489)</f>
        <v/>
      </c>
      <c r="B489" t="str">
        <f>IF(الإدخالات!C489="","","شراء")</f>
        <v/>
      </c>
      <c r="C489" t="str">
        <f>IF(الإدخالات!C489="","",IF(الإدخالات!E489="","-",الإدخالات!E489))</f>
        <v/>
      </c>
      <c r="D489" t="str">
        <f>IF(الإدخالات!C489="","",الإدخالات!C489)</f>
        <v/>
      </c>
      <c r="E489" s="24" t="str">
        <f>IF(الإدخالات!C489="","",الإدخالات!D489)</f>
        <v/>
      </c>
      <c r="F489" t="str">
        <f>IF(الإدخالات!C489="","",IF(الإدخالات!G489="","",الإدخالات!G489))</f>
        <v/>
      </c>
      <c r="G489" t="str">
        <f>IF($B489&lt;&gt;"",SUMPRODUCT(($B$2:$B489&lt;&gt;"")*1),"")</f>
        <v/>
      </c>
    </row>
    <row r="490" spans="1:7">
      <c r="A490" s="23" t="str">
        <f>IF(الإدخالات!C490="","",الإدخالات!B490)</f>
        <v/>
      </c>
      <c r="B490" t="str">
        <f>IF(الإدخالات!C490="","","شراء")</f>
        <v/>
      </c>
      <c r="C490" t="str">
        <f>IF(الإدخالات!C490="","",IF(الإدخالات!E490="","-",الإدخالات!E490))</f>
        <v/>
      </c>
      <c r="D490" t="str">
        <f>IF(الإدخالات!C490="","",الإدخالات!C490)</f>
        <v/>
      </c>
      <c r="E490" s="24" t="str">
        <f>IF(الإدخالات!C490="","",الإدخالات!D490)</f>
        <v/>
      </c>
      <c r="F490" t="str">
        <f>IF(الإدخالات!C490="","",IF(الإدخالات!G490="","",الإدخالات!G490))</f>
        <v/>
      </c>
      <c r="G490" t="str">
        <f>IF($B490&lt;&gt;"",SUMPRODUCT(($B$2:$B490&lt;&gt;"")*1),"")</f>
        <v/>
      </c>
    </row>
    <row r="491" spans="1:7">
      <c r="A491" s="23" t="str">
        <f>IF(الإدخالات!C491="","",الإدخالات!B491)</f>
        <v/>
      </c>
      <c r="B491" t="str">
        <f>IF(الإدخالات!C491="","","شراء")</f>
        <v/>
      </c>
      <c r="C491" t="str">
        <f>IF(الإدخالات!C491="","",IF(الإدخالات!E491="","-",الإدخالات!E491))</f>
        <v/>
      </c>
      <c r="D491" t="str">
        <f>IF(الإدخالات!C491="","",الإدخالات!C491)</f>
        <v/>
      </c>
      <c r="E491" s="24" t="str">
        <f>IF(الإدخالات!C491="","",الإدخالات!D491)</f>
        <v/>
      </c>
      <c r="F491" t="str">
        <f>IF(الإدخالات!C491="","",IF(الإدخالات!G491="","",الإدخالات!G491))</f>
        <v/>
      </c>
      <c r="G491" t="str">
        <f>IF($B491&lt;&gt;"",SUMPRODUCT(($B$2:$B491&lt;&gt;"")*1),"")</f>
        <v/>
      </c>
    </row>
    <row r="492" spans="1:7">
      <c r="A492" s="23" t="str">
        <f>IF(الإدخالات!C492="","",الإدخالات!B492)</f>
        <v/>
      </c>
      <c r="B492" t="str">
        <f>IF(الإدخالات!C492="","","شراء")</f>
        <v/>
      </c>
      <c r="C492" t="str">
        <f>IF(الإدخالات!C492="","",IF(الإدخالات!E492="","-",الإدخالات!E492))</f>
        <v/>
      </c>
      <c r="D492" t="str">
        <f>IF(الإدخالات!C492="","",الإدخالات!C492)</f>
        <v/>
      </c>
      <c r="E492" s="24" t="str">
        <f>IF(الإدخالات!C492="","",الإدخالات!D492)</f>
        <v/>
      </c>
      <c r="F492" t="str">
        <f>IF(الإدخالات!C492="","",IF(الإدخالات!G492="","",الإدخالات!G492))</f>
        <v/>
      </c>
      <c r="G492" t="str">
        <f>IF($B492&lt;&gt;"",SUMPRODUCT(($B$2:$B492&lt;&gt;"")*1),"")</f>
        <v/>
      </c>
    </row>
    <row r="493" spans="1:7">
      <c r="A493" s="23" t="str">
        <f>IF(الإدخالات!C493="","",الإدخالات!B493)</f>
        <v/>
      </c>
      <c r="B493" t="str">
        <f>IF(الإدخالات!C493="","","شراء")</f>
        <v/>
      </c>
      <c r="C493" t="str">
        <f>IF(الإدخالات!C493="","",IF(الإدخالات!E493="","-",الإدخالات!E493))</f>
        <v/>
      </c>
      <c r="D493" t="str">
        <f>IF(الإدخالات!C493="","",الإدخالات!C493)</f>
        <v/>
      </c>
      <c r="E493" s="24" t="str">
        <f>IF(الإدخالات!C493="","",الإدخالات!D493)</f>
        <v/>
      </c>
      <c r="F493" t="str">
        <f>IF(الإدخالات!C493="","",IF(الإدخالات!G493="","",الإدخالات!G493))</f>
        <v/>
      </c>
      <c r="G493" t="str">
        <f>IF($B493&lt;&gt;"",SUMPRODUCT(($B$2:$B493&lt;&gt;"")*1),"")</f>
        <v/>
      </c>
    </row>
    <row r="494" spans="1:7">
      <c r="A494" s="23" t="str">
        <f>IF(الإدخالات!C494="","",الإدخالات!B494)</f>
        <v/>
      </c>
      <c r="B494" t="str">
        <f>IF(الإدخالات!C494="","","شراء")</f>
        <v/>
      </c>
      <c r="C494" t="str">
        <f>IF(الإدخالات!C494="","",IF(الإدخالات!E494="","-",الإدخالات!E494))</f>
        <v/>
      </c>
      <c r="D494" t="str">
        <f>IF(الإدخالات!C494="","",الإدخالات!C494)</f>
        <v/>
      </c>
      <c r="E494" s="24" t="str">
        <f>IF(الإدخالات!C494="","",الإدخالات!D494)</f>
        <v/>
      </c>
      <c r="F494" t="str">
        <f>IF(الإدخالات!C494="","",IF(الإدخالات!G494="","",الإدخالات!G494))</f>
        <v/>
      </c>
      <c r="G494" t="str">
        <f>IF($B494&lt;&gt;"",SUMPRODUCT(($B$2:$B494&lt;&gt;"")*1),"")</f>
        <v/>
      </c>
    </row>
    <row r="495" spans="1:7">
      <c r="A495" s="23" t="str">
        <f>IF(الإدخالات!C495="","",الإدخالات!B495)</f>
        <v/>
      </c>
      <c r="B495" t="str">
        <f>IF(الإدخالات!C495="","","شراء")</f>
        <v/>
      </c>
      <c r="C495" t="str">
        <f>IF(الإدخالات!C495="","",IF(الإدخالات!E495="","-",الإدخالات!E495))</f>
        <v/>
      </c>
      <c r="D495" t="str">
        <f>IF(الإدخالات!C495="","",الإدخالات!C495)</f>
        <v/>
      </c>
      <c r="E495" s="24" t="str">
        <f>IF(الإدخالات!C495="","",الإدخالات!D495)</f>
        <v/>
      </c>
      <c r="F495" t="str">
        <f>IF(الإدخالات!C495="","",IF(الإدخالات!G495="","",الإدخالات!G495))</f>
        <v/>
      </c>
      <c r="G495" t="str">
        <f>IF($B495&lt;&gt;"",SUMPRODUCT(($B$2:$B495&lt;&gt;"")*1),"")</f>
        <v/>
      </c>
    </row>
    <row r="496" spans="1:7">
      <c r="A496" s="23" t="str">
        <f>IF(الإدخالات!C496="","",الإدخالات!B496)</f>
        <v/>
      </c>
      <c r="B496" t="str">
        <f>IF(الإدخالات!C496="","","شراء")</f>
        <v/>
      </c>
      <c r="C496" t="str">
        <f>IF(الإدخالات!C496="","",IF(الإدخالات!E496="","-",الإدخالات!E496))</f>
        <v/>
      </c>
      <c r="D496" t="str">
        <f>IF(الإدخالات!C496="","",الإدخالات!C496)</f>
        <v/>
      </c>
      <c r="E496" s="24" t="str">
        <f>IF(الإدخالات!C496="","",الإدخالات!D496)</f>
        <v/>
      </c>
      <c r="F496" t="str">
        <f>IF(الإدخالات!C496="","",IF(الإدخالات!G496="","",الإدخالات!G496))</f>
        <v/>
      </c>
      <c r="G496" t="str">
        <f>IF($B496&lt;&gt;"",SUMPRODUCT(($B$2:$B496&lt;&gt;"")*1),"")</f>
        <v/>
      </c>
    </row>
    <row r="497" spans="1:7">
      <c r="A497" s="23" t="str">
        <f>IF(الإدخالات!C497="","",الإدخالات!B497)</f>
        <v/>
      </c>
      <c r="B497" t="str">
        <f>IF(الإدخالات!C497="","","شراء")</f>
        <v/>
      </c>
      <c r="C497" t="str">
        <f>IF(الإدخالات!C497="","",IF(الإدخالات!E497="","-",الإدخالات!E497))</f>
        <v/>
      </c>
      <c r="D497" t="str">
        <f>IF(الإدخالات!C497="","",الإدخالات!C497)</f>
        <v/>
      </c>
      <c r="E497" s="24" t="str">
        <f>IF(الإدخالات!C497="","",الإدخالات!D497)</f>
        <v/>
      </c>
      <c r="F497" t="str">
        <f>IF(الإدخالات!C497="","",IF(الإدخالات!G497="","",الإدخالات!G497))</f>
        <v/>
      </c>
      <c r="G497" t="str">
        <f>IF($B497&lt;&gt;"",SUMPRODUCT(($B$2:$B497&lt;&gt;"")*1),"")</f>
        <v/>
      </c>
    </row>
    <row r="498" spans="1:7">
      <c r="A498" s="23" t="str">
        <f>IF(الإدخالات!C498="","",الإدخالات!B498)</f>
        <v/>
      </c>
      <c r="B498" t="str">
        <f>IF(الإدخالات!C498="","","شراء")</f>
        <v/>
      </c>
      <c r="C498" t="str">
        <f>IF(الإدخالات!C498="","",IF(الإدخالات!E498="","-",الإدخالات!E498))</f>
        <v/>
      </c>
      <c r="D498" t="str">
        <f>IF(الإدخالات!C498="","",الإدخالات!C498)</f>
        <v/>
      </c>
      <c r="E498" s="24" t="str">
        <f>IF(الإدخالات!C498="","",الإدخالات!D498)</f>
        <v/>
      </c>
      <c r="F498" t="str">
        <f>IF(الإدخالات!C498="","",IF(الإدخالات!G498="","",الإدخالات!G498))</f>
        <v/>
      </c>
      <c r="G498" t="str">
        <f>IF($B498&lt;&gt;"",SUMPRODUCT(($B$2:$B498&lt;&gt;"")*1),"")</f>
        <v/>
      </c>
    </row>
    <row r="499" spans="1:7">
      <c r="A499" s="23" t="str">
        <f>IF(الإدخالات!C499="","",الإدخالات!B499)</f>
        <v/>
      </c>
      <c r="B499" t="str">
        <f>IF(الإدخالات!C499="","","شراء")</f>
        <v/>
      </c>
      <c r="C499" t="str">
        <f>IF(الإدخالات!C499="","",IF(الإدخالات!E499="","-",الإدخالات!E499))</f>
        <v/>
      </c>
      <c r="D499" t="str">
        <f>IF(الإدخالات!C499="","",الإدخالات!C499)</f>
        <v/>
      </c>
      <c r="E499" s="24" t="str">
        <f>IF(الإدخالات!C499="","",الإدخالات!D499)</f>
        <v/>
      </c>
      <c r="F499" t="str">
        <f>IF(الإدخالات!C499="","",IF(الإدخالات!G499="","",الإدخالات!G499))</f>
        <v/>
      </c>
      <c r="G499" t="str">
        <f>IF($B499&lt;&gt;"",SUMPRODUCT(($B$2:$B499&lt;&gt;"")*1),"")</f>
        <v/>
      </c>
    </row>
    <row r="500" spans="1:7">
      <c r="A500" s="23" t="str">
        <f>IF(الإدخالات!C500="","",الإدخالات!B500)</f>
        <v/>
      </c>
      <c r="B500" t="str">
        <f>IF(الإدخالات!C500="","","شراء")</f>
        <v/>
      </c>
      <c r="C500" t="str">
        <f>IF(الإدخالات!C500="","",IF(الإدخالات!E500="","-",الإدخالات!E500))</f>
        <v/>
      </c>
      <c r="D500" t="str">
        <f>IF(الإدخالات!C500="","",الإدخالات!C500)</f>
        <v/>
      </c>
      <c r="E500" s="24" t="str">
        <f>IF(الإدخالات!C500="","",الإدخالات!D500)</f>
        <v/>
      </c>
      <c r="F500" t="str">
        <f>IF(الإدخالات!C500="","",IF(الإدخالات!G500="","",الإدخالات!G500))</f>
        <v/>
      </c>
      <c r="G500" t="str">
        <f>IF($B500&lt;&gt;"",SUMPRODUCT(($B$2:$B500&lt;&gt;"")*1),"")</f>
        <v/>
      </c>
    </row>
    <row r="501" spans="1:7">
      <c r="A501" s="23" t="str">
        <f>IF(الإدخالات!C501="","",الإدخالات!B501)</f>
        <v/>
      </c>
      <c r="B501" t="str">
        <f>IF(الإدخالات!C501="","","شراء")</f>
        <v/>
      </c>
      <c r="C501" t="str">
        <f>IF(الإدخالات!C501="","",IF(الإدخالات!E501="","-",الإدخالات!E501))</f>
        <v/>
      </c>
      <c r="D501" t="str">
        <f>IF(الإدخالات!C501="","",الإدخالات!C501)</f>
        <v/>
      </c>
      <c r="E501" s="24" t="str">
        <f>IF(الإدخالات!C501="","",الإدخالات!D501)</f>
        <v/>
      </c>
      <c r="F501" t="str">
        <f>IF(الإدخالات!C501="","",IF(الإدخالات!G501="","",الإدخالات!G501))</f>
        <v/>
      </c>
      <c r="G501" t="str">
        <f>IF($B501&lt;&gt;"",SUMPRODUCT(($B$2:$B501&lt;&gt;"")*1),"")</f>
        <v/>
      </c>
    </row>
    <row r="502" spans="1:7">
      <c r="A502" s="23">
        <f>IF('الصرف المباشر'!C2="","",'الصرف المباشر'!B2)</f>
        <v>46225</v>
      </c>
      <c r="B502" t="str">
        <f>IF('الصرف المباشر'!C2="","","صرف مباشر")</f>
        <v>صرف مباشر</v>
      </c>
      <c r="C502" t="str">
        <f>IF('الصرف المباشر'!C2="","",IF('الصرف المباشر'!E2="","-",'الصرف المباشر'!E2))</f>
        <v>أبو خليل</v>
      </c>
      <c r="D502" t="str">
        <f>IF('الصرف المباشر'!C2="","",'الصرف المباشر'!C2)</f>
        <v>ملح</v>
      </c>
      <c r="E502" s="24">
        <f>IF('الصرف المباشر'!C2="","",-'الصرف المباشر'!D2)</f>
        <v>-10</v>
      </c>
      <c r="F502" t="str">
        <f>IF('الصرف المباشر'!C2="","",IF('الصرف المباشر'!F2="","",'الصرف المباشر'!F2))</f>
        <v>منشان يطبخ مي وملح</v>
      </c>
      <c r="G502">
        <f>IF($B502&lt;&gt;"",SUMPRODUCT(($B$2:$B502&lt;&gt;"")*1),"")</f>
        <v>177</v>
      </c>
    </row>
    <row r="503" spans="1:7">
      <c r="A503" s="23" t="str">
        <f>IF('الصرف المباشر'!C3="","",'الصرف المباشر'!B3)</f>
        <v/>
      </c>
      <c r="B503" t="str">
        <f>IF('الصرف المباشر'!C3="","","صرف مباشر")</f>
        <v/>
      </c>
      <c r="C503" t="str">
        <f>IF('الصرف المباشر'!C3="","",IF('الصرف المباشر'!E3="","-",'الصرف المباشر'!E3))</f>
        <v/>
      </c>
      <c r="D503" t="str">
        <f>IF('الصرف المباشر'!C3="","",'الصرف المباشر'!C3)</f>
        <v/>
      </c>
      <c r="E503" s="24" t="str">
        <f>IF('الصرف المباشر'!C3="","",-'الصرف المباشر'!D3)</f>
        <v/>
      </c>
      <c r="F503" t="str">
        <f>IF('الصرف المباشر'!C3="","",IF('الصرف المباشر'!F3="","",'الصرف المباشر'!F3))</f>
        <v/>
      </c>
      <c r="G503" t="str">
        <f>IF($B503&lt;&gt;"",SUMPRODUCT(($B$2:$B503&lt;&gt;"")*1),"")</f>
        <v/>
      </c>
    </row>
    <row r="504" spans="1:7">
      <c r="A504" s="23" t="str">
        <f>IF('الصرف المباشر'!C4="","",'الصرف المباشر'!B4)</f>
        <v/>
      </c>
      <c r="B504" t="str">
        <f>IF('الصرف المباشر'!C4="","","صرف مباشر")</f>
        <v/>
      </c>
      <c r="C504" t="str">
        <f>IF('الصرف المباشر'!C4="","",IF('الصرف المباشر'!E4="","-",'الصرف المباشر'!E4))</f>
        <v/>
      </c>
      <c r="D504" t="str">
        <f>IF('الصرف المباشر'!C4="","",'الصرف المباشر'!C4)</f>
        <v/>
      </c>
      <c r="E504" s="24" t="str">
        <f>IF('الصرف المباشر'!C4="","",-'الصرف المباشر'!D4)</f>
        <v/>
      </c>
      <c r="F504" t="str">
        <f>IF('الصرف المباشر'!C4="","",IF('الصرف المباشر'!F4="","",'الصرف المباشر'!F4))</f>
        <v/>
      </c>
      <c r="G504" t="str">
        <f>IF($B504&lt;&gt;"",SUMPRODUCT(($B$2:$B504&lt;&gt;"")*1),"")</f>
        <v/>
      </c>
    </row>
    <row r="505" spans="1:7">
      <c r="A505" s="23" t="str">
        <f>IF('الصرف المباشر'!C5="","",'الصرف المباشر'!B5)</f>
        <v/>
      </c>
      <c r="B505" t="str">
        <f>IF('الصرف المباشر'!C5="","","صرف مباشر")</f>
        <v/>
      </c>
      <c r="C505" t="str">
        <f>IF('الصرف المباشر'!C5="","",IF('الصرف المباشر'!E5="","-",'الصرف المباشر'!E5))</f>
        <v/>
      </c>
      <c r="D505" t="str">
        <f>IF('الصرف المباشر'!C5="","",'الصرف المباشر'!C5)</f>
        <v/>
      </c>
      <c r="E505" s="24" t="str">
        <f>IF('الصرف المباشر'!C5="","",-'الصرف المباشر'!D5)</f>
        <v/>
      </c>
      <c r="F505" t="str">
        <f>IF('الصرف المباشر'!C5="","",IF('الصرف المباشر'!F5="","",'الصرف المباشر'!F5))</f>
        <v/>
      </c>
      <c r="G505" t="str">
        <f>IF($B505&lt;&gt;"",SUMPRODUCT(($B$2:$B505&lt;&gt;"")*1),"")</f>
        <v/>
      </c>
    </row>
    <row r="506" spans="1:7">
      <c r="A506" s="23" t="str">
        <f>IF('الصرف المباشر'!C6="","",'الصرف المباشر'!B6)</f>
        <v/>
      </c>
      <c r="B506" t="str">
        <f>IF('الصرف المباشر'!C6="","","صرف مباشر")</f>
        <v/>
      </c>
      <c r="C506" t="str">
        <f>IF('الصرف المباشر'!C6="","",IF('الصرف المباشر'!E6="","-",'الصرف المباشر'!E6))</f>
        <v/>
      </c>
      <c r="D506" t="str">
        <f>IF('الصرف المباشر'!C6="","",'الصرف المباشر'!C6)</f>
        <v/>
      </c>
      <c r="E506" s="24" t="str">
        <f>IF('الصرف المباشر'!C6="","",-'الصرف المباشر'!D6)</f>
        <v/>
      </c>
      <c r="F506" t="str">
        <f>IF('الصرف المباشر'!C6="","",IF('الصرف المباشر'!F6="","",'الصرف المباشر'!F6))</f>
        <v/>
      </c>
      <c r="G506" t="str">
        <f>IF($B506&lt;&gt;"",SUMPRODUCT(($B$2:$B506&lt;&gt;"")*1),"")</f>
        <v/>
      </c>
    </row>
    <row r="507" spans="1:7">
      <c r="A507" s="23" t="str">
        <f>IF('الصرف المباشر'!C7="","",'الصرف المباشر'!B7)</f>
        <v/>
      </c>
      <c r="B507" t="str">
        <f>IF('الصرف المباشر'!C7="","","صرف مباشر")</f>
        <v/>
      </c>
      <c r="C507" t="str">
        <f>IF('الصرف المباشر'!C7="","",IF('الصرف المباشر'!E7="","-",'الصرف المباشر'!E7))</f>
        <v/>
      </c>
      <c r="D507" t="str">
        <f>IF('الصرف المباشر'!C7="","",'الصرف المباشر'!C7)</f>
        <v/>
      </c>
      <c r="E507" s="24" t="str">
        <f>IF('الصرف المباشر'!C7="","",-'الصرف المباشر'!D7)</f>
        <v/>
      </c>
      <c r="F507" t="str">
        <f>IF('الصرف المباشر'!C7="","",IF('الصرف المباشر'!F7="","",'الصرف المباشر'!F7))</f>
        <v/>
      </c>
      <c r="G507" t="str">
        <f>IF($B507&lt;&gt;"",SUMPRODUCT(($B$2:$B507&lt;&gt;"")*1),"")</f>
        <v/>
      </c>
    </row>
    <row r="508" spans="1:7">
      <c r="A508" s="23" t="str">
        <f>IF('الصرف المباشر'!C8="","",'الصرف المباشر'!B8)</f>
        <v/>
      </c>
      <c r="B508" t="str">
        <f>IF('الصرف المباشر'!C8="","","صرف مباشر")</f>
        <v/>
      </c>
      <c r="C508" t="str">
        <f>IF('الصرف المباشر'!C8="","",IF('الصرف المباشر'!E8="","-",'الصرف المباشر'!E8))</f>
        <v/>
      </c>
      <c r="D508" t="str">
        <f>IF('الصرف المباشر'!C8="","",'الصرف المباشر'!C8)</f>
        <v/>
      </c>
      <c r="E508" s="24" t="str">
        <f>IF('الصرف المباشر'!C8="","",-'الصرف المباشر'!D8)</f>
        <v/>
      </c>
      <c r="F508" t="str">
        <f>IF('الصرف المباشر'!C8="","",IF('الصرف المباشر'!F8="","",'الصرف المباشر'!F8))</f>
        <v/>
      </c>
      <c r="G508" t="str">
        <f>IF($B508&lt;&gt;"",SUMPRODUCT(($B$2:$B508&lt;&gt;"")*1),"")</f>
        <v/>
      </c>
    </row>
    <row r="509" spans="1:7">
      <c r="A509" s="23" t="str">
        <f>IF('الصرف المباشر'!C9="","",'الصرف المباشر'!B9)</f>
        <v/>
      </c>
      <c r="B509" t="str">
        <f>IF('الصرف المباشر'!C9="","","صرف مباشر")</f>
        <v/>
      </c>
      <c r="C509" t="str">
        <f>IF('الصرف المباشر'!C9="","",IF('الصرف المباشر'!E9="","-",'الصرف المباشر'!E9))</f>
        <v/>
      </c>
      <c r="D509" t="str">
        <f>IF('الصرف المباشر'!C9="","",'الصرف المباشر'!C9)</f>
        <v/>
      </c>
      <c r="E509" s="24" t="str">
        <f>IF('الصرف المباشر'!C9="","",-'الصرف المباشر'!D9)</f>
        <v/>
      </c>
      <c r="F509" t="str">
        <f>IF('الصرف المباشر'!C9="","",IF('الصرف المباشر'!F9="","",'الصرف المباشر'!F9))</f>
        <v/>
      </c>
      <c r="G509" t="str">
        <f>IF($B509&lt;&gt;"",SUMPRODUCT(($B$2:$B509&lt;&gt;"")*1),"")</f>
        <v/>
      </c>
    </row>
    <row r="510" spans="1:7">
      <c r="A510" s="23" t="str">
        <f>IF('الصرف المباشر'!C10="","",'الصرف المباشر'!B10)</f>
        <v/>
      </c>
      <c r="B510" t="str">
        <f>IF('الصرف المباشر'!C10="","","صرف مباشر")</f>
        <v/>
      </c>
      <c r="C510" t="str">
        <f>IF('الصرف المباشر'!C10="","",IF('الصرف المباشر'!E10="","-",'الصرف المباشر'!E10))</f>
        <v/>
      </c>
      <c r="D510" t="str">
        <f>IF('الصرف المباشر'!C10="","",'الصرف المباشر'!C10)</f>
        <v/>
      </c>
      <c r="E510" s="24" t="str">
        <f>IF('الصرف المباشر'!C10="","",-'الصرف المباشر'!D10)</f>
        <v/>
      </c>
      <c r="F510" t="str">
        <f>IF('الصرف المباشر'!C10="","",IF('الصرف المباشر'!F10="","",'الصرف المباشر'!F10))</f>
        <v/>
      </c>
      <c r="G510" t="str">
        <f>IF($B510&lt;&gt;"",SUMPRODUCT(($B$2:$B510&lt;&gt;"")*1),"")</f>
        <v/>
      </c>
    </row>
    <row r="511" spans="1:7">
      <c r="A511" s="23" t="str">
        <f>IF('الصرف المباشر'!C11="","",'الصرف المباشر'!B11)</f>
        <v/>
      </c>
      <c r="B511" t="str">
        <f>IF('الصرف المباشر'!C11="","","صرف مباشر")</f>
        <v/>
      </c>
      <c r="C511" t="str">
        <f>IF('الصرف المباشر'!C11="","",IF('الصرف المباشر'!E11="","-",'الصرف المباشر'!E11))</f>
        <v/>
      </c>
      <c r="D511" t="str">
        <f>IF('الصرف المباشر'!C11="","",'الصرف المباشر'!C11)</f>
        <v/>
      </c>
      <c r="E511" s="24" t="str">
        <f>IF('الصرف المباشر'!C11="","",-'الصرف المباشر'!D11)</f>
        <v/>
      </c>
      <c r="F511" t="str">
        <f>IF('الصرف المباشر'!C11="","",IF('الصرف المباشر'!F11="","",'الصرف المباشر'!F11))</f>
        <v/>
      </c>
      <c r="G511" t="str">
        <f>IF($B511&lt;&gt;"",SUMPRODUCT(($B$2:$B511&lt;&gt;"")*1),"")</f>
        <v/>
      </c>
    </row>
    <row r="512" spans="1:7">
      <c r="A512" s="23" t="str">
        <f>IF('الصرف المباشر'!C12="","",'الصرف المباشر'!B12)</f>
        <v/>
      </c>
      <c r="B512" t="str">
        <f>IF('الصرف المباشر'!C12="","","صرف مباشر")</f>
        <v/>
      </c>
      <c r="C512" t="str">
        <f>IF('الصرف المباشر'!C12="","",IF('الصرف المباشر'!E12="","-",'الصرف المباشر'!E12))</f>
        <v/>
      </c>
      <c r="D512" t="str">
        <f>IF('الصرف المباشر'!C12="","",'الصرف المباشر'!C12)</f>
        <v/>
      </c>
      <c r="E512" s="24" t="str">
        <f>IF('الصرف المباشر'!C12="","",-'الصرف المباشر'!D12)</f>
        <v/>
      </c>
      <c r="F512" t="str">
        <f>IF('الصرف المباشر'!C12="","",IF('الصرف المباشر'!F12="","",'الصرف المباشر'!F12))</f>
        <v/>
      </c>
      <c r="G512" t="str">
        <f>IF($B512&lt;&gt;"",SUMPRODUCT(($B$2:$B512&lt;&gt;"")*1),"")</f>
        <v/>
      </c>
    </row>
    <row r="513" spans="1:7">
      <c r="A513" s="23" t="str">
        <f>IF('الصرف المباشر'!C13="","",'الصرف المباشر'!B13)</f>
        <v/>
      </c>
      <c r="B513" t="str">
        <f>IF('الصرف المباشر'!C13="","","صرف مباشر")</f>
        <v/>
      </c>
      <c r="C513" t="str">
        <f>IF('الصرف المباشر'!C13="","",IF('الصرف المباشر'!E13="","-",'الصرف المباشر'!E13))</f>
        <v/>
      </c>
      <c r="D513" t="str">
        <f>IF('الصرف المباشر'!C13="","",'الصرف المباشر'!C13)</f>
        <v/>
      </c>
      <c r="E513" s="24" t="str">
        <f>IF('الصرف المباشر'!C13="","",-'الصرف المباشر'!D13)</f>
        <v/>
      </c>
      <c r="F513" t="str">
        <f>IF('الصرف المباشر'!C13="","",IF('الصرف المباشر'!F13="","",'الصرف المباشر'!F13))</f>
        <v/>
      </c>
      <c r="G513" t="str">
        <f>IF($B513&lt;&gt;"",SUMPRODUCT(($B$2:$B513&lt;&gt;"")*1),"")</f>
        <v/>
      </c>
    </row>
    <row r="514" spans="1:7">
      <c r="A514" s="23" t="str">
        <f>IF('الصرف المباشر'!C14="","",'الصرف المباشر'!B14)</f>
        <v/>
      </c>
      <c r="B514" t="str">
        <f>IF('الصرف المباشر'!C14="","","صرف مباشر")</f>
        <v/>
      </c>
      <c r="C514" t="str">
        <f>IF('الصرف المباشر'!C14="","",IF('الصرف المباشر'!E14="","-",'الصرف المباشر'!E14))</f>
        <v/>
      </c>
      <c r="D514" t="str">
        <f>IF('الصرف المباشر'!C14="","",'الصرف المباشر'!C14)</f>
        <v/>
      </c>
      <c r="E514" s="24" t="str">
        <f>IF('الصرف المباشر'!C14="","",-'الصرف المباشر'!D14)</f>
        <v/>
      </c>
      <c r="F514" t="str">
        <f>IF('الصرف المباشر'!C14="","",IF('الصرف المباشر'!F14="","",'الصرف المباشر'!F14))</f>
        <v/>
      </c>
      <c r="G514" t="str">
        <f>IF($B514&lt;&gt;"",SUMPRODUCT(($B$2:$B514&lt;&gt;"")*1),"")</f>
        <v/>
      </c>
    </row>
    <row r="515" spans="1:7">
      <c r="A515" s="23" t="str">
        <f>IF('الصرف المباشر'!C15="","",'الصرف المباشر'!B15)</f>
        <v/>
      </c>
      <c r="B515" t="str">
        <f>IF('الصرف المباشر'!C15="","","صرف مباشر")</f>
        <v/>
      </c>
      <c r="C515" t="str">
        <f>IF('الصرف المباشر'!C15="","",IF('الصرف المباشر'!E15="","-",'الصرف المباشر'!E15))</f>
        <v/>
      </c>
      <c r="D515" t="str">
        <f>IF('الصرف المباشر'!C15="","",'الصرف المباشر'!C15)</f>
        <v/>
      </c>
      <c r="E515" s="24" t="str">
        <f>IF('الصرف المباشر'!C15="","",-'الصرف المباشر'!D15)</f>
        <v/>
      </c>
      <c r="F515" t="str">
        <f>IF('الصرف المباشر'!C15="","",IF('الصرف المباشر'!F15="","",'الصرف المباشر'!F15))</f>
        <v/>
      </c>
      <c r="G515" t="str">
        <f>IF($B515&lt;&gt;"",SUMPRODUCT(($B$2:$B515&lt;&gt;"")*1),"")</f>
        <v/>
      </c>
    </row>
    <row r="516" spans="1:7">
      <c r="A516" s="23" t="str">
        <f>IF('الصرف المباشر'!C16="","",'الصرف المباشر'!B16)</f>
        <v/>
      </c>
      <c r="B516" t="str">
        <f>IF('الصرف المباشر'!C16="","","صرف مباشر")</f>
        <v/>
      </c>
      <c r="C516" t="str">
        <f>IF('الصرف المباشر'!C16="","",IF('الصرف المباشر'!E16="","-",'الصرف المباشر'!E16))</f>
        <v/>
      </c>
      <c r="D516" t="str">
        <f>IF('الصرف المباشر'!C16="","",'الصرف المباشر'!C16)</f>
        <v/>
      </c>
      <c r="E516" s="24" t="str">
        <f>IF('الصرف المباشر'!C16="","",-'الصرف المباشر'!D16)</f>
        <v/>
      </c>
      <c r="F516" t="str">
        <f>IF('الصرف المباشر'!C16="","",IF('الصرف المباشر'!F16="","",'الصرف المباشر'!F16))</f>
        <v/>
      </c>
      <c r="G516" t="str">
        <f>IF($B516&lt;&gt;"",SUMPRODUCT(($B$2:$B516&lt;&gt;"")*1),"")</f>
        <v/>
      </c>
    </row>
    <row r="517" spans="1:7">
      <c r="A517" s="23" t="str">
        <f>IF('الصرف المباشر'!C17="","",'الصرف المباشر'!B17)</f>
        <v/>
      </c>
      <c r="B517" t="str">
        <f>IF('الصرف المباشر'!C17="","","صرف مباشر")</f>
        <v/>
      </c>
      <c r="C517" t="str">
        <f>IF('الصرف المباشر'!C17="","",IF('الصرف المباشر'!E17="","-",'الصرف المباشر'!E17))</f>
        <v/>
      </c>
      <c r="D517" t="str">
        <f>IF('الصرف المباشر'!C17="","",'الصرف المباشر'!C17)</f>
        <v/>
      </c>
      <c r="E517" s="24" t="str">
        <f>IF('الصرف المباشر'!C17="","",-'الصرف المباشر'!D17)</f>
        <v/>
      </c>
      <c r="F517" t="str">
        <f>IF('الصرف المباشر'!C17="","",IF('الصرف المباشر'!F17="","",'الصرف المباشر'!F17))</f>
        <v/>
      </c>
      <c r="G517" t="str">
        <f>IF($B517&lt;&gt;"",SUMPRODUCT(($B$2:$B517&lt;&gt;"")*1),"")</f>
        <v/>
      </c>
    </row>
    <row r="518" spans="1:7">
      <c r="A518" s="23" t="str">
        <f>IF('الصرف المباشر'!C18="","",'الصرف المباشر'!B18)</f>
        <v/>
      </c>
      <c r="B518" t="str">
        <f>IF('الصرف المباشر'!C18="","","صرف مباشر")</f>
        <v/>
      </c>
      <c r="C518" t="str">
        <f>IF('الصرف المباشر'!C18="","",IF('الصرف المباشر'!E18="","-",'الصرف المباشر'!E18))</f>
        <v/>
      </c>
      <c r="D518" t="str">
        <f>IF('الصرف المباشر'!C18="","",'الصرف المباشر'!C18)</f>
        <v/>
      </c>
      <c r="E518" s="24" t="str">
        <f>IF('الصرف المباشر'!C18="","",-'الصرف المباشر'!D18)</f>
        <v/>
      </c>
      <c r="F518" t="str">
        <f>IF('الصرف المباشر'!C18="","",IF('الصرف المباشر'!F18="","",'الصرف المباشر'!F18))</f>
        <v/>
      </c>
      <c r="G518" t="str">
        <f>IF($B518&lt;&gt;"",SUMPRODUCT(($B$2:$B518&lt;&gt;"")*1),"")</f>
        <v/>
      </c>
    </row>
    <row r="519" spans="1:7">
      <c r="A519" s="23" t="str">
        <f>IF('الصرف المباشر'!C19="","",'الصرف المباشر'!B19)</f>
        <v/>
      </c>
      <c r="B519" t="str">
        <f>IF('الصرف المباشر'!C19="","","صرف مباشر")</f>
        <v/>
      </c>
      <c r="C519" t="str">
        <f>IF('الصرف المباشر'!C19="","",IF('الصرف المباشر'!E19="","-",'الصرف المباشر'!E19))</f>
        <v/>
      </c>
      <c r="D519" t="str">
        <f>IF('الصرف المباشر'!C19="","",'الصرف المباشر'!C19)</f>
        <v/>
      </c>
      <c r="E519" s="24" t="str">
        <f>IF('الصرف المباشر'!C19="","",-'الصرف المباشر'!D19)</f>
        <v/>
      </c>
      <c r="F519" t="str">
        <f>IF('الصرف المباشر'!C19="","",IF('الصرف المباشر'!F19="","",'الصرف المباشر'!F19))</f>
        <v/>
      </c>
      <c r="G519" t="str">
        <f>IF($B519&lt;&gt;"",SUMPRODUCT(($B$2:$B519&lt;&gt;"")*1),"")</f>
        <v/>
      </c>
    </row>
    <row r="520" spans="1:7">
      <c r="A520" s="23" t="str">
        <f>IF('الصرف المباشر'!C20="","",'الصرف المباشر'!B20)</f>
        <v/>
      </c>
      <c r="B520" t="str">
        <f>IF('الصرف المباشر'!C20="","","صرف مباشر")</f>
        <v/>
      </c>
      <c r="C520" t="str">
        <f>IF('الصرف المباشر'!C20="","",IF('الصرف المباشر'!E20="","-",'الصرف المباشر'!E20))</f>
        <v/>
      </c>
      <c r="D520" t="str">
        <f>IF('الصرف المباشر'!C20="","",'الصرف المباشر'!C20)</f>
        <v/>
      </c>
      <c r="E520" s="24" t="str">
        <f>IF('الصرف المباشر'!C20="","",-'الصرف المباشر'!D20)</f>
        <v/>
      </c>
      <c r="F520" t="str">
        <f>IF('الصرف المباشر'!C20="","",IF('الصرف المباشر'!F20="","",'الصرف المباشر'!F20))</f>
        <v/>
      </c>
      <c r="G520" t="str">
        <f>IF($B520&lt;&gt;"",SUMPRODUCT(($B$2:$B520&lt;&gt;"")*1),"")</f>
        <v/>
      </c>
    </row>
    <row r="521" spans="1:7">
      <c r="A521" s="23" t="str">
        <f>IF('الصرف المباشر'!C21="","",'الصرف المباشر'!B21)</f>
        <v/>
      </c>
      <c r="B521" t="str">
        <f>IF('الصرف المباشر'!C21="","","صرف مباشر")</f>
        <v/>
      </c>
      <c r="C521" t="str">
        <f>IF('الصرف المباشر'!C21="","",IF('الصرف المباشر'!E21="","-",'الصرف المباشر'!E21))</f>
        <v/>
      </c>
      <c r="D521" t="str">
        <f>IF('الصرف المباشر'!C21="","",'الصرف المباشر'!C21)</f>
        <v/>
      </c>
      <c r="E521" s="24" t="str">
        <f>IF('الصرف المباشر'!C21="","",-'الصرف المباشر'!D21)</f>
        <v/>
      </c>
      <c r="F521" t="str">
        <f>IF('الصرف المباشر'!C21="","",IF('الصرف المباشر'!F21="","",'الصرف المباشر'!F21))</f>
        <v/>
      </c>
      <c r="G521" t="str">
        <f>IF($B521&lt;&gt;"",SUMPRODUCT(($B$2:$B521&lt;&gt;"")*1),"")</f>
        <v/>
      </c>
    </row>
    <row r="522" spans="1:7">
      <c r="A522" s="23" t="str">
        <f>IF('الصرف المباشر'!C22="","",'الصرف المباشر'!B22)</f>
        <v/>
      </c>
      <c r="B522" t="str">
        <f>IF('الصرف المباشر'!C22="","","صرف مباشر")</f>
        <v/>
      </c>
      <c r="C522" t="str">
        <f>IF('الصرف المباشر'!C22="","",IF('الصرف المباشر'!E22="","-",'الصرف المباشر'!E22))</f>
        <v/>
      </c>
      <c r="D522" t="str">
        <f>IF('الصرف المباشر'!C22="","",'الصرف المباشر'!C22)</f>
        <v/>
      </c>
      <c r="E522" s="24" t="str">
        <f>IF('الصرف المباشر'!C22="","",-'الصرف المباشر'!D22)</f>
        <v/>
      </c>
      <c r="F522" t="str">
        <f>IF('الصرف المباشر'!C22="","",IF('الصرف المباشر'!F22="","",'الصرف المباشر'!F22))</f>
        <v/>
      </c>
      <c r="G522" t="str">
        <f>IF($B522&lt;&gt;"",SUMPRODUCT(($B$2:$B522&lt;&gt;"")*1),"")</f>
        <v/>
      </c>
    </row>
    <row r="523" spans="1:7">
      <c r="A523" s="23" t="str">
        <f>IF('الصرف المباشر'!C23="","",'الصرف المباشر'!B23)</f>
        <v/>
      </c>
      <c r="B523" t="str">
        <f>IF('الصرف المباشر'!C23="","","صرف مباشر")</f>
        <v/>
      </c>
      <c r="C523" t="str">
        <f>IF('الصرف المباشر'!C23="","",IF('الصرف المباشر'!E23="","-",'الصرف المباشر'!E23))</f>
        <v/>
      </c>
      <c r="D523" t="str">
        <f>IF('الصرف المباشر'!C23="","",'الصرف المباشر'!C23)</f>
        <v/>
      </c>
      <c r="E523" s="24" t="str">
        <f>IF('الصرف المباشر'!C23="","",-'الصرف المباشر'!D23)</f>
        <v/>
      </c>
      <c r="F523" t="str">
        <f>IF('الصرف المباشر'!C23="","",IF('الصرف المباشر'!F23="","",'الصرف المباشر'!F23))</f>
        <v/>
      </c>
      <c r="G523" t="str">
        <f>IF($B523&lt;&gt;"",SUMPRODUCT(($B$2:$B523&lt;&gt;"")*1),"")</f>
        <v/>
      </c>
    </row>
    <row r="524" spans="1:7">
      <c r="A524" s="23" t="str">
        <f>IF('الصرف المباشر'!C24="","",'الصرف المباشر'!B24)</f>
        <v/>
      </c>
      <c r="B524" t="str">
        <f>IF('الصرف المباشر'!C24="","","صرف مباشر")</f>
        <v/>
      </c>
      <c r="C524" t="str">
        <f>IF('الصرف المباشر'!C24="","",IF('الصرف المباشر'!E24="","-",'الصرف المباشر'!E24))</f>
        <v/>
      </c>
      <c r="D524" t="str">
        <f>IF('الصرف المباشر'!C24="","",'الصرف المباشر'!C24)</f>
        <v/>
      </c>
      <c r="E524" s="24" t="str">
        <f>IF('الصرف المباشر'!C24="","",-'الصرف المباشر'!D24)</f>
        <v/>
      </c>
      <c r="F524" t="str">
        <f>IF('الصرف المباشر'!C24="","",IF('الصرف المباشر'!F24="","",'الصرف المباشر'!F24))</f>
        <v/>
      </c>
      <c r="G524" t="str">
        <f>IF($B524&lt;&gt;"",SUMPRODUCT(($B$2:$B524&lt;&gt;"")*1),"")</f>
        <v/>
      </c>
    </row>
    <row r="525" spans="1:7">
      <c r="A525" s="23" t="str">
        <f>IF('الصرف المباشر'!C25="","",'الصرف المباشر'!B25)</f>
        <v/>
      </c>
      <c r="B525" t="str">
        <f>IF('الصرف المباشر'!C25="","","صرف مباشر")</f>
        <v/>
      </c>
      <c r="C525" t="str">
        <f>IF('الصرف المباشر'!C25="","",IF('الصرف المباشر'!E25="","-",'الصرف المباشر'!E25))</f>
        <v/>
      </c>
      <c r="D525" t="str">
        <f>IF('الصرف المباشر'!C25="","",'الصرف المباشر'!C25)</f>
        <v/>
      </c>
      <c r="E525" s="24" t="str">
        <f>IF('الصرف المباشر'!C25="","",-'الصرف المباشر'!D25)</f>
        <v/>
      </c>
      <c r="F525" t="str">
        <f>IF('الصرف المباشر'!C25="","",IF('الصرف المباشر'!F25="","",'الصرف المباشر'!F25))</f>
        <v/>
      </c>
      <c r="G525" t="str">
        <f>IF($B525&lt;&gt;"",SUMPRODUCT(($B$2:$B525&lt;&gt;"")*1),"")</f>
        <v/>
      </c>
    </row>
    <row r="526" spans="1:7">
      <c r="A526" s="23" t="str">
        <f>IF('الصرف المباشر'!C26="","",'الصرف المباشر'!B26)</f>
        <v/>
      </c>
      <c r="B526" t="str">
        <f>IF('الصرف المباشر'!C26="","","صرف مباشر")</f>
        <v/>
      </c>
      <c r="C526" t="str">
        <f>IF('الصرف المباشر'!C26="","",IF('الصرف المباشر'!E26="","-",'الصرف المباشر'!E26))</f>
        <v/>
      </c>
      <c r="D526" t="str">
        <f>IF('الصرف المباشر'!C26="","",'الصرف المباشر'!C26)</f>
        <v/>
      </c>
      <c r="E526" s="24" t="str">
        <f>IF('الصرف المباشر'!C26="","",-'الصرف المباشر'!D26)</f>
        <v/>
      </c>
      <c r="F526" t="str">
        <f>IF('الصرف المباشر'!C26="","",IF('الصرف المباشر'!F26="","",'الصرف المباشر'!F26))</f>
        <v/>
      </c>
      <c r="G526" t="str">
        <f>IF($B526&lt;&gt;"",SUMPRODUCT(($B$2:$B526&lt;&gt;"")*1),"")</f>
        <v/>
      </c>
    </row>
    <row r="527" spans="1:7">
      <c r="A527" s="23" t="str">
        <f>IF('الصرف المباشر'!C27="","",'الصرف المباشر'!B27)</f>
        <v/>
      </c>
      <c r="B527" t="str">
        <f>IF('الصرف المباشر'!C27="","","صرف مباشر")</f>
        <v/>
      </c>
      <c r="C527" t="str">
        <f>IF('الصرف المباشر'!C27="","",IF('الصرف المباشر'!E27="","-",'الصرف المباشر'!E27))</f>
        <v/>
      </c>
      <c r="D527" t="str">
        <f>IF('الصرف المباشر'!C27="","",'الصرف المباشر'!C27)</f>
        <v/>
      </c>
      <c r="E527" s="24" t="str">
        <f>IF('الصرف المباشر'!C27="","",-'الصرف المباشر'!D27)</f>
        <v/>
      </c>
      <c r="F527" t="str">
        <f>IF('الصرف المباشر'!C27="","",IF('الصرف المباشر'!F27="","",'الصرف المباشر'!F27))</f>
        <v/>
      </c>
      <c r="G527" t="str">
        <f>IF($B527&lt;&gt;"",SUMPRODUCT(($B$2:$B527&lt;&gt;"")*1),"")</f>
        <v/>
      </c>
    </row>
    <row r="528" spans="1:7">
      <c r="A528" s="23" t="str">
        <f>IF('الصرف المباشر'!C28="","",'الصرف المباشر'!B28)</f>
        <v/>
      </c>
      <c r="B528" t="str">
        <f>IF('الصرف المباشر'!C28="","","صرف مباشر")</f>
        <v/>
      </c>
      <c r="C528" t="str">
        <f>IF('الصرف المباشر'!C28="","",IF('الصرف المباشر'!E28="","-",'الصرف المباشر'!E28))</f>
        <v/>
      </c>
      <c r="D528" t="str">
        <f>IF('الصرف المباشر'!C28="","",'الصرف المباشر'!C28)</f>
        <v/>
      </c>
      <c r="E528" s="24" t="str">
        <f>IF('الصرف المباشر'!C28="","",-'الصرف المباشر'!D28)</f>
        <v/>
      </c>
      <c r="F528" t="str">
        <f>IF('الصرف المباشر'!C28="","",IF('الصرف المباشر'!F28="","",'الصرف المباشر'!F28))</f>
        <v/>
      </c>
      <c r="G528" t="str">
        <f>IF($B528&lt;&gt;"",SUMPRODUCT(($B$2:$B528&lt;&gt;"")*1),"")</f>
        <v/>
      </c>
    </row>
    <row r="529" spans="1:7">
      <c r="A529" s="23" t="str">
        <f>IF('الصرف المباشر'!C29="","",'الصرف المباشر'!B29)</f>
        <v/>
      </c>
      <c r="B529" t="str">
        <f>IF('الصرف المباشر'!C29="","","صرف مباشر")</f>
        <v/>
      </c>
      <c r="C529" t="str">
        <f>IF('الصرف المباشر'!C29="","",IF('الصرف المباشر'!E29="","-",'الصرف المباشر'!E29))</f>
        <v/>
      </c>
      <c r="D529" t="str">
        <f>IF('الصرف المباشر'!C29="","",'الصرف المباشر'!C29)</f>
        <v/>
      </c>
      <c r="E529" s="24" t="str">
        <f>IF('الصرف المباشر'!C29="","",-'الصرف المباشر'!D29)</f>
        <v/>
      </c>
      <c r="F529" t="str">
        <f>IF('الصرف المباشر'!C29="","",IF('الصرف المباشر'!F29="","",'الصرف المباشر'!F29))</f>
        <v/>
      </c>
      <c r="G529" t="str">
        <f>IF($B529&lt;&gt;"",SUMPRODUCT(($B$2:$B529&lt;&gt;"")*1),"")</f>
        <v/>
      </c>
    </row>
    <row r="530" spans="1:7">
      <c r="A530" s="23" t="str">
        <f>IF('الصرف المباشر'!C30="","",'الصرف المباشر'!B30)</f>
        <v/>
      </c>
      <c r="B530" t="str">
        <f>IF('الصرف المباشر'!C30="","","صرف مباشر")</f>
        <v/>
      </c>
      <c r="C530" t="str">
        <f>IF('الصرف المباشر'!C30="","",IF('الصرف المباشر'!E30="","-",'الصرف المباشر'!E30))</f>
        <v/>
      </c>
      <c r="D530" t="str">
        <f>IF('الصرف المباشر'!C30="","",'الصرف المباشر'!C30)</f>
        <v/>
      </c>
      <c r="E530" s="24" t="str">
        <f>IF('الصرف المباشر'!C30="","",-'الصرف المباشر'!D30)</f>
        <v/>
      </c>
      <c r="F530" t="str">
        <f>IF('الصرف المباشر'!C30="","",IF('الصرف المباشر'!F30="","",'الصرف المباشر'!F30))</f>
        <v/>
      </c>
      <c r="G530" t="str">
        <f>IF($B530&lt;&gt;"",SUMPRODUCT(($B$2:$B530&lt;&gt;"")*1),"")</f>
        <v/>
      </c>
    </row>
    <row r="531" spans="1:7">
      <c r="A531" s="23" t="str">
        <f>IF('الصرف المباشر'!C31="","",'الصرف المباشر'!B31)</f>
        <v/>
      </c>
      <c r="B531" t="str">
        <f>IF('الصرف المباشر'!C31="","","صرف مباشر")</f>
        <v/>
      </c>
      <c r="C531" t="str">
        <f>IF('الصرف المباشر'!C31="","",IF('الصرف المباشر'!E31="","-",'الصرف المباشر'!E31))</f>
        <v/>
      </c>
      <c r="D531" t="str">
        <f>IF('الصرف المباشر'!C31="","",'الصرف المباشر'!C31)</f>
        <v/>
      </c>
      <c r="E531" s="24" t="str">
        <f>IF('الصرف المباشر'!C31="","",-'الصرف المباشر'!D31)</f>
        <v/>
      </c>
      <c r="F531" t="str">
        <f>IF('الصرف المباشر'!C31="","",IF('الصرف المباشر'!F31="","",'الصرف المباشر'!F31))</f>
        <v/>
      </c>
      <c r="G531" t="str">
        <f>IF($B531&lt;&gt;"",SUMPRODUCT(($B$2:$B531&lt;&gt;"")*1),"")</f>
        <v/>
      </c>
    </row>
    <row r="532" spans="1:7">
      <c r="A532" s="23" t="str">
        <f>IF('الصرف المباشر'!C32="","",'الصرف المباشر'!B32)</f>
        <v/>
      </c>
      <c r="B532" t="str">
        <f>IF('الصرف المباشر'!C32="","","صرف مباشر")</f>
        <v/>
      </c>
      <c r="C532" t="str">
        <f>IF('الصرف المباشر'!C32="","",IF('الصرف المباشر'!E32="","-",'الصرف المباشر'!E32))</f>
        <v/>
      </c>
      <c r="D532" t="str">
        <f>IF('الصرف المباشر'!C32="","",'الصرف المباشر'!C32)</f>
        <v/>
      </c>
      <c r="E532" s="24" t="str">
        <f>IF('الصرف المباشر'!C32="","",-'الصرف المباشر'!D32)</f>
        <v/>
      </c>
      <c r="F532" t="str">
        <f>IF('الصرف المباشر'!C32="","",IF('الصرف المباشر'!F32="","",'الصرف المباشر'!F32))</f>
        <v/>
      </c>
      <c r="G532" t="str">
        <f>IF($B532&lt;&gt;"",SUMPRODUCT(($B$2:$B532&lt;&gt;"")*1),"")</f>
        <v/>
      </c>
    </row>
    <row r="533" spans="1:7">
      <c r="A533" s="23" t="str">
        <f>IF('الصرف المباشر'!C33="","",'الصرف المباشر'!B33)</f>
        <v/>
      </c>
      <c r="B533" t="str">
        <f>IF('الصرف المباشر'!C33="","","صرف مباشر")</f>
        <v/>
      </c>
      <c r="C533" t="str">
        <f>IF('الصرف المباشر'!C33="","",IF('الصرف المباشر'!E33="","-",'الصرف المباشر'!E33))</f>
        <v/>
      </c>
      <c r="D533" t="str">
        <f>IF('الصرف المباشر'!C33="","",'الصرف المباشر'!C33)</f>
        <v/>
      </c>
      <c r="E533" s="24" t="str">
        <f>IF('الصرف المباشر'!C33="","",-'الصرف المباشر'!D33)</f>
        <v/>
      </c>
      <c r="F533" t="str">
        <f>IF('الصرف المباشر'!C33="","",IF('الصرف المباشر'!F33="","",'الصرف المباشر'!F33))</f>
        <v/>
      </c>
      <c r="G533" t="str">
        <f>IF($B533&lt;&gt;"",SUMPRODUCT(($B$2:$B533&lt;&gt;"")*1),"")</f>
        <v/>
      </c>
    </row>
    <row r="534" spans="1:7">
      <c r="A534" s="23" t="str">
        <f>IF('الصرف المباشر'!C34="","",'الصرف المباشر'!B34)</f>
        <v/>
      </c>
      <c r="B534" t="str">
        <f>IF('الصرف المباشر'!C34="","","صرف مباشر")</f>
        <v/>
      </c>
      <c r="C534" t="str">
        <f>IF('الصرف المباشر'!C34="","",IF('الصرف المباشر'!E34="","-",'الصرف المباشر'!E34))</f>
        <v/>
      </c>
      <c r="D534" t="str">
        <f>IF('الصرف المباشر'!C34="","",'الصرف المباشر'!C34)</f>
        <v/>
      </c>
      <c r="E534" s="24" t="str">
        <f>IF('الصرف المباشر'!C34="","",-'الصرف المباشر'!D34)</f>
        <v/>
      </c>
      <c r="F534" t="str">
        <f>IF('الصرف المباشر'!C34="","",IF('الصرف المباشر'!F34="","",'الصرف المباشر'!F34))</f>
        <v/>
      </c>
      <c r="G534" t="str">
        <f>IF($B534&lt;&gt;"",SUMPRODUCT(($B$2:$B534&lt;&gt;"")*1),"")</f>
        <v/>
      </c>
    </row>
    <row r="535" spans="1:7">
      <c r="A535" s="23" t="str">
        <f>IF('الصرف المباشر'!C35="","",'الصرف المباشر'!B35)</f>
        <v/>
      </c>
      <c r="B535" t="str">
        <f>IF('الصرف المباشر'!C35="","","صرف مباشر")</f>
        <v/>
      </c>
      <c r="C535" t="str">
        <f>IF('الصرف المباشر'!C35="","",IF('الصرف المباشر'!E35="","-",'الصرف المباشر'!E35))</f>
        <v/>
      </c>
      <c r="D535" t="str">
        <f>IF('الصرف المباشر'!C35="","",'الصرف المباشر'!C35)</f>
        <v/>
      </c>
      <c r="E535" s="24" t="str">
        <f>IF('الصرف المباشر'!C35="","",-'الصرف المباشر'!D35)</f>
        <v/>
      </c>
      <c r="F535" t="str">
        <f>IF('الصرف المباشر'!C35="","",IF('الصرف المباشر'!F35="","",'الصرف المباشر'!F35))</f>
        <v/>
      </c>
      <c r="G535" t="str">
        <f>IF($B535&lt;&gt;"",SUMPRODUCT(($B$2:$B535&lt;&gt;"")*1),"")</f>
        <v/>
      </c>
    </row>
    <row r="536" spans="1:7">
      <c r="A536" s="23" t="str">
        <f>IF('الصرف المباشر'!C36="","",'الصرف المباشر'!B36)</f>
        <v/>
      </c>
      <c r="B536" t="str">
        <f>IF('الصرف المباشر'!C36="","","صرف مباشر")</f>
        <v/>
      </c>
      <c r="C536" t="str">
        <f>IF('الصرف المباشر'!C36="","",IF('الصرف المباشر'!E36="","-",'الصرف المباشر'!E36))</f>
        <v/>
      </c>
      <c r="D536" t="str">
        <f>IF('الصرف المباشر'!C36="","",'الصرف المباشر'!C36)</f>
        <v/>
      </c>
      <c r="E536" s="24" t="str">
        <f>IF('الصرف المباشر'!C36="","",-'الصرف المباشر'!D36)</f>
        <v/>
      </c>
      <c r="F536" t="str">
        <f>IF('الصرف المباشر'!C36="","",IF('الصرف المباشر'!F36="","",'الصرف المباشر'!F36))</f>
        <v/>
      </c>
      <c r="G536" t="str">
        <f>IF($B536&lt;&gt;"",SUMPRODUCT(($B$2:$B536&lt;&gt;"")*1),"")</f>
        <v/>
      </c>
    </row>
    <row r="537" spans="1:7">
      <c r="A537" s="23" t="str">
        <f>IF('الصرف المباشر'!C37="","",'الصرف المباشر'!B37)</f>
        <v/>
      </c>
      <c r="B537" t="str">
        <f>IF('الصرف المباشر'!C37="","","صرف مباشر")</f>
        <v/>
      </c>
      <c r="C537" t="str">
        <f>IF('الصرف المباشر'!C37="","",IF('الصرف المباشر'!E37="","-",'الصرف المباشر'!E37))</f>
        <v/>
      </c>
      <c r="D537" t="str">
        <f>IF('الصرف المباشر'!C37="","",'الصرف المباشر'!C37)</f>
        <v/>
      </c>
      <c r="E537" s="24" t="str">
        <f>IF('الصرف المباشر'!C37="","",-'الصرف المباشر'!D37)</f>
        <v/>
      </c>
      <c r="F537" t="str">
        <f>IF('الصرف المباشر'!C37="","",IF('الصرف المباشر'!F37="","",'الصرف المباشر'!F37))</f>
        <v/>
      </c>
      <c r="G537" t="str">
        <f>IF($B537&lt;&gt;"",SUMPRODUCT(($B$2:$B537&lt;&gt;"")*1),"")</f>
        <v/>
      </c>
    </row>
    <row r="538" spans="1:7">
      <c r="A538" s="23" t="str">
        <f>IF('الصرف المباشر'!C38="","",'الصرف المباشر'!B38)</f>
        <v/>
      </c>
      <c r="B538" t="str">
        <f>IF('الصرف المباشر'!C38="","","صرف مباشر")</f>
        <v/>
      </c>
      <c r="C538" t="str">
        <f>IF('الصرف المباشر'!C38="","",IF('الصرف المباشر'!E38="","-",'الصرف المباشر'!E38))</f>
        <v/>
      </c>
      <c r="D538" t="str">
        <f>IF('الصرف المباشر'!C38="","",'الصرف المباشر'!C38)</f>
        <v/>
      </c>
      <c r="E538" s="24" t="str">
        <f>IF('الصرف المباشر'!C38="","",-'الصرف المباشر'!D38)</f>
        <v/>
      </c>
      <c r="F538" t="str">
        <f>IF('الصرف المباشر'!C38="","",IF('الصرف المباشر'!F38="","",'الصرف المباشر'!F38))</f>
        <v/>
      </c>
      <c r="G538" t="str">
        <f>IF($B538&lt;&gt;"",SUMPRODUCT(($B$2:$B538&lt;&gt;"")*1),"")</f>
        <v/>
      </c>
    </row>
    <row r="539" spans="1:7">
      <c r="A539" s="23" t="str">
        <f>IF('الصرف المباشر'!C39="","",'الصرف المباشر'!B39)</f>
        <v/>
      </c>
      <c r="B539" t="str">
        <f>IF('الصرف المباشر'!C39="","","صرف مباشر")</f>
        <v/>
      </c>
      <c r="C539" t="str">
        <f>IF('الصرف المباشر'!C39="","",IF('الصرف المباشر'!E39="","-",'الصرف المباشر'!E39))</f>
        <v/>
      </c>
      <c r="D539" t="str">
        <f>IF('الصرف المباشر'!C39="","",'الصرف المباشر'!C39)</f>
        <v/>
      </c>
      <c r="E539" s="24" t="str">
        <f>IF('الصرف المباشر'!C39="","",-'الصرف المباشر'!D39)</f>
        <v/>
      </c>
      <c r="F539" t="str">
        <f>IF('الصرف المباشر'!C39="","",IF('الصرف المباشر'!F39="","",'الصرف المباشر'!F39))</f>
        <v/>
      </c>
      <c r="G539" t="str">
        <f>IF($B539&lt;&gt;"",SUMPRODUCT(($B$2:$B539&lt;&gt;"")*1),"")</f>
        <v/>
      </c>
    </row>
    <row r="540" spans="1:7">
      <c r="A540" s="23" t="str">
        <f>IF('الصرف المباشر'!C40="","",'الصرف المباشر'!B40)</f>
        <v/>
      </c>
      <c r="B540" t="str">
        <f>IF('الصرف المباشر'!C40="","","صرف مباشر")</f>
        <v/>
      </c>
      <c r="C540" t="str">
        <f>IF('الصرف المباشر'!C40="","",IF('الصرف المباشر'!E40="","-",'الصرف المباشر'!E40))</f>
        <v/>
      </c>
      <c r="D540" t="str">
        <f>IF('الصرف المباشر'!C40="","",'الصرف المباشر'!C40)</f>
        <v/>
      </c>
      <c r="E540" s="24" t="str">
        <f>IF('الصرف المباشر'!C40="","",-'الصرف المباشر'!D40)</f>
        <v/>
      </c>
      <c r="F540" t="str">
        <f>IF('الصرف المباشر'!C40="","",IF('الصرف المباشر'!F40="","",'الصرف المباشر'!F40))</f>
        <v/>
      </c>
      <c r="G540" t="str">
        <f>IF($B540&lt;&gt;"",SUMPRODUCT(($B$2:$B540&lt;&gt;"")*1),"")</f>
        <v/>
      </c>
    </row>
    <row r="541" spans="1:7">
      <c r="A541" s="23" t="str">
        <f>IF('الصرف المباشر'!C41="","",'الصرف المباشر'!B41)</f>
        <v/>
      </c>
      <c r="B541" t="str">
        <f>IF('الصرف المباشر'!C41="","","صرف مباشر")</f>
        <v/>
      </c>
      <c r="C541" t="str">
        <f>IF('الصرف المباشر'!C41="","",IF('الصرف المباشر'!E41="","-",'الصرف المباشر'!E41))</f>
        <v/>
      </c>
      <c r="D541" t="str">
        <f>IF('الصرف المباشر'!C41="","",'الصرف المباشر'!C41)</f>
        <v/>
      </c>
      <c r="E541" s="24" t="str">
        <f>IF('الصرف المباشر'!C41="","",-'الصرف المباشر'!D41)</f>
        <v/>
      </c>
      <c r="F541" t="str">
        <f>IF('الصرف المباشر'!C41="","",IF('الصرف المباشر'!F41="","",'الصرف المباشر'!F41))</f>
        <v/>
      </c>
      <c r="G541" t="str">
        <f>IF($B541&lt;&gt;"",SUMPRODUCT(($B$2:$B541&lt;&gt;"")*1),"")</f>
        <v/>
      </c>
    </row>
    <row r="542" spans="1:7">
      <c r="A542" s="23" t="str">
        <f>IF('الصرف المباشر'!C42="","",'الصرف المباشر'!B42)</f>
        <v/>
      </c>
      <c r="B542" t="str">
        <f>IF('الصرف المباشر'!C42="","","صرف مباشر")</f>
        <v/>
      </c>
      <c r="C542" t="str">
        <f>IF('الصرف المباشر'!C42="","",IF('الصرف المباشر'!E42="","-",'الصرف المباشر'!E42))</f>
        <v/>
      </c>
      <c r="D542" t="str">
        <f>IF('الصرف المباشر'!C42="","",'الصرف المباشر'!C42)</f>
        <v/>
      </c>
      <c r="E542" s="24" t="str">
        <f>IF('الصرف المباشر'!C42="","",-'الصرف المباشر'!D42)</f>
        <v/>
      </c>
      <c r="F542" t="str">
        <f>IF('الصرف المباشر'!C42="","",IF('الصرف المباشر'!F42="","",'الصرف المباشر'!F42))</f>
        <v/>
      </c>
      <c r="G542" t="str">
        <f>IF($B542&lt;&gt;"",SUMPRODUCT(($B$2:$B542&lt;&gt;"")*1),"")</f>
        <v/>
      </c>
    </row>
    <row r="543" spans="1:7">
      <c r="A543" s="23" t="str">
        <f>IF('الصرف المباشر'!C43="","",'الصرف المباشر'!B43)</f>
        <v/>
      </c>
      <c r="B543" t="str">
        <f>IF('الصرف المباشر'!C43="","","صرف مباشر")</f>
        <v/>
      </c>
      <c r="C543" t="str">
        <f>IF('الصرف المباشر'!C43="","",IF('الصرف المباشر'!E43="","-",'الصرف المباشر'!E43))</f>
        <v/>
      </c>
      <c r="D543" t="str">
        <f>IF('الصرف المباشر'!C43="","",'الصرف المباشر'!C43)</f>
        <v/>
      </c>
      <c r="E543" s="24" t="str">
        <f>IF('الصرف المباشر'!C43="","",-'الصرف المباشر'!D43)</f>
        <v/>
      </c>
      <c r="F543" t="str">
        <f>IF('الصرف المباشر'!C43="","",IF('الصرف المباشر'!F43="","",'الصرف المباشر'!F43))</f>
        <v/>
      </c>
      <c r="G543" t="str">
        <f>IF($B543&lt;&gt;"",SUMPRODUCT(($B$2:$B543&lt;&gt;"")*1),"")</f>
        <v/>
      </c>
    </row>
    <row r="544" spans="1:7">
      <c r="A544" s="23" t="str">
        <f>IF('الصرف المباشر'!C44="","",'الصرف المباشر'!B44)</f>
        <v/>
      </c>
      <c r="B544" t="str">
        <f>IF('الصرف المباشر'!C44="","","صرف مباشر")</f>
        <v/>
      </c>
      <c r="C544" t="str">
        <f>IF('الصرف المباشر'!C44="","",IF('الصرف المباشر'!E44="","-",'الصرف المباشر'!E44))</f>
        <v/>
      </c>
      <c r="D544" t="str">
        <f>IF('الصرف المباشر'!C44="","",'الصرف المباشر'!C44)</f>
        <v/>
      </c>
      <c r="E544" s="24" t="str">
        <f>IF('الصرف المباشر'!C44="","",-'الصرف المباشر'!D44)</f>
        <v/>
      </c>
      <c r="F544" t="str">
        <f>IF('الصرف المباشر'!C44="","",IF('الصرف المباشر'!F44="","",'الصرف المباشر'!F44))</f>
        <v/>
      </c>
      <c r="G544" t="str">
        <f>IF($B544&lt;&gt;"",SUMPRODUCT(($B$2:$B544&lt;&gt;"")*1),"")</f>
        <v/>
      </c>
    </row>
    <row r="545" spans="1:7">
      <c r="A545" s="23" t="str">
        <f>IF('الصرف المباشر'!C45="","",'الصرف المباشر'!B45)</f>
        <v/>
      </c>
      <c r="B545" t="str">
        <f>IF('الصرف المباشر'!C45="","","صرف مباشر")</f>
        <v/>
      </c>
      <c r="C545" t="str">
        <f>IF('الصرف المباشر'!C45="","",IF('الصرف المباشر'!E45="","-",'الصرف المباشر'!E45))</f>
        <v/>
      </c>
      <c r="D545" t="str">
        <f>IF('الصرف المباشر'!C45="","",'الصرف المباشر'!C45)</f>
        <v/>
      </c>
      <c r="E545" s="24" t="str">
        <f>IF('الصرف المباشر'!C45="","",-'الصرف المباشر'!D45)</f>
        <v/>
      </c>
      <c r="F545" t="str">
        <f>IF('الصرف المباشر'!C45="","",IF('الصرف المباشر'!F45="","",'الصرف المباشر'!F45))</f>
        <v/>
      </c>
      <c r="G545" t="str">
        <f>IF($B545&lt;&gt;"",SUMPRODUCT(($B$2:$B545&lt;&gt;"")*1),"")</f>
        <v/>
      </c>
    </row>
    <row r="546" spans="1:7">
      <c r="A546" s="23" t="str">
        <f>IF('الصرف المباشر'!C46="","",'الصرف المباشر'!B46)</f>
        <v/>
      </c>
      <c r="B546" t="str">
        <f>IF('الصرف المباشر'!C46="","","صرف مباشر")</f>
        <v/>
      </c>
      <c r="C546" t="str">
        <f>IF('الصرف المباشر'!C46="","",IF('الصرف المباشر'!E46="","-",'الصرف المباشر'!E46))</f>
        <v/>
      </c>
      <c r="D546" t="str">
        <f>IF('الصرف المباشر'!C46="","",'الصرف المباشر'!C46)</f>
        <v/>
      </c>
      <c r="E546" s="24" t="str">
        <f>IF('الصرف المباشر'!C46="","",-'الصرف المباشر'!D46)</f>
        <v/>
      </c>
      <c r="F546" t="str">
        <f>IF('الصرف المباشر'!C46="","",IF('الصرف المباشر'!F46="","",'الصرف المباشر'!F46))</f>
        <v/>
      </c>
      <c r="G546" t="str">
        <f>IF($B546&lt;&gt;"",SUMPRODUCT(($B$2:$B546&lt;&gt;"")*1),"")</f>
        <v/>
      </c>
    </row>
    <row r="547" spans="1:7">
      <c r="A547" s="23" t="str">
        <f>IF('الصرف المباشر'!C47="","",'الصرف المباشر'!B47)</f>
        <v/>
      </c>
      <c r="B547" t="str">
        <f>IF('الصرف المباشر'!C47="","","صرف مباشر")</f>
        <v/>
      </c>
      <c r="C547" t="str">
        <f>IF('الصرف المباشر'!C47="","",IF('الصرف المباشر'!E47="","-",'الصرف المباشر'!E47))</f>
        <v/>
      </c>
      <c r="D547" t="str">
        <f>IF('الصرف المباشر'!C47="","",'الصرف المباشر'!C47)</f>
        <v/>
      </c>
      <c r="E547" s="24" t="str">
        <f>IF('الصرف المباشر'!C47="","",-'الصرف المباشر'!D47)</f>
        <v/>
      </c>
      <c r="F547" t="str">
        <f>IF('الصرف المباشر'!C47="","",IF('الصرف المباشر'!F47="","",'الصرف المباشر'!F47))</f>
        <v/>
      </c>
      <c r="G547" t="str">
        <f>IF($B547&lt;&gt;"",SUMPRODUCT(($B$2:$B547&lt;&gt;"")*1),"")</f>
        <v/>
      </c>
    </row>
    <row r="548" spans="1:7">
      <c r="A548" s="23" t="str">
        <f>IF('الصرف المباشر'!C48="","",'الصرف المباشر'!B48)</f>
        <v/>
      </c>
      <c r="B548" t="str">
        <f>IF('الصرف المباشر'!C48="","","صرف مباشر")</f>
        <v/>
      </c>
      <c r="C548" t="str">
        <f>IF('الصرف المباشر'!C48="","",IF('الصرف المباشر'!E48="","-",'الصرف المباشر'!E48))</f>
        <v/>
      </c>
      <c r="D548" t="str">
        <f>IF('الصرف المباشر'!C48="","",'الصرف المباشر'!C48)</f>
        <v/>
      </c>
      <c r="E548" s="24" t="str">
        <f>IF('الصرف المباشر'!C48="","",-'الصرف المباشر'!D48)</f>
        <v/>
      </c>
      <c r="F548" t="str">
        <f>IF('الصرف المباشر'!C48="","",IF('الصرف المباشر'!F48="","",'الصرف المباشر'!F48))</f>
        <v/>
      </c>
      <c r="G548" t="str">
        <f>IF($B548&lt;&gt;"",SUMPRODUCT(($B$2:$B548&lt;&gt;"")*1),"")</f>
        <v/>
      </c>
    </row>
    <row r="549" spans="1:7">
      <c r="A549" s="23" t="str">
        <f>IF('الصرف المباشر'!C49="","",'الصرف المباشر'!B49)</f>
        <v/>
      </c>
      <c r="B549" t="str">
        <f>IF('الصرف المباشر'!C49="","","صرف مباشر")</f>
        <v/>
      </c>
      <c r="C549" t="str">
        <f>IF('الصرف المباشر'!C49="","",IF('الصرف المباشر'!E49="","-",'الصرف المباشر'!E49))</f>
        <v/>
      </c>
      <c r="D549" t="str">
        <f>IF('الصرف المباشر'!C49="","",'الصرف المباشر'!C49)</f>
        <v/>
      </c>
      <c r="E549" s="24" t="str">
        <f>IF('الصرف المباشر'!C49="","",-'الصرف المباشر'!D49)</f>
        <v/>
      </c>
      <c r="F549" t="str">
        <f>IF('الصرف المباشر'!C49="","",IF('الصرف المباشر'!F49="","",'الصرف المباشر'!F49))</f>
        <v/>
      </c>
      <c r="G549" t="str">
        <f>IF($B549&lt;&gt;"",SUMPRODUCT(($B$2:$B549&lt;&gt;"")*1),"")</f>
        <v/>
      </c>
    </row>
    <row r="550" spans="1:7">
      <c r="A550" s="23" t="str">
        <f>IF('الصرف المباشر'!C50="","",'الصرف المباشر'!B50)</f>
        <v/>
      </c>
      <c r="B550" t="str">
        <f>IF('الصرف المباشر'!C50="","","صرف مباشر")</f>
        <v/>
      </c>
      <c r="C550" t="str">
        <f>IF('الصرف المباشر'!C50="","",IF('الصرف المباشر'!E50="","-",'الصرف المباشر'!E50))</f>
        <v/>
      </c>
      <c r="D550" t="str">
        <f>IF('الصرف المباشر'!C50="","",'الصرف المباشر'!C50)</f>
        <v/>
      </c>
      <c r="E550" s="24" t="str">
        <f>IF('الصرف المباشر'!C50="","",-'الصرف المباشر'!D50)</f>
        <v/>
      </c>
      <c r="F550" t="str">
        <f>IF('الصرف المباشر'!C50="","",IF('الصرف المباشر'!F50="","",'الصرف المباشر'!F50))</f>
        <v/>
      </c>
      <c r="G550" t="str">
        <f>IF($B550&lt;&gt;"",SUMPRODUCT(($B$2:$B550&lt;&gt;"")*1),"")</f>
        <v/>
      </c>
    </row>
    <row r="551" spans="1:7">
      <c r="A551" s="23" t="str">
        <f>IF('الصرف المباشر'!C51="","",'الصرف المباشر'!B51)</f>
        <v/>
      </c>
      <c r="B551" t="str">
        <f>IF('الصرف المباشر'!C51="","","صرف مباشر")</f>
        <v/>
      </c>
      <c r="C551" t="str">
        <f>IF('الصرف المباشر'!C51="","",IF('الصرف المباشر'!E51="","-",'الصرف المباشر'!E51))</f>
        <v/>
      </c>
      <c r="D551" t="str">
        <f>IF('الصرف المباشر'!C51="","",'الصرف المباشر'!C51)</f>
        <v/>
      </c>
      <c r="E551" s="24" t="str">
        <f>IF('الصرف المباشر'!C51="","",-'الصرف المباشر'!D51)</f>
        <v/>
      </c>
      <c r="F551" t="str">
        <f>IF('الصرف المباشر'!C51="","",IF('الصرف المباشر'!F51="","",'الصرف المباشر'!F51))</f>
        <v/>
      </c>
      <c r="G551" t="str">
        <f>IF($B551&lt;&gt;"",SUMPRODUCT(($B$2:$B551&lt;&gt;"")*1),"")</f>
        <v/>
      </c>
    </row>
    <row r="552" spans="1:7">
      <c r="A552" s="23" t="str">
        <f>IF('الصرف المباشر'!C52="","",'الصرف المباشر'!B52)</f>
        <v/>
      </c>
      <c r="B552" t="str">
        <f>IF('الصرف المباشر'!C52="","","صرف مباشر")</f>
        <v/>
      </c>
      <c r="C552" t="str">
        <f>IF('الصرف المباشر'!C52="","",IF('الصرف المباشر'!E52="","-",'الصرف المباشر'!E52))</f>
        <v/>
      </c>
      <c r="D552" t="str">
        <f>IF('الصرف المباشر'!C52="","",'الصرف المباشر'!C52)</f>
        <v/>
      </c>
      <c r="E552" s="24" t="str">
        <f>IF('الصرف المباشر'!C52="","",-'الصرف المباشر'!D52)</f>
        <v/>
      </c>
      <c r="F552" t="str">
        <f>IF('الصرف المباشر'!C52="","",IF('الصرف المباشر'!F52="","",'الصرف المباشر'!F52))</f>
        <v/>
      </c>
      <c r="G552" t="str">
        <f>IF($B552&lt;&gt;"",SUMPRODUCT(($B$2:$B552&lt;&gt;"")*1),"")</f>
        <v/>
      </c>
    </row>
    <row r="553" spans="1:7">
      <c r="A553" s="23" t="str">
        <f>IF('الصرف المباشر'!C53="","",'الصرف المباشر'!B53)</f>
        <v/>
      </c>
      <c r="B553" t="str">
        <f>IF('الصرف المباشر'!C53="","","صرف مباشر")</f>
        <v/>
      </c>
      <c r="C553" t="str">
        <f>IF('الصرف المباشر'!C53="","",IF('الصرف المباشر'!E53="","-",'الصرف المباشر'!E53))</f>
        <v/>
      </c>
      <c r="D553" t="str">
        <f>IF('الصرف المباشر'!C53="","",'الصرف المباشر'!C53)</f>
        <v/>
      </c>
      <c r="E553" s="24" t="str">
        <f>IF('الصرف المباشر'!C53="","",-'الصرف المباشر'!D53)</f>
        <v/>
      </c>
      <c r="F553" t="str">
        <f>IF('الصرف المباشر'!C53="","",IF('الصرف المباشر'!F53="","",'الصرف المباشر'!F53))</f>
        <v/>
      </c>
      <c r="G553" t="str">
        <f>IF($B553&lt;&gt;"",SUMPRODUCT(($B$2:$B553&lt;&gt;"")*1),"")</f>
        <v/>
      </c>
    </row>
    <row r="554" spans="1:7">
      <c r="A554" s="23" t="str">
        <f>IF('الصرف المباشر'!C54="","",'الصرف المباشر'!B54)</f>
        <v/>
      </c>
      <c r="B554" t="str">
        <f>IF('الصرف المباشر'!C54="","","صرف مباشر")</f>
        <v/>
      </c>
      <c r="C554" t="str">
        <f>IF('الصرف المباشر'!C54="","",IF('الصرف المباشر'!E54="","-",'الصرف المباشر'!E54))</f>
        <v/>
      </c>
      <c r="D554" t="str">
        <f>IF('الصرف المباشر'!C54="","",'الصرف المباشر'!C54)</f>
        <v/>
      </c>
      <c r="E554" s="24" t="str">
        <f>IF('الصرف المباشر'!C54="","",-'الصرف المباشر'!D54)</f>
        <v/>
      </c>
      <c r="F554" t="str">
        <f>IF('الصرف المباشر'!C54="","",IF('الصرف المباشر'!F54="","",'الصرف المباشر'!F54))</f>
        <v/>
      </c>
      <c r="G554" t="str">
        <f>IF($B554&lt;&gt;"",SUMPRODUCT(($B$2:$B554&lt;&gt;"")*1),"")</f>
        <v/>
      </c>
    </row>
    <row r="555" spans="1:7">
      <c r="A555" s="23" t="str">
        <f>IF('الصرف المباشر'!C55="","",'الصرف المباشر'!B55)</f>
        <v/>
      </c>
      <c r="B555" t="str">
        <f>IF('الصرف المباشر'!C55="","","صرف مباشر")</f>
        <v/>
      </c>
      <c r="C555" t="str">
        <f>IF('الصرف المباشر'!C55="","",IF('الصرف المباشر'!E55="","-",'الصرف المباشر'!E55))</f>
        <v/>
      </c>
      <c r="D555" t="str">
        <f>IF('الصرف المباشر'!C55="","",'الصرف المباشر'!C55)</f>
        <v/>
      </c>
      <c r="E555" s="24" t="str">
        <f>IF('الصرف المباشر'!C55="","",-'الصرف المباشر'!D55)</f>
        <v/>
      </c>
      <c r="F555" t="str">
        <f>IF('الصرف المباشر'!C55="","",IF('الصرف المباشر'!F55="","",'الصرف المباشر'!F55))</f>
        <v/>
      </c>
      <c r="G555" t="str">
        <f>IF($B555&lt;&gt;"",SUMPRODUCT(($B$2:$B555&lt;&gt;"")*1),"")</f>
        <v/>
      </c>
    </row>
    <row r="556" spans="1:7">
      <c r="A556" s="23" t="str">
        <f>IF('الصرف المباشر'!C56="","",'الصرف المباشر'!B56)</f>
        <v/>
      </c>
      <c r="B556" t="str">
        <f>IF('الصرف المباشر'!C56="","","صرف مباشر")</f>
        <v/>
      </c>
      <c r="C556" t="str">
        <f>IF('الصرف المباشر'!C56="","",IF('الصرف المباشر'!E56="","-",'الصرف المباشر'!E56))</f>
        <v/>
      </c>
      <c r="D556" t="str">
        <f>IF('الصرف المباشر'!C56="","",'الصرف المباشر'!C56)</f>
        <v/>
      </c>
      <c r="E556" s="24" t="str">
        <f>IF('الصرف المباشر'!C56="","",-'الصرف المباشر'!D56)</f>
        <v/>
      </c>
      <c r="F556" t="str">
        <f>IF('الصرف المباشر'!C56="","",IF('الصرف المباشر'!F56="","",'الصرف المباشر'!F56))</f>
        <v/>
      </c>
      <c r="G556" t="str">
        <f>IF($B556&lt;&gt;"",SUMPRODUCT(($B$2:$B556&lt;&gt;"")*1),"")</f>
        <v/>
      </c>
    </row>
    <row r="557" spans="1:7">
      <c r="A557" s="23" t="str">
        <f>IF('الصرف المباشر'!C57="","",'الصرف المباشر'!B57)</f>
        <v/>
      </c>
      <c r="B557" t="str">
        <f>IF('الصرف المباشر'!C57="","","صرف مباشر")</f>
        <v/>
      </c>
      <c r="C557" t="str">
        <f>IF('الصرف المباشر'!C57="","",IF('الصرف المباشر'!E57="","-",'الصرف المباشر'!E57))</f>
        <v/>
      </c>
      <c r="D557" t="str">
        <f>IF('الصرف المباشر'!C57="","",'الصرف المباشر'!C57)</f>
        <v/>
      </c>
      <c r="E557" s="24" t="str">
        <f>IF('الصرف المباشر'!C57="","",-'الصرف المباشر'!D57)</f>
        <v/>
      </c>
      <c r="F557" t="str">
        <f>IF('الصرف المباشر'!C57="","",IF('الصرف المباشر'!F57="","",'الصرف المباشر'!F57))</f>
        <v/>
      </c>
      <c r="G557" t="str">
        <f>IF($B557&lt;&gt;"",SUMPRODUCT(($B$2:$B557&lt;&gt;"")*1),"")</f>
        <v/>
      </c>
    </row>
    <row r="558" spans="1:7">
      <c r="A558" s="23" t="str">
        <f>IF('الصرف المباشر'!C58="","",'الصرف المباشر'!B58)</f>
        <v/>
      </c>
      <c r="B558" t="str">
        <f>IF('الصرف المباشر'!C58="","","صرف مباشر")</f>
        <v/>
      </c>
      <c r="C558" t="str">
        <f>IF('الصرف المباشر'!C58="","",IF('الصرف المباشر'!E58="","-",'الصرف المباشر'!E58))</f>
        <v/>
      </c>
      <c r="D558" t="str">
        <f>IF('الصرف المباشر'!C58="","",'الصرف المباشر'!C58)</f>
        <v/>
      </c>
      <c r="E558" s="24" t="str">
        <f>IF('الصرف المباشر'!C58="","",-'الصرف المباشر'!D58)</f>
        <v/>
      </c>
      <c r="F558" t="str">
        <f>IF('الصرف المباشر'!C58="","",IF('الصرف المباشر'!F58="","",'الصرف المباشر'!F58))</f>
        <v/>
      </c>
      <c r="G558" t="str">
        <f>IF($B558&lt;&gt;"",SUMPRODUCT(($B$2:$B558&lt;&gt;"")*1),"")</f>
        <v/>
      </c>
    </row>
    <row r="559" spans="1:7">
      <c r="A559" s="23" t="str">
        <f>IF('الصرف المباشر'!C59="","",'الصرف المباشر'!B59)</f>
        <v/>
      </c>
      <c r="B559" t="str">
        <f>IF('الصرف المباشر'!C59="","","صرف مباشر")</f>
        <v/>
      </c>
      <c r="C559" t="str">
        <f>IF('الصرف المباشر'!C59="","",IF('الصرف المباشر'!E59="","-",'الصرف المباشر'!E59))</f>
        <v/>
      </c>
      <c r="D559" t="str">
        <f>IF('الصرف المباشر'!C59="","",'الصرف المباشر'!C59)</f>
        <v/>
      </c>
      <c r="E559" s="24" t="str">
        <f>IF('الصرف المباشر'!C59="","",-'الصرف المباشر'!D59)</f>
        <v/>
      </c>
      <c r="F559" t="str">
        <f>IF('الصرف المباشر'!C59="","",IF('الصرف المباشر'!F59="","",'الصرف المباشر'!F59))</f>
        <v/>
      </c>
      <c r="G559" t="str">
        <f>IF($B559&lt;&gt;"",SUMPRODUCT(($B$2:$B559&lt;&gt;"")*1),"")</f>
        <v/>
      </c>
    </row>
    <row r="560" spans="1:7">
      <c r="A560" s="23" t="str">
        <f>IF('الصرف المباشر'!C60="","",'الصرف المباشر'!B60)</f>
        <v/>
      </c>
      <c r="B560" t="str">
        <f>IF('الصرف المباشر'!C60="","","صرف مباشر")</f>
        <v/>
      </c>
      <c r="C560" t="str">
        <f>IF('الصرف المباشر'!C60="","",IF('الصرف المباشر'!E60="","-",'الصرف المباشر'!E60))</f>
        <v/>
      </c>
      <c r="D560" t="str">
        <f>IF('الصرف المباشر'!C60="","",'الصرف المباشر'!C60)</f>
        <v/>
      </c>
      <c r="E560" s="24" t="str">
        <f>IF('الصرف المباشر'!C60="","",-'الصرف المباشر'!D60)</f>
        <v/>
      </c>
      <c r="F560" t="str">
        <f>IF('الصرف المباشر'!C60="","",IF('الصرف المباشر'!F60="","",'الصرف المباشر'!F60))</f>
        <v/>
      </c>
      <c r="G560" t="str">
        <f>IF($B560&lt;&gt;"",SUMPRODUCT(($B$2:$B560&lt;&gt;"")*1),"")</f>
        <v/>
      </c>
    </row>
    <row r="561" spans="1:7">
      <c r="A561" s="23" t="str">
        <f>IF('الصرف المباشر'!C61="","",'الصرف المباشر'!B61)</f>
        <v/>
      </c>
      <c r="B561" t="str">
        <f>IF('الصرف المباشر'!C61="","","صرف مباشر")</f>
        <v/>
      </c>
      <c r="C561" t="str">
        <f>IF('الصرف المباشر'!C61="","",IF('الصرف المباشر'!E61="","-",'الصرف المباشر'!E61))</f>
        <v/>
      </c>
      <c r="D561" t="str">
        <f>IF('الصرف المباشر'!C61="","",'الصرف المباشر'!C61)</f>
        <v/>
      </c>
      <c r="E561" s="24" t="str">
        <f>IF('الصرف المباشر'!C61="","",-'الصرف المباشر'!D61)</f>
        <v/>
      </c>
      <c r="F561" t="str">
        <f>IF('الصرف المباشر'!C61="","",IF('الصرف المباشر'!F61="","",'الصرف المباشر'!F61))</f>
        <v/>
      </c>
      <c r="G561" t="str">
        <f>IF($B561&lt;&gt;"",SUMPRODUCT(($B$2:$B561&lt;&gt;"")*1),"")</f>
        <v/>
      </c>
    </row>
    <row r="562" spans="1:7">
      <c r="A562" s="23" t="str">
        <f>IF('الصرف المباشر'!C62="","",'الصرف المباشر'!B62)</f>
        <v/>
      </c>
      <c r="B562" t="str">
        <f>IF('الصرف المباشر'!C62="","","صرف مباشر")</f>
        <v/>
      </c>
      <c r="C562" t="str">
        <f>IF('الصرف المباشر'!C62="","",IF('الصرف المباشر'!E62="","-",'الصرف المباشر'!E62))</f>
        <v/>
      </c>
      <c r="D562" t="str">
        <f>IF('الصرف المباشر'!C62="","",'الصرف المباشر'!C62)</f>
        <v/>
      </c>
      <c r="E562" s="24" t="str">
        <f>IF('الصرف المباشر'!C62="","",-'الصرف المباشر'!D62)</f>
        <v/>
      </c>
      <c r="F562" t="str">
        <f>IF('الصرف المباشر'!C62="","",IF('الصرف المباشر'!F62="","",'الصرف المباشر'!F62))</f>
        <v/>
      </c>
      <c r="G562" t="str">
        <f>IF($B562&lt;&gt;"",SUMPRODUCT(($B$2:$B562&lt;&gt;"")*1),"")</f>
        <v/>
      </c>
    </row>
    <row r="563" spans="1:7">
      <c r="A563" s="23" t="str">
        <f>IF('الصرف المباشر'!C63="","",'الصرف المباشر'!B63)</f>
        <v/>
      </c>
      <c r="B563" t="str">
        <f>IF('الصرف المباشر'!C63="","","صرف مباشر")</f>
        <v/>
      </c>
      <c r="C563" t="str">
        <f>IF('الصرف المباشر'!C63="","",IF('الصرف المباشر'!E63="","-",'الصرف المباشر'!E63))</f>
        <v/>
      </c>
      <c r="D563" t="str">
        <f>IF('الصرف المباشر'!C63="","",'الصرف المباشر'!C63)</f>
        <v/>
      </c>
      <c r="E563" s="24" t="str">
        <f>IF('الصرف المباشر'!C63="","",-'الصرف المباشر'!D63)</f>
        <v/>
      </c>
      <c r="F563" t="str">
        <f>IF('الصرف المباشر'!C63="","",IF('الصرف المباشر'!F63="","",'الصرف المباشر'!F63))</f>
        <v/>
      </c>
      <c r="G563" t="str">
        <f>IF($B563&lt;&gt;"",SUMPRODUCT(($B$2:$B563&lt;&gt;"")*1),"")</f>
        <v/>
      </c>
    </row>
    <row r="564" spans="1:7">
      <c r="A564" s="23" t="str">
        <f>IF('الصرف المباشر'!C64="","",'الصرف المباشر'!B64)</f>
        <v/>
      </c>
      <c r="B564" t="str">
        <f>IF('الصرف المباشر'!C64="","","صرف مباشر")</f>
        <v/>
      </c>
      <c r="C564" t="str">
        <f>IF('الصرف المباشر'!C64="","",IF('الصرف المباشر'!E64="","-",'الصرف المباشر'!E64))</f>
        <v/>
      </c>
      <c r="D564" t="str">
        <f>IF('الصرف المباشر'!C64="","",'الصرف المباشر'!C64)</f>
        <v/>
      </c>
      <c r="E564" s="24" t="str">
        <f>IF('الصرف المباشر'!C64="","",-'الصرف المباشر'!D64)</f>
        <v/>
      </c>
      <c r="F564" t="str">
        <f>IF('الصرف المباشر'!C64="","",IF('الصرف المباشر'!F64="","",'الصرف المباشر'!F64))</f>
        <v/>
      </c>
      <c r="G564" t="str">
        <f>IF($B564&lt;&gt;"",SUMPRODUCT(($B$2:$B564&lt;&gt;"")*1),"")</f>
        <v/>
      </c>
    </row>
    <row r="565" spans="1:7">
      <c r="A565" s="23" t="str">
        <f>IF('الصرف المباشر'!C65="","",'الصرف المباشر'!B65)</f>
        <v/>
      </c>
      <c r="B565" t="str">
        <f>IF('الصرف المباشر'!C65="","","صرف مباشر")</f>
        <v/>
      </c>
      <c r="C565" t="str">
        <f>IF('الصرف المباشر'!C65="","",IF('الصرف المباشر'!E65="","-",'الصرف المباشر'!E65))</f>
        <v/>
      </c>
      <c r="D565" t="str">
        <f>IF('الصرف المباشر'!C65="","",'الصرف المباشر'!C65)</f>
        <v/>
      </c>
      <c r="E565" s="24" t="str">
        <f>IF('الصرف المباشر'!C65="","",-'الصرف المباشر'!D65)</f>
        <v/>
      </c>
      <c r="F565" t="str">
        <f>IF('الصرف المباشر'!C65="","",IF('الصرف المباشر'!F65="","",'الصرف المباشر'!F65))</f>
        <v/>
      </c>
      <c r="G565" t="str">
        <f>IF($B565&lt;&gt;"",SUMPRODUCT(($B$2:$B565&lt;&gt;"")*1),"")</f>
        <v/>
      </c>
    </row>
    <row r="566" spans="1:7">
      <c r="A566" s="23" t="str">
        <f>IF('الصرف المباشر'!C66="","",'الصرف المباشر'!B66)</f>
        <v/>
      </c>
      <c r="B566" t="str">
        <f>IF('الصرف المباشر'!C66="","","صرف مباشر")</f>
        <v/>
      </c>
      <c r="C566" t="str">
        <f>IF('الصرف المباشر'!C66="","",IF('الصرف المباشر'!E66="","-",'الصرف المباشر'!E66))</f>
        <v/>
      </c>
      <c r="D566" t="str">
        <f>IF('الصرف المباشر'!C66="","",'الصرف المباشر'!C66)</f>
        <v/>
      </c>
      <c r="E566" s="24" t="str">
        <f>IF('الصرف المباشر'!C66="","",-'الصرف المباشر'!D66)</f>
        <v/>
      </c>
      <c r="F566" t="str">
        <f>IF('الصرف المباشر'!C66="","",IF('الصرف المباشر'!F66="","",'الصرف المباشر'!F66))</f>
        <v/>
      </c>
      <c r="G566" t="str">
        <f>IF($B566&lt;&gt;"",SUMPRODUCT(($B$2:$B566&lt;&gt;"")*1),"")</f>
        <v/>
      </c>
    </row>
    <row r="567" spans="1:7">
      <c r="A567" s="23" t="str">
        <f>IF('الصرف المباشر'!C67="","",'الصرف المباشر'!B67)</f>
        <v/>
      </c>
      <c r="B567" t="str">
        <f>IF('الصرف المباشر'!C67="","","صرف مباشر")</f>
        <v/>
      </c>
      <c r="C567" t="str">
        <f>IF('الصرف المباشر'!C67="","",IF('الصرف المباشر'!E67="","-",'الصرف المباشر'!E67))</f>
        <v/>
      </c>
      <c r="D567" t="str">
        <f>IF('الصرف المباشر'!C67="","",'الصرف المباشر'!C67)</f>
        <v/>
      </c>
      <c r="E567" s="24" t="str">
        <f>IF('الصرف المباشر'!C67="","",-'الصرف المباشر'!D67)</f>
        <v/>
      </c>
      <c r="F567" t="str">
        <f>IF('الصرف المباشر'!C67="","",IF('الصرف المباشر'!F67="","",'الصرف المباشر'!F67))</f>
        <v/>
      </c>
      <c r="G567" t="str">
        <f>IF($B567&lt;&gt;"",SUMPRODUCT(($B$2:$B567&lt;&gt;"")*1),"")</f>
        <v/>
      </c>
    </row>
    <row r="568" spans="1:7">
      <c r="A568" s="23" t="str">
        <f>IF('الصرف المباشر'!C68="","",'الصرف المباشر'!B68)</f>
        <v/>
      </c>
      <c r="B568" t="str">
        <f>IF('الصرف المباشر'!C68="","","صرف مباشر")</f>
        <v/>
      </c>
      <c r="C568" t="str">
        <f>IF('الصرف المباشر'!C68="","",IF('الصرف المباشر'!E68="","-",'الصرف المباشر'!E68))</f>
        <v/>
      </c>
      <c r="D568" t="str">
        <f>IF('الصرف المباشر'!C68="","",'الصرف المباشر'!C68)</f>
        <v/>
      </c>
      <c r="E568" s="24" t="str">
        <f>IF('الصرف المباشر'!C68="","",-'الصرف المباشر'!D68)</f>
        <v/>
      </c>
      <c r="F568" t="str">
        <f>IF('الصرف المباشر'!C68="","",IF('الصرف المباشر'!F68="","",'الصرف المباشر'!F68))</f>
        <v/>
      </c>
      <c r="G568" t="str">
        <f>IF($B568&lt;&gt;"",SUMPRODUCT(($B$2:$B568&lt;&gt;"")*1),"")</f>
        <v/>
      </c>
    </row>
    <row r="569" spans="1:7">
      <c r="A569" s="23" t="str">
        <f>IF('الصرف المباشر'!C69="","",'الصرف المباشر'!B69)</f>
        <v/>
      </c>
      <c r="B569" t="str">
        <f>IF('الصرف المباشر'!C69="","","صرف مباشر")</f>
        <v/>
      </c>
      <c r="C569" t="str">
        <f>IF('الصرف المباشر'!C69="","",IF('الصرف المباشر'!E69="","-",'الصرف المباشر'!E69))</f>
        <v/>
      </c>
      <c r="D569" t="str">
        <f>IF('الصرف المباشر'!C69="","",'الصرف المباشر'!C69)</f>
        <v/>
      </c>
      <c r="E569" s="24" t="str">
        <f>IF('الصرف المباشر'!C69="","",-'الصرف المباشر'!D69)</f>
        <v/>
      </c>
      <c r="F569" t="str">
        <f>IF('الصرف المباشر'!C69="","",IF('الصرف المباشر'!F69="","",'الصرف المباشر'!F69))</f>
        <v/>
      </c>
      <c r="G569" t="str">
        <f>IF($B569&lt;&gt;"",SUMPRODUCT(($B$2:$B569&lt;&gt;"")*1),"")</f>
        <v/>
      </c>
    </row>
    <row r="570" spans="1:7">
      <c r="A570" s="23" t="str">
        <f>IF('الصرف المباشر'!C70="","",'الصرف المباشر'!B70)</f>
        <v/>
      </c>
      <c r="B570" t="str">
        <f>IF('الصرف المباشر'!C70="","","صرف مباشر")</f>
        <v/>
      </c>
      <c r="C570" t="str">
        <f>IF('الصرف المباشر'!C70="","",IF('الصرف المباشر'!E70="","-",'الصرف المباشر'!E70))</f>
        <v/>
      </c>
      <c r="D570" t="str">
        <f>IF('الصرف المباشر'!C70="","",'الصرف المباشر'!C70)</f>
        <v/>
      </c>
      <c r="E570" s="24" t="str">
        <f>IF('الصرف المباشر'!C70="","",-'الصرف المباشر'!D70)</f>
        <v/>
      </c>
      <c r="F570" t="str">
        <f>IF('الصرف المباشر'!C70="","",IF('الصرف المباشر'!F70="","",'الصرف المباشر'!F70))</f>
        <v/>
      </c>
      <c r="G570" t="str">
        <f>IF($B570&lt;&gt;"",SUMPRODUCT(($B$2:$B570&lt;&gt;"")*1),"")</f>
        <v/>
      </c>
    </row>
    <row r="571" spans="1:7">
      <c r="A571" s="23" t="str">
        <f>IF('الصرف المباشر'!C71="","",'الصرف المباشر'!B71)</f>
        <v/>
      </c>
      <c r="B571" t="str">
        <f>IF('الصرف المباشر'!C71="","","صرف مباشر")</f>
        <v/>
      </c>
      <c r="C571" t="str">
        <f>IF('الصرف المباشر'!C71="","",IF('الصرف المباشر'!E71="","-",'الصرف المباشر'!E71))</f>
        <v/>
      </c>
      <c r="D571" t="str">
        <f>IF('الصرف المباشر'!C71="","",'الصرف المباشر'!C71)</f>
        <v/>
      </c>
      <c r="E571" s="24" t="str">
        <f>IF('الصرف المباشر'!C71="","",-'الصرف المباشر'!D71)</f>
        <v/>
      </c>
      <c r="F571" t="str">
        <f>IF('الصرف المباشر'!C71="","",IF('الصرف المباشر'!F71="","",'الصرف المباشر'!F71))</f>
        <v/>
      </c>
      <c r="G571" t="str">
        <f>IF($B571&lt;&gt;"",SUMPRODUCT(($B$2:$B571&lt;&gt;"")*1),"")</f>
        <v/>
      </c>
    </row>
    <row r="572" spans="1:7">
      <c r="A572" s="23" t="str">
        <f>IF('الصرف المباشر'!C72="","",'الصرف المباشر'!B72)</f>
        <v/>
      </c>
      <c r="B572" t="str">
        <f>IF('الصرف المباشر'!C72="","","صرف مباشر")</f>
        <v/>
      </c>
      <c r="C572" t="str">
        <f>IF('الصرف المباشر'!C72="","",IF('الصرف المباشر'!E72="","-",'الصرف المباشر'!E72))</f>
        <v/>
      </c>
      <c r="D572" t="str">
        <f>IF('الصرف المباشر'!C72="","",'الصرف المباشر'!C72)</f>
        <v/>
      </c>
      <c r="E572" s="24" t="str">
        <f>IF('الصرف المباشر'!C72="","",-'الصرف المباشر'!D72)</f>
        <v/>
      </c>
      <c r="F572" t="str">
        <f>IF('الصرف المباشر'!C72="","",IF('الصرف المباشر'!F72="","",'الصرف المباشر'!F72))</f>
        <v/>
      </c>
      <c r="G572" t="str">
        <f>IF($B572&lt;&gt;"",SUMPRODUCT(($B$2:$B572&lt;&gt;"")*1),"")</f>
        <v/>
      </c>
    </row>
    <row r="573" spans="1:7">
      <c r="A573" s="23" t="str">
        <f>IF('الصرف المباشر'!C73="","",'الصرف المباشر'!B73)</f>
        <v/>
      </c>
      <c r="B573" t="str">
        <f>IF('الصرف المباشر'!C73="","","صرف مباشر")</f>
        <v/>
      </c>
      <c r="C573" t="str">
        <f>IF('الصرف المباشر'!C73="","",IF('الصرف المباشر'!E73="","-",'الصرف المباشر'!E73))</f>
        <v/>
      </c>
      <c r="D573" t="str">
        <f>IF('الصرف المباشر'!C73="","",'الصرف المباشر'!C73)</f>
        <v/>
      </c>
      <c r="E573" s="24" t="str">
        <f>IF('الصرف المباشر'!C73="","",-'الصرف المباشر'!D73)</f>
        <v/>
      </c>
      <c r="F573" t="str">
        <f>IF('الصرف المباشر'!C73="","",IF('الصرف المباشر'!F73="","",'الصرف المباشر'!F73))</f>
        <v/>
      </c>
      <c r="G573" t="str">
        <f>IF($B573&lt;&gt;"",SUMPRODUCT(($B$2:$B573&lt;&gt;"")*1),"")</f>
        <v/>
      </c>
    </row>
    <row r="574" spans="1:7">
      <c r="A574" s="23" t="str">
        <f>IF('الصرف المباشر'!C74="","",'الصرف المباشر'!B74)</f>
        <v/>
      </c>
      <c r="B574" t="str">
        <f>IF('الصرف المباشر'!C74="","","صرف مباشر")</f>
        <v/>
      </c>
      <c r="C574" t="str">
        <f>IF('الصرف المباشر'!C74="","",IF('الصرف المباشر'!E74="","-",'الصرف المباشر'!E74))</f>
        <v/>
      </c>
      <c r="D574" t="str">
        <f>IF('الصرف المباشر'!C74="","",'الصرف المباشر'!C74)</f>
        <v/>
      </c>
      <c r="E574" s="24" t="str">
        <f>IF('الصرف المباشر'!C74="","",-'الصرف المباشر'!D74)</f>
        <v/>
      </c>
      <c r="F574" t="str">
        <f>IF('الصرف المباشر'!C74="","",IF('الصرف المباشر'!F74="","",'الصرف المباشر'!F74))</f>
        <v/>
      </c>
      <c r="G574" t="str">
        <f>IF($B574&lt;&gt;"",SUMPRODUCT(($B$2:$B574&lt;&gt;"")*1),"")</f>
        <v/>
      </c>
    </row>
    <row r="575" spans="1:7">
      <c r="A575" s="23" t="str">
        <f>IF('الصرف المباشر'!C75="","",'الصرف المباشر'!B75)</f>
        <v/>
      </c>
      <c r="B575" t="str">
        <f>IF('الصرف المباشر'!C75="","","صرف مباشر")</f>
        <v/>
      </c>
      <c r="C575" t="str">
        <f>IF('الصرف المباشر'!C75="","",IF('الصرف المباشر'!E75="","-",'الصرف المباشر'!E75))</f>
        <v/>
      </c>
      <c r="D575" t="str">
        <f>IF('الصرف المباشر'!C75="","",'الصرف المباشر'!C75)</f>
        <v/>
      </c>
      <c r="E575" s="24" t="str">
        <f>IF('الصرف المباشر'!C75="","",-'الصرف المباشر'!D75)</f>
        <v/>
      </c>
      <c r="F575" t="str">
        <f>IF('الصرف المباشر'!C75="","",IF('الصرف المباشر'!F75="","",'الصرف المباشر'!F75))</f>
        <v/>
      </c>
      <c r="G575" t="str">
        <f>IF($B575&lt;&gt;"",SUMPRODUCT(($B$2:$B575&lt;&gt;"")*1),"")</f>
        <v/>
      </c>
    </row>
    <row r="576" spans="1:7">
      <c r="A576" s="23" t="str">
        <f>IF('الصرف المباشر'!C76="","",'الصرف المباشر'!B76)</f>
        <v/>
      </c>
      <c r="B576" t="str">
        <f>IF('الصرف المباشر'!C76="","","صرف مباشر")</f>
        <v/>
      </c>
      <c r="C576" t="str">
        <f>IF('الصرف المباشر'!C76="","",IF('الصرف المباشر'!E76="","-",'الصرف المباشر'!E76))</f>
        <v/>
      </c>
      <c r="D576" t="str">
        <f>IF('الصرف المباشر'!C76="","",'الصرف المباشر'!C76)</f>
        <v/>
      </c>
      <c r="E576" s="24" t="str">
        <f>IF('الصرف المباشر'!C76="","",-'الصرف المباشر'!D76)</f>
        <v/>
      </c>
      <c r="F576" t="str">
        <f>IF('الصرف المباشر'!C76="","",IF('الصرف المباشر'!F76="","",'الصرف المباشر'!F76))</f>
        <v/>
      </c>
      <c r="G576" t="str">
        <f>IF($B576&lt;&gt;"",SUMPRODUCT(($B$2:$B576&lt;&gt;"")*1),"")</f>
        <v/>
      </c>
    </row>
    <row r="577" spans="1:7">
      <c r="A577" s="23" t="str">
        <f>IF('الصرف المباشر'!C77="","",'الصرف المباشر'!B77)</f>
        <v/>
      </c>
      <c r="B577" t="str">
        <f>IF('الصرف المباشر'!C77="","","صرف مباشر")</f>
        <v/>
      </c>
      <c r="C577" t="str">
        <f>IF('الصرف المباشر'!C77="","",IF('الصرف المباشر'!E77="","-",'الصرف المباشر'!E77))</f>
        <v/>
      </c>
      <c r="D577" t="str">
        <f>IF('الصرف المباشر'!C77="","",'الصرف المباشر'!C77)</f>
        <v/>
      </c>
      <c r="E577" s="24" t="str">
        <f>IF('الصرف المباشر'!C77="","",-'الصرف المباشر'!D77)</f>
        <v/>
      </c>
      <c r="F577" t="str">
        <f>IF('الصرف المباشر'!C77="","",IF('الصرف المباشر'!F77="","",'الصرف المباشر'!F77))</f>
        <v/>
      </c>
      <c r="G577" t="str">
        <f>IF($B577&lt;&gt;"",SUMPRODUCT(($B$2:$B577&lt;&gt;"")*1),"")</f>
        <v/>
      </c>
    </row>
    <row r="578" spans="1:7">
      <c r="A578" s="23" t="str">
        <f>IF('الصرف المباشر'!C78="","",'الصرف المباشر'!B78)</f>
        <v/>
      </c>
      <c r="B578" t="str">
        <f>IF('الصرف المباشر'!C78="","","صرف مباشر")</f>
        <v/>
      </c>
      <c r="C578" t="str">
        <f>IF('الصرف المباشر'!C78="","",IF('الصرف المباشر'!E78="","-",'الصرف المباشر'!E78))</f>
        <v/>
      </c>
      <c r="D578" t="str">
        <f>IF('الصرف المباشر'!C78="","",'الصرف المباشر'!C78)</f>
        <v/>
      </c>
      <c r="E578" s="24" t="str">
        <f>IF('الصرف المباشر'!C78="","",-'الصرف المباشر'!D78)</f>
        <v/>
      </c>
      <c r="F578" t="str">
        <f>IF('الصرف المباشر'!C78="","",IF('الصرف المباشر'!F78="","",'الصرف المباشر'!F78))</f>
        <v/>
      </c>
      <c r="G578" t="str">
        <f>IF($B578&lt;&gt;"",SUMPRODUCT(($B$2:$B578&lt;&gt;"")*1),"")</f>
        <v/>
      </c>
    </row>
    <row r="579" spans="1:7">
      <c r="A579" s="23" t="str">
        <f>IF('الصرف المباشر'!C79="","",'الصرف المباشر'!B79)</f>
        <v/>
      </c>
      <c r="B579" t="str">
        <f>IF('الصرف المباشر'!C79="","","صرف مباشر")</f>
        <v/>
      </c>
      <c r="C579" t="str">
        <f>IF('الصرف المباشر'!C79="","",IF('الصرف المباشر'!E79="","-",'الصرف المباشر'!E79))</f>
        <v/>
      </c>
      <c r="D579" t="str">
        <f>IF('الصرف المباشر'!C79="","",'الصرف المباشر'!C79)</f>
        <v/>
      </c>
      <c r="E579" s="24" t="str">
        <f>IF('الصرف المباشر'!C79="","",-'الصرف المباشر'!D79)</f>
        <v/>
      </c>
      <c r="F579" t="str">
        <f>IF('الصرف المباشر'!C79="","",IF('الصرف المباشر'!F79="","",'الصرف المباشر'!F79))</f>
        <v/>
      </c>
      <c r="G579" t="str">
        <f>IF($B579&lt;&gt;"",SUMPRODUCT(($B$2:$B579&lt;&gt;"")*1),"")</f>
        <v/>
      </c>
    </row>
    <row r="580" spans="1:7">
      <c r="A580" s="23" t="str">
        <f>IF('الصرف المباشر'!C80="","",'الصرف المباشر'!B80)</f>
        <v/>
      </c>
      <c r="B580" t="str">
        <f>IF('الصرف المباشر'!C80="","","صرف مباشر")</f>
        <v/>
      </c>
      <c r="C580" t="str">
        <f>IF('الصرف المباشر'!C80="","",IF('الصرف المباشر'!E80="","-",'الصرف المباشر'!E80))</f>
        <v/>
      </c>
      <c r="D580" t="str">
        <f>IF('الصرف المباشر'!C80="","",'الصرف المباشر'!C80)</f>
        <v/>
      </c>
      <c r="E580" s="24" t="str">
        <f>IF('الصرف المباشر'!C80="","",-'الصرف المباشر'!D80)</f>
        <v/>
      </c>
      <c r="F580" t="str">
        <f>IF('الصرف المباشر'!C80="","",IF('الصرف المباشر'!F80="","",'الصرف المباشر'!F80))</f>
        <v/>
      </c>
      <c r="G580" t="str">
        <f>IF($B580&lt;&gt;"",SUMPRODUCT(($B$2:$B580&lt;&gt;"")*1),"")</f>
        <v/>
      </c>
    </row>
    <row r="581" spans="1:7">
      <c r="A581" s="23" t="str">
        <f>IF('الصرف المباشر'!C81="","",'الصرف المباشر'!B81)</f>
        <v/>
      </c>
      <c r="B581" t="str">
        <f>IF('الصرف المباشر'!C81="","","صرف مباشر")</f>
        <v/>
      </c>
      <c r="C581" t="str">
        <f>IF('الصرف المباشر'!C81="","",IF('الصرف المباشر'!E81="","-",'الصرف المباشر'!E81))</f>
        <v/>
      </c>
      <c r="D581" t="str">
        <f>IF('الصرف المباشر'!C81="","",'الصرف المباشر'!C81)</f>
        <v/>
      </c>
      <c r="E581" s="24" t="str">
        <f>IF('الصرف المباشر'!C81="","",-'الصرف المباشر'!D81)</f>
        <v/>
      </c>
      <c r="F581" t="str">
        <f>IF('الصرف المباشر'!C81="","",IF('الصرف المباشر'!F81="","",'الصرف المباشر'!F81))</f>
        <v/>
      </c>
      <c r="G581" t="str">
        <f>IF($B581&lt;&gt;"",SUMPRODUCT(($B$2:$B581&lt;&gt;"")*1),"")</f>
        <v/>
      </c>
    </row>
    <row r="582" spans="1:7">
      <c r="A582" s="23" t="str">
        <f>IF('الصرف المباشر'!C82="","",'الصرف المباشر'!B82)</f>
        <v/>
      </c>
      <c r="B582" t="str">
        <f>IF('الصرف المباشر'!C82="","","صرف مباشر")</f>
        <v/>
      </c>
      <c r="C582" t="str">
        <f>IF('الصرف المباشر'!C82="","",IF('الصرف المباشر'!E82="","-",'الصرف المباشر'!E82))</f>
        <v/>
      </c>
      <c r="D582" t="str">
        <f>IF('الصرف المباشر'!C82="","",'الصرف المباشر'!C82)</f>
        <v/>
      </c>
      <c r="E582" s="24" t="str">
        <f>IF('الصرف المباشر'!C82="","",-'الصرف المباشر'!D82)</f>
        <v/>
      </c>
      <c r="F582" t="str">
        <f>IF('الصرف المباشر'!C82="","",IF('الصرف المباشر'!F82="","",'الصرف المباشر'!F82))</f>
        <v/>
      </c>
      <c r="G582" t="str">
        <f>IF($B582&lt;&gt;"",SUMPRODUCT(($B$2:$B582&lt;&gt;"")*1),"")</f>
        <v/>
      </c>
    </row>
    <row r="583" spans="1:7">
      <c r="A583" s="23" t="str">
        <f>IF('الصرف المباشر'!C83="","",'الصرف المباشر'!B83)</f>
        <v/>
      </c>
      <c r="B583" t="str">
        <f>IF('الصرف المباشر'!C83="","","صرف مباشر")</f>
        <v/>
      </c>
      <c r="C583" t="str">
        <f>IF('الصرف المباشر'!C83="","",IF('الصرف المباشر'!E83="","-",'الصرف المباشر'!E83))</f>
        <v/>
      </c>
      <c r="D583" t="str">
        <f>IF('الصرف المباشر'!C83="","",'الصرف المباشر'!C83)</f>
        <v/>
      </c>
      <c r="E583" s="24" t="str">
        <f>IF('الصرف المباشر'!C83="","",-'الصرف المباشر'!D83)</f>
        <v/>
      </c>
      <c r="F583" t="str">
        <f>IF('الصرف المباشر'!C83="","",IF('الصرف المباشر'!F83="","",'الصرف المباشر'!F83))</f>
        <v/>
      </c>
      <c r="G583" t="str">
        <f>IF($B583&lt;&gt;"",SUMPRODUCT(($B$2:$B583&lt;&gt;"")*1),"")</f>
        <v/>
      </c>
    </row>
    <row r="584" spans="1:7">
      <c r="A584" s="23" t="str">
        <f>IF('الصرف المباشر'!C84="","",'الصرف المباشر'!B84)</f>
        <v/>
      </c>
      <c r="B584" t="str">
        <f>IF('الصرف المباشر'!C84="","","صرف مباشر")</f>
        <v/>
      </c>
      <c r="C584" t="str">
        <f>IF('الصرف المباشر'!C84="","",IF('الصرف المباشر'!E84="","-",'الصرف المباشر'!E84))</f>
        <v/>
      </c>
      <c r="D584" t="str">
        <f>IF('الصرف المباشر'!C84="","",'الصرف المباشر'!C84)</f>
        <v/>
      </c>
      <c r="E584" s="24" t="str">
        <f>IF('الصرف المباشر'!C84="","",-'الصرف المباشر'!D84)</f>
        <v/>
      </c>
      <c r="F584" t="str">
        <f>IF('الصرف المباشر'!C84="","",IF('الصرف المباشر'!F84="","",'الصرف المباشر'!F84))</f>
        <v/>
      </c>
      <c r="G584" t="str">
        <f>IF($B584&lt;&gt;"",SUMPRODUCT(($B$2:$B584&lt;&gt;"")*1),"")</f>
        <v/>
      </c>
    </row>
    <row r="585" spans="1:7">
      <c r="A585" s="23" t="str">
        <f>IF('الصرف المباشر'!C85="","",'الصرف المباشر'!B85)</f>
        <v/>
      </c>
      <c r="B585" t="str">
        <f>IF('الصرف المباشر'!C85="","","صرف مباشر")</f>
        <v/>
      </c>
      <c r="C585" t="str">
        <f>IF('الصرف المباشر'!C85="","",IF('الصرف المباشر'!E85="","-",'الصرف المباشر'!E85))</f>
        <v/>
      </c>
      <c r="D585" t="str">
        <f>IF('الصرف المباشر'!C85="","",'الصرف المباشر'!C85)</f>
        <v/>
      </c>
      <c r="E585" s="24" t="str">
        <f>IF('الصرف المباشر'!C85="","",-'الصرف المباشر'!D85)</f>
        <v/>
      </c>
      <c r="F585" t="str">
        <f>IF('الصرف المباشر'!C85="","",IF('الصرف المباشر'!F85="","",'الصرف المباشر'!F85))</f>
        <v/>
      </c>
      <c r="G585" t="str">
        <f>IF($B585&lt;&gt;"",SUMPRODUCT(($B$2:$B585&lt;&gt;"")*1),"")</f>
        <v/>
      </c>
    </row>
    <row r="586" spans="1:7">
      <c r="A586" s="23" t="str">
        <f>IF('الصرف المباشر'!C86="","",'الصرف المباشر'!B86)</f>
        <v/>
      </c>
      <c r="B586" t="str">
        <f>IF('الصرف المباشر'!C86="","","صرف مباشر")</f>
        <v/>
      </c>
      <c r="C586" t="str">
        <f>IF('الصرف المباشر'!C86="","",IF('الصرف المباشر'!E86="","-",'الصرف المباشر'!E86))</f>
        <v/>
      </c>
      <c r="D586" t="str">
        <f>IF('الصرف المباشر'!C86="","",'الصرف المباشر'!C86)</f>
        <v/>
      </c>
      <c r="E586" s="24" t="str">
        <f>IF('الصرف المباشر'!C86="","",-'الصرف المباشر'!D86)</f>
        <v/>
      </c>
      <c r="F586" t="str">
        <f>IF('الصرف المباشر'!C86="","",IF('الصرف المباشر'!F86="","",'الصرف المباشر'!F86))</f>
        <v/>
      </c>
      <c r="G586" t="str">
        <f>IF($B586&lt;&gt;"",SUMPRODUCT(($B$2:$B586&lt;&gt;"")*1),"")</f>
        <v/>
      </c>
    </row>
    <row r="587" spans="1:7">
      <c r="A587" s="23" t="str">
        <f>IF('الصرف المباشر'!C87="","",'الصرف المباشر'!B87)</f>
        <v/>
      </c>
      <c r="B587" t="str">
        <f>IF('الصرف المباشر'!C87="","","صرف مباشر")</f>
        <v/>
      </c>
      <c r="C587" t="str">
        <f>IF('الصرف المباشر'!C87="","",IF('الصرف المباشر'!E87="","-",'الصرف المباشر'!E87))</f>
        <v/>
      </c>
      <c r="D587" t="str">
        <f>IF('الصرف المباشر'!C87="","",'الصرف المباشر'!C87)</f>
        <v/>
      </c>
      <c r="E587" s="24" t="str">
        <f>IF('الصرف المباشر'!C87="","",-'الصرف المباشر'!D87)</f>
        <v/>
      </c>
      <c r="F587" t="str">
        <f>IF('الصرف المباشر'!C87="","",IF('الصرف المباشر'!F87="","",'الصرف المباشر'!F87))</f>
        <v/>
      </c>
      <c r="G587" t="str">
        <f>IF($B587&lt;&gt;"",SUMPRODUCT(($B$2:$B587&lt;&gt;"")*1),"")</f>
        <v/>
      </c>
    </row>
    <row r="588" spans="1:7">
      <c r="A588" s="23" t="str">
        <f>IF('الصرف المباشر'!C88="","",'الصرف المباشر'!B88)</f>
        <v/>
      </c>
      <c r="B588" t="str">
        <f>IF('الصرف المباشر'!C88="","","صرف مباشر")</f>
        <v/>
      </c>
      <c r="C588" t="str">
        <f>IF('الصرف المباشر'!C88="","",IF('الصرف المباشر'!E88="","-",'الصرف المباشر'!E88))</f>
        <v/>
      </c>
      <c r="D588" t="str">
        <f>IF('الصرف المباشر'!C88="","",'الصرف المباشر'!C88)</f>
        <v/>
      </c>
      <c r="E588" s="24" t="str">
        <f>IF('الصرف المباشر'!C88="","",-'الصرف المباشر'!D88)</f>
        <v/>
      </c>
      <c r="F588" t="str">
        <f>IF('الصرف المباشر'!C88="","",IF('الصرف المباشر'!F88="","",'الصرف المباشر'!F88))</f>
        <v/>
      </c>
      <c r="G588" t="str">
        <f>IF($B588&lt;&gt;"",SUMPRODUCT(($B$2:$B588&lt;&gt;"")*1),"")</f>
        <v/>
      </c>
    </row>
    <row r="589" spans="1:7">
      <c r="A589" s="23" t="str">
        <f>IF('الصرف المباشر'!C89="","",'الصرف المباشر'!B89)</f>
        <v/>
      </c>
      <c r="B589" t="str">
        <f>IF('الصرف المباشر'!C89="","","صرف مباشر")</f>
        <v/>
      </c>
      <c r="C589" t="str">
        <f>IF('الصرف المباشر'!C89="","",IF('الصرف المباشر'!E89="","-",'الصرف المباشر'!E89))</f>
        <v/>
      </c>
      <c r="D589" t="str">
        <f>IF('الصرف المباشر'!C89="","",'الصرف المباشر'!C89)</f>
        <v/>
      </c>
      <c r="E589" s="24" t="str">
        <f>IF('الصرف المباشر'!C89="","",-'الصرف المباشر'!D89)</f>
        <v/>
      </c>
      <c r="F589" t="str">
        <f>IF('الصرف المباشر'!C89="","",IF('الصرف المباشر'!F89="","",'الصرف المباشر'!F89))</f>
        <v/>
      </c>
      <c r="G589" t="str">
        <f>IF($B589&lt;&gt;"",SUMPRODUCT(($B$2:$B589&lt;&gt;"")*1),"")</f>
        <v/>
      </c>
    </row>
    <row r="590" spans="1:7">
      <c r="A590" s="23" t="str">
        <f>IF('الصرف المباشر'!C90="","",'الصرف المباشر'!B90)</f>
        <v/>
      </c>
      <c r="B590" t="str">
        <f>IF('الصرف المباشر'!C90="","","صرف مباشر")</f>
        <v/>
      </c>
      <c r="C590" t="str">
        <f>IF('الصرف المباشر'!C90="","",IF('الصرف المباشر'!E90="","-",'الصرف المباشر'!E90))</f>
        <v/>
      </c>
      <c r="D590" t="str">
        <f>IF('الصرف المباشر'!C90="","",'الصرف المباشر'!C90)</f>
        <v/>
      </c>
      <c r="E590" s="24" t="str">
        <f>IF('الصرف المباشر'!C90="","",-'الصرف المباشر'!D90)</f>
        <v/>
      </c>
      <c r="F590" t="str">
        <f>IF('الصرف المباشر'!C90="","",IF('الصرف المباشر'!F90="","",'الصرف المباشر'!F90))</f>
        <v/>
      </c>
      <c r="G590" t="str">
        <f>IF($B590&lt;&gt;"",SUMPRODUCT(($B$2:$B590&lt;&gt;"")*1),"")</f>
        <v/>
      </c>
    </row>
    <row r="591" spans="1:7">
      <c r="A591" s="23" t="str">
        <f>IF('الصرف المباشر'!C91="","",'الصرف المباشر'!B91)</f>
        <v/>
      </c>
      <c r="B591" t="str">
        <f>IF('الصرف المباشر'!C91="","","صرف مباشر")</f>
        <v/>
      </c>
      <c r="C591" t="str">
        <f>IF('الصرف المباشر'!C91="","",IF('الصرف المباشر'!E91="","-",'الصرف المباشر'!E91))</f>
        <v/>
      </c>
      <c r="D591" t="str">
        <f>IF('الصرف المباشر'!C91="","",'الصرف المباشر'!C91)</f>
        <v/>
      </c>
      <c r="E591" s="24" t="str">
        <f>IF('الصرف المباشر'!C91="","",-'الصرف المباشر'!D91)</f>
        <v/>
      </c>
      <c r="F591" t="str">
        <f>IF('الصرف المباشر'!C91="","",IF('الصرف المباشر'!F91="","",'الصرف المباشر'!F91))</f>
        <v/>
      </c>
      <c r="G591" t="str">
        <f>IF($B591&lt;&gt;"",SUMPRODUCT(($B$2:$B591&lt;&gt;"")*1),"")</f>
        <v/>
      </c>
    </row>
    <row r="592" spans="1:7">
      <c r="A592" s="23" t="str">
        <f>IF('الصرف المباشر'!C92="","",'الصرف المباشر'!B92)</f>
        <v/>
      </c>
      <c r="B592" t="str">
        <f>IF('الصرف المباشر'!C92="","","صرف مباشر")</f>
        <v/>
      </c>
      <c r="C592" t="str">
        <f>IF('الصرف المباشر'!C92="","",IF('الصرف المباشر'!E92="","-",'الصرف المباشر'!E92))</f>
        <v/>
      </c>
      <c r="D592" t="str">
        <f>IF('الصرف المباشر'!C92="","",'الصرف المباشر'!C92)</f>
        <v/>
      </c>
      <c r="E592" s="24" t="str">
        <f>IF('الصرف المباشر'!C92="","",-'الصرف المباشر'!D92)</f>
        <v/>
      </c>
      <c r="F592" t="str">
        <f>IF('الصرف المباشر'!C92="","",IF('الصرف المباشر'!F92="","",'الصرف المباشر'!F92))</f>
        <v/>
      </c>
      <c r="G592" t="str">
        <f>IF($B592&lt;&gt;"",SUMPRODUCT(($B$2:$B592&lt;&gt;"")*1),"")</f>
        <v/>
      </c>
    </row>
    <row r="593" spans="1:7">
      <c r="A593" s="23" t="str">
        <f>IF('الصرف المباشر'!C93="","",'الصرف المباشر'!B93)</f>
        <v/>
      </c>
      <c r="B593" t="str">
        <f>IF('الصرف المباشر'!C93="","","صرف مباشر")</f>
        <v/>
      </c>
      <c r="C593" t="str">
        <f>IF('الصرف المباشر'!C93="","",IF('الصرف المباشر'!E93="","-",'الصرف المباشر'!E93))</f>
        <v/>
      </c>
      <c r="D593" t="str">
        <f>IF('الصرف المباشر'!C93="","",'الصرف المباشر'!C93)</f>
        <v/>
      </c>
      <c r="E593" s="24" t="str">
        <f>IF('الصرف المباشر'!C93="","",-'الصرف المباشر'!D93)</f>
        <v/>
      </c>
      <c r="F593" t="str">
        <f>IF('الصرف المباشر'!C93="","",IF('الصرف المباشر'!F93="","",'الصرف المباشر'!F93))</f>
        <v/>
      </c>
      <c r="G593" t="str">
        <f>IF($B593&lt;&gt;"",SUMPRODUCT(($B$2:$B593&lt;&gt;"")*1),"")</f>
        <v/>
      </c>
    </row>
    <row r="594" spans="1:7">
      <c r="A594" s="23" t="str">
        <f>IF('الصرف المباشر'!C94="","",'الصرف المباشر'!B94)</f>
        <v/>
      </c>
      <c r="B594" t="str">
        <f>IF('الصرف المباشر'!C94="","","صرف مباشر")</f>
        <v/>
      </c>
      <c r="C594" t="str">
        <f>IF('الصرف المباشر'!C94="","",IF('الصرف المباشر'!E94="","-",'الصرف المباشر'!E94))</f>
        <v/>
      </c>
      <c r="D594" t="str">
        <f>IF('الصرف المباشر'!C94="","",'الصرف المباشر'!C94)</f>
        <v/>
      </c>
      <c r="E594" s="24" t="str">
        <f>IF('الصرف المباشر'!C94="","",-'الصرف المباشر'!D94)</f>
        <v/>
      </c>
      <c r="F594" t="str">
        <f>IF('الصرف المباشر'!C94="","",IF('الصرف المباشر'!F94="","",'الصرف المباشر'!F94))</f>
        <v/>
      </c>
      <c r="G594" t="str">
        <f>IF($B594&lt;&gt;"",SUMPRODUCT(($B$2:$B594&lt;&gt;"")*1),"")</f>
        <v/>
      </c>
    </row>
    <row r="595" spans="1:7">
      <c r="A595" s="23" t="str">
        <f>IF('الصرف المباشر'!C95="","",'الصرف المباشر'!B95)</f>
        <v/>
      </c>
      <c r="B595" t="str">
        <f>IF('الصرف المباشر'!C95="","","صرف مباشر")</f>
        <v/>
      </c>
      <c r="C595" t="str">
        <f>IF('الصرف المباشر'!C95="","",IF('الصرف المباشر'!E95="","-",'الصرف المباشر'!E95))</f>
        <v/>
      </c>
      <c r="D595" t="str">
        <f>IF('الصرف المباشر'!C95="","",'الصرف المباشر'!C95)</f>
        <v/>
      </c>
      <c r="E595" s="24" t="str">
        <f>IF('الصرف المباشر'!C95="","",-'الصرف المباشر'!D95)</f>
        <v/>
      </c>
      <c r="F595" t="str">
        <f>IF('الصرف المباشر'!C95="","",IF('الصرف المباشر'!F95="","",'الصرف المباشر'!F95))</f>
        <v/>
      </c>
      <c r="G595" t="str">
        <f>IF($B595&lt;&gt;"",SUMPRODUCT(($B$2:$B595&lt;&gt;"")*1),"")</f>
        <v/>
      </c>
    </row>
    <row r="596" spans="1:7">
      <c r="A596" s="23" t="str">
        <f>IF('الصرف المباشر'!C96="","",'الصرف المباشر'!B96)</f>
        <v/>
      </c>
      <c r="B596" t="str">
        <f>IF('الصرف المباشر'!C96="","","صرف مباشر")</f>
        <v/>
      </c>
      <c r="C596" t="str">
        <f>IF('الصرف المباشر'!C96="","",IF('الصرف المباشر'!E96="","-",'الصرف المباشر'!E96))</f>
        <v/>
      </c>
      <c r="D596" t="str">
        <f>IF('الصرف المباشر'!C96="","",'الصرف المباشر'!C96)</f>
        <v/>
      </c>
      <c r="E596" s="24" t="str">
        <f>IF('الصرف المباشر'!C96="","",-'الصرف المباشر'!D96)</f>
        <v/>
      </c>
      <c r="F596" t="str">
        <f>IF('الصرف المباشر'!C96="","",IF('الصرف المباشر'!F96="","",'الصرف المباشر'!F96))</f>
        <v/>
      </c>
      <c r="G596" t="str">
        <f>IF($B596&lt;&gt;"",SUMPRODUCT(($B$2:$B596&lt;&gt;"")*1),"")</f>
        <v/>
      </c>
    </row>
    <row r="597" spans="1:7">
      <c r="A597" s="23" t="str">
        <f>IF('الصرف المباشر'!C97="","",'الصرف المباشر'!B97)</f>
        <v/>
      </c>
      <c r="B597" t="str">
        <f>IF('الصرف المباشر'!C97="","","صرف مباشر")</f>
        <v/>
      </c>
      <c r="C597" t="str">
        <f>IF('الصرف المباشر'!C97="","",IF('الصرف المباشر'!E97="","-",'الصرف المباشر'!E97))</f>
        <v/>
      </c>
      <c r="D597" t="str">
        <f>IF('الصرف المباشر'!C97="","",'الصرف المباشر'!C97)</f>
        <v/>
      </c>
      <c r="E597" s="24" t="str">
        <f>IF('الصرف المباشر'!C97="","",-'الصرف المباشر'!D97)</f>
        <v/>
      </c>
      <c r="F597" t="str">
        <f>IF('الصرف المباشر'!C97="","",IF('الصرف المباشر'!F97="","",'الصرف المباشر'!F97))</f>
        <v/>
      </c>
      <c r="G597" t="str">
        <f>IF($B597&lt;&gt;"",SUMPRODUCT(($B$2:$B597&lt;&gt;"")*1),"")</f>
        <v/>
      </c>
    </row>
    <row r="598" spans="1:7">
      <c r="A598" s="23" t="str">
        <f>IF('الصرف المباشر'!C98="","",'الصرف المباشر'!B98)</f>
        <v/>
      </c>
      <c r="B598" t="str">
        <f>IF('الصرف المباشر'!C98="","","صرف مباشر")</f>
        <v/>
      </c>
      <c r="C598" t="str">
        <f>IF('الصرف المباشر'!C98="","",IF('الصرف المباشر'!E98="","-",'الصرف المباشر'!E98))</f>
        <v/>
      </c>
      <c r="D598" t="str">
        <f>IF('الصرف المباشر'!C98="","",'الصرف المباشر'!C98)</f>
        <v/>
      </c>
      <c r="E598" s="24" t="str">
        <f>IF('الصرف المباشر'!C98="","",-'الصرف المباشر'!D98)</f>
        <v/>
      </c>
      <c r="F598" t="str">
        <f>IF('الصرف المباشر'!C98="","",IF('الصرف المباشر'!F98="","",'الصرف المباشر'!F98))</f>
        <v/>
      </c>
      <c r="G598" t="str">
        <f>IF($B598&lt;&gt;"",SUMPRODUCT(($B$2:$B598&lt;&gt;"")*1),"")</f>
        <v/>
      </c>
    </row>
    <row r="599" spans="1:7">
      <c r="A599" s="23" t="str">
        <f>IF('الصرف المباشر'!C99="","",'الصرف المباشر'!B99)</f>
        <v/>
      </c>
      <c r="B599" t="str">
        <f>IF('الصرف المباشر'!C99="","","صرف مباشر")</f>
        <v/>
      </c>
      <c r="C599" t="str">
        <f>IF('الصرف المباشر'!C99="","",IF('الصرف المباشر'!E99="","-",'الصرف المباشر'!E99))</f>
        <v/>
      </c>
      <c r="D599" t="str">
        <f>IF('الصرف المباشر'!C99="","",'الصرف المباشر'!C99)</f>
        <v/>
      </c>
      <c r="E599" s="24" t="str">
        <f>IF('الصرف المباشر'!C99="","",-'الصرف المباشر'!D99)</f>
        <v/>
      </c>
      <c r="F599" t="str">
        <f>IF('الصرف المباشر'!C99="","",IF('الصرف المباشر'!F99="","",'الصرف المباشر'!F99))</f>
        <v/>
      </c>
      <c r="G599" t="str">
        <f>IF($B599&lt;&gt;"",SUMPRODUCT(($B$2:$B599&lt;&gt;"")*1),"")</f>
        <v/>
      </c>
    </row>
    <row r="600" spans="1:7">
      <c r="A600" s="23" t="str">
        <f>IF('الصرف المباشر'!C100="","",'الصرف المباشر'!B100)</f>
        <v/>
      </c>
      <c r="B600" t="str">
        <f>IF('الصرف المباشر'!C100="","","صرف مباشر")</f>
        <v/>
      </c>
      <c r="C600" t="str">
        <f>IF('الصرف المباشر'!C100="","",IF('الصرف المباشر'!E100="","-",'الصرف المباشر'!E100))</f>
        <v/>
      </c>
      <c r="D600" t="str">
        <f>IF('الصرف المباشر'!C100="","",'الصرف المباشر'!C100)</f>
        <v/>
      </c>
      <c r="E600" s="24" t="str">
        <f>IF('الصرف المباشر'!C100="","",-'الصرف المباشر'!D100)</f>
        <v/>
      </c>
      <c r="F600" t="str">
        <f>IF('الصرف المباشر'!C100="","",IF('الصرف المباشر'!F100="","",'الصرف المباشر'!F100))</f>
        <v/>
      </c>
      <c r="G600" t="str">
        <f>IF($B600&lt;&gt;"",SUMPRODUCT(($B$2:$B600&lt;&gt;"")*1),"")</f>
        <v/>
      </c>
    </row>
    <row r="601" spans="1:7">
      <c r="A601" s="23" t="str">
        <f>IF('الصرف المباشر'!C101="","",'الصرف المباشر'!B101)</f>
        <v/>
      </c>
      <c r="B601" t="str">
        <f>IF('الصرف المباشر'!C101="","","صرف مباشر")</f>
        <v/>
      </c>
      <c r="C601" t="str">
        <f>IF('الصرف المباشر'!C101="","",IF('الصرف المباشر'!E101="","-",'الصرف المباشر'!E101))</f>
        <v/>
      </c>
      <c r="D601" t="str">
        <f>IF('الصرف المباشر'!C101="","",'الصرف المباشر'!C101)</f>
        <v/>
      </c>
      <c r="E601" s="24" t="str">
        <f>IF('الصرف المباشر'!C101="","",-'الصرف المباشر'!D101)</f>
        <v/>
      </c>
      <c r="F601" t="str">
        <f>IF('الصرف المباشر'!C101="","",IF('الصرف المباشر'!F101="","",'الصرف المباشر'!F101))</f>
        <v/>
      </c>
      <c r="G601" t="str">
        <f>IF($B601&lt;&gt;"",SUMPRODUCT(($B$2:$B601&lt;&gt;"")*1),"")</f>
        <v/>
      </c>
    </row>
    <row r="602" spans="1:7">
      <c r="A602" s="23" t="str">
        <f>IF('الصرف المباشر'!C102="","",'الصرف المباشر'!B102)</f>
        <v/>
      </c>
      <c r="B602" t="str">
        <f>IF('الصرف المباشر'!C102="","","صرف مباشر")</f>
        <v/>
      </c>
      <c r="C602" t="str">
        <f>IF('الصرف المباشر'!C102="","",IF('الصرف المباشر'!E102="","-",'الصرف المباشر'!E102))</f>
        <v/>
      </c>
      <c r="D602" t="str">
        <f>IF('الصرف المباشر'!C102="","",'الصرف المباشر'!C102)</f>
        <v/>
      </c>
      <c r="E602" s="24" t="str">
        <f>IF('الصرف المباشر'!C102="","",-'الصرف المباشر'!D102)</f>
        <v/>
      </c>
      <c r="F602" t="str">
        <f>IF('الصرف المباشر'!C102="","",IF('الصرف المباشر'!F102="","",'الصرف المباشر'!F102))</f>
        <v/>
      </c>
      <c r="G602" t="str">
        <f>IF($B602&lt;&gt;"",SUMPRODUCT(($B$2:$B602&lt;&gt;"")*1),"")</f>
        <v/>
      </c>
    </row>
    <row r="603" spans="1:7">
      <c r="A603" s="23" t="str">
        <f>IF('الصرف المباشر'!C103="","",'الصرف المباشر'!B103)</f>
        <v/>
      </c>
      <c r="B603" t="str">
        <f>IF('الصرف المباشر'!C103="","","صرف مباشر")</f>
        <v/>
      </c>
      <c r="C603" t="str">
        <f>IF('الصرف المباشر'!C103="","",IF('الصرف المباشر'!E103="","-",'الصرف المباشر'!E103))</f>
        <v/>
      </c>
      <c r="D603" t="str">
        <f>IF('الصرف المباشر'!C103="","",'الصرف المباشر'!C103)</f>
        <v/>
      </c>
      <c r="E603" s="24" t="str">
        <f>IF('الصرف المباشر'!C103="","",-'الصرف المباشر'!D103)</f>
        <v/>
      </c>
      <c r="F603" t="str">
        <f>IF('الصرف المباشر'!C103="","",IF('الصرف المباشر'!F103="","",'الصرف المباشر'!F103))</f>
        <v/>
      </c>
      <c r="G603" t="str">
        <f>IF($B603&lt;&gt;"",SUMPRODUCT(($B$2:$B603&lt;&gt;"")*1),"")</f>
        <v/>
      </c>
    </row>
    <row r="604" spans="1:7">
      <c r="A604" s="23" t="str">
        <f>IF('الصرف المباشر'!C104="","",'الصرف المباشر'!B104)</f>
        <v/>
      </c>
      <c r="B604" t="str">
        <f>IF('الصرف المباشر'!C104="","","صرف مباشر")</f>
        <v/>
      </c>
      <c r="C604" t="str">
        <f>IF('الصرف المباشر'!C104="","",IF('الصرف المباشر'!E104="","-",'الصرف المباشر'!E104))</f>
        <v/>
      </c>
      <c r="D604" t="str">
        <f>IF('الصرف المباشر'!C104="","",'الصرف المباشر'!C104)</f>
        <v/>
      </c>
      <c r="E604" s="24" t="str">
        <f>IF('الصرف المباشر'!C104="","",-'الصرف المباشر'!D104)</f>
        <v/>
      </c>
      <c r="F604" t="str">
        <f>IF('الصرف المباشر'!C104="","",IF('الصرف المباشر'!F104="","",'الصرف المباشر'!F104))</f>
        <v/>
      </c>
      <c r="G604" t="str">
        <f>IF($B604&lt;&gt;"",SUMPRODUCT(($B$2:$B604&lt;&gt;"")*1),"")</f>
        <v/>
      </c>
    </row>
    <row r="605" spans="1:7">
      <c r="A605" s="23" t="str">
        <f>IF('الصرف المباشر'!C105="","",'الصرف المباشر'!B105)</f>
        <v/>
      </c>
      <c r="B605" t="str">
        <f>IF('الصرف المباشر'!C105="","","صرف مباشر")</f>
        <v/>
      </c>
      <c r="C605" t="str">
        <f>IF('الصرف المباشر'!C105="","",IF('الصرف المباشر'!E105="","-",'الصرف المباشر'!E105))</f>
        <v/>
      </c>
      <c r="D605" t="str">
        <f>IF('الصرف المباشر'!C105="","",'الصرف المباشر'!C105)</f>
        <v/>
      </c>
      <c r="E605" s="24" t="str">
        <f>IF('الصرف المباشر'!C105="","",-'الصرف المباشر'!D105)</f>
        <v/>
      </c>
      <c r="F605" t="str">
        <f>IF('الصرف المباشر'!C105="","",IF('الصرف المباشر'!F105="","",'الصرف المباشر'!F105))</f>
        <v/>
      </c>
      <c r="G605" t="str">
        <f>IF($B605&lt;&gt;"",SUMPRODUCT(($B$2:$B605&lt;&gt;"")*1),"")</f>
        <v/>
      </c>
    </row>
    <row r="606" spans="1:7">
      <c r="A606" s="23" t="str">
        <f>IF('الصرف المباشر'!C106="","",'الصرف المباشر'!B106)</f>
        <v/>
      </c>
      <c r="B606" t="str">
        <f>IF('الصرف المباشر'!C106="","","صرف مباشر")</f>
        <v/>
      </c>
      <c r="C606" t="str">
        <f>IF('الصرف المباشر'!C106="","",IF('الصرف المباشر'!E106="","-",'الصرف المباشر'!E106))</f>
        <v/>
      </c>
      <c r="D606" t="str">
        <f>IF('الصرف المباشر'!C106="","",'الصرف المباشر'!C106)</f>
        <v/>
      </c>
      <c r="E606" s="24" t="str">
        <f>IF('الصرف المباشر'!C106="","",-'الصرف المباشر'!D106)</f>
        <v/>
      </c>
      <c r="F606" t="str">
        <f>IF('الصرف المباشر'!C106="","",IF('الصرف المباشر'!F106="","",'الصرف المباشر'!F106))</f>
        <v/>
      </c>
      <c r="G606" t="str">
        <f>IF($B606&lt;&gt;"",SUMPRODUCT(($B$2:$B606&lt;&gt;"")*1),"")</f>
        <v/>
      </c>
    </row>
    <row r="607" spans="1:7">
      <c r="A607" s="23" t="str">
        <f>IF('الصرف المباشر'!C107="","",'الصرف المباشر'!B107)</f>
        <v/>
      </c>
      <c r="B607" t="str">
        <f>IF('الصرف المباشر'!C107="","","صرف مباشر")</f>
        <v/>
      </c>
      <c r="C607" t="str">
        <f>IF('الصرف المباشر'!C107="","",IF('الصرف المباشر'!E107="","-",'الصرف المباشر'!E107))</f>
        <v/>
      </c>
      <c r="D607" t="str">
        <f>IF('الصرف المباشر'!C107="","",'الصرف المباشر'!C107)</f>
        <v/>
      </c>
      <c r="E607" s="24" t="str">
        <f>IF('الصرف المباشر'!C107="","",-'الصرف المباشر'!D107)</f>
        <v/>
      </c>
      <c r="F607" t="str">
        <f>IF('الصرف المباشر'!C107="","",IF('الصرف المباشر'!F107="","",'الصرف المباشر'!F107))</f>
        <v/>
      </c>
      <c r="G607" t="str">
        <f>IF($B607&lt;&gt;"",SUMPRODUCT(($B$2:$B607&lt;&gt;"")*1),"")</f>
        <v/>
      </c>
    </row>
    <row r="608" spans="1:7">
      <c r="A608" s="23" t="str">
        <f>IF('الصرف المباشر'!C108="","",'الصرف المباشر'!B108)</f>
        <v/>
      </c>
      <c r="B608" t="str">
        <f>IF('الصرف المباشر'!C108="","","صرف مباشر")</f>
        <v/>
      </c>
      <c r="C608" t="str">
        <f>IF('الصرف المباشر'!C108="","",IF('الصرف المباشر'!E108="","-",'الصرف المباشر'!E108))</f>
        <v/>
      </c>
      <c r="D608" t="str">
        <f>IF('الصرف المباشر'!C108="","",'الصرف المباشر'!C108)</f>
        <v/>
      </c>
      <c r="E608" s="24" t="str">
        <f>IF('الصرف المباشر'!C108="","",-'الصرف المباشر'!D108)</f>
        <v/>
      </c>
      <c r="F608" t="str">
        <f>IF('الصرف المباشر'!C108="","",IF('الصرف المباشر'!F108="","",'الصرف المباشر'!F108))</f>
        <v/>
      </c>
      <c r="G608" t="str">
        <f>IF($B608&lt;&gt;"",SUMPRODUCT(($B$2:$B608&lt;&gt;"")*1),"")</f>
        <v/>
      </c>
    </row>
    <row r="609" spans="1:7">
      <c r="A609" s="23" t="str">
        <f>IF('الصرف المباشر'!C109="","",'الصرف المباشر'!B109)</f>
        <v/>
      </c>
      <c r="B609" t="str">
        <f>IF('الصرف المباشر'!C109="","","صرف مباشر")</f>
        <v/>
      </c>
      <c r="C609" t="str">
        <f>IF('الصرف المباشر'!C109="","",IF('الصرف المباشر'!E109="","-",'الصرف المباشر'!E109))</f>
        <v/>
      </c>
      <c r="D609" t="str">
        <f>IF('الصرف المباشر'!C109="","",'الصرف المباشر'!C109)</f>
        <v/>
      </c>
      <c r="E609" s="24" t="str">
        <f>IF('الصرف المباشر'!C109="","",-'الصرف المباشر'!D109)</f>
        <v/>
      </c>
      <c r="F609" t="str">
        <f>IF('الصرف المباشر'!C109="","",IF('الصرف المباشر'!F109="","",'الصرف المباشر'!F109))</f>
        <v/>
      </c>
      <c r="G609" t="str">
        <f>IF($B609&lt;&gt;"",SUMPRODUCT(($B$2:$B609&lt;&gt;"")*1),"")</f>
        <v/>
      </c>
    </row>
    <row r="610" spans="1:7">
      <c r="A610" s="23" t="str">
        <f>IF('الصرف المباشر'!C110="","",'الصرف المباشر'!B110)</f>
        <v/>
      </c>
      <c r="B610" t="str">
        <f>IF('الصرف المباشر'!C110="","","صرف مباشر")</f>
        <v/>
      </c>
      <c r="C610" t="str">
        <f>IF('الصرف المباشر'!C110="","",IF('الصرف المباشر'!E110="","-",'الصرف المباشر'!E110))</f>
        <v/>
      </c>
      <c r="D610" t="str">
        <f>IF('الصرف المباشر'!C110="","",'الصرف المباشر'!C110)</f>
        <v/>
      </c>
      <c r="E610" s="24" t="str">
        <f>IF('الصرف المباشر'!C110="","",-'الصرف المباشر'!D110)</f>
        <v/>
      </c>
      <c r="F610" t="str">
        <f>IF('الصرف المباشر'!C110="","",IF('الصرف المباشر'!F110="","",'الصرف المباشر'!F110))</f>
        <v/>
      </c>
      <c r="G610" t="str">
        <f>IF($B610&lt;&gt;"",SUMPRODUCT(($B$2:$B610&lt;&gt;"")*1),"")</f>
        <v/>
      </c>
    </row>
    <row r="611" spans="1:7">
      <c r="A611" s="23" t="str">
        <f>IF('الصرف المباشر'!C111="","",'الصرف المباشر'!B111)</f>
        <v/>
      </c>
      <c r="B611" t="str">
        <f>IF('الصرف المباشر'!C111="","","صرف مباشر")</f>
        <v/>
      </c>
      <c r="C611" t="str">
        <f>IF('الصرف المباشر'!C111="","",IF('الصرف المباشر'!E111="","-",'الصرف المباشر'!E111))</f>
        <v/>
      </c>
      <c r="D611" t="str">
        <f>IF('الصرف المباشر'!C111="","",'الصرف المباشر'!C111)</f>
        <v/>
      </c>
      <c r="E611" s="24" t="str">
        <f>IF('الصرف المباشر'!C111="","",-'الصرف المباشر'!D111)</f>
        <v/>
      </c>
      <c r="F611" t="str">
        <f>IF('الصرف المباشر'!C111="","",IF('الصرف المباشر'!F111="","",'الصرف المباشر'!F111))</f>
        <v/>
      </c>
      <c r="G611" t="str">
        <f>IF($B611&lt;&gt;"",SUMPRODUCT(($B$2:$B611&lt;&gt;"")*1),"")</f>
        <v/>
      </c>
    </row>
    <row r="612" spans="1:7">
      <c r="A612" s="23" t="str">
        <f>IF('الصرف المباشر'!C112="","",'الصرف المباشر'!B112)</f>
        <v/>
      </c>
      <c r="B612" t="str">
        <f>IF('الصرف المباشر'!C112="","","صرف مباشر")</f>
        <v/>
      </c>
      <c r="C612" t="str">
        <f>IF('الصرف المباشر'!C112="","",IF('الصرف المباشر'!E112="","-",'الصرف المباشر'!E112))</f>
        <v/>
      </c>
      <c r="D612" t="str">
        <f>IF('الصرف المباشر'!C112="","",'الصرف المباشر'!C112)</f>
        <v/>
      </c>
      <c r="E612" s="24" t="str">
        <f>IF('الصرف المباشر'!C112="","",-'الصرف المباشر'!D112)</f>
        <v/>
      </c>
      <c r="F612" t="str">
        <f>IF('الصرف المباشر'!C112="","",IF('الصرف المباشر'!F112="","",'الصرف المباشر'!F112))</f>
        <v/>
      </c>
      <c r="G612" t="str">
        <f>IF($B612&lt;&gt;"",SUMPRODUCT(($B$2:$B612&lt;&gt;"")*1),"")</f>
        <v/>
      </c>
    </row>
    <row r="613" spans="1:7">
      <c r="A613" s="23" t="str">
        <f>IF('الصرف المباشر'!C113="","",'الصرف المباشر'!B113)</f>
        <v/>
      </c>
      <c r="B613" t="str">
        <f>IF('الصرف المباشر'!C113="","","صرف مباشر")</f>
        <v/>
      </c>
      <c r="C613" t="str">
        <f>IF('الصرف المباشر'!C113="","",IF('الصرف المباشر'!E113="","-",'الصرف المباشر'!E113))</f>
        <v/>
      </c>
      <c r="D613" t="str">
        <f>IF('الصرف المباشر'!C113="","",'الصرف المباشر'!C113)</f>
        <v/>
      </c>
      <c r="E613" s="24" t="str">
        <f>IF('الصرف المباشر'!C113="","",-'الصرف المباشر'!D113)</f>
        <v/>
      </c>
      <c r="F613" t="str">
        <f>IF('الصرف المباشر'!C113="","",IF('الصرف المباشر'!F113="","",'الصرف المباشر'!F113))</f>
        <v/>
      </c>
      <c r="G613" t="str">
        <f>IF($B613&lt;&gt;"",SUMPRODUCT(($B$2:$B613&lt;&gt;"")*1),"")</f>
        <v/>
      </c>
    </row>
    <row r="614" spans="1:7">
      <c r="A614" s="23" t="str">
        <f>IF('الصرف المباشر'!C114="","",'الصرف المباشر'!B114)</f>
        <v/>
      </c>
      <c r="B614" t="str">
        <f>IF('الصرف المباشر'!C114="","","صرف مباشر")</f>
        <v/>
      </c>
      <c r="C614" t="str">
        <f>IF('الصرف المباشر'!C114="","",IF('الصرف المباشر'!E114="","-",'الصرف المباشر'!E114))</f>
        <v/>
      </c>
      <c r="D614" t="str">
        <f>IF('الصرف المباشر'!C114="","",'الصرف المباشر'!C114)</f>
        <v/>
      </c>
      <c r="E614" s="24" t="str">
        <f>IF('الصرف المباشر'!C114="","",-'الصرف المباشر'!D114)</f>
        <v/>
      </c>
      <c r="F614" t="str">
        <f>IF('الصرف المباشر'!C114="","",IF('الصرف المباشر'!F114="","",'الصرف المباشر'!F114))</f>
        <v/>
      </c>
      <c r="G614" t="str">
        <f>IF($B614&lt;&gt;"",SUMPRODUCT(($B$2:$B614&lt;&gt;"")*1),"")</f>
        <v/>
      </c>
    </row>
    <row r="615" spans="1:7">
      <c r="A615" s="23" t="str">
        <f>IF('الصرف المباشر'!C115="","",'الصرف المباشر'!B115)</f>
        <v/>
      </c>
      <c r="B615" t="str">
        <f>IF('الصرف المباشر'!C115="","","صرف مباشر")</f>
        <v/>
      </c>
      <c r="C615" t="str">
        <f>IF('الصرف المباشر'!C115="","",IF('الصرف المباشر'!E115="","-",'الصرف المباشر'!E115))</f>
        <v/>
      </c>
      <c r="D615" t="str">
        <f>IF('الصرف المباشر'!C115="","",'الصرف المباشر'!C115)</f>
        <v/>
      </c>
      <c r="E615" s="24" t="str">
        <f>IF('الصرف المباشر'!C115="","",-'الصرف المباشر'!D115)</f>
        <v/>
      </c>
      <c r="F615" t="str">
        <f>IF('الصرف المباشر'!C115="","",IF('الصرف المباشر'!F115="","",'الصرف المباشر'!F115))</f>
        <v/>
      </c>
      <c r="G615" t="str">
        <f>IF($B615&lt;&gt;"",SUMPRODUCT(($B$2:$B615&lt;&gt;"")*1),"")</f>
        <v/>
      </c>
    </row>
    <row r="616" spans="1:7">
      <c r="A616" s="23" t="str">
        <f>IF('الصرف المباشر'!C116="","",'الصرف المباشر'!B116)</f>
        <v/>
      </c>
      <c r="B616" t="str">
        <f>IF('الصرف المباشر'!C116="","","صرف مباشر")</f>
        <v/>
      </c>
      <c r="C616" t="str">
        <f>IF('الصرف المباشر'!C116="","",IF('الصرف المباشر'!E116="","-",'الصرف المباشر'!E116))</f>
        <v/>
      </c>
      <c r="D616" t="str">
        <f>IF('الصرف المباشر'!C116="","",'الصرف المباشر'!C116)</f>
        <v/>
      </c>
      <c r="E616" s="24" t="str">
        <f>IF('الصرف المباشر'!C116="","",-'الصرف المباشر'!D116)</f>
        <v/>
      </c>
      <c r="F616" t="str">
        <f>IF('الصرف المباشر'!C116="","",IF('الصرف المباشر'!F116="","",'الصرف المباشر'!F116))</f>
        <v/>
      </c>
      <c r="G616" t="str">
        <f>IF($B616&lt;&gt;"",SUMPRODUCT(($B$2:$B616&lt;&gt;"")*1),"")</f>
        <v/>
      </c>
    </row>
    <row r="617" spans="1:7">
      <c r="A617" s="23" t="str">
        <f>IF('الصرف المباشر'!C117="","",'الصرف المباشر'!B117)</f>
        <v/>
      </c>
      <c r="B617" t="str">
        <f>IF('الصرف المباشر'!C117="","","صرف مباشر")</f>
        <v/>
      </c>
      <c r="C617" t="str">
        <f>IF('الصرف المباشر'!C117="","",IF('الصرف المباشر'!E117="","-",'الصرف المباشر'!E117))</f>
        <v/>
      </c>
      <c r="D617" t="str">
        <f>IF('الصرف المباشر'!C117="","",'الصرف المباشر'!C117)</f>
        <v/>
      </c>
      <c r="E617" s="24" t="str">
        <f>IF('الصرف المباشر'!C117="","",-'الصرف المباشر'!D117)</f>
        <v/>
      </c>
      <c r="F617" t="str">
        <f>IF('الصرف المباشر'!C117="","",IF('الصرف المباشر'!F117="","",'الصرف المباشر'!F117))</f>
        <v/>
      </c>
      <c r="G617" t="str">
        <f>IF($B617&lt;&gt;"",SUMPRODUCT(($B$2:$B617&lt;&gt;"")*1),"")</f>
        <v/>
      </c>
    </row>
    <row r="618" spans="1:7">
      <c r="A618" s="23" t="str">
        <f>IF('الصرف المباشر'!C118="","",'الصرف المباشر'!B118)</f>
        <v/>
      </c>
      <c r="B618" t="str">
        <f>IF('الصرف المباشر'!C118="","","صرف مباشر")</f>
        <v/>
      </c>
      <c r="C618" t="str">
        <f>IF('الصرف المباشر'!C118="","",IF('الصرف المباشر'!E118="","-",'الصرف المباشر'!E118))</f>
        <v/>
      </c>
      <c r="D618" t="str">
        <f>IF('الصرف المباشر'!C118="","",'الصرف المباشر'!C118)</f>
        <v/>
      </c>
      <c r="E618" s="24" t="str">
        <f>IF('الصرف المباشر'!C118="","",-'الصرف المباشر'!D118)</f>
        <v/>
      </c>
      <c r="F618" t="str">
        <f>IF('الصرف المباشر'!C118="","",IF('الصرف المباشر'!F118="","",'الصرف المباشر'!F118))</f>
        <v/>
      </c>
      <c r="G618" t="str">
        <f>IF($B618&lt;&gt;"",SUMPRODUCT(($B$2:$B618&lt;&gt;"")*1),"")</f>
        <v/>
      </c>
    </row>
    <row r="619" spans="1:7">
      <c r="A619" s="23" t="str">
        <f>IF('الصرف المباشر'!C119="","",'الصرف المباشر'!B119)</f>
        <v/>
      </c>
      <c r="B619" t="str">
        <f>IF('الصرف المباشر'!C119="","","صرف مباشر")</f>
        <v/>
      </c>
      <c r="C619" t="str">
        <f>IF('الصرف المباشر'!C119="","",IF('الصرف المباشر'!E119="","-",'الصرف المباشر'!E119))</f>
        <v/>
      </c>
      <c r="D619" t="str">
        <f>IF('الصرف المباشر'!C119="","",'الصرف المباشر'!C119)</f>
        <v/>
      </c>
      <c r="E619" s="24" t="str">
        <f>IF('الصرف المباشر'!C119="","",-'الصرف المباشر'!D119)</f>
        <v/>
      </c>
      <c r="F619" t="str">
        <f>IF('الصرف المباشر'!C119="","",IF('الصرف المباشر'!F119="","",'الصرف المباشر'!F119))</f>
        <v/>
      </c>
      <c r="G619" t="str">
        <f>IF($B619&lt;&gt;"",SUMPRODUCT(($B$2:$B619&lt;&gt;"")*1),"")</f>
        <v/>
      </c>
    </row>
    <row r="620" spans="1:7">
      <c r="A620" s="23" t="str">
        <f>IF('الصرف المباشر'!C120="","",'الصرف المباشر'!B120)</f>
        <v/>
      </c>
      <c r="B620" t="str">
        <f>IF('الصرف المباشر'!C120="","","صرف مباشر")</f>
        <v/>
      </c>
      <c r="C620" t="str">
        <f>IF('الصرف المباشر'!C120="","",IF('الصرف المباشر'!E120="","-",'الصرف المباشر'!E120))</f>
        <v/>
      </c>
      <c r="D620" t="str">
        <f>IF('الصرف المباشر'!C120="","",'الصرف المباشر'!C120)</f>
        <v/>
      </c>
      <c r="E620" s="24" t="str">
        <f>IF('الصرف المباشر'!C120="","",-'الصرف المباشر'!D120)</f>
        <v/>
      </c>
      <c r="F620" t="str">
        <f>IF('الصرف المباشر'!C120="","",IF('الصرف المباشر'!F120="","",'الصرف المباشر'!F120))</f>
        <v/>
      </c>
      <c r="G620" t="str">
        <f>IF($B620&lt;&gt;"",SUMPRODUCT(($B$2:$B620&lt;&gt;"")*1),"")</f>
        <v/>
      </c>
    </row>
    <row r="621" spans="1:7">
      <c r="A621" s="23" t="str">
        <f>IF('الصرف المباشر'!C121="","",'الصرف المباشر'!B121)</f>
        <v/>
      </c>
      <c r="B621" t="str">
        <f>IF('الصرف المباشر'!C121="","","صرف مباشر")</f>
        <v/>
      </c>
      <c r="C621" t="str">
        <f>IF('الصرف المباشر'!C121="","",IF('الصرف المباشر'!E121="","-",'الصرف المباشر'!E121))</f>
        <v/>
      </c>
      <c r="D621" t="str">
        <f>IF('الصرف المباشر'!C121="","",'الصرف المباشر'!C121)</f>
        <v/>
      </c>
      <c r="E621" s="24" t="str">
        <f>IF('الصرف المباشر'!C121="","",-'الصرف المباشر'!D121)</f>
        <v/>
      </c>
      <c r="F621" t="str">
        <f>IF('الصرف المباشر'!C121="","",IF('الصرف المباشر'!F121="","",'الصرف المباشر'!F121))</f>
        <v/>
      </c>
      <c r="G621" t="str">
        <f>IF($B621&lt;&gt;"",SUMPRODUCT(($B$2:$B621&lt;&gt;"")*1),"")</f>
        <v/>
      </c>
    </row>
    <row r="622" spans="1:7">
      <c r="A622" s="23" t="str">
        <f>IF('الصرف المباشر'!C122="","",'الصرف المباشر'!B122)</f>
        <v/>
      </c>
      <c r="B622" t="str">
        <f>IF('الصرف المباشر'!C122="","","صرف مباشر")</f>
        <v/>
      </c>
      <c r="C622" t="str">
        <f>IF('الصرف المباشر'!C122="","",IF('الصرف المباشر'!E122="","-",'الصرف المباشر'!E122))</f>
        <v/>
      </c>
      <c r="D622" t="str">
        <f>IF('الصرف المباشر'!C122="","",'الصرف المباشر'!C122)</f>
        <v/>
      </c>
      <c r="E622" s="24" t="str">
        <f>IF('الصرف المباشر'!C122="","",-'الصرف المباشر'!D122)</f>
        <v/>
      </c>
      <c r="F622" t="str">
        <f>IF('الصرف المباشر'!C122="","",IF('الصرف المباشر'!F122="","",'الصرف المباشر'!F122))</f>
        <v/>
      </c>
      <c r="G622" t="str">
        <f>IF($B622&lt;&gt;"",SUMPRODUCT(($B$2:$B622&lt;&gt;"")*1),"")</f>
        <v/>
      </c>
    </row>
    <row r="623" spans="1:7">
      <c r="A623" s="23" t="str">
        <f>IF('الصرف المباشر'!C123="","",'الصرف المباشر'!B123)</f>
        <v/>
      </c>
      <c r="B623" t="str">
        <f>IF('الصرف المباشر'!C123="","","صرف مباشر")</f>
        <v/>
      </c>
      <c r="C623" t="str">
        <f>IF('الصرف المباشر'!C123="","",IF('الصرف المباشر'!E123="","-",'الصرف المباشر'!E123))</f>
        <v/>
      </c>
      <c r="D623" t="str">
        <f>IF('الصرف المباشر'!C123="","",'الصرف المباشر'!C123)</f>
        <v/>
      </c>
      <c r="E623" s="24" t="str">
        <f>IF('الصرف المباشر'!C123="","",-'الصرف المباشر'!D123)</f>
        <v/>
      </c>
      <c r="F623" t="str">
        <f>IF('الصرف المباشر'!C123="","",IF('الصرف المباشر'!F123="","",'الصرف المباشر'!F123))</f>
        <v/>
      </c>
      <c r="G623" t="str">
        <f>IF($B623&lt;&gt;"",SUMPRODUCT(($B$2:$B623&lt;&gt;"")*1),"")</f>
        <v/>
      </c>
    </row>
    <row r="624" spans="1:7">
      <c r="A624" s="23" t="str">
        <f>IF('الصرف المباشر'!C124="","",'الصرف المباشر'!B124)</f>
        <v/>
      </c>
      <c r="B624" t="str">
        <f>IF('الصرف المباشر'!C124="","","صرف مباشر")</f>
        <v/>
      </c>
      <c r="C624" t="str">
        <f>IF('الصرف المباشر'!C124="","",IF('الصرف المباشر'!E124="","-",'الصرف المباشر'!E124))</f>
        <v/>
      </c>
      <c r="D624" t="str">
        <f>IF('الصرف المباشر'!C124="","",'الصرف المباشر'!C124)</f>
        <v/>
      </c>
      <c r="E624" s="24" t="str">
        <f>IF('الصرف المباشر'!C124="","",-'الصرف المباشر'!D124)</f>
        <v/>
      </c>
      <c r="F624" t="str">
        <f>IF('الصرف المباشر'!C124="","",IF('الصرف المباشر'!F124="","",'الصرف المباشر'!F124))</f>
        <v/>
      </c>
      <c r="G624" t="str">
        <f>IF($B624&lt;&gt;"",SUMPRODUCT(($B$2:$B624&lt;&gt;"")*1),"")</f>
        <v/>
      </c>
    </row>
    <row r="625" spans="1:7">
      <c r="A625" s="23" t="str">
        <f>IF('الصرف المباشر'!C125="","",'الصرف المباشر'!B125)</f>
        <v/>
      </c>
      <c r="B625" t="str">
        <f>IF('الصرف المباشر'!C125="","","صرف مباشر")</f>
        <v/>
      </c>
      <c r="C625" t="str">
        <f>IF('الصرف المباشر'!C125="","",IF('الصرف المباشر'!E125="","-",'الصرف المباشر'!E125))</f>
        <v/>
      </c>
      <c r="D625" t="str">
        <f>IF('الصرف المباشر'!C125="","",'الصرف المباشر'!C125)</f>
        <v/>
      </c>
      <c r="E625" s="24" t="str">
        <f>IF('الصرف المباشر'!C125="","",-'الصرف المباشر'!D125)</f>
        <v/>
      </c>
      <c r="F625" t="str">
        <f>IF('الصرف المباشر'!C125="","",IF('الصرف المباشر'!F125="","",'الصرف المباشر'!F125))</f>
        <v/>
      </c>
      <c r="G625" t="str">
        <f>IF($B625&lt;&gt;"",SUMPRODUCT(($B$2:$B625&lt;&gt;"")*1),"")</f>
        <v/>
      </c>
    </row>
    <row r="626" spans="1:7">
      <c r="A626" s="23" t="str">
        <f>IF('الصرف المباشر'!C126="","",'الصرف المباشر'!B126)</f>
        <v/>
      </c>
      <c r="B626" t="str">
        <f>IF('الصرف المباشر'!C126="","","صرف مباشر")</f>
        <v/>
      </c>
      <c r="C626" t="str">
        <f>IF('الصرف المباشر'!C126="","",IF('الصرف المباشر'!E126="","-",'الصرف المباشر'!E126))</f>
        <v/>
      </c>
      <c r="D626" t="str">
        <f>IF('الصرف المباشر'!C126="","",'الصرف المباشر'!C126)</f>
        <v/>
      </c>
      <c r="E626" s="24" t="str">
        <f>IF('الصرف المباشر'!C126="","",-'الصرف المباشر'!D126)</f>
        <v/>
      </c>
      <c r="F626" t="str">
        <f>IF('الصرف المباشر'!C126="","",IF('الصرف المباشر'!F126="","",'الصرف المباشر'!F126))</f>
        <v/>
      </c>
      <c r="G626" t="str">
        <f>IF($B626&lt;&gt;"",SUMPRODUCT(($B$2:$B626&lt;&gt;"")*1),"")</f>
        <v/>
      </c>
    </row>
    <row r="627" spans="1:7">
      <c r="A627" s="23" t="str">
        <f>IF('الصرف المباشر'!C127="","",'الصرف المباشر'!B127)</f>
        <v/>
      </c>
      <c r="B627" t="str">
        <f>IF('الصرف المباشر'!C127="","","صرف مباشر")</f>
        <v/>
      </c>
      <c r="C627" t="str">
        <f>IF('الصرف المباشر'!C127="","",IF('الصرف المباشر'!E127="","-",'الصرف المباشر'!E127))</f>
        <v/>
      </c>
      <c r="D627" t="str">
        <f>IF('الصرف المباشر'!C127="","",'الصرف المباشر'!C127)</f>
        <v/>
      </c>
      <c r="E627" s="24" t="str">
        <f>IF('الصرف المباشر'!C127="","",-'الصرف المباشر'!D127)</f>
        <v/>
      </c>
      <c r="F627" t="str">
        <f>IF('الصرف المباشر'!C127="","",IF('الصرف المباشر'!F127="","",'الصرف المباشر'!F127))</f>
        <v/>
      </c>
      <c r="G627" t="str">
        <f>IF($B627&lt;&gt;"",SUMPRODUCT(($B$2:$B627&lt;&gt;"")*1),"")</f>
        <v/>
      </c>
    </row>
    <row r="628" spans="1:7">
      <c r="A628" s="23" t="str">
        <f>IF('الصرف المباشر'!C128="","",'الصرف المباشر'!B128)</f>
        <v/>
      </c>
      <c r="B628" t="str">
        <f>IF('الصرف المباشر'!C128="","","صرف مباشر")</f>
        <v/>
      </c>
      <c r="C628" t="str">
        <f>IF('الصرف المباشر'!C128="","",IF('الصرف المباشر'!E128="","-",'الصرف المباشر'!E128))</f>
        <v/>
      </c>
      <c r="D628" t="str">
        <f>IF('الصرف المباشر'!C128="","",'الصرف المباشر'!C128)</f>
        <v/>
      </c>
      <c r="E628" s="24" t="str">
        <f>IF('الصرف المباشر'!C128="","",-'الصرف المباشر'!D128)</f>
        <v/>
      </c>
      <c r="F628" t="str">
        <f>IF('الصرف المباشر'!C128="","",IF('الصرف المباشر'!F128="","",'الصرف المباشر'!F128))</f>
        <v/>
      </c>
      <c r="G628" t="str">
        <f>IF($B628&lt;&gt;"",SUMPRODUCT(($B$2:$B628&lt;&gt;"")*1),"")</f>
        <v/>
      </c>
    </row>
    <row r="629" spans="1:7">
      <c r="A629" s="23" t="str">
        <f>IF('الصرف المباشر'!C129="","",'الصرف المباشر'!B129)</f>
        <v/>
      </c>
      <c r="B629" t="str">
        <f>IF('الصرف المباشر'!C129="","","صرف مباشر")</f>
        <v/>
      </c>
      <c r="C629" t="str">
        <f>IF('الصرف المباشر'!C129="","",IF('الصرف المباشر'!E129="","-",'الصرف المباشر'!E129))</f>
        <v/>
      </c>
      <c r="D629" t="str">
        <f>IF('الصرف المباشر'!C129="","",'الصرف المباشر'!C129)</f>
        <v/>
      </c>
      <c r="E629" s="24" t="str">
        <f>IF('الصرف المباشر'!C129="","",-'الصرف المباشر'!D129)</f>
        <v/>
      </c>
      <c r="F629" t="str">
        <f>IF('الصرف المباشر'!C129="","",IF('الصرف المباشر'!F129="","",'الصرف المباشر'!F129))</f>
        <v/>
      </c>
      <c r="G629" t="str">
        <f>IF($B629&lt;&gt;"",SUMPRODUCT(($B$2:$B629&lt;&gt;"")*1),"")</f>
        <v/>
      </c>
    </row>
    <row r="630" spans="1:7">
      <c r="A630" s="23" t="str">
        <f>IF('الصرف المباشر'!C130="","",'الصرف المباشر'!B130)</f>
        <v/>
      </c>
      <c r="B630" t="str">
        <f>IF('الصرف المباشر'!C130="","","صرف مباشر")</f>
        <v/>
      </c>
      <c r="C630" t="str">
        <f>IF('الصرف المباشر'!C130="","",IF('الصرف المباشر'!E130="","-",'الصرف المباشر'!E130))</f>
        <v/>
      </c>
      <c r="D630" t="str">
        <f>IF('الصرف المباشر'!C130="","",'الصرف المباشر'!C130)</f>
        <v/>
      </c>
      <c r="E630" s="24" t="str">
        <f>IF('الصرف المباشر'!C130="","",-'الصرف المباشر'!D130)</f>
        <v/>
      </c>
      <c r="F630" t="str">
        <f>IF('الصرف المباشر'!C130="","",IF('الصرف المباشر'!F130="","",'الصرف المباشر'!F130))</f>
        <v/>
      </c>
      <c r="G630" t="str">
        <f>IF($B630&lt;&gt;"",SUMPRODUCT(($B$2:$B630&lt;&gt;"")*1),"")</f>
        <v/>
      </c>
    </row>
    <row r="631" spans="1:7">
      <c r="A631" s="23" t="str">
        <f>IF('الصرف المباشر'!C131="","",'الصرف المباشر'!B131)</f>
        <v/>
      </c>
      <c r="B631" t="str">
        <f>IF('الصرف المباشر'!C131="","","صرف مباشر")</f>
        <v/>
      </c>
      <c r="C631" t="str">
        <f>IF('الصرف المباشر'!C131="","",IF('الصرف المباشر'!E131="","-",'الصرف المباشر'!E131))</f>
        <v/>
      </c>
      <c r="D631" t="str">
        <f>IF('الصرف المباشر'!C131="","",'الصرف المباشر'!C131)</f>
        <v/>
      </c>
      <c r="E631" s="24" t="str">
        <f>IF('الصرف المباشر'!C131="","",-'الصرف المباشر'!D131)</f>
        <v/>
      </c>
      <c r="F631" t="str">
        <f>IF('الصرف المباشر'!C131="","",IF('الصرف المباشر'!F131="","",'الصرف المباشر'!F131))</f>
        <v/>
      </c>
      <c r="G631" t="str">
        <f>IF($B631&lt;&gt;"",SUMPRODUCT(($B$2:$B631&lt;&gt;"")*1),"")</f>
        <v/>
      </c>
    </row>
    <row r="632" spans="1:7">
      <c r="A632" s="23" t="str">
        <f>IF('الصرف المباشر'!C132="","",'الصرف المباشر'!B132)</f>
        <v/>
      </c>
      <c r="B632" t="str">
        <f>IF('الصرف المباشر'!C132="","","صرف مباشر")</f>
        <v/>
      </c>
      <c r="C632" t="str">
        <f>IF('الصرف المباشر'!C132="","",IF('الصرف المباشر'!E132="","-",'الصرف المباشر'!E132))</f>
        <v/>
      </c>
      <c r="D632" t="str">
        <f>IF('الصرف المباشر'!C132="","",'الصرف المباشر'!C132)</f>
        <v/>
      </c>
      <c r="E632" s="24" t="str">
        <f>IF('الصرف المباشر'!C132="","",-'الصرف المباشر'!D132)</f>
        <v/>
      </c>
      <c r="F632" t="str">
        <f>IF('الصرف المباشر'!C132="","",IF('الصرف المباشر'!F132="","",'الصرف المباشر'!F132))</f>
        <v/>
      </c>
      <c r="G632" t="str">
        <f>IF($B632&lt;&gt;"",SUMPRODUCT(($B$2:$B632&lt;&gt;"")*1),"")</f>
        <v/>
      </c>
    </row>
    <row r="633" spans="1:7">
      <c r="A633" s="23" t="str">
        <f>IF('الصرف المباشر'!C133="","",'الصرف المباشر'!B133)</f>
        <v/>
      </c>
      <c r="B633" t="str">
        <f>IF('الصرف المباشر'!C133="","","صرف مباشر")</f>
        <v/>
      </c>
      <c r="C633" t="str">
        <f>IF('الصرف المباشر'!C133="","",IF('الصرف المباشر'!E133="","-",'الصرف المباشر'!E133))</f>
        <v/>
      </c>
      <c r="D633" t="str">
        <f>IF('الصرف المباشر'!C133="","",'الصرف المباشر'!C133)</f>
        <v/>
      </c>
      <c r="E633" s="24" t="str">
        <f>IF('الصرف المباشر'!C133="","",-'الصرف المباشر'!D133)</f>
        <v/>
      </c>
      <c r="F633" t="str">
        <f>IF('الصرف المباشر'!C133="","",IF('الصرف المباشر'!F133="","",'الصرف المباشر'!F133))</f>
        <v/>
      </c>
      <c r="G633" t="str">
        <f>IF($B633&lt;&gt;"",SUMPRODUCT(($B$2:$B633&lt;&gt;"")*1),"")</f>
        <v/>
      </c>
    </row>
    <row r="634" spans="1:7">
      <c r="A634" s="23" t="str">
        <f>IF('الصرف المباشر'!C134="","",'الصرف المباشر'!B134)</f>
        <v/>
      </c>
      <c r="B634" t="str">
        <f>IF('الصرف المباشر'!C134="","","صرف مباشر")</f>
        <v/>
      </c>
      <c r="C634" t="str">
        <f>IF('الصرف المباشر'!C134="","",IF('الصرف المباشر'!E134="","-",'الصرف المباشر'!E134))</f>
        <v/>
      </c>
      <c r="D634" t="str">
        <f>IF('الصرف المباشر'!C134="","",'الصرف المباشر'!C134)</f>
        <v/>
      </c>
      <c r="E634" s="24" t="str">
        <f>IF('الصرف المباشر'!C134="","",-'الصرف المباشر'!D134)</f>
        <v/>
      </c>
      <c r="F634" t="str">
        <f>IF('الصرف المباشر'!C134="","",IF('الصرف المباشر'!F134="","",'الصرف المباشر'!F134))</f>
        <v/>
      </c>
      <c r="G634" t="str">
        <f>IF($B634&lt;&gt;"",SUMPRODUCT(($B$2:$B634&lt;&gt;"")*1),"")</f>
        <v/>
      </c>
    </row>
    <row r="635" spans="1:7">
      <c r="A635" s="23" t="str">
        <f>IF('الصرف المباشر'!C135="","",'الصرف المباشر'!B135)</f>
        <v/>
      </c>
      <c r="B635" t="str">
        <f>IF('الصرف المباشر'!C135="","","صرف مباشر")</f>
        <v/>
      </c>
      <c r="C635" t="str">
        <f>IF('الصرف المباشر'!C135="","",IF('الصرف المباشر'!E135="","-",'الصرف المباشر'!E135))</f>
        <v/>
      </c>
      <c r="D635" t="str">
        <f>IF('الصرف المباشر'!C135="","",'الصرف المباشر'!C135)</f>
        <v/>
      </c>
      <c r="E635" s="24" t="str">
        <f>IF('الصرف المباشر'!C135="","",-'الصرف المباشر'!D135)</f>
        <v/>
      </c>
      <c r="F635" t="str">
        <f>IF('الصرف المباشر'!C135="","",IF('الصرف المباشر'!F135="","",'الصرف المباشر'!F135))</f>
        <v/>
      </c>
      <c r="G635" t="str">
        <f>IF($B635&lt;&gt;"",SUMPRODUCT(($B$2:$B635&lt;&gt;"")*1),"")</f>
        <v/>
      </c>
    </row>
    <row r="636" spans="1:7">
      <c r="A636" s="23" t="str">
        <f>IF('الصرف المباشر'!C136="","",'الصرف المباشر'!B136)</f>
        <v/>
      </c>
      <c r="B636" t="str">
        <f>IF('الصرف المباشر'!C136="","","صرف مباشر")</f>
        <v/>
      </c>
      <c r="C636" t="str">
        <f>IF('الصرف المباشر'!C136="","",IF('الصرف المباشر'!E136="","-",'الصرف المباشر'!E136))</f>
        <v/>
      </c>
      <c r="D636" t="str">
        <f>IF('الصرف المباشر'!C136="","",'الصرف المباشر'!C136)</f>
        <v/>
      </c>
      <c r="E636" s="24" t="str">
        <f>IF('الصرف المباشر'!C136="","",-'الصرف المباشر'!D136)</f>
        <v/>
      </c>
      <c r="F636" t="str">
        <f>IF('الصرف المباشر'!C136="","",IF('الصرف المباشر'!F136="","",'الصرف المباشر'!F136))</f>
        <v/>
      </c>
      <c r="G636" t="str">
        <f>IF($B636&lt;&gt;"",SUMPRODUCT(($B$2:$B636&lt;&gt;"")*1),"")</f>
        <v/>
      </c>
    </row>
    <row r="637" spans="1:7">
      <c r="A637" s="23" t="str">
        <f>IF('الصرف المباشر'!C137="","",'الصرف المباشر'!B137)</f>
        <v/>
      </c>
      <c r="B637" t="str">
        <f>IF('الصرف المباشر'!C137="","","صرف مباشر")</f>
        <v/>
      </c>
      <c r="C637" t="str">
        <f>IF('الصرف المباشر'!C137="","",IF('الصرف المباشر'!E137="","-",'الصرف المباشر'!E137))</f>
        <v/>
      </c>
      <c r="D637" t="str">
        <f>IF('الصرف المباشر'!C137="","",'الصرف المباشر'!C137)</f>
        <v/>
      </c>
      <c r="E637" s="24" t="str">
        <f>IF('الصرف المباشر'!C137="","",-'الصرف المباشر'!D137)</f>
        <v/>
      </c>
      <c r="F637" t="str">
        <f>IF('الصرف المباشر'!C137="","",IF('الصرف المباشر'!F137="","",'الصرف المباشر'!F137))</f>
        <v/>
      </c>
      <c r="G637" t="str">
        <f>IF($B637&lt;&gt;"",SUMPRODUCT(($B$2:$B637&lt;&gt;"")*1),"")</f>
        <v/>
      </c>
    </row>
    <row r="638" spans="1:7">
      <c r="A638" s="23" t="str">
        <f>IF('الصرف المباشر'!C138="","",'الصرف المباشر'!B138)</f>
        <v/>
      </c>
      <c r="B638" t="str">
        <f>IF('الصرف المباشر'!C138="","","صرف مباشر")</f>
        <v/>
      </c>
      <c r="C638" t="str">
        <f>IF('الصرف المباشر'!C138="","",IF('الصرف المباشر'!E138="","-",'الصرف المباشر'!E138))</f>
        <v/>
      </c>
      <c r="D638" t="str">
        <f>IF('الصرف المباشر'!C138="","",'الصرف المباشر'!C138)</f>
        <v/>
      </c>
      <c r="E638" s="24" t="str">
        <f>IF('الصرف المباشر'!C138="","",-'الصرف المباشر'!D138)</f>
        <v/>
      </c>
      <c r="F638" t="str">
        <f>IF('الصرف المباشر'!C138="","",IF('الصرف المباشر'!F138="","",'الصرف المباشر'!F138))</f>
        <v/>
      </c>
      <c r="G638" t="str">
        <f>IF($B638&lt;&gt;"",SUMPRODUCT(($B$2:$B638&lt;&gt;"")*1),"")</f>
        <v/>
      </c>
    </row>
    <row r="639" spans="1:7">
      <c r="A639" s="23" t="str">
        <f>IF('الصرف المباشر'!C139="","",'الصرف المباشر'!B139)</f>
        <v/>
      </c>
      <c r="B639" t="str">
        <f>IF('الصرف المباشر'!C139="","","صرف مباشر")</f>
        <v/>
      </c>
      <c r="C639" t="str">
        <f>IF('الصرف المباشر'!C139="","",IF('الصرف المباشر'!E139="","-",'الصرف المباشر'!E139))</f>
        <v/>
      </c>
      <c r="D639" t="str">
        <f>IF('الصرف المباشر'!C139="","",'الصرف المباشر'!C139)</f>
        <v/>
      </c>
      <c r="E639" s="24" t="str">
        <f>IF('الصرف المباشر'!C139="","",-'الصرف المباشر'!D139)</f>
        <v/>
      </c>
      <c r="F639" t="str">
        <f>IF('الصرف المباشر'!C139="","",IF('الصرف المباشر'!F139="","",'الصرف المباشر'!F139))</f>
        <v/>
      </c>
      <c r="G639" t="str">
        <f>IF($B639&lt;&gt;"",SUMPRODUCT(($B$2:$B639&lt;&gt;"")*1),"")</f>
        <v/>
      </c>
    </row>
    <row r="640" spans="1:7">
      <c r="A640" s="23" t="str">
        <f>IF('الصرف المباشر'!C140="","",'الصرف المباشر'!B140)</f>
        <v/>
      </c>
      <c r="B640" t="str">
        <f>IF('الصرف المباشر'!C140="","","صرف مباشر")</f>
        <v/>
      </c>
      <c r="C640" t="str">
        <f>IF('الصرف المباشر'!C140="","",IF('الصرف المباشر'!E140="","-",'الصرف المباشر'!E140))</f>
        <v/>
      </c>
      <c r="D640" t="str">
        <f>IF('الصرف المباشر'!C140="","",'الصرف المباشر'!C140)</f>
        <v/>
      </c>
      <c r="E640" s="24" t="str">
        <f>IF('الصرف المباشر'!C140="","",-'الصرف المباشر'!D140)</f>
        <v/>
      </c>
      <c r="F640" t="str">
        <f>IF('الصرف المباشر'!C140="","",IF('الصرف المباشر'!F140="","",'الصرف المباشر'!F140))</f>
        <v/>
      </c>
      <c r="G640" t="str">
        <f>IF($B640&lt;&gt;"",SUMPRODUCT(($B$2:$B640&lt;&gt;"")*1),"")</f>
        <v/>
      </c>
    </row>
    <row r="641" spans="1:7">
      <c r="A641" s="23" t="str">
        <f>IF('الصرف المباشر'!C141="","",'الصرف المباشر'!B141)</f>
        <v/>
      </c>
      <c r="B641" t="str">
        <f>IF('الصرف المباشر'!C141="","","صرف مباشر")</f>
        <v/>
      </c>
      <c r="C641" t="str">
        <f>IF('الصرف المباشر'!C141="","",IF('الصرف المباشر'!E141="","-",'الصرف المباشر'!E141))</f>
        <v/>
      </c>
      <c r="D641" t="str">
        <f>IF('الصرف المباشر'!C141="","",'الصرف المباشر'!C141)</f>
        <v/>
      </c>
      <c r="E641" s="24" t="str">
        <f>IF('الصرف المباشر'!C141="","",-'الصرف المباشر'!D141)</f>
        <v/>
      </c>
      <c r="F641" t="str">
        <f>IF('الصرف المباشر'!C141="","",IF('الصرف المباشر'!F141="","",'الصرف المباشر'!F141))</f>
        <v/>
      </c>
      <c r="G641" t="str">
        <f>IF($B641&lt;&gt;"",SUMPRODUCT(($B$2:$B641&lt;&gt;"")*1),"")</f>
        <v/>
      </c>
    </row>
    <row r="642" spans="1:7">
      <c r="A642" s="23" t="str">
        <f>IF('الصرف المباشر'!C142="","",'الصرف المباشر'!B142)</f>
        <v/>
      </c>
      <c r="B642" t="str">
        <f>IF('الصرف المباشر'!C142="","","صرف مباشر")</f>
        <v/>
      </c>
      <c r="C642" t="str">
        <f>IF('الصرف المباشر'!C142="","",IF('الصرف المباشر'!E142="","-",'الصرف المباشر'!E142))</f>
        <v/>
      </c>
      <c r="D642" t="str">
        <f>IF('الصرف المباشر'!C142="","",'الصرف المباشر'!C142)</f>
        <v/>
      </c>
      <c r="E642" s="24" t="str">
        <f>IF('الصرف المباشر'!C142="","",-'الصرف المباشر'!D142)</f>
        <v/>
      </c>
      <c r="F642" t="str">
        <f>IF('الصرف المباشر'!C142="","",IF('الصرف المباشر'!F142="","",'الصرف المباشر'!F142))</f>
        <v/>
      </c>
      <c r="G642" t="str">
        <f>IF($B642&lt;&gt;"",SUMPRODUCT(($B$2:$B642&lt;&gt;"")*1),"")</f>
        <v/>
      </c>
    </row>
    <row r="643" spans="1:7">
      <c r="A643" s="23" t="str">
        <f>IF('الصرف المباشر'!C143="","",'الصرف المباشر'!B143)</f>
        <v/>
      </c>
      <c r="B643" t="str">
        <f>IF('الصرف المباشر'!C143="","","صرف مباشر")</f>
        <v/>
      </c>
      <c r="C643" t="str">
        <f>IF('الصرف المباشر'!C143="","",IF('الصرف المباشر'!E143="","-",'الصرف المباشر'!E143))</f>
        <v/>
      </c>
      <c r="D643" t="str">
        <f>IF('الصرف المباشر'!C143="","",'الصرف المباشر'!C143)</f>
        <v/>
      </c>
      <c r="E643" s="24" t="str">
        <f>IF('الصرف المباشر'!C143="","",-'الصرف المباشر'!D143)</f>
        <v/>
      </c>
      <c r="F643" t="str">
        <f>IF('الصرف المباشر'!C143="","",IF('الصرف المباشر'!F143="","",'الصرف المباشر'!F143))</f>
        <v/>
      </c>
      <c r="G643" t="str">
        <f>IF($B643&lt;&gt;"",SUMPRODUCT(($B$2:$B643&lt;&gt;"")*1),"")</f>
        <v/>
      </c>
    </row>
    <row r="644" spans="1:7">
      <c r="A644" s="23" t="str">
        <f>IF('الصرف المباشر'!C144="","",'الصرف المباشر'!B144)</f>
        <v/>
      </c>
      <c r="B644" t="str">
        <f>IF('الصرف المباشر'!C144="","","صرف مباشر")</f>
        <v/>
      </c>
      <c r="C644" t="str">
        <f>IF('الصرف المباشر'!C144="","",IF('الصرف المباشر'!E144="","-",'الصرف المباشر'!E144))</f>
        <v/>
      </c>
      <c r="D644" t="str">
        <f>IF('الصرف المباشر'!C144="","",'الصرف المباشر'!C144)</f>
        <v/>
      </c>
      <c r="E644" s="24" t="str">
        <f>IF('الصرف المباشر'!C144="","",-'الصرف المباشر'!D144)</f>
        <v/>
      </c>
      <c r="F644" t="str">
        <f>IF('الصرف المباشر'!C144="","",IF('الصرف المباشر'!F144="","",'الصرف المباشر'!F144))</f>
        <v/>
      </c>
      <c r="G644" t="str">
        <f>IF($B644&lt;&gt;"",SUMPRODUCT(($B$2:$B644&lt;&gt;"")*1),"")</f>
        <v/>
      </c>
    </row>
    <row r="645" spans="1:7">
      <c r="A645" s="23" t="str">
        <f>IF('الصرف المباشر'!C145="","",'الصرف المباشر'!B145)</f>
        <v/>
      </c>
      <c r="B645" t="str">
        <f>IF('الصرف المباشر'!C145="","","صرف مباشر")</f>
        <v/>
      </c>
      <c r="C645" t="str">
        <f>IF('الصرف المباشر'!C145="","",IF('الصرف المباشر'!E145="","-",'الصرف المباشر'!E145))</f>
        <v/>
      </c>
      <c r="D645" t="str">
        <f>IF('الصرف المباشر'!C145="","",'الصرف المباشر'!C145)</f>
        <v/>
      </c>
      <c r="E645" s="24" t="str">
        <f>IF('الصرف المباشر'!C145="","",-'الصرف المباشر'!D145)</f>
        <v/>
      </c>
      <c r="F645" t="str">
        <f>IF('الصرف المباشر'!C145="","",IF('الصرف المباشر'!F145="","",'الصرف المباشر'!F145))</f>
        <v/>
      </c>
      <c r="G645" t="str">
        <f>IF($B645&lt;&gt;"",SUMPRODUCT(($B$2:$B645&lt;&gt;"")*1),"")</f>
        <v/>
      </c>
    </row>
    <row r="646" spans="1:7">
      <c r="A646" s="23" t="str">
        <f>IF('الصرف المباشر'!C146="","",'الصرف المباشر'!B146)</f>
        <v/>
      </c>
      <c r="B646" t="str">
        <f>IF('الصرف المباشر'!C146="","","صرف مباشر")</f>
        <v/>
      </c>
      <c r="C646" t="str">
        <f>IF('الصرف المباشر'!C146="","",IF('الصرف المباشر'!E146="","-",'الصرف المباشر'!E146))</f>
        <v/>
      </c>
      <c r="D646" t="str">
        <f>IF('الصرف المباشر'!C146="","",'الصرف المباشر'!C146)</f>
        <v/>
      </c>
      <c r="E646" s="24" t="str">
        <f>IF('الصرف المباشر'!C146="","",-'الصرف المباشر'!D146)</f>
        <v/>
      </c>
      <c r="F646" t="str">
        <f>IF('الصرف المباشر'!C146="","",IF('الصرف المباشر'!F146="","",'الصرف المباشر'!F146))</f>
        <v/>
      </c>
      <c r="G646" t="str">
        <f>IF($B646&lt;&gt;"",SUMPRODUCT(($B$2:$B646&lt;&gt;"")*1),"")</f>
        <v/>
      </c>
    </row>
    <row r="647" spans="1:7">
      <c r="A647" s="23" t="str">
        <f>IF('الصرف المباشر'!C147="","",'الصرف المباشر'!B147)</f>
        <v/>
      </c>
      <c r="B647" t="str">
        <f>IF('الصرف المباشر'!C147="","","صرف مباشر")</f>
        <v/>
      </c>
      <c r="C647" t="str">
        <f>IF('الصرف المباشر'!C147="","",IF('الصرف المباشر'!E147="","-",'الصرف المباشر'!E147))</f>
        <v/>
      </c>
      <c r="D647" t="str">
        <f>IF('الصرف المباشر'!C147="","",'الصرف المباشر'!C147)</f>
        <v/>
      </c>
      <c r="E647" s="24" t="str">
        <f>IF('الصرف المباشر'!C147="","",-'الصرف المباشر'!D147)</f>
        <v/>
      </c>
      <c r="F647" t="str">
        <f>IF('الصرف المباشر'!C147="","",IF('الصرف المباشر'!F147="","",'الصرف المباشر'!F147))</f>
        <v/>
      </c>
      <c r="G647" t="str">
        <f>IF($B647&lt;&gt;"",SUMPRODUCT(($B$2:$B647&lt;&gt;"")*1),"")</f>
        <v/>
      </c>
    </row>
    <row r="648" spans="1:7">
      <c r="A648" s="23" t="str">
        <f>IF('الصرف المباشر'!C148="","",'الصرف المباشر'!B148)</f>
        <v/>
      </c>
      <c r="B648" t="str">
        <f>IF('الصرف المباشر'!C148="","","صرف مباشر")</f>
        <v/>
      </c>
      <c r="C648" t="str">
        <f>IF('الصرف المباشر'!C148="","",IF('الصرف المباشر'!E148="","-",'الصرف المباشر'!E148))</f>
        <v/>
      </c>
      <c r="D648" t="str">
        <f>IF('الصرف المباشر'!C148="","",'الصرف المباشر'!C148)</f>
        <v/>
      </c>
      <c r="E648" s="24" t="str">
        <f>IF('الصرف المباشر'!C148="","",-'الصرف المباشر'!D148)</f>
        <v/>
      </c>
      <c r="F648" t="str">
        <f>IF('الصرف المباشر'!C148="","",IF('الصرف المباشر'!F148="","",'الصرف المباشر'!F148))</f>
        <v/>
      </c>
      <c r="G648" t="str">
        <f>IF($B648&lt;&gt;"",SUMPRODUCT(($B$2:$B648&lt;&gt;"")*1),"")</f>
        <v/>
      </c>
    </row>
    <row r="649" spans="1:7">
      <c r="A649" s="23" t="str">
        <f>IF('الصرف المباشر'!C149="","",'الصرف المباشر'!B149)</f>
        <v/>
      </c>
      <c r="B649" t="str">
        <f>IF('الصرف المباشر'!C149="","","صرف مباشر")</f>
        <v/>
      </c>
      <c r="C649" t="str">
        <f>IF('الصرف المباشر'!C149="","",IF('الصرف المباشر'!E149="","-",'الصرف المباشر'!E149))</f>
        <v/>
      </c>
      <c r="D649" t="str">
        <f>IF('الصرف المباشر'!C149="","",'الصرف المباشر'!C149)</f>
        <v/>
      </c>
      <c r="E649" s="24" t="str">
        <f>IF('الصرف المباشر'!C149="","",-'الصرف المباشر'!D149)</f>
        <v/>
      </c>
      <c r="F649" t="str">
        <f>IF('الصرف المباشر'!C149="","",IF('الصرف المباشر'!F149="","",'الصرف المباشر'!F149))</f>
        <v/>
      </c>
      <c r="G649" t="str">
        <f>IF($B649&lt;&gt;"",SUMPRODUCT(($B$2:$B649&lt;&gt;"")*1),"")</f>
        <v/>
      </c>
    </row>
    <row r="650" spans="1:7">
      <c r="A650" s="23" t="str">
        <f>IF('الصرف المباشر'!C150="","",'الصرف المباشر'!B150)</f>
        <v/>
      </c>
      <c r="B650" t="str">
        <f>IF('الصرف المباشر'!C150="","","صرف مباشر")</f>
        <v/>
      </c>
      <c r="C650" t="str">
        <f>IF('الصرف المباشر'!C150="","",IF('الصرف المباشر'!E150="","-",'الصرف المباشر'!E150))</f>
        <v/>
      </c>
      <c r="D650" t="str">
        <f>IF('الصرف المباشر'!C150="","",'الصرف المباشر'!C150)</f>
        <v/>
      </c>
      <c r="E650" s="24" t="str">
        <f>IF('الصرف المباشر'!C150="","",-'الصرف المباشر'!D150)</f>
        <v/>
      </c>
      <c r="F650" t="str">
        <f>IF('الصرف المباشر'!C150="","",IF('الصرف المباشر'!F150="","",'الصرف المباشر'!F150))</f>
        <v/>
      </c>
      <c r="G650" t="str">
        <f>IF($B650&lt;&gt;"",SUMPRODUCT(($B$2:$B650&lt;&gt;"")*1),"")</f>
        <v/>
      </c>
    </row>
    <row r="651" spans="1:7">
      <c r="A651" s="23" t="str">
        <f>IF('الصرف المباشر'!C151="","",'الصرف المباشر'!B151)</f>
        <v/>
      </c>
      <c r="B651" t="str">
        <f>IF('الصرف المباشر'!C151="","","صرف مباشر")</f>
        <v/>
      </c>
      <c r="C651" t="str">
        <f>IF('الصرف المباشر'!C151="","",IF('الصرف المباشر'!E151="","-",'الصرف المباشر'!E151))</f>
        <v/>
      </c>
      <c r="D651" t="str">
        <f>IF('الصرف المباشر'!C151="","",'الصرف المباشر'!C151)</f>
        <v/>
      </c>
      <c r="E651" s="24" t="str">
        <f>IF('الصرف المباشر'!C151="","",-'الصرف المباشر'!D151)</f>
        <v/>
      </c>
      <c r="F651" t="str">
        <f>IF('الصرف المباشر'!C151="","",IF('الصرف المباشر'!F151="","",'الصرف المباشر'!F151))</f>
        <v/>
      </c>
      <c r="G651" t="str">
        <f>IF($B651&lt;&gt;"",SUMPRODUCT(($B$2:$B651&lt;&gt;"")*1),"")</f>
        <v/>
      </c>
    </row>
    <row r="652" spans="1:7">
      <c r="A652" s="23" t="str">
        <f>IF('الصرف المباشر'!C152="","",'الصرف المباشر'!B152)</f>
        <v/>
      </c>
      <c r="B652" t="str">
        <f>IF('الصرف المباشر'!C152="","","صرف مباشر")</f>
        <v/>
      </c>
      <c r="C652" t="str">
        <f>IF('الصرف المباشر'!C152="","",IF('الصرف المباشر'!E152="","-",'الصرف المباشر'!E152))</f>
        <v/>
      </c>
      <c r="D652" t="str">
        <f>IF('الصرف المباشر'!C152="","",'الصرف المباشر'!C152)</f>
        <v/>
      </c>
      <c r="E652" s="24" t="str">
        <f>IF('الصرف المباشر'!C152="","",-'الصرف المباشر'!D152)</f>
        <v/>
      </c>
      <c r="F652" t="str">
        <f>IF('الصرف المباشر'!C152="","",IF('الصرف المباشر'!F152="","",'الصرف المباشر'!F152))</f>
        <v/>
      </c>
      <c r="G652" t="str">
        <f>IF($B652&lt;&gt;"",SUMPRODUCT(($B$2:$B652&lt;&gt;"")*1),"")</f>
        <v/>
      </c>
    </row>
    <row r="653" spans="1:7">
      <c r="A653" s="23" t="str">
        <f>IF('الصرف المباشر'!C153="","",'الصرف المباشر'!B153)</f>
        <v/>
      </c>
      <c r="B653" t="str">
        <f>IF('الصرف المباشر'!C153="","","صرف مباشر")</f>
        <v/>
      </c>
      <c r="C653" t="str">
        <f>IF('الصرف المباشر'!C153="","",IF('الصرف المباشر'!E153="","-",'الصرف المباشر'!E153))</f>
        <v/>
      </c>
      <c r="D653" t="str">
        <f>IF('الصرف المباشر'!C153="","",'الصرف المباشر'!C153)</f>
        <v/>
      </c>
      <c r="E653" s="24" t="str">
        <f>IF('الصرف المباشر'!C153="","",-'الصرف المباشر'!D153)</f>
        <v/>
      </c>
      <c r="F653" t="str">
        <f>IF('الصرف المباشر'!C153="","",IF('الصرف المباشر'!F153="","",'الصرف المباشر'!F153))</f>
        <v/>
      </c>
      <c r="G653" t="str">
        <f>IF($B653&lt;&gt;"",SUMPRODUCT(($B$2:$B653&lt;&gt;"")*1),"")</f>
        <v/>
      </c>
    </row>
    <row r="654" spans="1:7">
      <c r="A654" s="23" t="str">
        <f>IF('الصرف المباشر'!C154="","",'الصرف المباشر'!B154)</f>
        <v/>
      </c>
      <c r="B654" t="str">
        <f>IF('الصرف المباشر'!C154="","","صرف مباشر")</f>
        <v/>
      </c>
      <c r="C654" t="str">
        <f>IF('الصرف المباشر'!C154="","",IF('الصرف المباشر'!E154="","-",'الصرف المباشر'!E154))</f>
        <v/>
      </c>
      <c r="D654" t="str">
        <f>IF('الصرف المباشر'!C154="","",'الصرف المباشر'!C154)</f>
        <v/>
      </c>
      <c r="E654" s="24" t="str">
        <f>IF('الصرف المباشر'!C154="","",-'الصرف المباشر'!D154)</f>
        <v/>
      </c>
      <c r="F654" t="str">
        <f>IF('الصرف المباشر'!C154="","",IF('الصرف المباشر'!F154="","",'الصرف المباشر'!F154))</f>
        <v/>
      </c>
      <c r="G654" t="str">
        <f>IF($B654&lt;&gt;"",SUMPRODUCT(($B$2:$B654&lt;&gt;"")*1),"")</f>
        <v/>
      </c>
    </row>
    <row r="655" spans="1:7">
      <c r="A655" s="23" t="str">
        <f>IF('الصرف المباشر'!C155="","",'الصرف المباشر'!B155)</f>
        <v/>
      </c>
      <c r="B655" t="str">
        <f>IF('الصرف المباشر'!C155="","","صرف مباشر")</f>
        <v/>
      </c>
      <c r="C655" t="str">
        <f>IF('الصرف المباشر'!C155="","",IF('الصرف المباشر'!E155="","-",'الصرف المباشر'!E155))</f>
        <v/>
      </c>
      <c r="D655" t="str">
        <f>IF('الصرف المباشر'!C155="","",'الصرف المباشر'!C155)</f>
        <v/>
      </c>
      <c r="E655" s="24" t="str">
        <f>IF('الصرف المباشر'!C155="","",-'الصرف المباشر'!D155)</f>
        <v/>
      </c>
      <c r="F655" t="str">
        <f>IF('الصرف المباشر'!C155="","",IF('الصرف المباشر'!F155="","",'الصرف المباشر'!F155))</f>
        <v/>
      </c>
      <c r="G655" t="str">
        <f>IF($B655&lt;&gt;"",SUMPRODUCT(($B$2:$B655&lt;&gt;"")*1),"")</f>
        <v/>
      </c>
    </row>
    <row r="656" spans="1:7">
      <c r="A656" s="23" t="str">
        <f>IF('الصرف المباشر'!C156="","",'الصرف المباشر'!B156)</f>
        <v/>
      </c>
      <c r="B656" t="str">
        <f>IF('الصرف المباشر'!C156="","","صرف مباشر")</f>
        <v/>
      </c>
      <c r="C656" t="str">
        <f>IF('الصرف المباشر'!C156="","",IF('الصرف المباشر'!E156="","-",'الصرف المباشر'!E156))</f>
        <v/>
      </c>
      <c r="D656" t="str">
        <f>IF('الصرف المباشر'!C156="","",'الصرف المباشر'!C156)</f>
        <v/>
      </c>
      <c r="E656" s="24" t="str">
        <f>IF('الصرف المباشر'!C156="","",-'الصرف المباشر'!D156)</f>
        <v/>
      </c>
      <c r="F656" t="str">
        <f>IF('الصرف المباشر'!C156="","",IF('الصرف المباشر'!F156="","",'الصرف المباشر'!F156))</f>
        <v/>
      </c>
      <c r="G656" t="str">
        <f>IF($B656&lt;&gt;"",SUMPRODUCT(($B$2:$B656&lt;&gt;"")*1),"")</f>
        <v/>
      </c>
    </row>
    <row r="657" spans="1:7">
      <c r="A657" s="23" t="str">
        <f>IF('الصرف المباشر'!C157="","",'الصرف المباشر'!B157)</f>
        <v/>
      </c>
      <c r="B657" t="str">
        <f>IF('الصرف المباشر'!C157="","","صرف مباشر")</f>
        <v/>
      </c>
      <c r="C657" t="str">
        <f>IF('الصرف المباشر'!C157="","",IF('الصرف المباشر'!E157="","-",'الصرف المباشر'!E157))</f>
        <v/>
      </c>
      <c r="D657" t="str">
        <f>IF('الصرف المباشر'!C157="","",'الصرف المباشر'!C157)</f>
        <v/>
      </c>
      <c r="E657" s="24" t="str">
        <f>IF('الصرف المباشر'!C157="","",-'الصرف المباشر'!D157)</f>
        <v/>
      </c>
      <c r="F657" t="str">
        <f>IF('الصرف المباشر'!C157="","",IF('الصرف المباشر'!F157="","",'الصرف المباشر'!F157))</f>
        <v/>
      </c>
      <c r="G657" t="str">
        <f>IF($B657&lt;&gt;"",SUMPRODUCT(($B$2:$B657&lt;&gt;"")*1),"")</f>
        <v/>
      </c>
    </row>
    <row r="658" spans="1:7">
      <c r="A658" s="23" t="str">
        <f>IF('الصرف المباشر'!C158="","",'الصرف المباشر'!B158)</f>
        <v/>
      </c>
      <c r="B658" t="str">
        <f>IF('الصرف المباشر'!C158="","","صرف مباشر")</f>
        <v/>
      </c>
      <c r="C658" t="str">
        <f>IF('الصرف المباشر'!C158="","",IF('الصرف المباشر'!E158="","-",'الصرف المباشر'!E158))</f>
        <v/>
      </c>
      <c r="D658" t="str">
        <f>IF('الصرف المباشر'!C158="","",'الصرف المباشر'!C158)</f>
        <v/>
      </c>
      <c r="E658" s="24" t="str">
        <f>IF('الصرف المباشر'!C158="","",-'الصرف المباشر'!D158)</f>
        <v/>
      </c>
      <c r="F658" t="str">
        <f>IF('الصرف المباشر'!C158="","",IF('الصرف المباشر'!F158="","",'الصرف المباشر'!F158))</f>
        <v/>
      </c>
      <c r="G658" t="str">
        <f>IF($B658&lt;&gt;"",SUMPRODUCT(($B$2:$B658&lt;&gt;"")*1),"")</f>
        <v/>
      </c>
    </row>
    <row r="659" spans="1:7">
      <c r="A659" s="23" t="str">
        <f>IF('الصرف المباشر'!C159="","",'الصرف المباشر'!B159)</f>
        <v/>
      </c>
      <c r="B659" t="str">
        <f>IF('الصرف المباشر'!C159="","","صرف مباشر")</f>
        <v/>
      </c>
      <c r="C659" t="str">
        <f>IF('الصرف المباشر'!C159="","",IF('الصرف المباشر'!E159="","-",'الصرف المباشر'!E159))</f>
        <v/>
      </c>
      <c r="D659" t="str">
        <f>IF('الصرف المباشر'!C159="","",'الصرف المباشر'!C159)</f>
        <v/>
      </c>
      <c r="E659" s="24" t="str">
        <f>IF('الصرف المباشر'!C159="","",-'الصرف المباشر'!D159)</f>
        <v/>
      </c>
      <c r="F659" t="str">
        <f>IF('الصرف المباشر'!C159="","",IF('الصرف المباشر'!F159="","",'الصرف المباشر'!F159))</f>
        <v/>
      </c>
      <c r="G659" t="str">
        <f>IF($B659&lt;&gt;"",SUMPRODUCT(($B$2:$B659&lt;&gt;"")*1),"")</f>
        <v/>
      </c>
    </row>
    <row r="660" spans="1:7">
      <c r="A660" s="23" t="str">
        <f>IF('الصرف المباشر'!C160="","",'الصرف المباشر'!B160)</f>
        <v/>
      </c>
      <c r="B660" t="str">
        <f>IF('الصرف المباشر'!C160="","","صرف مباشر")</f>
        <v/>
      </c>
      <c r="C660" t="str">
        <f>IF('الصرف المباشر'!C160="","",IF('الصرف المباشر'!E160="","-",'الصرف المباشر'!E160))</f>
        <v/>
      </c>
      <c r="D660" t="str">
        <f>IF('الصرف المباشر'!C160="","",'الصرف المباشر'!C160)</f>
        <v/>
      </c>
      <c r="E660" s="24" t="str">
        <f>IF('الصرف المباشر'!C160="","",-'الصرف المباشر'!D160)</f>
        <v/>
      </c>
      <c r="F660" t="str">
        <f>IF('الصرف المباشر'!C160="","",IF('الصرف المباشر'!F160="","",'الصرف المباشر'!F160))</f>
        <v/>
      </c>
      <c r="G660" t="str">
        <f>IF($B660&lt;&gt;"",SUMPRODUCT(($B$2:$B660&lt;&gt;"")*1),"")</f>
        <v/>
      </c>
    </row>
    <row r="661" spans="1:7">
      <c r="A661" s="23" t="str">
        <f>IF('الصرف المباشر'!C161="","",'الصرف المباشر'!B161)</f>
        <v/>
      </c>
      <c r="B661" t="str">
        <f>IF('الصرف المباشر'!C161="","","صرف مباشر")</f>
        <v/>
      </c>
      <c r="C661" t="str">
        <f>IF('الصرف المباشر'!C161="","",IF('الصرف المباشر'!E161="","-",'الصرف المباشر'!E161))</f>
        <v/>
      </c>
      <c r="D661" t="str">
        <f>IF('الصرف المباشر'!C161="","",'الصرف المباشر'!C161)</f>
        <v/>
      </c>
      <c r="E661" s="24" t="str">
        <f>IF('الصرف المباشر'!C161="","",-'الصرف المباشر'!D161)</f>
        <v/>
      </c>
      <c r="F661" t="str">
        <f>IF('الصرف المباشر'!C161="","",IF('الصرف المباشر'!F161="","",'الصرف المباشر'!F161))</f>
        <v/>
      </c>
      <c r="G661" t="str">
        <f>IF($B661&lt;&gt;"",SUMPRODUCT(($B$2:$B661&lt;&gt;"")*1),"")</f>
        <v/>
      </c>
    </row>
    <row r="662" spans="1:7">
      <c r="A662" s="23" t="str">
        <f>IF('الصرف المباشر'!C162="","",'الصرف المباشر'!B162)</f>
        <v/>
      </c>
      <c r="B662" t="str">
        <f>IF('الصرف المباشر'!C162="","","صرف مباشر")</f>
        <v/>
      </c>
      <c r="C662" t="str">
        <f>IF('الصرف المباشر'!C162="","",IF('الصرف المباشر'!E162="","-",'الصرف المباشر'!E162))</f>
        <v/>
      </c>
      <c r="D662" t="str">
        <f>IF('الصرف المباشر'!C162="","",'الصرف المباشر'!C162)</f>
        <v/>
      </c>
      <c r="E662" s="24" t="str">
        <f>IF('الصرف المباشر'!C162="","",-'الصرف المباشر'!D162)</f>
        <v/>
      </c>
      <c r="F662" t="str">
        <f>IF('الصرف المباشر'!C162="","",IF('الصرف المباشر'!F162="","",'الصرف المباشر'!F162))</f>
        <v/>
      </c>
      <c r="G662" t="str">
        <f>IF($B662&lt;&gt;"",SUMPRODUCT(($B$2:$B662&lt;&gt;"")*1),"")</f>
        <v/>
      </c>
    </row>
    <row r="663" spans="1:7">
      <c r="A663" s="23" t="str">
        <f>IF('الصرف المباشر'!C163="","",'الصرف المباشر'!B163)</f>
        <v/>
      </c>
      <c r="B663" t="str">
        <f>IF('الصرف المباشر'!C163="","","صرف مباشر")</f>
        <v/>
      </c>
      <c r="C663" t="str">
        <f>IF('الصرف المباشر'!C163="","",IF('الصرف المباشر'!E163="","-",'الصرف المباشر'!E163))</f>
        <v/>
      </c>
      <c r="D663" t="str">
        <f>IF('الصرف المباشر'!C163="","",'الصرف المباشر'!C163)</f>
        <v/>
      </c>
      <c r="E663" s="24" t="str">
        <f>IF('الصرف المباشر'!C163="","",-'الصرف المباشر'!D163)</f>
        <v/>
      </c>
      <c r="F663" t="str">
        <f>IF('الصرف المباشر'!C163="","",IF('الصرف المباشر'!F163="","",'الصرف المباشر'!F163))</f>
        <v/>
      </c>
      <c r="G663" t="str">
        <f>IF($B663&lt;&gt;"",SUMPRODUCT(($B$2:$B663&lt;&gt;"")*1),"")</f>
        <v/>
      </c>
    </row>
    <row r="664" spans="1:7">
      <c r="A664" s="23" t="str">
        <f>IF('الصرف المباشر'!C164="","",'الصرف المباشر'!B164)</f>
        <v/>
      </c>
      <c r="B664" t="str">
        <f>IF('الصرف المباشر'!C164="","","صرف مباشر")</f>
        <v/>
      </c>
      <c r="C664" t="str">
        <f>IF('الصرف المباشر'!C164="","",IF('الصرف المباشر'!E164="","-",'الصرف المباشر'!E164))</f>
        <v/>
      </c>
      <c r="D664" t="str">
        <f>IF('الصرف المباشر'!C164="","",'الصرف المباشر'!C164)</f>
        <v/>
      </c>
      <c r="E664" s="24" t="str">
        <f>IF('الصرف المباشر'!C164="","",-'الصرف المباشر'!D164)</f>
        <v/>
      </c>
      <c r="F664" t="str">
        <f>IF('الصرف المباشر'!C164="","",IF('الصرف المباشر'!F164="","",'الصرف المباشر'!F164))</f>
        <v/>
      </c>
      <c r="G664" t="str">
        <f>IF($B664&lt;&gt;"",SUMPRODUCT(($B$2:$B664&lt;&gt;"")*1),"")</f>
        <v/>
      </c>
    </row>
    <row r="665" spans="1:7">
      <c r="A665" s="23" t="str">
        <f>IF('الصرف المباشر'!C165="","",'الصرف المباشر'!B165)</f>
        <v/>
      </c>
      <c r="B665" t="str">
        <f>IF('الصرف المباشر'!C165="","","صرف مباشر")</f>
        <v/>
      </c>
      <c r="C665" t="str">
        <f>IF('الصرف المباشر'!C165="","",IF('الصرف المباشر'!E165="","-",'الصرف المباشر'!E165))</f>
        <v/>
      </c>
      <c r="D665" t="str">
        <f>IF('الصرف المباشر'!C165="","",'الصرف المباشر'!C165)</f>
        <v/>
      </c>
      <c r="E665" s="24" t="str">
        <f>IF('الصرف المباشر'!C165="","",-'الصرف المباشر'!D165)</f>
        <v/>
      </c>
      <c r="F665" t="str">
        <f>IF('الصرف المباشر'!C165="","",IF('الصرف المباشر'!F165="","",'الصرف المباشر'!F165))</f>
        <v/>
      </c>
      <c r="G665" t="str">
        <f>IF($B665&lt;&gt;"",SUMPRODUCT(($B$2:$B665&lt;&gt;"")*1),"")</f>
        <v/>
      </c>
    </row>
    <row r="666" spans="1:7">
      <c r="A666" s="23" t="str">
        <f>IF('الصرف المباشر'!C166="","",'الصرف المباشر'!B166)</f>
        <v/>
      </c>
      <c r="B666" t="str">
        <f>IF('الصرف المباشر'!C166="","","صرف مباشر")</f>
        <v/>
      </c>
      <c r="C666" t="str">
        <f>IF('الصرف المباشر'!C166="","",IF('الصرف المباشر'!E166="","-",'الصرف المباشر'!E166))</f>
        <v/>
      </c>
      <c r="D666" t="str">
        <f>IF('الصرف المباشر'!C166="","",'الصرف المباشر'!C166)</f>
        <v/>
      </c>
      <c r="E666" s="24" t="str">
        <f>IF('الصرف المباشر'!C166="","",-'الصرف المباشر'!D166)</f>
        <v/>
      </c>
      <c r="F666" t="str">
        <f>IF('الصرف المباشر'!C166="","",IF('الصرف المباشر'!F166="","",'الصرف المباشر'!F166))</f>
        <v/>
      </c>
      <c r="G666" t="str">
        <f>IF($B666&lt;&gt;"",SUMPRODUCT(($B$2:$B666&lt;&gt;"")*1),"")</f>
        <v/>
      </c>
    </row>
    <row r="667" spans="1:7">
      <c r="A667" s="23" t="str">
        <f>IF('الصرف المباشر'!C167="","",'الصرف المباشر'!B167)</f>
        <v/>
      </c>
      <c r="B667" t="str">
        <f>IF('الصرف المباشر'!C167="","","صرف مباشر")</f>
        <v/>
      </c>
      <c r="C667" t="str">
        <f>IF('الصرف المباشر'!C167="","",IF('الصرف المباشر'!E167="","-",'الصرف المباشر'!E167))</f>
        <v/>
      </c>
      <c r="D667" t="str">
        <f>IF('الصرف المباشر'!C167="","",'الصرف المباشر'!C167)</f>
        <v/>
      </c>
      <c r="E667" s="24" t="str">
        <f>IF('الصرف المباشر'!C167="","",-'الصرف المباشر'!D167)</f>
        <v/>
      </c>
      <c r="F667" t="str">
        <f>IF('الصرف المباشر'!C167="","",IF('الصرف المباشر'!F167="","",'الصرف المباشر'!F167))</f>
        <v/>
      </c>
      <c r="G667" t="str">
        <f>IF($B667&lt;&gt;"",SUMPRODUCT(($B$2:$B667&lt;&gt;"")*1),"")</f>
        <v/>
      </c>
    </row>
    <row r="668" spans="1:7">
      <c r="A668" s="23" t="str">
        <f>IF('الصرف المباشر'!C168="","",'الصرف المباشر'!B168)</f>
        <v/>
      </c>
      <c r="B668" t="str">
        <f>IF('الصرف المباشر'!C168="","","صرف مباشر")</f>
        <v/>
      </c>
      <c r="C668" t="str">
        <f>IF('الصرف المباشر'!C168="","",IF('الصرف المباشر'!E168="","-",'الصرف المباشر'!E168))</f>
        <v/>
      </c>
      <c r="D668" t="str">
        <f>IF('الصرف المباشر'!C168="","",'الصرف المباشر'!C168)</f>
        <v/>
      </c>
      <c r="E668" s="24" t="str">
        <f>IF('الصرف المباشر'!C168="","",-'الصرف المباشر'!D168)</f>
        <v/>
      </c>
      <c r="F668" t="str">
        <f>IF('الصرف المباشر'!C168="","",IF('الصرف المباشر'!F168="","",'الصرف المباشر'!F168))</f>
        <v/>
      </c>
      <c r="G668" t="str">
        <f>IF($B668&lt;&gt;"",SUMPRODUCT(($B$2:$B668&lt;&gt;"")*1),"")</f>
        <v/>
      </c>
    </row>
    <row r="669" spans="1:7">
      <c r="A669" s="23" t="str">
        <f>IF('الصرف المباشر'!C169="","",'الصرف المباشر'!B169)</f>
        <v/>
      </c>
      <c r="B669" t="str">
        <f>IF('الصرف المباشر'!C169="","","صرف مباشر")</f>
        <v/>
      </c>
      <c r="C669" t="str">
        <f>IF('الصرف المباشر'!C169="","",IF('الصرف المباشر'!E169="","-",'الصرف المباشر'!E169))</f>
        <v/>
      </c>
      <c r="D669" t="str">
        <f>IF('الصرف المباشر'!C169="","",'الصرف المباشر'!C169)</f>
        <v/>
      </c>
      <c r="E669" s="24" t="str">
        <f>IF('الصرف المباشر'!C169="","",-'الصرف المباشر'!D169)</f>
        <v/>
      </c>
      <c r="F669" t="str">
        <f>IF('الصرف المباشر'!C169="","",IF('الصرف المباشر'!F169="","",'الصرف المباشر'!F169))</f>
        <v/>
      </c>
      <c r="G669" t="str">
        <f>IF($B669&lt;&gt;"",SUMPRODUCT(($B$2:$B669&lt;&gt;"")*1),"")</f>
        <v/>
      </c>
    </row>
    <row r="670" spans="1:7">
      <c r="A670" s="23" t="str">
        <f>IF('الصرف المباشر'!C170="","",'الصرف المباشر'!B170)</f>
        <v/>
      </c>
      <c r="B670" t="str">
        <f>IF('الصرف المباشر'!C170="","","صرف مباشر")</f>
        <v/>
      </c>
      <c r="C670" t="str">
        <f>IF('الصرف المباشر'!C170="","",IF('الصرف المباشر'!E170="","-",'الصرف المباشر'!E170))</f>
        <v/>
      </c>
      <c r="D670" t="str">
        <f>IF('الصرف المباشر'!C170="","",'الصرف المباشر'!C170)</f>
        <v/>
      </c>
      <c r="E670" s="24" t="str">
        <f>IF('الصرف المباشر'!C170="","",-'الصرف المباشر'!D170)</f>
        <v/>
      </c>
      <c r="F670" t="str">
        <f>IF('الصرف المباشر'!C170="","",IF('الصرف المباشر'!F170="","",'الصرف المباشر'!F170))</f>
        <v/>
      </c>
      <c r="G670" t="str">
        <f>IF($B670&lt;&gt;"",SUMPRODUCT(($B$2:$B670&lt;&gt;"")*1),"")</f>
        <v/>
      </c>
    </row>
    <row r="671" spans="1:7">
      <c r="A671" s="23" t="str">
        <f>IF('الصرف المباشر'!C171="","",'الصرف المباشر'!B171)</f>
        <v/>
      </c>
      <c r="B671" t="str">
        <f>IF('الصرف المباشر'!C171="","","صرف مباشر")</f>
        <v/>
      </c>
      <c r="C671" t="str">
        <f>IF('الصرف المباشر'!C171="","",IF('الصرف المباشر'!E171="","-",'الصرف المباشر'!E171))</f>
        <v/>
      </c>
      <c r="D671" t="str">
        <f>IF('الصرف المباشر'!C171="","",'الصرف المباشر'!C171)</f>
        <v/>
      </c>
      <c r="E671" s="24" t="str">
        <f>IF('الصرف المباشر'!C171="","",-'الصرف المباشر'!D171)</f>
        <v/>
      </c>
      <c r="F671" t="str">
        <f>IF('الصرف المباشر'!C171="","",IF('الصرف المباشر'!F171="","",'الصرف المباشر'!F171))</f>
        <v/>
      </c>
      <c r="G671" t="str">
        <f>IF($B671&lt;&gt;"",SUMPRODUCT(($B$2:$B671&lt;&gt;"")*1),"")</f>
        <v/>
      </c>
    </row>
    <row r="672" spans="1:7">
      <c r="A672" s="23" t="str">
        <f>IF('الصرف المباشر'!C172="","",'الصرف المباشر'!B172)</f>
        <v/>
      </c>
      <c r="B672" t="str">
        <f>IF('الصرف المباشر'!C172="","","صرف مباشر")</f>
        <v/>
      </c>
      <c r="C672" t="str">
        <f>IF('الصرف المباشر'!C172="","",IF('الصرف المباشر'!E172="","-",'الصرف المباشر'!E172))</f>
        <v/>
      </c>
      <c r="D672" t="str">
        <f>IF('الصرف المباشر'!C172="","",'الصرف المباشر'!C172)</f>
        <v/>
      </c>
      <c r="E672" s="24" t="str">
        <f>IF('الصرف المباشر'!C172="","",-'الصرف المباشر'!D172)</f>
        <v/>
      </c>
      <c r="F672" t="str">
        <f>IF('الصرف المباشر'!C172="","",IF('الصرف المباشر'!F172="","",'الصرف المباشر'!F172))</f>
        <v/>
      </c>
      <c r="G672" t="str">
        <f>IF($B672&lt;&gt;"",SUMPRODUCT(($B$2:$B672&lt;&gt;"")*1),"")</f>
        <v/>
      </c>
    </row>
    <row r="673" spans="1:7">
      <c r="A673" s="23" t="str">
        <f>IF('الصرف المباشر'!C173="","",'الصرف المباشر'!B173)</f>
        <v/>
      </c>
      <c r="B673" t="str">
        <f>IF('الصرف المباشر'!C173="","","صرف مباشر")</f>
        <v/>
      </c>
      <c r="C673" t="str">
        <f>IF('الصرف المباشر'!C173="","",IF('الصرف المباشر'!E173="","-",'الصرف المباشر'!E173))</f>
        <v/>
      </c>
      <c r="D673" t="str">
        <f>IF('الصرف المباشر'!C173="","",'الصرف المباشر'!C173)</f>
        <v/>
      </c>
      <c r="E673" s="24" t="str">
        <f>IF('الصرف المباشر'!C173="","",-'الصرف المباشر'!D173)</f>
        <v/>
      </c>
      <c r="F673" t="str">
        <f>IF('الصرف المباشر'!C173="","",IF('الصرف المباشر'!F173="","",'الصرف المباشر'!F173))</f>
        <v/>
      </c>
      <c r="G673" t="str">
        <f>IF($B673&lt;&gt;"",SUMPRODUCT(($B$2:$B673&lt;&gt;"")*1),"")</f>
        <v/>
      </c>
    </row>
    <row r="674" spans="1:7">
      <c r="A674" s="23" t="str">
        <f>IF('الصرف المباشر'!C174="","",'الصرف المباشر'!B174)</f>
        <v/>
      </c>
      <c r="B674" t="str">
        <f>IF('الصرف المباشر'!C174="","","صرف مباشر")</f>
        <v/>
      </c>
      <c r="C674" t="str">
        <f>IF('الصرف المباشر'!C174="","",IF('الصرف المباشر'!E174="","-",'الصرف المباشر'!E174))</f>
        <v/>
      </c>
      <c r="D674" t="str">
        <f>IF('الصرف المباشر'!C174="","",'الصرف المباشر'!C174)</f>
        <v/>
      </c>
      <c r="E674" s="24" t="str">
        <f>IF('الصرف المباشر'!C174="","",-'الصرف المباشر'!D174)</f>
        <v/>
      </c>
      <c r="F674" t="str">
        <f>IF('الصرف المباشر'!C174="","",IF('الصرف المباشر'!F174="","",'الصرف المباشر'!F174))</f>
        <v/>
      </c>
      <c r="G674" t="str">
        <f>IF($B674&lt;&gt;"",SUMPRODUCT(($B$2:$B674&lt;&gt;"")*1),"")</f>
        <v/>
      </c>
    </row>
    <row r="675" spans="1:7">
      <c r="A675" s="23" t="str">
        <f>IF('الصرف المباشر'!C175="","",'الصرف المباشر'!B175)</f>
        <v/>
      </c>
      <c r="B675" t="str">
        <f>IF('الصرف المباشر'!C175="","","صرف مباشر")</f>
        <v/>
      </c>
      <c r="C675" t="str">
        <f>IF('الصرف المباشر'!C175="","",IF('الصرف المباشر'!E175="","-",'الصرف المباشر'!E175))</f>
        <v/>
      </c>
      <c r="D675" t="str">
        <f>IF('الصرف المباشر'!C175="","",'الصرف المباشر'!C175)</f>
        <v/>
      </c>
      <c r="E675" s="24" t="str">
        <f>IF('الصرف المباشر'!C175="","",-'الصرف المباشر'!D175)</f>
        <v/>
      </c>
      <c r="F675" t="str">
        <f>IF('الصرف المباشر'!C175="","",IF('الصرف المباشر'!F175="","",'الصرف المباشر'!F175))</f>
        <v/>
      </c>
      <c r="G675" t="str">
        <f>IF($B675&lt;&gt;"",SUMPRODUCT(($B$2:$B675&lt;&gt;"")*1),"")</f>
        <v/>
      </c>
    </row>
    <row r="676" spans="1:7">
      <c r="A676" s="23" t="str">
        <f>IF('الصرف المباشر'!C176="","",'الصرف المباشر'!B176)</f>
        <v/>
      </c>
      <c r="B676" t="str">
        <f>IF('الصرف المباشر'!C176="","","صرف مباشر")</f>
        <v/>
      </c>
      <c r="C676" t="str">
        <f>IF('الصرف المباشر'!C176="","",IF('الصرف المباشر'!E176="","-",'الصرف المباشر'!E176))</f>
        <v/>
      </c>
      <c r="D676" t="str">
        <f>IF('الصرف المباشر'!C176="","",'الصرف المباشر'!C176)</f>
        <v/>
      </c>
      <c r="E676" s="24" t="str">
        <f>IF('الصرف المباشر'!C176="","",-'الصرف المباشر'!D176)</f>
        <v/>
      </c>
      <c r="F676" t="str">
        <f>IF('الصرف المباشر'!C176="","",IF('الصرف المباشر'!F176="","",'الصرف المباشر'!F176))</f>
        <v/>
      </c>
      <c r="G676" t="str">
        <f>IF($B676&lt;&gt;"",SUMPRODUCT(($B$2:$B676&lt;&gt;"")*1),"")</f>
        <v/>
      </c>
    </row>
    <row r="677" spans="1:7">
      <c r="A677" s="23" t="str">
        <f>IF('الصرف المباشر'!C177="","",'الصرف المباشر'!B177)</f>
        <v/>
      </c>
      <c r="B677" t="str">
        <f>IF('الصرف المباشر'!C177="","","صرف مباشر")</f>
        <v/>
      </c>
      <c r="C677" t="str">
        <f>IF('الصرف المباشر'!C177="","",IF('الصرف المباشر'!E177="","-",'الصرف المباشر'!E177))</f>
        <v/>
      </c>
      <c r="D677" t="str">
        <f>IF('الصرف المباشر'!C177="","",'الصرف المباشر'!C177)</f>
        <v/>
      </c>
      <c r="E677" s="24" t="str">
        <f>IF('الصرف المباشر'!C177="","",-'الصرف المباشر'!D177)</f>
        <v/>
      </c>
      <c r="F677" t="str">
        <f>IF('الصرف المباشر'!C177="","",IF('الصرف المباشر'!F177="","",'الصرف المباشر'!F177))</f>
        <v/>
      </c>
      <c r="G677" t="str">
        <f>IF($B677&lt;&gt;"",SUMPRODUCT(($B$2:$B677&lt;&gt;"")*1),"")</f>
        <v/>
      </c>
    </row>
    <row r="678" spans="1:7">
      <c r="A678" s="23" t="str">
        <f>IF('الصرف المباشر'!C178="","",'الصرف المباشر'!B178)</f>
        <v/>
      </c>
      <c r="B678" t="str">
        <f>IF('الصرف المباشر'!C178="","","صرف مباشر")</f>
        <v/>
      </c>
      <c r="C678" t="str">
        <f>IF('الصرف المباشر'!C178="","",IF('الصرف المباشر'!E178="","-",'الصرف المباشر'!E178))</f>
        <v/>
      </c>
      <c r="D678" t="str">
        <f>IF('الصرف المباشر'!C178="","",'الصرف المباشر'!C178)</f>
        <v/>
      </c>
      <c r="E678" s="24" t="str">
        <f>IF('الصرف المباشر'!C178="","",-'الصرف المباشر'!D178)</f>
        <v/>
      </c>
      <c r="F678" t="str">
        <f>IF('الصرف المباشر'!C178="","",IF('الصرف المباشر'!F178="","",'الصرف المباشر'!F178))</f>
        <v/>
      </c>
      <c r="G678" t="str">
        <f>IF($B678&lt;&gt;"",SUMPRODUCT(($B$2:$B678&lt;&gt;"")*1),"")</f>
        <v/>
      </c>
    </row>
    <row r="679" spans="1:7">
      <c r="A679" s="23" t="str">
        <f>IF('الصرف المباشر'!C179="","",'الصرف المباشر'!B179)</f>
        <v/>
      </c>
      <c r="B679" t="str">
        <f>IF('الصرف المباشر'!C179="","","صرف مباشر")</f>
        <v/>
      </c>
      <c r="C679" t="str">
        <f>IF('الصرف المباشر'!C179="","",IF('الصرف المباشر'!E179="","-",'الصرف المباشر'!E179))</f>
        <v/>
      </c>
      <c r="D679" t="str">
        <f>IF('الصرف المباشر'!C179="","",'الصرف المباشر'!C179)</f>
        <v/>
      </c>
      <c r="E679" s="24" t="str">
        <f>IF('الصرف المباشر'!C179="","",-'الصرف المباشر'!D179)</f>
        <v/>
      </c>
      <c r="F679" t="str">
        <f>IF('الصرف المباشر'!C179="","",IF('الصرف المباشر'!F179="","",'الصرف المباشر'!F179))</f>
        <v/>
      </c>
      <c r="G679" t="str">
        <f>IF($B679&lt;&gt;"",SUMPRODUCT(($B$2:$B679&lt;&gt;"")*1),"")</f>
        <v/>
      </c>
    </row>
    <row r="680" spans="1:7">
      <c r="A680" s="23" t="str">
        <f>IF('الصرف المباشر'!C180="","",'الصرف المباشر'!B180)</f>
        <v/>
      </c>
      <c r="B680" t="str">
        <f>IF('الصرف المباشر'!C180="","","صرف مباشر")</f>
        <v/>
      </c>
      <c r="C680" t="str">
        <f>IF('الصرف المباشر'!C180="","",IF('الصرف المباشر'!E180="","-",'الصرف المباشر'!E180))</f>
        <v/>
      </c>
      <c r="D680" t="str">
        <f>IF('الصرف المباشر'!C180="","",'الصرف المباشر'!C180)</f>
        <v/>
      </c>
      <c r="E680" s="24" t="str">
        <f>IF('الصرف المباشر'!C180="","",-'الصرف المباشر'!D180)</f>
        <v/>
      </c>
      <c r="F680" t="str">
        <f>IF('الصرف المباشر'!C180="","",IF('الصرف المباشر'!F180="","",'الصرف المباشر'!F180))</f>
        <v/>
      </c>
      <c r="G680" t="str">
        <f>IF($B680&lt;&gt;"",SUMPRODUCT(($B$2:$B680&lt;&gt;"")*1),"")</f>
        <v/>
      </c>
    </row>
    <row r="681" spans="1:7">
      <c r="A681" s="23" t="str">
        <f>IF('الصرف المباشر'!C181="","",'الصرف المباشر'!B181)</f>
        <v/>
      </c>
      <c r="B681" t="str">
        <f>IF('الصرف المباشر'!C181="","","صرف مباشر")</f>
        <v/>
      </c>
      <c r="C681" t="str">
        <f>IF('الصرف المباشر'!C181="","",IF('الصرف المباشر'!E181="","-",'الصرف المباشر'!E181))</f>
        <v/>
      </c>
      <c r="D681" t="str">
        <f>IF('الصرف المباشر'!C181="","",'الصرف المباشر'!C181)</f>
        <v/>
      </c>
      <c r="E681" s="24" t="str">
        <f>IF('الصرف المباشر'!C181="","",-'الصرف المباشر'!D181)</f>
        <v/>
      </c>
      <c r="F681" t="str">
        <f>IF('الصرف المباشر'!C181="","",IF('الصرف المباشر'!F181="","",'الصرف المباشر'!F181))</f>
        <v/>
      </c>
      <c r="G681" t="str">
        <f>IF($B681&lt;&gt;"",SUMPRODUCT(($B$2:$B681&lt;&gt;"")*1),"")</f>
        <v/>
      </c>
    </row>
    <row r="682" spans="1:7">
      <c r="A682" s="23" t="str">
        <f>IF('الصرف المباشر'!C182="","",'الصرف المباشر'!B182)</f>
        <v/>
      </c>
      <c r="B682" t="str">
        <f>IF('الصرف المباشر'!C182="","","صرف مباشر")</f>
        <v/>
      </c>
      <c r="C682" t="str">
        <f>IF('الصرف المباشر'!C182="","",IF('الصرف المباشر'!E182="","-",'الصرف المباشر'!E182))</f>
        <v/>
      </c>
      <c r="D682" t="str">
        <f>IF('الصرف المباشر'!C182="","",'الصرف المباشر'!C182)</f>
        <v/>
      </c>
      <c r="E682" s="24" t="str">
        <f>IF('الصرف المباشر'!C182="","",-'الصرف المباشر'!D182)</f>
        <v/>
      </c>
      <c r="F682" t="str">
        <f>IF('الصرف المباشر'!C182="","",IF('الصرف المباشر'!F182="","",'الصرف المباشر'!F182))</f>
        <v/>
      </c>
      <c r="G682" t="str">
        <f>IF($B682&lt;&gt;"",SUMPRODUCT(($B$2:$B682&lt;&gt;"")*1),"")</f>
        <v/>
      </c>
    </row>
    <row r="683" spans="1:7">
      <c r="A683" s="23" t="str">
        <f>IF('الصرف المباشر'!C183="","",'الصرف المباشر'!B183)</f>
        <v/>
      </c>
      <c r="B683" t="str">
        <f>IF('الصرف المباشر'!C183="","","صرف مباشر")</f>
        <v/>
      </c>
      <c r="C683" t="str">
        <f>IF('الصرف المباشر'!C183="","",IF('الصرف المباشر'!E183="","-",'الصرف المباشر'!E183))</f>
        <v/>
      </c>
      <c r="D683" t="str">
        <f>IF('الصرف المباشر'!C183="","",'الصرف المباشر'!C183)</f>
        <v/>
      </c>
      <c r="E683" s="24" t="str">
        <f>IF('الصرف المباشر'!C183="","",-'الصرف المباشر'!D183)</f>
        <v/>
      </c>
      <c r="F683" t="str">
        <f>IF('الصرف المباشر'!C183="","",IF('الصرف المباشر'!F183="","",'الصرف المباشر'!F183))</f>
        <v/>
      </c>
      <c r="G683" t="str">
        <f>IF($B683&lt;&gt;"",SUMPRODUCT(($B$2:$B683&lt;&gt;"")*1),"")</f>
        <v/>
      </c>
    </row>
    <row r="684" spans="1:7">
      <c r="A684" s="23" t="str">
        <f>IF('الصرف المباشر'!C184="","",'الصرف المباشر'!B184)</f>
        <v/>
      </c>
      <c r="B684" t="str">
        <f>IF('الصرف المباشر'!C184="","","صرف مباشر")</f>
        <v/>
      </c>
      <c r="C684" t="str">
        <f>IF('الصرف المباشر'!C184="","",IF('الصرف المباشر'!E184="","-",'الصرف المباشر'!E184))</f>
        <v/>
      </c>
      <c r="D684" t="str">
        <f>IF('الصرف المباشر'!C184="","",'الصرف المباشر'!C184)</f>
        <v/>
      </c>
      <c r="E684" s="24" t="str">
        <f>IF('الصرف المباشر'!C184="","",-'الصرف المباشر'!D184)</f>
        <v/>
      </c>
      <c r="F684" t="str">
        <f>IF('الصرف المباشر'!C184="","",IF('الصرف المباشر'!F184="","",'الصرف المباشر'!F184))</f>
        <v/>
      </c>
      <c r="G684" t="str">
        <f>IF($B684&lt;&gt;"",SUMPRODUCT(($B$2:$B684&lt;&gt;"")*1),"")</f>
        <v/>
      </c>
    </row>
    <row r="685" spans="1:7">
      <c r="A685" s="23" t="str">
        <f>IF('الصرف المباشر'!C185="","",'الصرف المباشر'!B185)</f>
        <v/>
      </c>
      <c r="B685" t="str">
        <f>IF('الصرف المباشر'!C185="","","صرف مباشر")</f>
        <v/>
      </c>
      <c r="C685" t="str">
        <f>IF('الصرف المباشر'!C185="","",IF('الصرف المباشر'!E185="","-",'الصرف المباشر'!E185))</f>
        <v/>
      </c>
      <c r="D685" t="str">
        <f>IF('الصرف المباشر'!C185="","",'الصرف المباشر'!C185)</f>
        <v/>
      </c>
      <c r="E685" s="24" t="str">
        <f>IF('الصرف المباشر'!C185="","",-'الصرف المباشر'!D185)</f>
        <v/>
      </c>
      <c r="F685" t="str">
        <f>IF('الصرف المباشر'!C185="","",IF('الصرف المباشر'!F185="","",'الصرف المباشر'!F185))</f>
        <v/>
      </c>
      <c r="G685" t="str">
        <f>IF($B685&lt;&gt;"",SUMPRODUCT(($B$2:$B685&lt;&gt;"")*1),"")</f>
        <v/>
      </c>
    </row>
    <row r="686" spans="1:7">
      <c r="A686" s="23" t="str">
        <f>IF('الصرف المباشر'!C186="","",'الصرف المباشر'!B186)</f>
        <v/>
      </c>
      <c r="B686" t="str">
        <f>IF('الصرف المباشر'!C186="","","صرف مباشر")</f>
        <v/>
      </c>
      <c r="C686" t="str">
        <f>IF('الصرف المباشر'!C186="","",IF('الصرف المباشر'!E186="","-",'الصرف المباشر'!E186))</f>
        <v/>
      </c>
      <c r="D686" t="str">
        <f>IF('الصرف المباشر'!C186="","",'الصرف المباشر'!C186)</f>
        <v/>
      </c>
      <c r="E686" s="24" t="str">
        <f>IF('الصرف المباشر'!C186="","",-'الصرف المباشر'!D186)</f>
        <v/>
      </c>
      <c r="F686" t="str">
        <f>IF('الصرف المباشر'!C186="","",IF('الصرف المباشر'!F186="","",'الصرف المباشر'!F186))</f>
        <v/>
      </c>
      <c r="G686" t="str">
        <f>IF($B686&lt;&gt;"",SUMPRODUCT(($B$2:$B686&lt;&gt;"")*1),"")</f>
        <v/>
      </c>
    </row>
    <row r="687" spans="1:7">
      <c r="A687" s="23" t="str">
        <f>IF('الصرف المباشر'!C187="","",'الصرف المباشر'!B187)</f>
        <v/>
      </c>
      <c r="B687" t="str">
        <f>IF('الصرف المباشر'!C187="","","صرف مباشر")</f>
        <v/>
      </c>
      <c r="C687" t="str">
        <f>IF('الصرف المباشر'!C187="","",IF('الصرف المباشر'!E187="","-",'الصرف المباشر'!E187))</f>
        <v/>
      </c>
      <c r="D687" t="str">
        <f>IF('الصرف المباشر'!C187="","",'الصرف المباشر'!C187)</f>
        <v/>
      </c>
      <c r="E687" s="24" t="str">
        <f>IF('الصرف المباشر'!C187="","",-'الصرف المباشر'!D187)</f>
        <v/>
      </c>
      <c r="F687" t="str">
        <f>IF('الصرف المباشر'!C187="","",IF('الصرف المباشر'!F187="","",'الصرف المباشر'!F187))</f>
        <v/>
      </c>
      <c r="G687" t="str">
        <f>IF($B687&lt;&gt;"",SUMPRODUCT(($B$2:$B687&lt;&gt;"")*1),"")</f>
        <v/>
      </c>
    </row>
    <row r="688" spans="1:7">
      <c r="A688" s="23" t="str">
        <f>IF('الصرف المباشر'!C188="","",'الصرف المباشر'!B188)</f>
        <v/>
      </c>
      <c r="B688" t="str">
        <f>IF('الصرف المباشر'!C188="","","صرف مباشر")</f>
        <v/>
      </c>
      <c r="C688" t="str">
        <f>IF('الصرف المباشر'!C188="","",IF('الصرف المباشر'!E188="","-",'الصرف المباشر'!E188))</f>
        <v/>
      </c>
      <c r="D688" t="str">
        <f>IF('الصرف المباشر'!C188="","",'الصرف المباشر'!C188)</f>
        <v/>
      </c>
      <c r="E688" s="24" t="str">
        <f>IF('الصرف المباشر'!C188="","",-'الصرف المباشر'!D188)</f>
        <v/>
      </c>
      <c r="F688" t="str">
        <f>IF('الصرف المباشر'!C188="","",IF('الصرف المباشر'!F188="","",'الصرف المباشر'!F188))</f>
        <v/>
      </c>
      <c r="G688" t="str">
        <f>IF($B688&lt;&gt;"",SUMPRODUCT(($B$2:$B688&lt;&gt;"")*1),"")</f>
        <v/>
      </c>
    </row>
    <row r="689" spans="1:7">
      <c r="A689" s="23" t="str">
        <f>IF('الصرف المباشر'!C189="","",'الصرف المباشر'!B189)</f>
        <v/>
      </c>
      <c r="B689" t="str">
        <f>IF('الصرف المباشر'!C189="","","صرف مباشر")</f>
        <v/>
      </c>
      <c r="C689" t="str">
        <f>IF('الصرف المباشر'!C189="","",IF('الصرف المباشر'!E189="","-",'الصرف المباشر'!E189))</f>
        <v/>
      </c>
      <c r="D689" t="str">
        <f>IF('الصرف المباشر'!C189="","",'الصرف المباشر'!C189)</f>
        <v/>
      </c>
      <c r="E689" s="24" t="str">
        <f>IF('الصرف المباشر'!C189="","",-'الصرف المباشر'!D189)</f>
        <v/>
      </c>
      <c r="F689" t="str">
        <f>IF('الصرف المباشر'!C189="","",IF('الصرف المباشر'!F189="","",'الصرف المباشر'!F189))</f>
        <v/>
      </c>
      <c r="G689" t="str">
        <f>IF($B689&lt;&gt;"",SUMPRODUCT(($B$2:$B689&lt;&gt;"")*1),"")</f>
        <v/>
      </c>
    </row>
    <row r="690" spans="1:7">
      <c r="A690" s="23" t="str">
        <f>IF('الصرف المباشر'!C190="","",'الصرف المباشر'!B190)</f>
        <v/>
      </c>
      <c r="B690" t="str">
        <f>IF('الصرف المباشر'!C190="","","صرف مباشر")</f>
        <v/>
      </c>
      <c r="C690" t="str">
        <f>IF('الصرف المباشر'!C190="","",IF('الصرف المباشر'!E190="","-",'الصرف المباشر'!E190))</f>
        <v/>
      </c>
      <c r="D690" t="str">
        <f>IF('الصرف المباشر'!C190="","",'الصرف المباشر'!C190)</f>
        <v/>
      </c>
      <c r="E690" s="24" t="str">
        <f>IF('الصرف المباشر'!C190="","",-'الصرف المباشر'!D190)</f>
        <v/>
      </c>
      <c r="F690" t="str">
        <f>IF('الصرف المباشر'!C190="","",IF('الصرف المباشر'!F190="","",'الصرف المباشر'!F190))</f>
        <v/>
      </c>
      <c r="G690" t="str">
        <f>IF($B690&lt;&gt;"",SUMPRODUCT(($B$2:$B690&lt;&gt;"")*1),"")</f>
        <v/>
      </c>
    </row>
    <row r="691" spans="1:7">
      <c r="A691" s="23" t="str">
        <f>IF('الصرف المباشر'!C191="","",'الصرف المباشر'!B191)</f>
        <v/>
      </c>
      <c r="B691" t="str">
        <f>IF('الصرف المباشر'!C191="","","صرف مباشر")</f>
        <v/>
      </c>
      <c r="C691" t="str">
        <f>IF('الصرف المباشر'!C191="","",IF('الصرف المباشر'!E191="","-",'الصرف المباشر'!E191))</f>
        <v/>
      </c>
      <c r="D691" t="str">
        <f>IF('الصرف المباشر'!C191="","",'الصرف المباشر'!C191)</f>
        <v/>
      </c>
      <c r="E691" s="24" t="str">
        <f>IF('الصرف المباشر'!C191="","",-'الصرف المباشر'!D191)</f>
        <v/>
      </c>
      <c r="F691" t="str">
        <f>IF('الصرف المباشر'!C191="","",IF('الصرف المباشر'!F191="","",'الصرف المباشر'!F191))</f>
        <v/>
      </c>
      <c r="G691" t="str">
        <f>IF($B691&lt;&gt;"",SUMPRODUCT(($B$2:$B691&lt;&gt;"")*1),"")</f>
        <v/>
      </c>
    </row>
    <row r="692" spans="1:7">
      <c r="A692" s="23" t="str">
        <f>IF('الصرف المباشر'!C192="","",'الصرف المباشر'!B192)</f>
        <v/>
      </c>
      <c r="B692" t="str">
        <f>IF('الصرف المباشر'!C192="","","صرف مباشر")</f>
        <v/>
      </c>
      <c r="C692" t="str">
        <f>IF('الصرف المباشر'!C192="","",IF('الصرف المباشر'!E192="","-",'الصرف المباشر'!E192))</f>
        <v/>
      </c>
      <c r="D692" t="str">
        <f>IF('الصرف المباشر'!C192="","",'الصرف المباشر'!C192)</f>
        <v/>
      </c>
      <c r="E692" s="24" t="str">
        <f>IF('الصرف المباشر'!C192="","",-'الصرف المباشر'!D192)</f>
        <v/>
      </c>
      <c r="F692" t="str">
        <f>IF('الصرف المباشر'!C192="","",IF('الصرف المباشر'!F192="","",'الصرف المباشر'!F192))</f>
        <v/>
      </c>
      <c r="G692" t="str">
        <f>IF($B692&lt;&gt;"",SUMPRODUCT(($B$2:$B692&lt;&gt;"")*1),"")</f>
        <v/>
      </c>
    </row>
    <row r="693" spans="1:7">
      <c r="A693" s="23" t="str">
        <f>IF('الصرف المباشر'!C193="","",'الصرف المباشر'!B193)</f>
        <v/>
      </c>
      <c r="B693" t="str">
        <f>IF('الصرف المباشر'!C193="","","صرف مباشر")</f>
        <v/>
      </c>
      <c r="C693" t="str">
        <f>IF('الصرف المباشر'!C193="","",IF('الصرف المباشر'!E193="","-",'الصرف المباشر'!E193))</f>
        <v/>
      </c>
      <c r="D693" t="str">
        <f>IF('الصرف المباشر'!C193="","",'الصرف المباشر'!C193)</f>
        <v/>
      </c>
      <c r="E693" s="24" t="str">
        <f>IF('الصرف المباشر'!C193="","",-'الصرف المباشر'!D193)</f>
        <v/>
      </c>
      <c r="F693" t="str">
        <f>IF('الصرف المباشر'!C193="","",IF('الصرف المباشر'!F193="","",'الصرف المباشر'!F193))</f>
        <v/>
      </c>
      <c r="G693" t="str">
        <f>IF($B693&lt;&gt;"",SUMPRODUCT(($B$2:$B693&lt;&gt;"")*1),"")</f>
        <v/>
      </c>
    </row>
    <row r="694" spans="1:7">
      <c r="A694" s="23" t="str">
        <f>IF('الصرف المباشر'!C194="","",'الصرف المباشر'!B194)</f>
        <v/>
      </c>
      <c r="B694" t="str">
        <f>IF('الصرف المباشر'!C194="","","صرف مباشر")</f>
        <v/>
      </c>
      <c r="C694" t="str">
        <f>IF('الصرف المباشر'!C194="","",IF('الصرف المباشر'!E194="","-",'الصرف المباشر'!E194))</f>
        <v/>
      </c>
      <c r="D694" t="str">
        <f>IF('الصرف المباشر'!C194="","",'الصرف المباشر'!C194)</f>
        <v/>
      </c>
      <c r="E694" s="24" t="str">
        <f>IF('الصرف المباشر'!C194="","",-'الصرف المباشر'!D194)</f>
        <v/>
      </c>
      <c r="F694" t="str">
        <f>IF('الصرف المباشر'!C194="","",IF('الصرف المباشر'!F194="","",'الصرف المباشر'!F194))</f>
        <v/>
      </c>
      <c r="G694" t="str">
        <f>IF($B694&lt;&gt;"",SUMPRODUCT(($B$2:$B694&lt;&gt;"")*1),"")</f>
        <v/>
      </c>
    </row>
    <row r="695" spans="1:7">
      <c r="A695" s="23" t="str">
        <f>IF('الصرف المباشر'!C195="","",'الصرف المباشر'!B195)</f>
        <v/>
      </c>
      <c r="B695" t="str">
        <f>IF('الصرف المباشر'!C195="","","صرف مباشر")</f>
        <v/>
      </c>
      <c r="C695" t="str">
        <f>IF('الصرف المباشر'!C195="","",IF('الصرف المباشر'!E195="","-",'الصرف المباشر'!E195))</f>
        <v/>
      </c>
      <c r="D695" t="str">
        <f>IF('الصرف المباشر'!C195="","",'الصرف المباشر'!C195)</f>
        <v/>
      </c>
      <c r="E695" s="24" t="str">
        <f>IF('الصرف المباشر'!C195="","",-'الصرف المباشر'!D195)</f>
        <v/>
      </c>
      <c r="F695" t="str">
        <f>IF('الصرف المباشر'!C195="","",IF('الصرف المباشر'!F195="","",'الصرف المباشر'!F195))</f>
        <v/>
      </c>
      <c r="G695" t="str">
        <f>IF($B695&lt;&gt;"",SUMPRODUCT(($B$2:$B695&lt;&gt;"")*1),"")</f>
        <v/>
      </c>
    </row>
    <row r="696" spans="1:7">
      <c r="A696" s="23" t="str">
        <f>IF('الصرف المباشر'!C196="","",'الصرف المباشر'!B196)</f>
        <v/>
      </c>
      <c r="B696" t="str">
        <f>IF('الصرف المباشر'!C196="","","صرف مباشر")</f>
        <v/>
      </c>
      <c r="C696" t="str">
        <f>IF('الصرف المباشر'!C196="","",IF('الصرف المباشر'!E196="","-",'الصرف المباشر'!E196))</f>
        <v/>
      </c>
      <c r="D696" t="str">
        <f>IF('الصرف المباشر'!C196="","",'الصرف المباشر'!C196)</f>
        <v/>
      </c>
      <c r="E696" s="24" t="str">
        <f>IF('الصرف المباشر'!C196="","",-'الصرف المباشر'!D196)</f>
        <v/>
      </c>
      <c r="F696" t="str">
        <f>IF('الصرف المباشر'!C196="","",IF('الصرف المباشر'!F196="","",'الصرف المباشر'!F196))</f>
        <v/>
      </c>
      <c r="G696" t="str">
        <f>IF($B696&lt;&gt;"",SUMPRODUCT(($B$2:$B696&lt;&gt;"")*1),"")</f>
        <v/>
      </c>
    </row>
    <row r="697" spans="1:7">
      <c r="A697" s="23" t="str">
        <f>IF('الصرف المباشر'!C197="","",'الصرف المباشر'!B197)</f>
        <v/>
      </c>
      <c r="B697" t="str">
        <f>IF('الصرف المباشر'!C197="","","صرف مباشر")</f>
        <v/>
      </c>
      <c r="C697" t="str">
        <f>IF('الصرف المباشر'!C197="","",IF('الصرف المباشر'!E197="","-",'الصرف المباشر'!E197))</f>
        <v/>
      </c>
      <c r="D697" t="str">
        <f>IF('الصرف المباشر'!C197="","",'الصرف المباشر'!C197)</f>
        <v/>
      </c>
      <c r="E697" s="24" t="str">
        <f>IF('الصرف المباشر'!C197="","",-'الصرف المباشر'!D197)</f>
        <v/>
      </c>
      <c r="F697" t="str">
        <f>IF('الصرف المباشر'!C197="","",IF('الصرف المباشر'!F197="","",'الصرف المباشر'!F197))</f>
        <v/>
      </c>
      <c r="G697" t="str">
        <f>IF($B697&lt;&gt;"",SUMPRODUCT(($B$2:$B697&lt;&gt;"")*1),"")</f>
        <v/>
      </c>
    </row>
    <row r="698" spans="1:7">
      <c r="A698" s="23" t="str">
        <f>IF('الصرف المباشر'!C198="","",'الصرف المباشر'!B198)</f>
        <v/>
      </c>
      <c r="B698" t="str">
        <f>IF('الصرف المباشر'!C198="","","صرف مباشر")</f>
        <v/>
      </c>
      <c r="C698" t="str">
        <f>IF('الصرف المباشر'!C198="","",IF('الصرف المباشر'!E198="","-",'الصرف المباشر'!E198))</f>
        <v/>
      </c>
      <c r="D698" t="str">
        <f>IF('الصرف المباشر'!C198="","",'الصرف المباشر'!C198)</f>
        <v/>
      </c>
      <c r="E698" s="24" t="str">
        <f>IF('الصرف المباشر'!C198="","",-'الصرف المباشر'!D198)</f>
        <v/>
      </c>
      <c r="F698" t="str">
        <f>IF('الصرف المباشر'!C198="","",IF('الصرف المباشر'!F198="","",'الصرف المباشر'!F198))</f>
        <v/>
      </c>
      <c r="G698" t="str">
        <f>IF($B698&lt;&gt;"",SUMPRODUCT(($B$2:$B698&lt;&gt;"")*1),"")</f>
        <v/>
      </c>
    </row>
    <row r="699" spans="1:7">
      <c r="A699" s="23" t="str">
        <f>IF('الصرف المباشر'!C199="","",'الصرف المباشر'!B199)</f>
        <v/>
      </c>
      <c r="B699" t="str">
        <f>IF('الصرف المباشر'!C199="","","صرف مباشر")</f>
        <v/>
      </c>
      <c r="C699" t="str">
        <f>IF('الصرف المباشر'!C199="","",IF('الصرف المباشر'!E199="","-",'الصرف المباشر'!E199))</f>
        <v/>
      </c>
      <c r="D699" t="str">
        <f>IF('الصرف المباشر'!C199="","",'الصرف المباشر'!C199)</f>
        <v/>
      </c>
      <c r="E699" s="24" t="str">
        <f>IF('الصرف المباشر'!C199="","",-'الصرف المباشر'!D199)</f>
        <v/>
      </c>
      <c r="F699" t="str">
        <f>IF('الصرف المباشر'!C199="","",IF('الصرف المباشر'!F199="","",'الصرف المباشر'!F199))</f>
        <v/>
      </c>
      <c r="G699" t="str">
        <f>IF($B699&lt;&gt;"",SUMPRODUCT(($B$2:$B699&lt;&gt;"")*1),"")</f>
        <v/>
      </c>
    </row>
    <row r="700" spans="1:7">
      <c r="A700" s="23" t="str">
        <f>IF('الصرف المباشر'!C200="","",'الصرف المباشر'!B200)</f>
        <v/>
      </c>
      <c r="B700" t="str">
        <f>IF('الصرف المباشر'!C200="","","صرف مباشر")</f>
        <v/>
      </c>
      <c r="C700" t="str">
        <f>IF('الصرف المباشر'!C200="","",IF('الصرف المباشر'!E200="","-",'الصرف المباشر'!E200))</f>
        <v/>
      </c>
      <c r="D700" t="str">
        <f>IF('الصرف المباشر'!C200="","",'الصرف المباشر'!C200)</f>
        <v/>
      </c>
      <c r="E700" s="24" t="str">
        <f>IF('الصرف المباشر'!C200="","",-'الصرف المباشر'!D200)</f>
        <v/>
      </c>
      <c r="F700" t="str">
        <f>IF('الصرف المباشر'!C200="","",IF('الصرف المباشر'!F200="","",'الصرف المباشر'!F200))</f>
        <v/>
      </c>
      <c r="G700" t="str">
        <f>IF($B700&lt;&gt;"",SUMPRODUCT(($B$2:$B700&lt;&gt;"")*1),"")</f>
        <v/>
      </c>
    </row>
    <row r="701" spans="1:7">
      <c r="A701" s="23" t="str">
        <f>IF('الصرف المباشر'!C201="","",'الصرف المباشر'!B201)</f>
        <v/>
      </c>
      <c r="B701" t="str">
        <f>IF('الصرف المباشر'!C201="","","صرف مباشر")</f>
        <v/>
      </c>
      <c r="C701" t="str">
        <f>IF('الصرف المباشر'!C201="","",IF('الصرف المباشر'!E201="","-",'الصرف المباشر'!E201))</f>
        <v/>
      </c>
      <c r="D701" t="str">
        <f>IF('الصرف المباشر'!C201="","",'الصرف المباشر'!C201)</f>
        <v/>
      </c>
      <c r="E701" s="24" t="str">
        <f>IF('الصرف المباشر'!C201="","",-'الصرف المباشر'!D201)</f>
        <v/>
      </c>
      <c r="F701" t="str">
        <f>IF('الصرف المباشر'!C201="","",IF('الصرف المباشر'!F201="","",'الصرف المباشر'!F201))</f>
        <v/>
      </c>
      <c r="G701" t="str">
        <f>IF($B701&lt;&gt;"",SUMPRODUCT(($B$2:$B701&lt;&gt;"")*1),"")</f>
        <v/>
      </c>
    </row>
    <row r="702" spans="1:7">
      <c r="A702" s="23" t="str">
        <f>IF('الصرف المباشر'!C202="","",'الصرف المباشر'!B202)</f>
        <v/>
      </c>
      <c r="B702" t="str">
        <f>IF('الصرف المباشر'!C202="","","صرف مباشر")</f>
        <v/>
      </c>
      <c r="C702" t="str">
        <f>IF('الصرف المباشر'!C202="","",IF('الصرف المباشر'!E202="","-",'الصرف المباشر'!E202))</f>
        <v/>
      </c>
      <c r="D702" t="str">
        <f>IF('الصرف المباشر'!C202="","",'الصرف المباشر'!C202)</f>
        <v/>
      </c>
      <c r="E702" s="24" t="str">
        <f>IF('الصرف المباشر'!C202="","",-'الصرف المباشر'!D202)</f>
        <v/>
      </c>
      <c r="F702" t="str">
        <f>IF('الصرف المباشر'!C202="","",IF('الصرف المباشر'!F202="","",'الصرف المباشر'!F202))</f>
        <v/>
      </c>
      <c r="G702" t="str">
        <f>IF($B702&lt;&gt;"",SUMPRODUCT(($B$2:$B702&lt;&gt;"")*1),"")</f>
        <v/>
      </c>
    </row>
    <row r="703" spans="1:7">
      <c r="A703" s="23" t="str">
        <f>IF('الصرف المباشر'!C203="","",'الصرف المباشر'!B203)</f>
        <v/>
      </c>
      <c r="B703" t="str">
        <f>IF('الصرف المباشر'!C203="","","صرف مباشر")</f>
        <v/>
      </c>
      <c r="C703" t="str">
        <f>IF('الصرف المباشر'!C203="","",IF('الصرف المباشر'!E203="","-",'الصرف المباشر'!E203))</f>
        <v/>
      </c>
      <c r="D703" t="str">
        <f>IF('الصرف المباشر'!C203="","",'الصرف المباشر'!C203)</f>
        <v/>
      </c>
      <c r="E703" s="24" t="str">
        <f>IF('الصرف المباشر'!C203="","",-'الصرف المباشر'!D203)</f>
        <v/>
      </c>
      <c r="F703" t="str">
        <f>IF('الصرف المباشر'!C203="","",IF('الصرف المباشر'!F203="","",'الصرف المباشر'!F203))</f>
        <v/>
      </c>
      <c r="G703" t="str">
        <f>IF($B703&lt;&gt;"",SUMPRODUCT(($B$2:$B703&lt;&gt;"")*1),"")</f>
        <v/>
      </c>
    </row>
    <row r="704" spans="1:7">
      <c r="A704" s="23" t="str">
        <f>IF('الصرف المباشر'!C204="","",'الصرف المباشر'!B204)</f>
        <v/>
      </c>
      <c r="B704" t="str">
        <f>IF('الصرف المباشر'!C204="","","صرف مباشر")</f>
        <v/>
      </c>
      <c r="C704" t="str">
        <f>IF('الصرف المباشر'!C204="","",IF('الصرف المباشر'!E204="","-",'الصرف المباشر'!E204))</f>
        <v/>
      </c>
      <c r="D704" t="str">
        <f>IF('الصرف المباشر'!C204="","",'الصرف المباشر'!C204)</f>
        <v/>
      </c>
      <c r="E704" s="24" t="str">
        <f>IF('الصرف المباشر'!C204="","",-'الصرف المباشر'!D204)</f>
        <v/>
      </c>
      <c r="F704" t="str">
        <f>IF('الصرف المباشر'!C204="","",IF('الصرف المباشر'!F204="","",'الصرف المباشر'!F204))</f>
        <v/>
      </c>
      <c r="G704" t="str">
        <f>IF($B704&lt;&gt;"",SUMPRODUCT(($B$2:$B704&lt;&gt;"")*1),"")</f>
        <v/>
      </c>
    </row>
    <row r="705" spans="1:7">
      <c r="A705" s="23" t="str">
        <f>IF('الصرف المباشر'!C205="","",'الصرف المباشر'!B205)</f>
        <v/>
      </c>
      <c r="B705" t="str">
        <f>IF('الصرف المباشر'!C205="","","صرف مباشر")</f>
        <v/>
      </c>
      <c r="C705" t="str">
        <f>IF('الصرف المباشر'!C205="","",IF('الصرف المباشر'!E205="","-",'الصرف المباشر'!E205))</f>
        <v/>
      </c>
      <c r="D705" t="str">
        <f>IF('الصرف المباشر'!C205="","",'الصرف المباشر'!C205)</f>
        <v/>
      </c>
      <c r="E705" s="24" t="str">
        <f>IF('الصرف المباشر'!C205="","",-'الصرف المباشر'!D205)</f>
        <v/>
      </c>
      <c r="F705" t="str">
        <f>IF('الصرف المباشر'!C205="","",IF('الصرف المباشر'!F205="","",'الصرف المباشر'!F205))</f>
        <v/>
      </c>
      <c r="G705" t="str">
        <f>IF($B705&lt;&gt;"",SUMPRODUCT(($B$2:$B705&lt;&gt;"")*1),"")</f>
        <v/>
      </c>
    </row>
    <row r="706" spans="1:7">
      <c r="A706" s="23" t="str">
        <f>IF('الصرف المباشر'!C206="","",'الصرف المباشر'!B206)</f>
        <v/>
      </c>
      <c r="B706" t="str">
        <f>IF('الصرف المباشر'!C206="","","صرف مباشر")</f>
        <v/>
      </c>
      <c r="C706" t="str">
        <f>IF('الصرف المباشر'!C206="","",IF('الصرف المباشر'!E206="","-",'الصرف المباشر'!E206))</f>
        <v/>
      </c>
      <c r="D706" t="str">
        <f>IF('الصرف المباشر'!C206="","",'الصرف المباشر'!C206)</f>
        <v/>
      </c>
      <c r="E706" s="24" t="str">
        <f>IF('الصرف المباشر'!C206="","",-'الصرف المباشر'!D206)</f>
        <v/>
      </c>
      <c r="F706" t="str">
        <f>IF('الصرف المباشر'!C206="","",IF('الصرف المباشر'!F206="","",'الصرف المباشر'!F206))</f>
        <v/>
      </c>
      <c r="G706" t="str">
        <f>IF($B706&lt;&gt;"",SUMPRODUCT(($B$2:$B706&lt;&gt;"")*1),"")</f>
        <v/>
      </c>
    </row>
    <row r="707" spans="1:7">
      <c r="A707" s="23" t="str">
        <f>IF('الصرف المباشر'!C207="","",'الصرف المباشر'!B207)</f>
        <v/>
      </c>
      <c r="B707" t="str">
        <f>IF('الصرف المباشر'!C207="","","صرف مباشر")</f>
        <v/>
      </c>
      <c r="C707" t="str">
        <f>IF('الصرف المباشر'!C207="","",IF('الصرف المباشر'!E207="","-",'الصرف المباشر'!E207))</f>
        <v/>
      </c>
      <c r="D707" t="str">
        <f>IF('الصرف المباشر'!C207="","",'الصرف المباشر'!C207)</f>
        <v/>
      </c>
      <c r="E707" s="24" t="str">
        <f>IF('الصرف المباشر'!C207="","",-'الصرف المباشر'!D207)</f>
        <v/>
      </c>
      <c r="F707" t="str">
        <f>IF('الصرف المباشر'!C207="","",IF('الصرف المباشر'!F207="","",'الصرف المباشر'!F207))</f>
        <v/>
      </c>
      <c r="G707" t="str">
        <f>IF($B707&lt;&gt;"",SUMPRODUCT(($B$2:$B707&lt;&gt;"")*1),"")</f>
        <v/>
      </c>
    </row>
    <row r="708" spans="1:7">
      <c r="A708" s="23" t="str">
        <f>IF('الصرف المباشر'!C208="","",'الصرف المباشر'!B208)</f>
        <v/>
      </c>
      <c r="B708" t="str">
        <f>IF('الصرف المباشر'!C208="","","صرف مباشر")</f>
        <v/>
      </c>
      <c r="C708" t="str">
        <f>IF('الصرف المباشر'!C208="","",IF('الصرف المباشر'!E208="","-",'الصرف المباشر'!E208))</f>
        <v/>
      </c>
      <c r="D708" t="str">
        <f>IF('الصرف المباشر'!C208="","",'الصرف المباشر'!C208)</f>
        <v/>
      </c>
      <c r="E708" s="24" t="str">
        <f>IF('الصرف المباشر'!C208="","",-'الصرف المباشر'!D208)</f>
        <v/>
      </c>
      <c r="F708" t="str">
        <f>IF('الصرف المباشر'!C208="","",IF('الصرف المباشر'!F208="","",'الصرف المباشر'!F208))</f>
        <v/>
      </c>
      <c r="G708" t="str">
        <f>IF($B708&lt;&gt;"",SUMPRODUCT(($B$2:$B708&lt;&gt;"")*1),"")</f>
        <v/>
      </c>
    </row>
    <row r="709" spans="1:7">
      <c r="A709" s="23" t="str">
        <f>IF('الصرف المباشر'!C209="","",'الصرف المباشر'!B209)</f>
        <v/>
      </c>
      <c r="B709" t="str">
        <f>IF('الصرف المباشر'!C209="","","صرف مباشر")</f>
        <v/>
      </c>
      <c r="C709" t="str">
        <f>IF('الصرف المباشر'!C209="","",IF('الصرف المباشر'!E209="","-",'الصرف المباشر'!E209))</f>
        <v/>
      </c>
      <c r="D709" t="str">
        <f>IF('الصرف المباشر'!C209="","",'الصرف المباشر'!C209)</f>
        <v/>
      </c>
      <c r="E709" s="24" t="str">
        <f>IF('الصرف المباشر'!C209="","",-'الصرف المباشر'!D209)</f>
        <v/>
      </c>
      <c r="F709" t="str">
        <f>IF('الصرف المباشر'!C209="","",IF('الصرف المباشر'!F209="","",'الصرف المباشر'!F209))</f>
        <v/>
      </c>
      <c r="G709" t="str">
        <f>IF($B709&lt;&gt;"",SUMPRODUCT(($B$2:$B709&lt;&gt;"")*1),"")</f>
        <v/>
      </c>
    </row>
    <row r="710" spans="1:7">
      <c r="A710" s="23" t="str">
        <f>IF('الصرف المباشر'!C210="","",'الصرف المباشر'!B210)</f>
        <v/>
      </c>
      <c r="B710" t="str">
        <f>IF('الصرف المباشر'!C210="","","صرف مباشر")</f>
        <v/>
      </c>
      <c r="C710" t="str">
        <f>IF('الصرف المباشر'!C210="","",IF('الصرف المباشر'!E210="","-",'الصرف المباشر'!E210))</f>
        <v/>
      </c>
      <c r="D710" t="str">
        <f>IF('الصرف المباشر'!C210="","",'الصرف المباشر'!C210)</f>
        <v/>
      </c>
      <c r="E710" s="24" t="str">
        <f>IF('الصرف المباشر'!C210="","",-'الصرف المباشر'!D210)</f>
        <v/>
      </c>
      <c r="F710" t="str">
        <f>IF('الصرف المباشر'!C210="","",IF('الصرف المباشر'!F210="","",'الصرف المباشر'!F210))</f>
        <v/>
      </c>
      <c r="G710" t="str">
        <f>IF($B710&lt;&gt;"",SUMPRODUCT(($B$2:$B710&lt;&gt;"")*1),"")</f>
        <v/>
      </c>
    </row>
    <row r="711" spans="1:7">
      <c r="A711" s="23" t="str">
        <f>IF('الصرف المباشر'!C211="","",'الصرف المباشر'!B211)</f>
        <v/>
      </c>
      <c r="B711" t="str">
        <f>IF('الصرف المباشر'!C211="","","صرف مباشر")</f>
        <v/>
      </c>
      <c r="C711" t="str">
        <f>IF('الصرف المباشر'!C211="","",IF('الصرف المباشر'!E211="","-",'الصرف المباشر'!E211))</f>
        <v/>
      </c>
      <c r="D711" t="str">
        <f>IF('الصرف المباشر'!C211="","",'الصرف المباشر'!C211)</f>
        <v/>
      </c>
      <c r="E711" s="24" t="str">
        <f>IF('الصرف المباشر'!C211="","",-'الصرف المباشر'!D211)</f>
        <v/>
      </c>
      <c r="F711" t="str">
        <f>IF('الصرف المباشر'!C211="","",IF('الصرف المباشر'!F211="","",'الصرف المباشر'!F211))</f>
        <v/>
      </c>
      <c r="G711" t="str">
        <f>IF($B711&lt;&gt;"",SUMPRODUCT(($B$2:$B711&lt;&gt;"")*1),"")</f>
        <v/>
      </c>
    </row>
    <row r="712" spans="1:7">
      <c r="A712" s="23" t="str">
        <f>IF('الصرف المباشر'!C212="","",'الصرف المباشر'!B212)</f>
        <v/>
      </c>
      <c r="B712" t="str">
        <f>IF('الصرف المباشر'!C212="","","صرف مباشر")</f>
        <v/>
      </c>
      <c r="C712" t="str">
        <f>IF('الصرف المباشر'!C212="","",IF('الصرف المباشر'!E212="","-",'الصرف المباشر'!E212))</f>
        <v/>
      </c>
      <c r="D712" t="str">
        <f>IF('الصرف المباشر'!C212="","",'الصرف المباشر'!C212)</f>
        <v/>
      </c>
      <c r="E712" s="24" t="str">
        <f>IF('الصرف المباشر'!C212="","",-'الصرف المباشر'!D212)</f>
        <v/>
      </c>
      <c r="F712" t="str">
        <f>IF('الصرف المباشر'!C212="","",IF('الصرف المباشر'!F212="","",'الصرف المباشر'!F212))</f>
        <v/>
      </c>
      <c r="G712" t="str">
        <f>IF($B712&lt;&gt;"",SUMPRODUCT(($B$2:$B712&lt;&gt;"")*1),"")</f>
        <v/>
      </c>
    </row>
    <row r="713" spans="1:7">
      <c r="A713" s="23" t="str">
        <f>IF('الصرف المباشر'!C213="","",'الصرف المباشر'!B213)</f>
        <v/>
      </c>
      <c r="B713" t="str">
        <f>IF('الصرف المباشر'!C213="","","صرف مباشر")</f>
        <v/>
      </c>
      <c r="C713" t="str">
        <f>IF('الصرف المباشر'!C213="","",IF('الصرف المباشر'!E213="","-",'الصرف المباشر'!E213))</f>
        <v/>
      </c>
      <c r="D713" t="str">
        <f>IF('الصرف المباشر'!C213="","",'الصرف المباشر'!C213)</f>
        <v/>
      </c>
      <c r="E713" s="24" t="str">
        <f>IF('الصرف المباشر'!C213="","",-'الصرف المباشر'!D213)</f>
        <v/>
      </c>
      <c r="F713" t="str">
        <f>IF('الصرف المباشر'!C213="","",IF('الصرف المباشر'!F213="","",'الصرف المباشر'!F213))</f>
        <v/>
      </c>
      <c r="G713" t="str">
        <f>IF($B713&lt;&gt;"",SUMPRODUCT(($B$2:$B713&lt;&gt;"")*1),"")</f>
        <v/>
      </c>
    </row>
    <row r="714" spans="1:7">
      <c r="A714" s="23" t="str">
        <f>IF('الصرف المباشر'!C214="","",'الصرف المباشر'!B214)</f>
        <v/>
      </c>
      <c r="B714" t="str">
        <f>IF('الصرف المباشر'!C214="","","صرف مباشر")</f>
        <v/>
      </c>
      <c r="C714" t="str">
        <f>IF('الصرف المباشر'!C214="","",IF('الصرف المباشر'!E214="","-",'الصرف المباشر'!E214))</f>
        <v/>
      </c>
      <c r="D714" t="str">
        <f>IF('الصرف المباشر'!C214="","",'الصرف المباشر'!C214)</f>
        <v/>
      </c>
      <c r="E714" s="24" t="str">
        <f>IF('الصرف المباشر'!C214="","",-'الصرف المباشر'!D214)</f>
        <v/>
      </c>
      <c r="F714" t="str">
        <f>IF('الصرف المباشر'!C214="","",IF('الصرف المباشر'!F214="","",'الصرف المباشر'!F214))</f>
        <v/>
      </c>
      <c r="G714" t="str">
        <f>IF($B714&lt;&gt;"",SUMPRODUCT(($B$2:$B714&lt;&gt;"")*1),"")</f>
        <v/>
      </c>
    </row>
    <row r="715" spans="1:7">
      <c r="A715" s="23" t="str">
        <f>IF('الصرف المباشر'!C215="","",'الصرف المباشر'!B215)</f>
        <v/>
      </c>
      <c r="B715" t="str">
        <f>IF('الصرف المباشر'!C215="","","صرف مباشر")</f>
        <v/>
      </c>
      <c r="C715" t="str">
        <f>IF('الصرف المباشر'!C215="","",IF('الصرف المباشر'!E215="","-",'الصرف المباشر'!E215))</f>
        <v/>
      </c>
      <c r="D715" t="str">
        <f>IF('الصرف المباشر'!C215="","",'الصرف المباشر'!C215)</f>
        <v/>
      </c>
      <c r="E715" s="24" t="str">
        <f>IF('الصرف المباشر'!C215="","",-'الصرف المباشر'!D215)</f>
        <v/>
      </c>
      <c r="F715" t="str">
        <f>IF('الصرف المباشر'!C215="","",IF('الصرف المباشر'!F215="","",'الصرف المباشر'!F215))</f>
        <v/>
      </c>
      <c r="G715" t="str">
        <f>IF($B715&lt;&gt;"",SUMPRODUCT(($B$2:$B715&lt;&gt;"")*1),"")</f>
        <v/>
      </c>
    </row>
    <row r="716" spans="1:7">
      <c r="A716" s="23" t="str">
        <f>IF('الصرف المباشر'!C216="","",'الصرف المباشر'!B216)</f>
        <v/>
      </c>
      <c r="B716" t="str">
        <f>IF('الصرف المباشر'!C216="","","صرف مباشر")</f>
        <v/>
      </c>
      <c r="C716" t="str">
        <f>IF('الصرف المباشر'!C216="","",IF('الصرف المباشر'!E216="","-",'الصرف المباشر'!E216))</f>
        <v/>
      </c>
      <c r="D716" t="str">
        <f>IF('الصرف المباشر'!C216="","",'الصرف المباشر'!C216)</f>
        <v/>
      </c>
      <c r="E716" s="24" t="str">
        <f>IF('الصرف المباشر'!C216="","",-'الصرف المباشر'!D216)</f>
        <v/>
      </c>
      <c r="F716" t="str">
        <f>IF('الصرف المباشر'!C216="","",IF('الصرف المباشر'!F216="","",'الصرف المباشر'!F216))</f>
        <v/>
      </c>
      <c r="G716" t="str">
        <f>IF($B716&lt;&gt;"",SUMPRODUCT(($B$2:$B716&lt;&gt;"")*1),"")</f>
        <v/>
      </c>
    </row>
    <row r="717" spans="1:7">
      <c r="A717" s="23" t="str">
        <f>IF('الصرف المباشر'!C217="","",'الصرف المباشر'!B217)</f>
        <v/>
      </c>
      <c r="B717" t="str">
        <f>IF('الصرف المباشر'!C217="","","صرف مباشر")</f>
        <v/>
      </c>
      <c r="C717" t="str">
        <f>IF('الصرف المباشر'!C217="","",IF('الصرف المباشر'!E217="","-",'الصرف المباشر'!E217))</f>
        <v/>
      </c>
      <c r="D717" t="str">
        <f>IF('الصرف المباشر'!C217="","",'الصرف المباشر'!C217)</f>
        <v/>
      </c>
      <c r="E717" s="24" t="str">
        <f>IF('الصرف المباشر'!C217="","",-'الصرف المباشر'!D217)</f>
        <v/>
      </c>
      <c r="F717" t="str">
        <f>IF('الصرف المباشر'!C217="","",IF('الصرف المباشر'!F217="","",'الصرف المباشر'!F217))</f>
        <v/>
      </c>
      <c r="G717" t="str">
        <f>IF($B717&lt;&gt;"",SUMPRODUCT(($B$2:$B717&lt;&gt;"")*1),"")</f>
        <v/>
      </c>
    </row>
    <row r="718" spans="1:7">
      <c r="A718" s="23" t="str">
        <f>IF('الصرف المباشر'!C218="","",'الصرف المباشر'!B218)</f>
        <v/>
      </c>
      <c r="B718" t="str">
        <f>IF('الصرف المباشر'!C218="","","صرف مباشر")</f>
        <v/>
      </c>
      <c r="C718" t="str">
        <f>IF('الصرف المباشر'!C218="","",IF('الصرف المباشر'!E218="","-",'الصرف المباشر'!E218))</f>
        <v/>
      </c>
      <c r="D718" t="str">
        <f>IF('الصرف المباشر'!C218="","",'الصرف المباشر'!C218)</f>
        <v/>
      </c>
      <c r="E718" s="24" t="str">
        <f>IF('الصرف المباشر'!C218="","",-'الصرف المباشر'!D218)</f>
        <v/>
      </c>
      <c r="F718" t="str">
        <f>IF('الصرف المباشر'!C218="","",IF('الصرف المباشر'!F218="","",'الصرف المباشر'!F218))</f>
        <v/>
      </c>
      <c r="G718" t="str">
        <f>IF($B718&lt;&gt;"",SUMPRODUCT(($B$2:$B718&lt;&gt;"")*1),"")</f>
        <v/>
      </c>
    </row>
    <row r="719" spans="1:7">
      <c r="A719" s="23" t="str">
        <f>IF('الصرف المباشر'!C219="","",'الصرف المباشر'!B219)</f>
        <v/>
      </c>
      <c r="B719" t="str">
        <f>IF('الصرف المباشر'!C219="","","صرف مباشر")</f>
        <v/>
      </c>
      <c r="C719" t="str">
        <f>IF('الصرف المباشر'!C219="","",IF('الصرف المباشر'!E219="","-",'الصرف المباشر'!E219))</f>
        <v/>
      </c>
      <c r="D719" t="str">
        <f>IF('الصرف المباشر'!C219="","",'الصرف المباشر'!C219)</f>
        <v/>
      </c>
      <c r="E719" s="24" t="str">
        <f>IF('الصرف المباشر'!C219="","",-'الصرف المباشر'!D219)</f>
        <v/>
      </c>
      <c r="F719" t="str">
        <f>IF('الصرف المباشر'!C219="","",IF('الصرف المباشر'!F219="","",'الصرف المباشر'!F219))</f>
        <v/>
      </c>
      <c r="G719" t="str">
        <f>IF($B719&lt;&gt;"",SUMPRODUCT(($B$2:$B719&lt;&gt;"")*1),"")</f>
        <v/>
      </c>
    </row>
    <row r="720" spans="1:7">
      <c r="A720" s="23" t="str">
        <f>IF('الصرف المباشر'!C220="","",'الصرف المباشر'!B220)</f>
        <v/>
      </c>
      <c r="B720" t="str">
        <f>IF('الصرف المباشر'!C220="","","صرف مباشر")</f>
        <v/>
      </c>
      <c r="C720" t="str">
        <f>IF('الصرف المباشر'!C220="","",IF('الصرف المباشر'!E220="","-",'الصرف المباشر'!E220))</f>
        <v/>
      </c>
      <c r="D720" t="str">
        <f>IF('الصرف المباشر'!C220="","",'الصرف المباشر'!C220)</f>
        <v/>
      </c>
      <c r="E720" s="24" t="str">
        <f>IF('الصرف المباشر'!C220="","",-'الصرف المباشر'!D220)</f>
        <v/>
      </c>
      <c r="F720" t="str">
        <f>IF('الصرف المباشر'!C220="","",IF('الصرف المباشر'!F220="","",'الصرف المباشر'!F220))</f>
        <v/>
      </c>
      <c r="G720" t="str">
        <f>IF($B720&lt;&gt;"",SUMPRODUCT(($B$2:$B720&lt;&gt;"")*1),"")</f>
        <v/>
      </c>
    </row>
    <row r="721" spans="1:7">
      <c r="A721" s="23" t="str">
        <f>IF('الصرف المباشر'!C221="","",'الصرف المباشر'!B221)</f>
        <v/>
      </c>
      <c r="B721" t="str">
        <f>IF('الصرف المباشر'!C221="","","صرف مباشر")</f>
        <v/>
      </c>
      <c r="C721" t="str">
        <f>IF('الصرف المباشر'!C221="","",IF('الصرف المباشر'!E221="","-",'الصرف المباشر'!E221))</f>
        <v/>
      </c>
      <c r="D721" t="str">
        <f>IF('الصرف المباشر'!C221="","",'الصرف المباشر'!C221)</f>
        <v/>
      </c>
      <c r="E721" s="24" t="str">
        <f>IF('الصرف المباشر'!C221="","",-'الصرف المباشر'!D221)</f>
        <v/>
      </c>
      <c r="F721" t="str">
        <f>IF('الصرف المباشر'!C221="","",IF('الصرف المباشر'!F221="","",'الصرف المباشر'!F221))</f>
        <v/>
      </c>
      <c r="G721" t="str">
        <f>IF($B721&lt;&gt;"",SUMPRODUCT(($B$2:$B721&lt;&gt;"")*1),"")</f>
        <v/>
      </c>
    </row>
    <row r="722" spans="1:7">
      <c r="A722" s="23" t="str">
        <f>IF('الصرف المباشر'!C222="","",'الصرف المباشر'!B222)</f>
        <v/>
      </c>
      <c r="B722" t="str">
        <f>IF('الصرف المباشر'!C222="","","صرف مباشر")</f>
        <v/>
      </c>
      <c r="C722" t="str">
        <f>IF('الصرف المباشر'!C222="","",IF('الصرف المباشر'!E222="","-",'الصرف المباشر'!E222))</f>
        <v/>
      </c>
      <c r="D722" t="str">
        <f>IF('الصرف المباشر'!C222="","",'الصرف المباشر'!C222)</f>
        <v/>
      </c>
      <c r="E722" s="24" t="str">
        <f>IF('الصرف المباشر'!C222="","",-'الصرف المباشر'!D222)</f>
        <v/>
      </c>
      <c r="F722" t="str">
        <f>IF('الصرف المباشر'!C222="","",IF('الصرف المباشر'!F222="","",'الصرف المباشر'!F222))</f>
        <v/>
      </c>
      <c r="G722" t="str">
        <f>IF($B722&lt;&gt;"",SUMPRODUCT(($B$2:$B722&lt;&gt;"")*1),"")</f>
        <v/>
      </c>
    </row>
    <row r="723" spans="1:7">
      <c r="A723" s="23" t="str">
        <f>IF('الصرف المباشر'!C223="","",'الصرف المباشر'!B223)</f>
        <v/>
      </c>
      <c r="B723" t="str">
        <f>IF('الصرف المباشر'!C223="","","صرف مباشر")</f>
        <v/>
      </c>
      <c r="C723" t="str">
        <f>IF('الصرف المباشر'!C223="","",IF('الصرف المباشر'!E223="","-",'الصرف المباشر'!E223))</f>
        <v/>
      </c>
      <c r="D723" t="str">
        <f>IF('الصرف المباشر'!C223="","",'الصرف المباشر'!C223)</f>
        <v/>
      </c>
      <c r="E723" s="24" t="str">
        <f>IF('الصرف المباشر'!C223="","",-'الصرف المباشر'!D223)</f>
        <v/>
      </c>
      <c r="F723" t="str">
        <f>IF('الصرف المباشر'!C223="","",IF('الصرف المباشر'!F223="","",'الصرف المباشر'!F223))</f>
        <v/>
      </c>
      <c r="G723" t="str">
        <f>IF($B723&lt;&gt;"",SUMPRODUCT(($B$2:$B723&lt;&gt;"")*1),"")</f>
        <v/>
      </c>
    </row>
    <row r="724" spans="1:7">
      <c r="A724" s="23" t="str">
        <f>IF('الصرف المباشر'!C224="","",'الصرف المباشر'!B224)</f>
        <v/>
      </c>
      <c r="B724" t="str">
        <f>IF('الصرف المباشر'!C224="","","صرف مباشر")</f>
        <v/>
      </c>
      <c r="C724" t="str">
        <f>IF('الصرف المباشر'!C224="","",IF('الصرف المباشر'!E224="","-",'الصرف المباشر'!E224))</f>
        <v/>
      </c>
      <c r="D724" t="str">
        <f>IF('الصرف المباشر'!C224="","",'الصرف المباشر'!C224)</f>
        <v/>
      </c>
      <c r="E724" s="24" t="str">
        <f>IF('الصرف المباشر'!C224="","",-'الصرف المباشر'!D224)</f>
        <v/>
      </c>
      <c r="F724" t="str">
        <f>IF('الصرف المباشر'!C224="","",IF('الصرف المباشر'!F224="","",'الصرف المباشر'!F224))</f>
        <v/>
      </c>
      <c r="G724" t="str">
        <f>IF($B724&lt;&gt;"",SUMPRODUCT(($B$2:$B724&lt;&gt;"")*1),"")</f>
        <v/>
      </c>
    </row>
    <row r="725" spans="1:7">
      <c r="A725" s="23" t="str">
        <f>IF('الصرف المباشر'!C225="","",'الصرف المباشر'!B225)</f>
        <v/>
      </c>
      <c r="B725" t="str">
        <f>IF('الصرف المباشر'!C225="","","صرف مباشر")</f>
        <v/>
      </c>
      <c r="C725" t="str">
        <f>IF('الصرف المباشر'!C225="","",IF('الصرف المباشر'!E225="","-",'الصرف المباشر'!E225))</f>
        <v/>
      </c>
      <c r="D725" t="str">
        <f>IF('الصرف المباشر'!C225="","",'الصرف المباشر'!C225)</f>
        <v/>
      </c>
      <c r="E725" s="24" t="str">
        <f>IF('الصرف المباشر'!C225="","",-'الصرف المباشر'!D225)</f>
        <v/>
      </c>
      <c r="F725" t="str">
        <f>IF('الصرف المباشر'!C225="","",IF('الصرف المباشر'!F225="","",'الصرف المباشر'!F225))</f>
        <v/>
      </c>
      <c r="G725" t="str">
        <f>IF($B725&lt;&gt;"",SUMPRODUCT(($B$2:$B725&lt;&gt;"")*1),"")</f>
        <v/>
      </c>
    </row>
    <row r="726" spans="1:7">
      <c r="A726" s="23" t="str">
        <f>IF('الصرف المباشر'!C226="","",'الصرف المباشر'!B226)</f>
        <v/>
      </c>
      <c r="B726" t="str">
        <f>IF('الصرف المباشر'!C226="","","صرف مباشر")</f>
        <v/>
      </c>
      <c r="C726" t="str">
        <f>IF('الصرف المباشر'!C226="","",IF('الصرف المباشر'!E226="","-",'الصرف المباشر'!E226))</f>
        <v/>
      </c>
      <c r="D726" t="str">
        <f>IF('الصرف المباشر'!C226="","",'الصرف المباشر'!C226)</f>
        <v/>
      </c>
      <c r="E726" s="24" t="str">
        <f>IF('الصرف المباشر'!C226="","",-'الصرف المباشر'!D226)</f>
        <v/>
      </c>
      <c r="F726" t="str">
        <f>IF('الصرف المباشر'!C226="","",IF('الصرف المباشر'!F226="","",'الصرف المباشر'!F226))</f>
        <v/>
      </c>
      <c r="G726" t="str">
        <f>IF($B726&lt;&gt;"",SUMPRODUCT(($B$2:$B726&lt;&gt;"")*1),"")</f>
        <v/>
      </c>
    </row>
    <row r="727" spans="1:7">
      <c r="A727" s="23" t="str">
        <f>IF('الصرف المباشر'!C227="","",'الصرف المباشر'!B227)</f>
        <v/>
      </c>
      <c r="B727" t="str">
        <f>IF('الصرف المباشر'!C227="","","صرف مباشر")</f>
        <v/>
      </c>
      <c r="C727" t="str">
        <f>IF('الصرف المباشر'!C227="","",IF('الصرف المباشر'!E227="","-",'الصرف المباشر'!E227))</f>
        <v/>
      </c>
      <c r="D727" t="str">
        <f>IF('الصرف المباشر'!C227="","",'الصرف المباشر'!C227)</f>
        <v/>
      </c>
      <c r="E727" s="24" t="str">
        <f>IF('الصرف المباشر'!C227="","",-'الصرف المباشر'!D227)</f>
        <v/>
      </c>
      <c r="F727" t="str">
        <f>IF('الصرف المباشر'!C227="","",IF('الصرف المباشر'!F227="","",'الصرف المباشر'!F227))</f>
        <v/>
      </c>
      <c r="G727" t="str">
        <f>IF($B727&lt;&gt;"",SUMPRODUCT(($B$2:$B727&lt;&gt;"")*1),"")</f>
        <v/>
      </c>
    </row>
    <row r="728" spans="1:7">
      <c r="A728" s="23" t="str">
        <f>IF('الصرف المباشر'!C228="","",'الصرف المباشر'!B228)</f>
        <v/>
      </c>
      <c r="B728" t="str">
        <f>IF('الصرف المباشر'!C228="","","صرف مباشر")</f>
        <v/>
      </c>
      <c r="C728" t="str">
        <f>IF('الصرف المباشر'!C228="","",IF('الصرف المباشر'!E228="","-",'الصرف المباشر'!E228))</f>
        <v/>
      </c>
      <c r="D728" t="str">
        <f>IF('الصرف المباشر'!C228="","",'الصرف المباشر'!C228)</f>
        <v/>
      </c>
      <c r="E728" s="24" t="str">
        <f>IF('الصرف المباشر'!C228="","",-'الصرف المباشر'!D228)</f>
        <v/>
      </c>
      <c r="F728" t="str">
        <f>IF('الصرف المباشر'!C228="","",IF('الصرف المباشر'!F228="","",'الصرف المباشر'!F228))</f>
        <v/>
      </c>
      <c r="G728" t="str">
        <f>IF($B728&lt;&gt;"",SUMPRODUCT(($B$2:$B728&lt;&gt;"")*1),"")</f>
        <v/>
      </c>
    </row>
    <row r="729" spans="1:7">
      <c r="A729" s="23" t="str">
        <f>IF('الصرف المباشر'!C229="","",'الصرف المباشر'!B229)</f>
        <v/>
      </c>
      <c r="B729" t="str">
        <f>IF('الصرف المباشر'!C229="","","صرف مباشر")</f>
        <v/>
      </c>
      <c r="C729" t="str">
        <f>IF('الصرف المباشر'!C229="","",IF('الصرف المباشر'!E229="","-",'الصرف المباشر'!E229))</f>
        <v/>
      </c>
      <c r="D729" t="str">
        <f>IF('الصرف المباشر'!C229="","",'الصرف المباشر'!C229)</f>
        <v/>
      </c>
      <c r="E729" s="24" t="str">
        <f>IF('الصرف المباشر'!C229="","",-'الصرف المباشر'!D229)</f>
        <v/>
      </c>
      <c r="F729" t="str">
        <f>IF('الصرف المباشر'!C229="","",IF('الصرف المباشر'!F229="","",'الصرف المباشر'!F229))</f>
        <v/>
      </c>
      <c r="G729" t="str">
        <f>IF($B729&lt;&gt;"",SUMPRODUCT(($B$2:$B729&lt;&gt;"")*1),"")</f>
        <v/>
      </c>
    </row>
    <row r="730" spans="1:7">
      <c r="A730" s="23" t="str">
        <f>IF('الصرف المباشر'!C230="","",'الصرف المباشر'!B230)</f>
        <v/>
      </c>
      <c r="B730" t="str">
        <f>IF('الصرف المباشر'!C230="","","صرف مباشر")</f>
        <v/>
      </c>
      <c r="C730" t="str">
        <f>IF('الصرف المباشر'!C230="","",IF('الصرف المباشر'!E230="","-",'الصرف المباشر'!E230))</f>
        <v/>
      </c>
      <c r="D730" t="str">
        <f>IF('الصرف المباشر'!C230="","",'الصرف المباشر'!C230)</f>
        <v/>
      </c>
      <c r="E730" s="24" t="str">
        <f>IF('الصرف المباشر'!C230="","",-'الصرف المباشر'!D230)</f>
        <v/>
      </c>
      <c r="F730" t="str">
        <f>IF('الصرف المباشر'!C230="","",IF('الصرف المباشر'!F230="","",'الصرف المباشر'!F230))</f>
        <v/>
      </c>
      <c r="G730" t="str">
        <f>IF($B730&lt;&gt;"",SUMPRODUCT(($B$2:$B730&lt;&gt;"")*1),"")</f>
        <v/>
      </c>
    </row>
    <row r="731" spans="1:7">
      <c r="A731" s="23" t="str">
        <f>IF('الصرف المباشر'!C231="","",'الصرف المباشر'!B231)</f>
        <v/>
      </c>
      <c r="B731" t="str">
        <f>IF('الصرف المباشر'!C231="","","صرف مباشر")</f>
        <v/>
      </c>
      <c r="C731" t="str">
        <f>IF('الصرف المباشر'!C231="","",IF('الصرف المباشر'!E231="","-",'الصرف المباشر'!E231))</f>
        <v/>
      </c>
      <c r="D731" t="str">
        <f>IF('الصرف المباشر'!C231="","",'الصرف المباشر'!C231)</f>
        <v/>
      </c>
      <c r="E731" s="24" t="str">
        <f>IF('الصرف المباشر'!C231="","",-'الصرف المباشر'!D231)</f>
        <v/>
      </c>
      <c r="F731" t="str">
        <f>IF('الصرف المباشر'!C231="","",IF('الصرف المباشر'!F231="","",'الصرف المباشر'!F231))</f>
        <v/>
      </c>
      <c r="G731" t="str">
        <f>IF($B731&lt;&gt;"",SUMPRODUCT(($B$2:$B731&lt;&gt;"")*1),"")</f>
        <v/>
      </c>
    </row>
    <row r="732" spans="1:7">
      <c r="A732" s="23" t="str">
        <f>IF('الصرف المباشر'!C232="","",'الصرف المباشر'!B232)</f>
        <v/>
      </c>
      <c r="B732" t="str">
        <f>IF('الصرف المباشر'!C232="","","صرف مباشر")</f>
        <v/>
      </c>
      <c r="C732" t="str">
        <f>IF('الصرف المباشر'!C232="","",IF('الصرف المباشر'!E232="","-",'الصرف المباشر'!E232))</f>
        <v/>
      </c>
      <c r="D732" t="str">
        <f>IF('الصرف المباشر'!C232="","",'الصرف المباشر'!C232)</f>
        <v/>
      </c>
      <c r="E732" s="24" t="str">
        <f>IF('الصرف المباشر'!C232="","",-'الصرف المباشر'!D232)</f>
        <v/>
      </c>
      <c r="F732" t="str">
        <f>IF('الصرف المباشر'!C232="","",IF('الصرف المباشر'!F232="","",'الصرف المباشر'!F232))</f>
        <v/>
      </c>
      <c r="G732" t="str">
        <f>IF($B732&lt;&gt;"",SUMPRODUCT(($B$2:$B732&lt;&gt;"")*1),"")</f>
        <v/>
      </c>
    </row>
    <row r="733" spans="1:7">
      <c r="A733" s="23" t="str">
        <f>IF('الصرف المباشر'!C233="","",'الصرف المباشر'!B233)</f>
        <v/>
      </c>
      <c r="B733" t="str">
        <f>IF('الصرف المباشر'!C233="","","صرف مباشر")</f>
        <v/>
      </c>
      <c r="C733" t="str">
        <f>IF('الصرف المباشر'!C233="","",IF('الصرف المباشر'!E233="","-",'الصرف المباشر'!E233))</f>
        <v/>
      </c>
      <c r="D733" t="str">
        <f>IF('الصرف المباشر'!C233="","",'الصرف المباشر'!C233)</f>
        <v/>
      </c>
      <c r="E733" s="24" t="str">
        <f>IF('الصرف المباشر'!C233="","",-'الصرف المباشر'!D233)</f>
        <v/>
      </c>
      <c r="F733" t="str">
        <f>IF('الصرف المباشر'!C233="","",IF('الصرف المباشر'!F233="","",'الصرف المباشر'!F233))</f>
        <v/>
      </c>
      <c r="G733" t="str">
        <f>IF($B733&lt;&gt;"",SUMPRODUCT(($B$2:$B733&lt;&gt;"")*1),"")</f>
        <v/>
      </c>
    </row>
    <row r="734" spans="1:7">
      <c r="A734" s="23" t="str">
        <f>IF('الصرف المباشر'!C234="","",'الصرف المباشر'!B234)</f>
        <v/>
      </c>
      <c r="B734" t="str">
        <f>IF('الصرف المباشر'!C234="","","صرف مباشر")</f>
        <v/>
      </c>
      <c r="C734" t="str">
        <f>IF('الصرف المباشر'!C234="","",IF('الصرف المباشر'!E234="","-",'الصرف المباشر'!E234))</f>
        <v/>
      </c>
      <c r="D734" t="str">
        <f>IF('الصرف المباشر'!C234="","",'الصرف المباشر'!C234)</f>
        <v/>
      </c>
      <c r="E734" s="24" t="str">
        <f>IF('الصرف المباشر'!C234="","",-'الصرف المباشر'!D234)</f>
        <v/>
      </c>
      <c r="F734" t="str">
        <f>IF('الصرف المباشر'!C234="","",IF('الصرف المباشر'!F234="","",'الصرف المباشر'!F234))</f>
        <v/>
      </c>
      <c r="G734" t="str">
        <f>IF($B734&lt;&gt;"",SUMPRODUCT(($B$2:$B734&lt;&gt;"")*1),"")</f>
        <v/>
      </c>
    </row>
    <row r="735" spans="1:7">
      <c r="A735" s="23" t="str">
        <f>IF('الصرف المباشر'!C235="","",'الصرف المباشر'!B235)</f>
        <v/>
      </c>
      <c r="B735" t="str">
        <f>IF('الصرف المباشر'!C235="","","صرف مباشر")</f>
        <v/>
      </c>
      <c r="C735" t="str">
        <f>IF('الصرف المباشر'!C235="","",IF('الصرف المباشر'!E235="","-",'الصرف المباشر'!E235))</f>
        <v/>
      </c>
      <c r="D735" t="str">
        <f>IF('الصرف المباشر'!C235="","",'الصرف المباشر'!C235)</f>
        <v/>
      </c>
      <c r="E735" s="24" t="str">
        <f>IF('الصرف المباشر'!C235="","",-'الصرف المباشر'!D235)</f>
        <v/>
      </c>
      <c r="F735" t="str">
        <f>IF('الصرف المباشر'!C235="","",IF('الصرف المباشر'!F235="","",'الصرف المباشر'!F235))</f>
        <v/>
      </c>
      <c r="G735" t="str">
        <f>IF($B735&lt;&gt;"",SUMPRODUCT(($B$2:$B735&lt;&gt;"")*1),"")</f>
        <v/>
      </c>
    </row>
    <row r="736" spans="1:7">
      <c r="A736" s="23" t="str">
        <f>IF('الصرف المباشر'!C236="","",'الصرف المباشر'!B236)</f>
        <v/>
      </c>
      <c r="B736" t="str">
        <f>IF('الصرف المباشر'!C236="","","صرف مباشر")</f>
        <v/>
      </c>
      <c r="C736" t="str">
        <f>IF('الصرف المباشر'!C236="","",IF('الصرف المباشر'!E236="","-",'الصرف المباشر'!E236))</f>
        <v/>
      </c>
      <c r="D736" t="str">
        <f>IF('الصرف المباشر'!C236="","",'الصرف المباشر'!C236)</f>
        <v/>
      </c>
      <c r="E736" s="24" t="str">
        <f>IF('الصرف المباشر'!C236="","",-'الصرف المباشر'!D236)</f>
        <v/>
      </c>
      <c r="F736" t="str">
        <f>IF('الصرف المباشر'!C236="","",IF('الصرف المباشر'!F236="","",'الصرف المباشر'!F236))</f>
        <v/>
      </c>
      <c r="G736" t="str">
        <f>IF($B736&lt;&gt;"",SUMPRODUCT(($B$2:$B736&lt;&gt;"")*1),"")</f>
        <v/>
      </c>
    </row>
    <row r="737" spans="1:7">
      <c r="A737" s="23" t="str">
        <f>IF('الصرف المباشر'!C237="","",'الصرف المباشر'!B237)</f>
        <v/>
      </c>
      <c r="B737" t="str">
        <f>IF('الصرف المباشر'!C237="","","صرف مباشر")</f>
        <v/>
      </c>
      <c r="C737" t="str">
        <f>IF('الصرف المباشر'!C237="","",IF('الصرف المباشر'!E237="","-",'الصرف المباشر'!E237))</f>
        <v/>
      </c>
      <c r="D737" t="str">
        <f>IF('الصرف المباشر'!C237="","",'الصرف المباشر'!C237)</f>
        <v/>
      </c>
      <c r="E737" s="24" t="str">
        <f>IF('الصرف المباشر'!C237="","",-'الصرف المباشر'!D237)</f>
        <v/>
      </c>
      <c r="F737" t="str">
        <f>IF('الصرف المباشر'!C237="","",IF('الصرف المباشر'!F237="","",'الصرف المباشر'!F237))</f>
        <v/>
      </c>
      <c r="G737" t="str">
        <f>IF($B737&lt;&gt;"",SUMPRODUCT(($B$2:$B737&lt;&gt;"")*1),"")</f>
        <v/>
      </c>
    </row>
    <row r="738" spans="1:7">
      <c r="A738" s="23" t="str">
        <f>IF('الصرف المباشر'!C238="","",'الصرف المباشر'!B238)</f>
        <v/>
      </c>
      <c r="B738" t="str">
        <f>IF('الصرف المباشر'!C238="","","صرف مباشر")</f>
        <v/>
      </c>
      <c r="C738" t="str">
        <f>IF('الصرف المباشر'!C238="","",IF('الصرف المباشر'!E238="","-",'الصرف المباشر'!E238))</f>
        <v/>
      </c>
      <c r="D738" t="str">
        <f>IF('الصرف المباشر'!C238="","",'الصرف المباشر'!C238)</f>
        <v/>
      </c>
      <c r="E738" s="24" t="str">
        <f>IF('الصرف المباشر'!C238="","",-'الصرف المباشر'!D238)</f>
        <v/>
      </c>
      <c r="F738" t="str">
        <f>IF('الصرف المباشر'!C238="","",IF('الصرف المباشر'!F238="","",'الصرف المباشر'!F238))</f>
        <v/>
      </c>
      <c r="G738" t="str">
        <f>IF($B738&lt;&gt;"",SUMPRODUCT(($B$2:$B738&lt;&gt;"")*1),"")</f>
        <v/>
      </c>
    </row>
    <row r="739" spans="1:7">
      <c r="A739" s="23" t="str">
        <f>IF('الصرف المباشر'!C239="","",'الصرف المباشر'!B239)</f>
        <v/>
      </c>
      <c r="B739" t="str">
        <f>IF('الصرف المباشر'!C239="","","صرف مباشر")</f>
        <v/>
      </c>
      <c r="C739" t="str">
        <f>IF('الصرف المباشر'!C239="","",IF('الصرف المباشر'!E239="","-",'الصرف المباشر'!E239))</f>
        <v/>
      </c>
      <c r="D739" t="str">
        <f>IF('الصرف المباشر'!C239="","",'الصرف المباشر'!C239)</f>
        <v/>
      </c>
      <c r="E739" s="24" t="str">
        <f>IF('الصرف المباشر'!C239="","",-'الصرف المباشر'!D239)</f>
        <v/>
      </c>
      <c r="F739" t="str">
        <f>IF('الصرف المباشر'!C239="","",IF('الصرف المباشر'!F239="","",'الصرف المباشر'!F239))</f>
        <v/>
      </c>
      <c r="G739" t="str">
        <f>IF($B739&lt;&gt;"",SUMPRODUCT(($B$2:$B739&lt;&gt;"")*1),"")</f>
        <v/>
      </c>
    </row>
    <row r="740" spans="1:7">
      <c r="A740" s="23" t="str">
        <f>IF('الصرف المباشر'!C240="","",'الصرف المباشر'!B240)</f>
        <v/>
      </c>
      <c r="B740" t="str">
        <f>IF('الصرف المباشر'!C240="","","صرف مباشر")</f>
        <v/>
      </c>
      <c r="C740" t="str">
        <f>IF('الصرف المباشر'!C240="","",IF('الصرف المباشر'!E240="","-",'الصرف المباشر'!E240))</f>
        <v/>
      </c>
      <c r="D740" t="str">
        <f>IF('الصرف المباشر'!C240="","",'الصرف المباشر'!C240)</f>
        <v/>
      </c>
      <c r="E740" s="24" t="str">
        <f>IF('الصرف المباشر'!C240="","",-'الصرف المباشر'!D240)</f>
        <v/>
      </c>
      <c r="F740" t="str">
        <f>IF('الصرف المباشر'!C240="","",IF('الصرف المباشر'!F240="","",'الصرف المباشر'!F240))</f>
        <v/>
      </c>
      <c r="G740" t="str">
        <f>IF($B740&lt;&gt;"",SUMPRODUCT(($B$2:$B740&lt;&gt;"")*1),"")</f>
        <v/>
      </c>
    </row>
    <row r="741" spans="1:7">
      <c r="A741" s="23" t="str">
        <f>IF('الصرف المباشر'!C241="","",'الصرف المباشر'!B241)</f>
        <v/>
      </c>
      <c r="B741" t="str">
        <f>IF('الصرف المباشر'!C241="","","صرف مباشر")</f>
        <v/>
      </c>
      <c r="C741" t="str">
        <f>IF('الصرف المباشر'!C241="","",IF('الصرف المباشر'!E241="","-",'الصرف المباشر'!E241))</f>
        <v/>
      </c>
      <c r="D741" t="str">
        <f>IF('الصرف المباشر'!C241="","",'الصرف المباشر'!C241)</f>
        <v/>
      </c>
      <c r="E741" s="24" t="str">
        <f>IF('الصرف المباشر'!C241="","",-'الصرف المباشر'!D241)</f>
        <v/>
      </c>
      <c r="F741" t="str">
        <f>IF('الصرف المباشر'!C241="","",IF('الصرف المباشر'!F241="","",'الصرف المباشر'!F241))</f>
        <v/>
      </c>
      <c r="G741" t="str">
        <f>IF($B741&lt;&gt;"",SUMPRODUCT(($B$2:$B741&lt;&gt;"")*1),"")</f>
        <v/>
      </c>
    </row>
    <row r="742" spans="1:7">
      <c r="A742" s="23" t="str">
        <f>IF('الصرف المباشر'!C242="","",'الصرف المباشر'!B242)</f>
        <v/>
      </c>
      <c r="B742" t="str">
        <f>IF('الصرف المباشر'!C242="","","صرف مباشر")</f>
        <v/>
      </c>
      <c r="C742" t="str">
        <f>IF('الصرف المباشر'!C242="","",IF('الصرف المباشر'!E242="","-",'الصرف المباشر'!E242))</f>
        <v/>
      </c>
      <c r="D742" t="str">
        <f>IF('الصرف المباشر'!C242="","",'الصرف المباشر'!C242)</f>
        <v/>
      </c>
      <c r="E742" s="24" t="str">
        <f>IF('الصرف المباشر'!C242="","",-'الصرف المباشر'!D242)</f>
        <v/>
      </c>
      <c r="F742" t="str">
        <f>IF('الصرف المباشر'!C242="","",IF('الصرف المباشر'!F242="","",'الصرف المباشر'!F242))</f>
        <v/>
      </c>
      <c r="G742" t="str">
        <f>IF($B742&lt;&gt;"",SUMPRODUCT(($B$2:$B742&lt;&gt;"")*1),"")</f>
        <v/>
      </c>
    </row>
    <row r="743" spans="1:7">
      <c r="A743" s="23" t="str">
        <f>IF('الصرف المباشر'!C243="","",'الصرف المباشر'!B243)</f>
        <v/>
      </c>
      <c r="B743" t="str">
        <f>IF('الصرف المباشر'!C243="","","صرف مباشر")</f>
        <v/>
      </c>
      <c r="C743" t="str">
        <f>IF('الصرف المباشر'!C243="","",IF('الصرف المباشر'!E243="","-",'الصرف المباشر'!E243))</f>
        <v/>
      </c>
      <c r="D743" t="str">
        <f>IF('الصرف المباشر'!C243="","",'الصرف المباشر'!C243)</f>
        <v/>
      </c>
      <c r="E743" s="24" t="str">
        <f>IF('الصرف المباشر'!C243="","",-'الصرف المباشر'!D243)</f>
        <v/>
      </c>
      <c r="F743" t="str">
        <f>IF('الصرف المباشر'!C243="","",IF('الصرف المباشر'!F243="","",'الصرف المباشر'!F243))</f>
        <v/>
      </c>
      <c r="G743" t="str">
        <f>IF($B743&lt;&gt;"",SUMPRODUCT(($B$2:$B743&lt;&gt;"")*1),"")</f>
        <v/>
      </c>
    </row>
    <row r="744" spans="1:7">
      <c r="A744" s="23" t="str">
        <f>IF('الصرف المباشر'!C244="","",'الصرف المباشر'!B244)</f>
        <v/>
      </c>
      <c r="B744" t="str">
        <f>IF('الصرف المباشر'!C244="","","صرف مباشر")</f>
        <v/>
      </c>
      <c r="C744" t="str">
        <f>IF('الصرف المباشر'!C244="","",IF('الصرف المباشر'!E244="","-",'الصرف المباشر'!E244))</f>
        <v/>
      </c>
      <c r="D744" t="str">
        <f>IF('الصرف المباشر'!C244="","",'الصرف المباشر'!C244)</f>
        <v/>
      </c>
      <c r="E744" s="24" t="str">
        <f>IF('الصرف المباشر'!C244="","",-'الصرف المباشر'!D244)</f>
        <v/>
      </c>
      <c r="F744" t="str">
        <f>IF('الصرف المباشر'!C244="","",IF('الصرف المباشر'!F244="","",'الصرف المباشر'!F244))</f>
        <v/>
      </c>
      <c r="G744" t="str">
        <f>IF($B744&lt;&gt;"",SUMPRODUCT(($B$2:$B744&lt;&gt;"")*1),"")</f>
        <v/>
      </c>
    </row>
    <row r="745" spans="1:7">
      <c r="A745" s="23" t="str">
        <f>IF('الصرف المباشر'!C245="","",'الصرف المباشر'!B245)</f>
        <v/>
      </c>
      <c r="B745" t="str">
        <f>IF('الصرف المباشر'!C245="","","صرف مباشر")</f>
        <v/>
      </c>
      <c r="C745" t="str">
        <f>IF('الصرف المباشر'!C245="","",IF('الصرف المباشر'!E245="","-",'الصرف المباشر'!E245))</f>
        <v/>
      </c>
      <c r="D745" t="str">
        <f>IF('الصرف المباشر'!C245="","",'الصرف المباشر'!C245)</f>
        <v/>
      </c>
      <c r="E745" s="24" t="str">
        <f>IF('الصرف المباشر'!C245="","",-'الصرف المباشر'!D245)</f>
        <v/>
      </c>
      <c r="F745" t="str">
        <f>IF('الصرف المباشر'!C245="","",IF('الصرف المباشر'!F245="","",'الصرف المباشر'!F245))</f>
        <v/>
      </c>
      <c r="G745" t="str">
        <f>IF($B745&lt;&gt;"",SUMPRODUCT(($B$2:$B745&lt;&gt;"")*1),"")</f>
        <v/>
      </c>
    </row>
    <row r="746" spans="1:7">
      <c r="A746" s="23" t="str">
        <f>IF('الصرف المباشر'!C246="","",'الصرف المباشر'!B246)</f>
        <v/>
      </c>
      <c r="B746" t="str">
        <f>IF('الصرف المباشر'!C246="","","صرف مباشر")</f>
        <v/>
      </c>
      <c r="C746" t="str">
        <f>IF('الصرف المباشر'!C246="","",IF('الصرف المباشر'!E246="","-",'الصرف المباشر'!E246))</f>
        <v/>
      </c>
      <c r="D746" t="str">
        <f>IF('الصرف المباشر'!C246="","",'الصرف المباشر'!C246)</f>
        <v/>
      </c>
      <c r="E746" s="24" t="str">
        <f>IF('الصرف المباشر'!C246="","",-'الصرف المباشر'!D246)</f>
        <v/>
      </c>
      <c r="F746" t="str">
        <f>IF('الصرف المباشر'!C246="","",IF('الصرف المباشر'!F246="","",'الصرف المباشر'!F246))</f>
        <v/>
      </c>
      <c r="G746" t="str">
        <f>IF($B746&lt;&gt;"",SUMPRODUCT(($B$2:$B746&lt;&gt;"")*1),"")</f>
        <v/>
      </c>
    </row>
    <row r="747" spans="1:7">
      <c r="A747" s="23" t="str">
        <f>IF('الصرف المباشر'!C247="","",'الصرف المباشر'!B247)</f>
        <v/>
      </c>
      <c r="B747" t="str">
        <f>IF('الصرف المباشر'!C247="","","صرف مباشر")</f>
        <v/>
      </c>
      <c r="C747" t="str">
        <f>IF('الصرف المباشر'!C247="","",IF('الصرف المباشر'!E247="","-",'الصرف المباشر'!E247))</f>
        <v/>
      </c>
      <c r="D747" t="str">
        <f>IF('الصرف المباشر'!C247="","",'الصرف المباشر'!C247)</f>
        <v/>
      </c>
      <c r="E747" s="24" t="str">
        <f>IF('الصرف المباشر'!C247="","",-'الصرف المباشر'!D247)</f>
        <v/>
      </c>
      <c r="F747" t="str">
        <f>IF('الصرف المباشر'!C247="","",IF('الصرف المباشر'!F247="","",'الصرف المباشر'!F247))</f>
        <v/>
      </c>
      <c r="G747" t="str">
        <f>IF($B747&lt;&gt;"",SUMPRODUCT(($B$2:$B747&lt;&gt;"")*1),"")</f>
        <v/>
      </c>
    </row>
    <row r="748" spans="1:7">
      <c r="A748" s="23" t="str">
        <f>IF('الصرف المباشر'!C248="","",'الصرف المباشر'!B248)</f>
        <v/>
      </c>
      <c r="B748" t="str">
        <f>IF('الصرف المباشر'!C248="","","صرف مباشر")</f>
        <v/>
      </c>
      <c r="C748" t="str">
        <f>IF('الصرف المباشر'!C248="","",IF('الصرف المباشر'!E248="","-",'الصرف المباشر'!E248))</f>
        <v/>
      </c>
      <c r="D748" t="str">
        <f>IF('الصرف المباشر'!C248="","",'الصرف المباشر'!C248)</f>
        <v/>
      </c>
      <c r="E748" s="24" t="str">
        <f>IF('الصرف المباشر'!C248="","",-'الصرف المباشر'!D248)</f>
        <v/>
      </c>
      <c r="F748" t="str">
        <f>IF('الصرف المباشر'!C248="","",IF('الصرف المباشر'!F248="","",'الصرف المباشر'!F248))</f>
        <v/>
      </c>
      <c r="G748" t="str">
        <f>IF($B748&lt;&gt;"",SUMPRODUCT(($B$2:$B748&lt;&gt;"")*1),"")</f>
        <v/>
      </c>
    </row>
    <row r="749" spans="1:7">
      <c r="A749" s="23" t="str">
        <f>IF('الصرف المباشر'!C249="","",'الصرف المباشر'!B249)</f>
        <v/>
      </c>
      <c r="B749" t="str">
        <f>IF('الصرف المباشر'!C249="","","صرف مباشر")</f>
        <v/>
      </c>
      <c r="C749" t="str">
        <f>IF('الصرف المباشر'!C249="","",IF('الصرف المباشر'!E249="","-",'الصرف المباشر'!E249))</f>
        <v/>
      </c>
      <c r="D749" t="str">
        <f>IF('الصرف المباشر'!C249="","",'الصرف المباشر'!C249)</f>
        <v/>
      </c>
      <c r="E749" s="24" t="str">
        <f>IF('الصرف المباشر'!C249="","",-'الصرف المباشر'!D249)</f>
        <v/>
      </c>
      <c r="F749" t="str">
        <f>IF('الصرف المباشر'!C249="","",IF('الصرف المباشر'!F249="","",'الصرف المباشر'!F249))</f>
        <v/>
      </c>
      <c r="G749" t="str">
        <f>IF($B749&lt;&gt;"",SUMPRODUCT(($B$2:$B749&lt;&gt;"")*1),"")</f>
        <v/>
      </c>
    </row>
    <row r="750" spans="1:7">
      <c r="A750" s="23" t="str">
        <f>IF('الصرف المباشر'!C250="","",'الصرف المباشر'!B250)</f>
        <v/>
      </c>
      <c r="B750" t="str">
        <f>IF('الصرف المباشر'!C250="","","صرف مباشر")</f>
        <v/>
      </c>
      <c r="C750" t="str">
        <f>IF('الصرف المباشر'!C250="","",IF('الصرف المباشر'!E250="","-",'الصرف المباشر'!E250))</f>
        <v/>
      </c>
      <c r="D750" t="str">
        <f>IF('الصرف المباشر'!C250="","",'الصرف المباشر'!C250)</f>
        <v/>
      </c>
      <c r="E750" s="24" t="str">
        <f>IF('الصرف المباشر'!C250="","",-'الصرف المباشر'!D250)</f>
        <v/>
      </c>
      <c r="F750" t="str">
        <f>IF('الصرف المباشر'!C250="","",IF('الصرف المباشر'!F250="","",'الصرف المباشر'!F250))</f>
        <v/>
      </c>
      <c r="G750" t="str">
        <f>IF($B750&lt;&gt;"",SUMPRODUCT(($B$2:$B750&lt;&gt;"")*1),"")</f>
        <v/>
      </c>
    </row>
    <row r="751" spans="1:7">
      <c r="A751" s="23" t="str">
        <f>IF('الصرف المباشر'!C251="","",'الصرف المباشر'!B251)</f>
        <v/>
      </c>
      <c r="B751" t="str">
        <f>IF('الصرف المباشر'!C251="","","صرف مباشر")</f>
        <v/>
      </c>
      <c r="C751" t="str">
        <f>IF('الصرف المباشر'!C251="","",IF('الصرف المباشر'!E251="","-",'الصرف المباشر'!E251))</f>
        <v/>
      </c>
      <c r="D751" t="str">
        <f>IF('الصرف المباشر'!C251="","",'الصرف المباشر'!C251)</f>
        <v/>
      </c>
      <c r="E751" s="24" t="str">
        <f>IF('الصرف المباشر'!C251="","",-'الصرف المباشر'!D251)</f>
        <v/>
      </c>
      <c r="F751" t="str">
        <f>IF('الصرف المباشر'!C251="","",IF('الصرف المباشر'!F251="","",'الصرف المباشر'!F251))</f>
        <v/>
      </c>
      <c r="G751" t="str">
        <f>IF($B751&lt;&gt;"",SUMPRODUCT(($B$2:$B751&lt;&gt;"")*1),"")</f>
        <v/>
      </c>
    </row>
    <row r="752" spans="1:7">
      <c r="A752" s="23" t="str">
        <f>IF('الصرف المباشر'!C252="","",'الصرف المباشر'!B252)</f>
        <v/>
      </c>
      <c r="B752" t="str">
        <f>IF('الصرف المباشر'!C252="","","صرف مباشر")</f>
        <v/>
      </c>
      <c r="C752" t="str">
        <f>IF('الصرف المباشر'!C252="","",IF('الصرف المباشر'!E252="","-",'الصرف المباشر'!E252))</f>
        <v/>
      </c>
      <c r="D752" t="str">
        <f>IF('الصرف المباشر'!C252="","",'الصرف المباشر'!C252)</f>
        <v/>
      </c>
      <c r="E752" s="24" t="str">
        <f>IF('الصرف المباشر'!C252="","",-'الصرف المباشر'!D252)</f>
        <v/>
      </c>
      <c r="F752" t="str">
        <f>IF('الصرف المباشر'!C252="","",IF('الصرف المباشر'!F252="","",'الصرف المباشر'!F252))</f>
        <v/>
      </c>
      <c r="G752" t="str">
        <f>IF($B752&lt;&gt;"",SUMPRODUCT(($B$2:$B752&lt;&gt;"")*1),"")</f>
        <v/>
      </c>
    </row>
    <row r="753" spans="1:7">
      <c r="A753" s="23" t="str">
        <f>IF('الصرف المباشر'!C253="","",'الصرف المباشر'!B253)</f>
        <v/>
      </c>
      <c r="B753" t="str">
        <f>IF('الصرف المباشر'!C253="","","صرف مباشر")</f>
        <v/>
      </c>
      <c r="C753" t="str">
        <f>IF('الصرف المباشر'!C253="","",IF('الصرف المباشر'!E253="","-",'الصرف المباشر'!E253))</f>
        <v/>
      </c>
      <c r="D753" t="str">
        <f>IF('الصرف المباشر'!C253="","",'الصرف المباشر'!C253)</f>
        <v/>
      </c>
      <c r="E753" s="24" t="str">
        <f>IF('الصرف المباشر'!C253="","",-'الصرف المباشر'!D253)</f>
        <v/>
      </c>
      <c r="F753" t="str">
        <f>IF('الصرف المباشر'!C253="","",IF('الصرف المباشر'!F253="","",'الصرف المباشر'!F253))</f>
        <v/>
      </c>
      <c r="G753" t="str">
        <f>IF($B753&lt;&gt;"",SUMPRODUCT(($B$2:$B753&lt;&gt;"")*1),"")</f>
        <v/>
      </c>
    </row>
    <row r="754" spans="1:7">
      <c r="A754" s="23" t="str">
        <f>IF('الصرف المباشر'!C254="","",'الصرف المباشر'!B254)</f>
        <v/>
      </c>
      <c r="B754" t="str">
        <f>IF('الصرف المباشر'!C254="","","صرف مباشر")</f>
        <v/>
      </c>
      <c r="C754" t="str">
        <f>IF('الصرف المباشر'!C254="","",IF('الصرف المباشر'!E254="","-",'الصرف المباشر'!E254))</f>
        <v/>
      </c>
      <c r="D754" t="str">
        <f>IF('الصرف المباشر'!C254="","",'الصرف المباشر'!C254)</f>
        <v/>
      </c>
      <c r="E754" s="24" t="str">
        <f>IF('الصرف المباشر'!C254="","",-'الصرف المباشر'!D254)</f>
        <v/>
      </c>
      <c r="F754" t="str">
        <f>IF('الصرف المباشر'!C254="","",IF('الصرف المباشر'!F254="","",'الصرف المباشر'!F254))</f>
        <v/>
      </c>
      <c r="G754" t="str">
        <f>IF($B754&lt;&gt;"",SUMPRODUCT(($B$2:$B754&lt;&gt;"")*1),"")</f>
        <v/>
      </c>
    </row>
    <row r="755" spans="1:7">
      <c r="A755" s="23" t="str">
        <f>IF('الصرف المباشر'!C255="","",'الصرف المباشر'!B255)</f>
        <v/>
      </c>
      <c r="B755" t="str">
        <f>IF('الصرف المباشر'!C255="","","صرف مباشر")</f>
        <v/>
      </c>
      <c r="C755" t="str">
        <f>IF('الصرف المباشر'!C255="","",IF('الصرف المباشر'!E255="","-",'الصرف المباشر'!E255))</f>
        <v/>
      </c>
      <c r="D755" t="str">
        <f>IF('الصرف المباشر'!C255="","",'الصرف المباشر'!C255)</f>
        <v/>
      </c>
      <c r="E755" s="24" t="str">
        <f>IF('الصرف المباشر'!C255="","",-'الصرف المباشر'!D255)</f>
        <v/>
      </c>
      <c r="F755" t="str">
        <f>IF('الصرف المباشر'!C255="","",IF('الصرف المباشر'!F255="","",'الصرف المباشر'!F255))</f>
        <v/>
      </c>
      <c r="G755" t="str">
        <f>IF($B755&lt;&gt;"",SUMPRODUCT(($B$2:$B755&lt;&gt;"")*1),"")</f>
        <v/>
      </c>
    </row>
    <row r="756" spans="1:7">
      <c r="A756" s="23" t="str">
        <f>IF('الصرف المباشر'!C256="","",'الصرف المباشر'!B256)</f>
        <v/>
      </c>
      <c r="B756" t="str">
        <f>IF('الصرف المباشر'!C256="","","صرف مباشر")</f>
        <v/>
      </c>
      <c r="C756" t="str">
        <f>IF('الصرف المباشر'!C256="","",IF('الصرف المباشر'!E256="","-",'الصرف المباشر'!E256))</f>
        <v/>
      </c>
      <c r="D756" t="str">
        <f>IF('الصرف المباشر'!C256="","",'الصرف المباشر'!C256)</f>
        <v/>
      </c>
      <c r="E756" s="24" t="str">
        <f>IF('الصرف المباشر'!C256="","",-'الصرف المباشر'!D256)</f>
        <v/>
      </c>
      <c r="F756" t="str">
        <f>IF('الصرف المباشر'!C256="","",IF('الصرف المباشر'!F256="","",'الصرف المباشر'!F256))</f>
        <v/>
      </c>
      <c r="G756" t="str">
        <f>IF($B756&lt;&gt;"",SUMPRODUCT(($B$2:$B756&lt;&gt;"")*1),"")</f>
        <v/>
      </c>
    </row>
    <row r="757" spans="1:7">
      <c r="A757" s="23" t="str">
        <f>IF('الصرف المباشر'!C257="","",'الصرف المباشر'!B257)</f>
        <v/>
      </c>
      <c r="B757" t="str">
        <f>IF('الصرف المباشر'!C257="","","صرف مباشر")</f>
        <v/>
      </c>
      <c r="C757" t="str">
        <f>IF('الصرف المباشر'!C257="","",IF('الصرف المباشر'!E257="","-",'الصرف المباشر'!E257))</f>
        <v/>
      </c>
      <c r="D757" t="str">
        <f>IF('الصرف المباشر'!C257="","",'الصرف المباشر'!C257)</f>
        <v/>
      </c>
      <c r="E757" s="24" t="str">
        <f>IF('الصرف المباشر'!C257="","",-'الصرف المباشر'!D257)</f>
        <v/>
      </c>
      <c r="F757" t="str">
        <f>IF('الصرف المباشر'!C257="","",IF('الصرف المباشر'!F257="","",'الصرف المباشر'!F257))</f>
        <v/>
      </c>
      <c r="G757" t="str">
        <f>IF($B757&lt;&gt;"",SUMPRODUCT(($B$2:$B757&lt;&gt;"")*1),"")</f>
        <v/>
      </c>
    </row>
    <row r="758" spans="1:7">
      <c r="A758" s="23" t="str">
        <f>IF('الصرف المباشر'!C258="","",'الصرف المباشر'!B258)</f>
        <v/>
      </c>
      <c r="B758" t="str">
        <f>IF('الصرف المباشر'!C258="","","صرف مباشر")</f>
        <v/>
      </c>
      <c r="C758" t="str">
        <f>IF('الصرف المباشر'!C258="","",IF('الصرف المباشر'!E258="","-",'الصرف المباشر'!E258))</f>
        <v/>
      </c>
      <c r="D758" t="str">
        <f>IF('الصرف المباشر'!C258="","",'الصرف المباشر'!C258)</f>
        <v/>
      </c>
      <c r="E758" s="24" t="str">
        <f>IF('الصرف المباشر'!C258="","",-'الصرف المباشر'!D258)</f>
        <v/>
      </c>
      <c r="F758" t="str">
        <f>IF('الصرف المباشر'!C258="","",IF('الصرف المباشر'!F258="","",'الصرف المباشر'!F258))</f>
        <v/>
      </c>
      <c r="G758" t="str">
        <f>IF($B758&lt;&gt;"",SUMPRODUCT(($B$2:$B758&lt;&gt;"")*1),"")</f>
        <v/>
      </c>
    </row>
    <row r="759" spans="1:7">
      <c r="A759" s="23" t="str">
        <f>IF('الصرف المباشر'!C259="","",'الصرف المباشر'!B259)</f>
        <v/>
      </c>
      <c r="B759" t="str">
        <f>IF('الصرف المباشر'!C259="","","صرف مباشر")</f>
        <v/>
      </c>
      <c r="C759" t="str">
        <f>IF('الصرف المباشر'!C259="","",IF('الصرف المباشر'!E259="","-",'الصرف المباشر'!E259))</f>
        <v/>
      </c>
      <c r="D759" t="str">
        <f>IF('الصرف المباشر'!C259="","",'الصرف المباشر'!C259)</f>
        <v/>
      </c>
      <c r="E759" s="24" t="str">
        <f>IF('الصرف المباشر'!C259="","",-'الصرف المباشر'!D259)</f>
        <v/>
      </c>
      <c r="F759" t="str">
        <f>IF('الصرف المباشر'!C259="","",IF('الصرف المباشر'!F259="","",'الصرف المباشر'!F259))</f>
        <v/>
      </c>
      <c r="G759" t="str">
        <f>IF($B759&lt;&gt;"",SUMPRODUCT(($B$2:$B759&lt;&gt;"")*1),"")</f>
        <v/>
      </c>
    </row>
    <row r="760" spans="1:7">
      <c r="A760" s="23" t="str">
        <f>IF('الصرف المباشر'!C260="","",'الصرف المباشر'!B260)</f>
        <v/>
      </c>
      <c r="B760" t="str">
        <f>IF('الصرف المباشر'!C260="","","صرف مباشر")</f>
        <v/>
      </c>
      <c r="C760" t="str">
        <f>IF('الصرف المباشر'!C260="","",IF('الصرف المباشر'!E260="","-",'الصرف المباشر'!E260))</f>
        <v/>
      </c>
      <c r="D760" t="str">
        <f>IF('الصرف المباشر'!C260="","",'الصرف المباشر'!C260)</f>
        <v/>
      </c>
      <c r="E760" s="24" t="str">
        <f>IF('الصرف المباشر'!C260="","",-'الصرف المباشر'!D260)</f>
        <v/>
      </c>
      <c r="F760" t="str">
        <f>IF('الصرف المباشر'!C260="","",IF('الصرف المباشر'!F260="","",'الصرف المباشر'!F260))</f>
        <v/>
      </c>
      <c r="G760" t="str">
        <f>IF($B760&lt;&gt;"",SUMPRODUCT(($B$2:$B760&lt;&gt;"")*1),"")</f>
        <v/>
      </c>
    </row>
    <row r="761" spans="1:7">
      <c r="A761" s="23" t="str">
        <f>IF('الصرف المباشر'!C261="","",'الصرف المباشر'!B261)</f>
        <v/>
      </c>
      <c r="B761" t="str">
        <f>IF('الصرف المباشر'!C261="","","صرف مباشر")</f>
        <v/>
      </c>
      <c r="C761" t="str">
        <f>IF('الصرف المباشر'!C261="","",IF('الصرف المباشر'!E261="","-",'الصرف المباشر'!E261))</f>
        <v/>
      </c>
      <c r="D761" t="str">
        <f>IF('الصرف المباشر'!C261="","",'الصرف المباشر'!C261)</f>
        <v/>
      </c>
      <c r="E761" s="24" t="str">
        <f>IF('الصرف المباشر'!C261="","",-'الصرف المباشر'!D261)</f>
        <v/>
      </c>
      <c r="F761" t="str">
        <f>IF('الصرف المباشر'!C261="","",IF('الصرف المباشر'!F261="","",'الصرف المباشر'!F261))</f>
        <v/>
      </c>
      <c r="G761" t="str">
        <f>IF($B761&lt;&gt;"",SUMPRODUCT(($B$2:$B761&lt;&gt;"")*1),"")</f>
        <v/>
      </c>
    </row>
    <row r="762" spans="1:7">
      <c r="A762" s="23" t="str">
        <f>IF('الصرف المباشر'!C262="","",'الصرف المباشر'!B262)</f>
        <v/>
      </c>
      <c r="B762" t="str">
        <f>IF('الصرف المباشر'!C262="","","صرف مباشر")</f>
        <v/>
      </c>
      <c r="C762" t="str">
        <f>IF('الصرف المباشر'!C262="","",IF('الصرف المباشر'!E262="","-",'الصرف المباشر'!E262))</f>
        <v/>
      </c>
      <c r="D762" t="str">
        <f>IF('الصرف المباشر'!C262="","",'الصرف المباشر'!C262)</f>
        <v/>
      </c>
      <c r="E762" s="24" t="str">
        <f>IF('الصرف المباشر'!C262="","",-'الصرف المباشر'!D262)</f>
        <v/>
      </c>
      <c r="F762" t="str">
        <f>IF('الصرف المباشر'!C262="","",IF('الصرف المباشر'!F262="","",'الصرف المباشر'!F262))</f>
        <v/>
      </c>
      <c r="G762" t="str">
        <f>IF($B762&lt;&gt;"",SUMPRODUCT(($B$2:$B762&lt;&gt;"")*1),"")</f>
        <v/>
      </c>
    </row>
    <row r="763" spans="1:7">
      <c r="A763" s="23" t="str">
        <f>IF('الصرف المباشر'!C263="","",'الصرف المباشر'!B263)</f>
        <v/>
      </c>
      <c r="B763" t="str">
        <f>IF('الصرف المباشر'!C263="","","صرف مباشر")</f>
        <v/>
      </c>
      <c r="C763" t="str">
        <f>IF('الصرف المباشر'!C263="","",IF('الصرف المباشر'!E263="","-",'الصرف المباشر'!E263))</f>
        <v/>
      </c>
      <c r="D763" t="str">
        <f>IF('الصرف المباشر'!C263="","",'الصرف المباشر'!C263)</f>
        <v/>
      </c>
      <c r="E763" s="24" t="str">
        <f>IF('الصرف المباشر'!C263="","",-'الصرف المباشر'!D263)</f>
        <v/>
      </c>
      <c r="F763" t="str">
        <f>IF('الصرف المباشر'!C263="","",IF('الصرف المباشر'!F263="","",'الصرف المباشر'!F263))</f>
        <v/>
      </c>
      <c r="G763" t="str">
        <f>IF($B763&lt;&gt;"",SUMPRODUCT(($B$2:$B763&lt;&gt;"")*1),"")</f>
        <v/>
      </c>
    </row>
    <row r="764" spans="1:7">
      <c r="A764" s="23" t="str">
        <f>IF('الصرف المباشر'!C264="","",'الصرف المباشر'!B264)</f>
        <v/>
      </c>
      <c r="B764" t="str">
        <f>IF('الصرف المباشر'!C264="","","صرف مباشر")</f>
        <v/>
      </c>
      <c r="C764" t="str">
        <f>IF('الصرف المباشر'!C264="","",IF('الصرف المباشر'!E264="","-",'الصرف المباشر'!E264))</f>
        <v/>
      </c>
      <c r="D764" t="str">
        <f>IF('الصرف المباشر'!C264="","",'الصرف المباشر'!C264)</f>
        <v/>
      </c>
      <c r="E764" s="24" t="str">
        <f>IF('الصرف المباشر'!C264="","",-'الصرف المباشر'!D264)</f>
        <v/>
      </c>
      <c r="F764" t="str">
        <f>IF('الصرف المباشر'!C264="","",IF('الصرف المباشر'!F264="","",'الصرف المباشر'!F264))</f>
        <v/>
      </c>
      <c r="G764" t="str">
        <f>IF($B764&lt;&gt;"",SUMPRODUCT(($B$2:$B764&lt;&gt;"")*1),"")</f>
        <v/>
      </c>
    </row>
    <row r="765" spans="1:7">
      <c r="A765" s="23" t="str">
        <f>IF('الصرف المباشر'!C265="","",'الصرف المباشر'!B265)</f>
        <v/>
      </c>
      <c r="B765" t="str">
        <f>IF('الصرف المباشر'!C265="","","صرف مباشر")</f>
        <v/>
      </c>
      <c r="C765" t="str">
        <f>IF('الصرف المباشر'!C265="","",IF('الصرف المباشر'!E265="","-",'الصرف المباشر'!E265))</f>
        <v/>
      </c>
      <c r="D765" t="str">
        <f>IF('الصرف المباشر'!C265="","",'الصرف المباشر'!C265)</f>
        <v/>
      </c>
      <c r="E765" s="24" t="str">
        <f>IF('الصرف المباشر'!C265="","",-'الصرف المباشر'!D265)</f>
        <v/>
      </c>
      <c r="F765" t="str">
        <f>IF('الصرف المباشر'!C265="","",IF('الصرف المباشر'!F265="","",'الصرف المباشر'!F265))</f>
        <v/>
      </c>
      <c r="G765" t="str">
        <f>IF($B765&lt;&gt;"",SUMPRODUCT(($B$2:$B765&lt;&gt;"")*1),"")</f>
        <v/>
      </c>
    </row>
    <row r="766" spans="1:7">
      <c r="A766" s="23" t="str">
        <f>IF('الصرف المباشر'!C266="","",'الصرف المباشر'!B266)</f>
        <v/>
      </c>
      <c r="B766" t="str">
        <f>IF('الصرف المباشر'!C266="","","صرف مباشر")</f>
        <v/>
      </c>
      <c r="C766" t="str">
        <f>IF('الصرف المباشر'!C266="","",IF('الصرف المباشر'!E266="","-",'الصرف المباشر'!E266))</f>
        <v/>
      </c>
      <c r="D766" t="str">
        <f>IF('الصرف المباشر'!C266="","",'الصرف المباشر'!C266)</f>
        <v/>
      </c>
      <c r="E766" s="24" t="str">
        <f>IF('الصرف المباشر'!C266="","",-'الصرف المباشر'!D266)</f>
        <v/>
      </c>
      <c r="F766" t="str">
        <f>IF('الصرف المباشر'!C266="","",IF('الصرف المباشر'!F266="","",'الصرف المباشر'!F266))</f>
        <v/>
      </c>
      <c r="G766" t="str">
        <f>IF($B766&lt;&gt;"",SUMPRODUCT(($B$2:$B766&lt;&gt;"")*1),"")</f>
        <v/>
      </c>
    </row>
    <row r="767" spans="1:7">
      <c r="A767" s="23" t="str">
        <f>IF('الصرف المباشر'!C267="","",'الصرف المباشر'!B267)</f>
        <v/>
      </c>
      <c r="B767" t="str">
        <f>IF('الصرف المباشر'!C267="","","صرف مباشر")</f>
        <v/>
      </c>
      <c r="C767" t="str">
        <f>IF('الصرف المباشر'!C267="","",IF('الصرف المباشر'!E267="","-",'الصرف المباشر'!E267))</f>
        <v/>
      </c>
      <c r="D767" t="str">
        <f>IF('الصرف المباشر'!C267="","",'الصرف المباشر'!C267)</f>
        <v/>
      </c>
      <c r="E767" s="24" t="str">
        <f>IF('الصرف المباشر'!C267="","",-'الصرف المباشر'!D267)</f>
        <v/>
      </c>
      <c r="F767" t="str">
        <f>IF('الصرف المباشر'!C267="","",IF('الصرف المباشر'!F267="","",'الصرف المباشر'!F267))</f>
        <v/>
      </c>
      <c r="G767" t="str">
        <f>IF($B767&lt;&gt;"",SUMPRODUCT(($B$2:$B767&lt;&gt;"")*1),"")</f>
        <v/>
      </c>
    </row>
    <row r="768" spans="1:7">
      <c r="A768" s="23" t="str">
        <f>IF('الصرف المباشر'!C268="","",'الصرف المباشر'!B268)</f>
        <v/>
      </c>
      <c r="B768" t="str">
        <f>IF('الصرف المباشر'!C268="","","صرف مباشر")</f>
        <v/>
      </c>
      <c r="C768" t="str">
        <f>IF('الصرف المباشر'!C268="","",IF('الصرف المباشر'!E268="","-",'الصرف المباشر'!E268))</f>
        <v/>
      </c>
      <c r="D768" t="str">
        <f>IF('الصرف المباشر'!C268="","",'الصرف المباشر'!C268)</f>
        <v/>
      </c>
      <c r="E768" s="24" t="str">
        <f>IF('الصرف المباشر'!C268="","",-'الصرف المباشر'!D268)</f>
        <v/>
      </c>
      <c r="F768" t="str">
        <f>IF('الصرف المباشر'!C268="","",IF('الصرف المباشر'!F268="","",'الصرف المباشر'!F268))</f>
        <v/>
      </c>
      <c r="G768" t="str">
        <f>IF($B768&lt;&gt;"",SUMPRODUCT(($B$2:$B768&lt;&gt;"")*1),"")</f>
        <v/>
      </c>
    </row>
    <row r="769" spans="1:7">
      <c r="A769" s="23" t="str">
        <f>IF('الصرف المباشر'!C269="","",'الصرف المباشر'!B269)</f>
        <v/>
      </c>
      <c r="B769" t="str">
        <f>IF('الصرف المباشر'!C269="","","صرف مباشر")</f>
        <v/>
      </c>
      <c r="C769" t="str">
        <f>IF('الصرف المباشر'!C269="","",IF('الصرف المباشر'!E269="","-",'الصرف المباشر'!E269))</f>
        <v/>
      </c>
      <c r="D769" t="str">
        <f>IF('الصرف المباشر'!C269="","",'الصرف المباشر'!C269)</f>
        <v/>
      </c>
      <c r="E769" s="24" t="str">
        <f>IF('الصرف المباشر'!C269="","",-'الصرف المباشر'!D269)</f>
        <v/>
      </c>
      <c r="F769" t="str">
        <f>IF('الصرف المباشر'!C269="","",IF('الصرف المباشر'!F269="","",'الصرف المباشر'!F269))</f>
        <v/>
      </c>
      <c r="G769" t="str">
        <f>IF($B769&lt;&gt;"",SUMPRODUCT(($B$2:$B769&lt;&gt;"")*1),"")</f>
        <v/>
      </c>
    </row>
    <row r="770" spans="1:7">
      <c r="A770" s="23" t="str">
        <f>IF('الصرف المباشر'!C270="","",'الصرف المباشر'!B270)</f>
        <v/>
      </c>
      <c r="B770" t="str">
        <f>IF('الصرف المباشر'!C270="","","صرف مباشر")</f>
        <v/>
      </c>
      <c r="C770" t="str">
        <f>IF('الصرف المباشر'!C270="","",IF('الصرف المباشر'!E270="","-",'الصرف المباشر'!E270))</f>
        <v/>
      </c>
      <c r="D770" t="str">
        <f>IF('الصرف المباشر'!C270="","",'الصرف المباشر'!C270)</f>
        <v/>
      </c>
      <c r="E770" s="24" t="str">
        <f>IF('الصرف المباشر'!C270="","",-'الصرف المباشر'!D270)</f>
        <v/>
      </c>
      <c r="F770" t="str">
        <f>IF('الصرف المباشر'!C270="","",IF('الصرف المباشر'!F270="","",'الصرف المباشر'!F270))</f>
        <v/>
      </c>
      <c r="G770" t="str">
        <f>IF($B770&lt;&gt;"",SUMPRODUCT(($B$2:$B770&lt;&gt;"")*1),"")</f>
        <v/>
      </c>
    </row>
    <row r="771" spans="1:7">
      <c r="A771" s="23" t="str">
        <f>IF('الصرف المباشر'!C271="","",'الصرف المباشر'!B271)</f>
        <v/>
      </c>
      <c r="B771" t="str">
        <f>IF('الصرف المباشر'!C271="","","صرف مباشر")</f>
        <v/>
      </c>
      <c r="C771" t="str">
        <f>IF('الصرف المباشر'!C271="","",IF('الصرف المباشر'!E271="","-",'الصرف المباشر'!E271))</f>
        <v/>
      </c>
      <c r="D771" t="str">
        <f>IF('الصرف المباشر'!C271="","",'الصرف المباشر'!C271)</f>
        <v/>
      </c>
      <c r="E771" s="24" t="str">
        <f>IF('الصرف المباشر'!C271="","",-'الصرف المباشر'!D271)</f>
        <v/>
      </c>
      <c r="F771" t="str">
        <f>IF('الصرف المباشر'!C271="","",IF('الصرف المباشر'!F271="","",'الصرف المباشر'!F271))</f>
        <v/>
      </c>
      <c r="G771" t="str">
        <f>IF($B771&lt;&gt;"",SUMPRODUCT(($B$2:$B771&lt;&gt;"")*1),"")</f>
        <v/>
      </c>
    </row>
    <row r="772" spans="1:7">
      <c r="A772" s="23" t="str">
        <f>IF('الصرف المباشر'!C272="","",'الصرف المباشر'!B272)</f>
        <v/>
      </c>
      <c r="B772" t="str">
        <f>IF('الصرف المباشر'!C272="","","صرف مباشر")</f>
        <v/>
      </c>
      <c r="C772" t="str">
        <f>IF('الصرف المباشر'!C272="","",IF('الصرف المباشر'!E272="","-",'الصرف المباشر'!E272))</f>
        <v/>
      </c>
      <c r="D772" t="str">
        <f>IF('الصرف المباشر'!C272="","",'الصرف المباشر'!C272)</f>
        <v/>
      </c>
      <c r="E772" s="24" t="str">
        <f>IF('الصرف المباشر'!C272="","",-'الصرف المباشر'!D272)</f>
        <v/>
      </c>
      <c r="F772" t="str">
        <f>IF('الصرف المباشر'!C272="","",IF('الصرف المباشر'!F272="","",'الصرف المباشر'!F272))</f>
        <v/>
      </c>
      <c r="G772" t="str">
        <f>IF($B772&lt;&gt;"",SUMPRODUCT(($B$2:$B772&lt;&gt;"")*1),"")</f>
        <v/>
      </c>
    </row>
    <row r="773" spans="1:7">
      <c r="A773" s="23" t="str">
        <f>IF('الصرف المباشر'!C273="","",'الصرف المباشر'!B273)</f>
        <v/>
      </c>
      <c r="B773" t="str">
        <f>IF('الصرف المباشر'!C273="","","صرف مباشر")</f>
        <v/>
      </c>
      <c r="C773" t="str">
        <f>IF('الصرف المباشر'!C273="","",IF('الصرف المباشر'!E273="","-",'الصرف المباشر'!E273))</f>
        <v/>
      </c>
      <c r="D773" t="str">
        <f>IF('الصرف المباشر'!C273="","",'الصرف المباشر'!C273)</f>
        <v/>
      </c>
      <c r="E773" s="24" t="str">
        <f>IF('الصرف المباشر'!C273="","",-'الصرف المباشر'!D273)</f>
        <v/>
      </c>
      <c r="F773" t="str">
        <f>IF('الصرف المباشر'!C273="","",IF('الصرف المباشر'!F273="","",'الصرف المباشر'!F273))</f>
        <v/>
      </c>
      <c r="G773" t="str">
        <f>IF($B773&lt;&gt;"",SUMPRODUCT(($B$2:$B773&lt;&gt;"")*1),"")</f>
        <v/>
      </c>
    </row>
    <row r="774" spans="1:7">
      <c r="A774" s="23" t="str">
        <f>IF('الصرف المباشر'!C274="","",'الصرف المباشر'!B274)</f>
        <v/>
      </c>
      <c r="B774" t="str">
        <f>IF('الصرف المباشر'!C274="","","صرف مباشر")</f>
        <v/>
      </c>
      <c r="C774" t="str">
        <f>IF('الصرف المباشر'!C274="","",IF('الصرف المباشر'!E274="","-",'الصرف المباشر'!E274))</f>
        <v/>
      </c>
      <c r="D774" t="str">
        <f>IF('الصرف المباشر'!C274="","",'الصرف المباشر'!C274)</f>
        <v/>
      </c>
      <c r="E774" s="24" t="str">
        <f>IF('الصرف المباشر'!C274="","",-'الصرف المباشر'!D274)</f>
        <v/>
      </c>
      <c r="F774" t="str">
        <f>IF('الصرف المباشر'!C274="","",IF('الصرف المباشر'!F274="","",'الصرف المباشر'!F274))</f>
        <v/>
      </c>
      <c r="G774" t="str">
        <f>IF($B774&lt;&gt;"",SUMPRODUCT(($B$2:$B774&lt;&gt;"")*1),"")</f>
        <v/>
      </c>
    </row>
    <row r="775" spans="1:7">
      <c r="A775" s="23" t="str">
        <f>IF('الصرف المباشر'!C275="","",'الصرف المباشر'!B275)</f>
        <v/>
      </c>
      <c r="B775" t="str">
        <f>IF('الصرف المباشر'!C275="","","صرف مباشر")</f>
        <v/>
      </c>
      <c r="C775" t="str">
        <f>IF('الصرف المباشر'!C275="","",IF('الصرف المباشر'!E275="","-",'الصرف المباشر'!E275))</f>
        <v/>
      </c>
      <c r="D775" t="str">
        <f>IF('الصرف المباشر'!C275="","",'الصرف المباشر'!C275)</f>
        <v/>
      </c>
      <c r="E775" s="24" t="str">
        <f>IF('الصرف المباشر'!C275="","",-'الصرف المباشر'!D275)</f>
        <v/>
      </c>
      <c r="F775" t="str">
        <f>IF('الصرف المباشر'!C275="","",IF('الصرف المباشر'!F275="","",'الصرف المباشر'!F275))</f>
        <v/>
      </c>
      <c r="G775" t="str">
        <f>IF($B775&lt;&gt;"",SUMPRODUCT(($B$2:$B775&lt;&gt;"")*1),"")</f>
        <v/>
      </c>
    </row>
    <row r="776" spans="1:7">
      <c r="A776" s="23" t="str">
        <f>IF('الصرف المباشر'!C276="","",'الصرف المباشر'!B276)</f>
        <v/>
      </c>
      <c r="B776" t="str">
        <f>IF('الصرف المباشر'!C276="","","صرف مباشر")</f>
        <v/>
      </c>
      <c r="C776" t="str">
        <f>IF('الصرف المباشر'!C276="","",IF('الصرف المباشر'!E276="","-",'الصرف المباشر'!E276))</f>
        <v/>
      </c>
      <c r="D776" t="str">
        <f>IF('الصرف المباشر'!C276="","",'الصرف المباشر'!C276)</f>
        <v/>
      </c>
      <c r="E776" s="24" t="str">
        <f>IF('الصرف المباشر'!C276="","",-'الصرف المباشر'!D276)</f>
        <v/>
      </c>
      <c r="F776" t="str">
        <f>IF('الصرف المباشر'!C276="","",IF('الصرف المباشر'!F276="","",'الصرف المباشر'!F276))</f>
        <v/>
      </c>
      <c r="G776" t="str">
        <f>IF($B776&lt;&gt;"",SUMPRODUCT(($B$2:$B776&lt;&gt;"")*1),"")</f>
        <v/>
      </c>
    </row>
    <row r="777" spans="1:7">
      <c r="A777" s="23" t="str">
        <f>IF('الصرف المباشر'!C277="","",'الصرف المباشر'!B277)</f>
        <v/>
      </c>
      <c r="B777" t="str">
        <f>IF('الصرف المباشر'!C277="","","صرف مباشر")</f>
        <v/>
      </c>
      <c r="C777" t="str">
        <f>IF('الصرف المباشر'!C277="","",IF('الصرف المباشر'!E277="","-",'الصرف المباشر'!E277))</f>
        <v/>
      </c>
      <c r="D777" t="str">
        <f>IF('الصرف المباشر'!C277="","",'الصرف المباشر'!C277)</f>
        <v/>
      </c>
      <c r="E777" s="24" t="str">
        <f>IF('الصرف المباشر'!C277="","",-'الصرف المباشر'!D277)</f>
        <v/>
      </c>
      <c r="F777" t="str">
        <f>IF('الصرف المباشر'!C277="","",IF('الصرف المباشر'!F277="","",'الصرف المباشر'!F277))</f>
        <v/>
      </c>
      <c r="G777" t="str">
        <f>IF($B777&lt;&gt;"",SUMPRODUCT(($B$2:$B777&lt;&gt;"")*1),"")</f>
        <v/>
      </c>
    </row>
    <row r="778" spans="1:7">
      <c r="A778" s="23" t="str">
        <f>IF('الصرف المباشر'!C278="","",'الصرف المباشر'!B278)</f>
        <v/>
      </c>
      <c r="B778" t="str">
        <f>IF('الصرف المباشر'!C278="","","صرف مباشر")</f>
        <v/>
      </c>
      <c r="C778" t="str">
        <f>IF('الصرف المباشر'!C278="","",IF('الصرف المباشر'!E278="","-",'الصرف المباشر'!E278))</f>
        <v/>
      </c>
      <c r="D778" t="str">
        <f>IF('الصرف المباشر'!C278="","",'الصرف المباشر'!C278)</f>
        <v/>
      </c>
      <c r="E778" s="24" t="str">
        <f>IF('الصرف المباشر'!C278="","",-'الصرف المباشر'!D278)</f>
        <v/>
      </c>
      <c r="F778" t="str">
        <f>IF('الصرف المباشر'!C278="","",IF('الصرف المباشر'!F278="","",'الصرف المباشر'!F278))</f>
        <v/>
      </c>
      <c r="G778" t="str">
        <f>IF($B778&lt;&gt;"",SUMPRODUCT(($B$2:$B778&lt;&gt;"")*1),"")</f>
        <v/>
      </c>
    </row>
    <row r="779" spans="1:7">
      <c r="A779" s="23" t="str">
        <f>IF('الصرف المباشر'!C279="","",'الصرف المباشر'!B279)</f>
        <v/>
      </c>
      <c r="B779" t="str">
        <f>IF('الصرف المباشر'!C279="","","صرف مباشر")</f>
        <v/>
      </c>
      <c r="C779" t="str">
        <f>IF('الصرف المباشر'!C279="","",IF('الصرف المباشر'!E279="","-",'الصرف المباشر'!E279))</f>
        <v/>
      </c>
      <c r="D779" t="str">
        <f>IF('الصرف المباشر'!C279="","",'الصرف المباشر'!C279)</f>
        <v/>
      </c>
      <c r="E779" s="24" t="str">
        <f>IF('الصرف المباشر'!C279="","",-'الصرف المباشر'!D279)</f>
        <v/>
      </c>
      <c r="F779" t="str">
        <f>IF('الصرف المباشر'!C279="","",IF('الصرف المباشر'!F279="","",'الصرف المباشر'!F279))</f>
        <v/>
      </c>
      <c r="G779" t="str">
        <f>IF($B779&lt;&gt;"",SUMPRODUCT(($B$2:$B779&lt;&gt;"")*1),"")</f>
        <v/>
      </c>
    </row>
    <row r="780" spans="1:7">
      <c r="A780" s="23" t="str">
        <f>IF('الصرف المباشر'!C280="","",'الصرف المباشر'!B280)</f>
        <v/>
      </c>
      <c r="B780" t="str">
        <f>IF('الصرف المباشر'!C280="","","صرف مباشر")</f>
        <v/>
      </c>
      <c r="C780" t="str">
        <f>IF('الصرف المباشر'!C280="","",IF('الصرف المباشر'!E280="","-",'الصرف المباشر'!E280))</f>
        <v/>
      </c>
      <c r="D780" t="str">
        <f>IF('الصرف المباشر'!C280="","",'الصرف المباشر'!C280)</f>
        <v/>
      </c>
      <c r="E780" s="24" t="str">
        <f>IF('الصرف المباشر'!C280="","",-'الصرف المباشر'!D280)</f>
        <v/>
      </c>
      <c r="F780" t="str">
        <f>IF('الصرف المباشر'!C280="","",IF('الصرف المباشر'!F280="","",'الصرف المباشر'!F280))</f>
        <v/>
      </c>
      <c r="G780" t="str">
        <f>IF($B780&lt;&gt;"",SUMPRODUCT(($B$2:$B780&lt;&gt;"")*1),"")</f>
        <v/>
      </c>
    </row>
    <row r="781" spans="1:7">
      <c r="A781" s="23" t="str">
        <f>IF('الصرف المباشر'!C281="","",'الصرف المباشر'!B281)</f>
        <v/>
      </c>
      <c r="B781" t="str">
        <f>IF('الصرف المباشر'!C281="","","صرف مباشر")</f>
        <v/>
      </c>
      <c r="C781" t="str">
        <f>IF('الصرف المباشر'!C281="","",IF('الصرف المباشر'!E281="","-",'الصرف المباشر'!E281))</f>
        <v/>
      </c>
      <c r="D781" t="str">
        <f>IF('الصرف المباشر'!C281="","",'الصرف المباشر'!C281)</f>
        <v/>
      </c>
      <c r="E781" s="24" t="str">
        <f>IF('الصرف المباشر'!C281="","",-'الصرف المباشر'!D281)</f>
        <v/>
      </c>
      <c r="F781" t="str">
        <f>IF('الصرف المباشر'!C281="","",IF('الصرف المباشر'!F281="","",'الصرف المباشر'!F281))</f>
        <v/>
      </c>
      <c r="G781" t="str">
        <f>IF($B781&lt;&gt;"",SUMPRODUCT(($B$2:$B781&lt;&gt;"")*1),"")</f>
        <v/>
      </c>
    </row>
    <row r="782" spans="1:7">
      <c r="A782" s="23" t="str">
        <f>IF('الصرف المباشر'!C282="","",'الصرف المباشر'!B282)</f>
        <v/>
      </c>
      <c r="B782" t="str">
        <f>IF('الصرف المباشر'!C282="","","صرف مباشر")</f>
        <v/>
      </c>
      <c r="C782" t="str">
        <f>IF('الصرف المباشر'!C282="","",IF('الصرف المباشر'!E282="","-",'الصرف المباشر'!E282))</f>
        <v/>
      </c>
      <c r="D782" t="str">
        <f>IF('الصرف المباشر'!C282="","",'الصرف المباشر'!C282)</f>
        <v/>
      </c>
      <c r="E782" s="24" t="str">
        <f>IF('الصرف المباشر'!C282="","",-'الصرف المباشر'!D282)</f>
        <v/>
      </c>
      <c r="F782" t="str">
        <f>IF('الصرف المباشر'!C282="","",IF('الصرف المباشر'!F282="","",'الصرف المباشر'!F282))</f>
        <v/>
      </c>
      <c r="G782" t="str">
        <f>IF($B782&lt;&gt;"",SUMPRODUCT(($B$2:$B782&lt;&gt;"")*1),"")</f>
        <v/>
      </c>
    </row>
    <row r="783" spans="1:7">
      <c r="A783" s="23" t="str">
        <f>IF('الصرف المباشر'!C283="","",'الصرف المباشر'!B283)</f>
        <v/>
      </c>
      <c r="B783" t="str">
        <f>IF('الصرف المباشر'!C283="","","صرف مباشر")</f>
        <v/>
      </c>
      <c r="C783" t="str">
        <f>IF('الصرف المباشر'!C283="","",IF('الصرف المباشر'!E283="","-",'الصرف المباشر'!E283))</f>
        <v/>
      </c>
      <c r="D783" t="str">
        <f>IF('الصرف المباشر'!C283="","",'الصرف المباشر'!C283)</f>
        <v/>
      </c>
      <c r="E783" s="24" t="str">
        <f>IF('الصرف المباشر'!C283="","",-'الصرف المباشر'!D283)</f>
        <v/>
      </c>
      <c r="F783" t="str">
        <f>IF('الصرف المباشر'!C283="","",IF('الصرف المباشر'!F283="","",'الصرف المباشر'!F283))</f>
        <v/>
      </c>
      <c r="G783" t="str">
        <f>IF($B783&lt;&gt;"",SUMPRODUCT(($B$2:$B783&lt;&gt;"")*1),"")</f>
        <v/>
      </c>
    </row>
    <row r="784" spans="1:7">
      <c r="A784" s="23" t="str">
        <f>IF('الصرف المباشر'!C284="","",'الصرف المباشر'!B284)</f>
        <v/>
      </c>
      <c r="B784" t="str">
        <f>IF('الصرف المباشر'!C284="","","صرف مباشر")</f>
        <v/>
      </c>
      <c r="C784" t="str">
        <f>IF('الصرف المباشر'!C284="","",IF('الصرف المباشر'!E284="","-",'الصرف المباشر'!E284))</f>
        <v/>
      </c>
      <c r="D784" t="str">
        <f>IF('الصرف المباشر'!C284="","",'الصرف المباشر'!C284)</f>
        <v/>
      </c>
      <c r="E784" s="24" t="str">
        <f>IF('الصرف المباشر'!C284="","",-'الصرف المباشر'!D284)</f>
        <v/>
      </c>
      <c r="F784" t="str">
        <f>IF('الصرف المباشر'!C284="","",IF('الصرف المباشر'!F284="","",'الصرف المباشر'!F284))</f>
        <v/>
      </c>
      <c r="G784" t="str">
        <f>IF($B784&lt;&gt;"",SUMPRODUCT(($B$2:$B784&lt;&gt;"")*1),"")</f>
        <v/>
      </c>
    </row>
    <row r="785" spans="1:7">
      <c r="A785" s="23" t="str">
        <f>IF('الصرف المباشر'!C285="","",'الصرف المباشر'!B285)</f>
        <v/>
      </c>
      <c r="B785" t="str">
        <f>IF('الصرف المباشر'!C285="","","صرف مباشر")</f>
        <v/>
      </c>
      <c r="C785" t="str">
        <f>IF('الصرف المباشر'!C285="","",IF('الصرف المباشر'!E285="","-",'الصرف المباشر'!E285))</f>
        <v/>
      </c>
      <c r="D785" t="str">
        <f>IF('الصرف المباشر'!C285="","",'الصرف المباشر'!C285)</f>
        <v/>
      </c>
      <c r="E785" s="24" t="str">
        <f>IF('الصرف المباشر'!C285="","",-'الصرف المباشر'!D285)</f>
        <v/>
      </c>
      <c r="F785" t="str">
        <f>IF('الصرف المباشر'!C285="","",IF('الصرف المباشر'!F285="","",'الصرف المباشر'!F285))</f>
        <v/>
      </c>
      <c r="G785" t="str">
        <f>IF($B785&lt;&gt;"",SUMPRODUCT(($B$2:$B785&lt;&gt;"")*1),"")</f>
        <v/>
      </c>
    </row>
    <row r="786" spans="1:7">
      <c r="A786" s="23" t="str">
        <f>IF('الصرف المباشر'!C286="","",'الصرف المباشر'!B286)</f>
        <v/>
      </c>
      <c r="B786" t="str">
        <f>IF('الصرف المباشر'!C286="","","صرف مباشر")</f>
        <v/>
      </c>
      <c r="C786" t="str">
        <f>IF('الصرف المباشر'!C286="","",IF('الصرف المباشر'!E286="","-",'الصرف المباشر'!E286))</f>
        <v/>
      </c>
      <c r="D786" t="str">
        <f>IF('الصرف المباشر'!C286="","",'الصرف المباشر'!C286)</f>
        <v/>
      </c>
      <c r="E786" s="24" t="str">
        <f>IF('الصرف المباشر'!C286="","",-'الصرف المباشر'!D286)</f>
        <v/>
      </c>
      <c r="F786" t="str">
        <f>IF('الصرف المباشر'!C286="","",IF('الصرف المباشر'!F286="","",'الصرف المباشر'!F286))</f>
        <v/>
      </c>
      <c r="G786" t="str">
        <f>IF($B786&lt;&gt;"",SUMPRODUCT(($B$2:$B786&lt;&gt;"")*1),"")</f>
        <v/>
      </c>
    </row>
    <row r="787" spans="1:7">
      <c r="A787" s="23" t="str">
        <f>IF('الصرف المباشر'!C287="","",'الصرف المباشر'!B287)</f>
        <v/>
      </c>
      <c r="B787" t="str">
        <f>IF('الصرف المباشر'!C287="","","صرف مباشر")</f>
        <v/>
      </c>
      <c r="C787" t="str">
        <f>IF('الصرف المباشر'!C287="","",IF('الصرف المباشر'!E287="","-",'الصرف المباشر'!E287))</f>
        <v/>
      </c>
      <c r="D787" t="str">
        <f>IF('الصرف المباشر'!C287="","",'الصرف المباشر'!C287)</f>
        <v/>
      </c>
      <c r="E787" s="24" t="str">
        <f>IF('الصرف المباشر'!C287="","",-'الصرف المباشر'!D287)</f>
        <v/>
      </c>
      <c r="F787" t="str">
        <f>IF('الصرف المباشر'!C287="","",IF('الصرف المباشر'!F287="","",'الصرف المباشر'!F287))</f>
        <v/>
      </c>
      <c r="G787" t="str">
        <f>IF($B787&lt;&gt;"",SUMPRODUCT(($B$2:$B787&lt;&gt;"")*1),"")</f>
        <v/>
      </c>
    </row>
    <row r="788" spans="1:7">
      <c r="A788" s="23" t="str">
        <f>IF('الصرف المباشر'!C288="","",'الصرف المباشر'!B288)</f>
        <v/>
      </c>
      <c r="B788" t="str">
        <f>IF('الصرف المباشر'!C288="","","صرف مباشر")</f>
        <v/>
      </c>
      <c r="C788" t="str">
        <f>IF('الصرف المباشر'!C288="","",IF('الصرف المباشر'!E288="","-",'الصرف المباشر'!E288))</f>
        <v/>
      </c>
      <c r="D788" t="str">
        <f>IF('الصرف المباشر'!C288="","",'الصرف المباشر'!C288)</f>
        <v/>
      </c>
      <c r="E788" s="24" t="str">
        <f>IF('الصرف المباشر'!C288="","",-'الصرف المباشر'!D288)</f>
        <v/>
      </c>
      <c r="F788" t="str">
        <f>IF('الصرف المباشر'!C288="","",IF('الصرف المباشر'!F288="","",'الصرف المباشر'!F288))</f>
        <v/>
      </c>
      <c r="G788" t="str">
        <f>IF($B788&lt;&gt;"",SUMPRODUCT(($B$2:$B788&lt;&gt;"")*1),"")</f>
        <v/>
      </c>
    </row>
    <row r="789" spans="1:7">
      <c r="A789" s="23" t="str">
        <f>IF('الصرف المباشر'!C289="","",'الصرف المباشر'!B289)</f>
        <v/>
      </c>
      <c r="B789" t="str">
        <f>IF('الصرف المباشر'!C289="","","صرف مباشر")</f>
        <v/>
      </c>
      <c r="C789" t="str">
        <f>IF('الصرف المباشر'!C289="","",IF('الصرف المباشر'!E289="","-",'الصرف المباشر'!E289))</f>
        <v/>
      </c>
      <c r="D789" t="str">
        <f>IF('الصرف المباشر'!C289="","",'الصرف المباشر'!C289)</f>
        <v/>
      </c>
      <c r="E789" s="24" t="str">
        <f>IF('الصرف المباشر'!C289="","",-'الصرف المباشر'!D289)</f>
        <v/>
      </c>
      <c r="F789" t="str">
        <f>IF('الصرف المباشر'!C289="","",IF('الصرف المباشر'!F289="","",'الصرف المباشر'!F289))</f>
        <v/>
      </c>
      <c r="G789" t="str">
        <f>IF($B789&lt;&gt;"",SUMPRODUCT(($B$2:$B789&lt;&gt;"")*1),"")</f>
        <v/>
      </c>
    </row>
    <row r="790" spans="1:7">
      <c r="A790" s="23" t="str">
        <f>IF('الصرف المباشر'!C290="","",'الصرف المباشر'!B290)</f>
        <v/>
      </c>
      <c r="B790" t="str">
        <f>IF('الصرف المباشر'!C290="","","صرف مباشر")</f>
        <v/>
      </c>
      <c r="C790" t="str">
        <f>IF('الصرف المباشر'!C290="","",IF('الصرف المباشر'!E290="","-",'الصرف المباشر'!E290))</f>
        <v/>
      </c>
      <c r="D790" t="str">
        <f>IF('الصرف المباشر'!C290="","",'الصرف المباشر'!C290)</f>
        <v/>
      </c>
      <c r="E790" s="24" t="str">
        <f>IF('الصرف المباشر'!C290="","",-'الصرف المباشر'!D290)</f>
        <v/>
      </c>
      <c r="F790" t="str">
        <f>IF('الصرف المباشر'!C290="","",IF('الصرف المباشر'!F290="","",'الصرف المباشر'!F290))</f>
        <v/>
      </c>
      <c r="G790" t="str">
        <f>IF($B790&lt;&gt;"",SUMPRODUCT(($B$2:$B790&lt;&gt;"")*1),"")</f>
        <v/>
      </c>
    </row>
    <row r="791" spans="1:7">
      <c r="A791" s="23" t="str">
        <f>IF('الصرف المباشر'!C291="","",'الصرف المباشر'!B291)</f>
        <v/>
      </c>
      <c r="B791" t="str">
        <f>IF('الصرف المباشر'!C291="","","صرف مباشر")</f>
        <v/>
      </c>
      <c r="C791" t="str">
        <f>IF('الصرف المباشر'!C291="","",IF('الصرف المباشر'!E291="","-",'الصرف المباشر'!E291))</f>
        <v/>
      </c>
      <c r="D791" t="str">
        <f>IF('الصرف المباشر'!C291="","",'الصرف المباشر'!C291)</f>
        <v/>
      </c>
      <c r="E791" s="24" t="str">
        <f>IF('الصرف المباشر'!C291="","",-'الصرف المباشر'!D291)</f>
        <v/>
      </c>
      <c r="F791" t="str">
        <f>IF('الصرف المباشر'!C291="","",IF('الصرف المباشر'!F291="","",'الصرف المباشر'!F291))</f>
        <v/>
      </c>
      <c r="G791" t="str">
        <f>IF($B791&lt;&gt;"",SUMPRODUCT(($B$2:$B791&lt;&gt;"")*1),"")</f>
        <v/>
      </c>
    </row>
    <row r="792" spans="1:7">
      <c r="A792" s="23" t="str">
        <f>IF('الصرف المباشر'!C292="","",'الصرف المباشر'!B292)</f>
        <v/>
      </c>
      <c r="B792" t="str">
        <f>IF('الصرف المباشر'!C292="","","صرف مباشر")</f>
        <v/>
      </c>
      <c r="C792" t="str">
        <f>IF('الصرف المباشر'!C292="","",IF('الصرف المباشر'!E292="","-",'الصرف المباشر'!E292))</f>
        <v/>
      </c>
      <c r="D792" t="str">
        <f>IF('الصرف المباشر'!C292="","",'الصرف المباشر'!C292)</f>
        <v/>
      </c>
      <c r="E792" s="24" t="str">
        <f>IF('الصرف المباشر'!C292="","",-'الصرف المباشر'!D292)</f>
        <v/>
      </c>
      <c r="F792" t="str">
        <f>IF('الصرف المباشر'!C292="","",IF('الصرف المباشر'!F292="","",'الصرف المباشر'!F292))</f>
        <v/>
      </c>
      <c r="G792" t="str">
        <f>IF($B792&lt;&gt;"",SUMPRODUCT(($B$2:$B792&lt;&gt;"")*1),"")</f>
        <v/>
      </c>
    </row>
    <row r="793" spans="1:7">
      <c r="A793" s="23" t="str">
        <f>IF('الصرف المباشر'!C293="","",'الصرف المباشر'!B293)</f>
        <v/>
      </c>
      <c r="B793" t="str">
        <f>IF('الصرف المباشر'!C293="","","صرف مباشر")</f>
        <v/>
      </c>
      <c r="C793" t="str">
        <f>IF('الصرف المباشر'!C293="","",IF('الصرف المباشر'!E293="","-",'الصرف المباشر'!E293))</f>
        <v/>
      </c>
      <c r="D793" t="str">
        <f>IF('الصرف المباشر'!C293="","",'الصرف المباشر'!C293)</f>
        <v/>
      </c>
      <c r="E793" s="24" t="str">
        <f>IF('الصرف المباشر'!C293="","",-'الصرف المباشر'!D293)</f>
        <v/>
      </c>
      <c r="F793" t="str">
        <f>IF('الصرف المباشر'!C293="","",IF('الصرف المباشر'!F293="","",'الصرف المباشر'!F293))</f>
        <v/>
      </c>
      <c r="G793" t="str">
        <f>IF($B793&lt;&gt;"",SUMPRODUCT(($B$2:$B793&lt;&gt;"")*1),"")</f>
        <v/>
      </c>
    </row>
    <row r="794" spans="1:7">
      <c r="A794" s="23" t="str">
        <f>IF('الصرف المباشر'!C294="","",'الصرف المباشر'!B294)</f>
        <v/>
      </c>
      <c r="B794" t="str">
        <f>IF('الصرف المباشر'!C294="","","صرف مباشر")</f>
        <v/>
      </c>
      <c r="C794" t="str">
        <f>IF('الصرف المباشر'!C294="","",IF('الصرف المباشر'!E294="","-",'الصرف المباشر'!E294))</f>
        <v/>
      </c>
      <c r="D794" t="str">
        <f>IF('الصرف المباشر'!C294="","",'الصرف المباشر'!C294)</f>
        <v/>
      </c>
      <c r="E794" s="24" t="str">
        <f>IF('الصرف المباشر'!C294="","",-'الصرف المباشر'!D294)</f>
        <v/>
      </c>
      <c r="F794" t="str">
        <f>IF('الصرف المباشر'!C294="","",IF('الصرف المباشر'!F294="","",'الصرف المباشر'!F294))</f>
        <v/>
      </c>
      <c r="G794" t="str">
        <f>IF($B794&lt;&gt;"",SUMPRODUCT(($B$2:$B794&lt;&gt;"")*1),"")</f>
        <v/>
      </c>
    </row>
    <row r="795" spans="1:7">
      <c r="A795" s="23" t="str">
        <f>IF('الصرف المباشر'!C295="","",'الصرف المباشر'!B295)</f>
        <v/>
      </c>
      <c r="B795" t="str">
        <f>IF('الصرف المباشر'!C295="","","صرف مباشر")</f>
        <v/>
      </c>
      <c r="C795" t="str">
        <f>IF('الصرف المباشر'!C295="","",IF('الصرف المباشر'!E295="","-",'الصرف المباشر'!E295))</f>
        <v/>
      </c>
      <c r="D795" t="str">
        <f>IF('الصرف المباشر'!C295="","",'الصرف المباشر'!C295)</f>
        <v/>
      </c>
      <c r="E795" s="24" t="str">
        <f>IF('الصرف المباشر'!C295="","",-'الصرف المباشر'!D295)</f>
        <v/>
      </c>
      <c r="F795" t="str">
        <f>IF('الصرف المباشر'!C295="","",IF('الصرف المباشر'!F295="","",'الصرف المباشر'!F295))</f>
        <v/>
      </c>
      <c r="G795" t="str">
        <f>IF($B795&lt;&gt;"",SUMPRODUCT(($B$2:$B795&lt;&gt;"")*1),"")</f>
        <v/>
      </c>
    </row>
    <row r="796" spans="1:7">
      <c r="A796" s="23" t="str">
        <f>IF('الصرف المباشر'!C296="","",'الصرف المباشر'!B296)</f>
        <v/>
      </c>
      <c r="B796" t="str">
        <f>IF('الصرف المباشر'!C296="","","صرف مباشر")</f>
        <v/>
      </c>
      <c r="C796" t="str">
        <f>IF('الصرف المباشر'!C296="","",IF('الصرف المباشر'!E296="","-",'الصرف المباشر'!E296))</f>
        <v/>
      </c>
      <c r="D796" t="str">
        <f>IF('الصرف المباشر'!C296="","",'الصرف المباشر'!C296)</f>
        <v/>
      </c>
      <c r="E796" s="24" t="str">
        <f>IF('الصرف المباشر'!C296="","",-'الصرف المباشر'!D296)</f>
        <v/>
      </c>
      <c r="F796" t="str">
        <f>IF('الصرف المباشر'!C296="","",IF('الصرف المباشر'!F296="","",'الصرف المباشر'!F296))</f>
        <v/>
      </c>
      <c r="G796" t="str">
        <f>IF($B796&lt;&gt;"",SUMPRODUCT(($B$2:$B796&lt;&gt;"")*1),"")</f>
        <v/>
      </c>
    </row>
    <row r="797" spans="1:7">
      <c r="A797" s="23" t="str">
        <f>IF('الصرف المباشر'!C297="","",'الصرف المباشر'!B297)</f>
        <v/>
      </c>
      <c r="B797" t="str">
        <f>IF('الصرف المباشر'!C297="","","صرف مباشر")</f>
        <v/>
      </c>
      <c r="C797" t="str">
        <f>IF('الصرف المباشر'!C297="","",IF('الصرف المباشر'!E297="","-",'الصرف المباشر'!E297))</f>
        <v/>
      </c>
      <c r="D797" t="str">
        <f>IF('الصرف المباشر'!C297="","",'الصرف المباشر'!C297)</f>
        <v/>
      </c>
      <c r="E797" s="24" t="str">
        <f>IF('الصرف المباشر'!C297="","",-'الصرف المباشر'!D297)</f>
        <v/>
      </c>
      <c r="F797" t="str">
        <f>IF('الصرف المباشر'!C297="","",IF('الصرف المباشر'!F297="","",'الصرف المباشر'!F297))</f>
        <v/>
      </c>
      <c r="G797" t="str">
        <f>IF($B797&lt;&gt;"",SUMPRODUCT(($B$2:$B797&lt;&gt;"")*1),"")</f>
        <v/>
      </c>
    </row>
    <row r="798" spans="1:7">
      <c r="A798" s="23" t="str">
        <f>IF('الصرف المباشر'!C298="","",'الصرف المباشر'!B298)</f>
        <v/>
      </c>
      <c r="B798" t="str">
        <f>IF('الصرف المباشر'!C298="","","صرف مباشر")</f>
        <v/>
      </c>
      <c r="C798" t="str">
        <f>IF('الصرف المباشر'!C298="","",IF('الصرف المباشر'!E298="","-",'الصرف المباشر'!E298))</f>
        <v/>
      </c>
      <c r="D798" t="str">
        <f>IF('الصرف المباشر'!C298="","",'الصرف المباشر'!C298)</f>
        <v/>
      </c>
      <c r="E798" s="24" t="str">
        <f>IF('الصرف المباشر'!C298="","",-'الصرف المباشر'!D298)</f>
        <v/>
      </c>
      <c r="F798" t="str">
        <f>IF('الصرف المباشر'!C298="","",IF('الصرف المباشر'!F298="","",'الصرف المباشر'!F298))</f>
        <v/>
      </c>
      <c r="G798" t="str">
        <f>IF($B798&lt;&gt;"",SUMPRODUCT(($B$2:$B798&lt;&gt;"")*1),"")</f>
        <v/>
      </c>
    </row>
    <row r="799" spans="1:7">
      <c r="A799" s="23" t="str">
        <f>IF('الصرف المباشر'!C299="","",'الصرف المباشر'!B299)</f>
        <v/>
      </c>
      <c r="B799" t="str">
        <f>IF('الصرف المباشر'!C299="","","صرف مباشر")</f>
        <v/>
      </c>
      <c r="C799" t="str">
        <f>IF('الصرف المباشر'!C299="","",IF('الصرف المباشر'!E299="","-",'الصرف المباشر'!E299))</f>
        <v/>
      </c>
      <c r="D799" t="str">
        <f>IF('الصرف المباشر'!C299="","",'الصرف المباشر'!C299)</f>
        <v/>
      </c>
      <c r="E799" s="24" t="str">
        <f>IF('الصرف المباشر'!C299="","",-'الصرف المباشر'!D299)</f>
        <v/>
      </c>
      <c r="F799" t="str">
        <f>IF('الصرف المباشر'!C299="","",IF('الصرف المباشر'!F299="","",'الصرف المباشر'!F299))</f>
        <v/>
      </c>
      <c r="G799" t="str">
        <f>IF($B799&lt;&gt;"",SUMPRODUCT(($B$2:$B799&lt;&gt;"")*1),"")</f>
        <v/>
      </c>
    </row>
    <row r="800" spans="1:7">
      <c r="A800" s="23" t="str">
        <f>IF('الصرف المباشر'!C300="","",'الصرف المباشر'!B300)</f>
        <v/>
      </c>
      <c r="B800" t="str">
        <f>IF('الصرف المباشر'!C300="","","صرف مباشر")</f>
        <v/>
      </c>
      <c r="C800" t="str">
        <f>IF('الصرف المباشر'!C300="","",IF('الصرف المباشر'!E300="","-",'الصرف المباشر'!E300))</f>
        <v/>
      </c>
      <c r="D800" t="str">
        <f>IF('الصرف المباشر'!C300="","",'الصرف المباشر'!C300)</f>
        <v/>
      </c>
      <c r="E800" s="24" t="str">
        <f>IF('الصرف المباشر'!C300="","",-'الصرف المباشر'!D300)</f>
        <v/>
      </c>
      <c r="F800" t="str">
        <f>IF('الصرف المباشر'!C300="","",IF('الصرف المباشر'!F300="","",'الصرف المباشر'!F300))</f>
        <v/>
      </c>
      <c r="G800" t="str">
        <f>IF($B800&lt;&gt;"",SUMPRODUCT(($B$2:$B800&lt;&gt;"")*1),"")</f>
        <v/>
      </c>
    </row>
    <row r="801" spans="1:7">
      <c r="A801" s="23" t="str">
        <f>IF('الصرف المباشر'!C301="","",'الصرف المباشر'!B301)</f>
        <v/>
      </c>
      <c r="B801" t="str">
        <f>IF('الصرف المباشر'!C301="","","صرف مباشر")</f>
        <v/>
      </c>
      <c r="C801" t="str">
        <f>IF('الصرف المباشر'!C301="","",IF('الصرف المباشر'!E301="","-",'الصرف المباشر'!E301))</f>
        <v/>
      </c>
      <c r="D801" t="str">
        <f>IF('الصرف المباشر'!C301="","",'الصرف المباشر'!C301)</f>
        <v/>
      </c>
      <c r="E801" s="24" t="str">
        <f>IF('الصرف المباشر'!C301="","",-'الصرف المباشر'!D301)</f>
        <v/>
      </c>
      <c r="F801" t="str">
        <f>IF('الصرف المباشر'!C301="","",IF('الصرف المباشر'!F301="","",'الصرف المباشر'!F301))</f>
        <v/>
      </c>
      <c r="G801" t="str">
        <f>IF($B801&lt;&gt;"",SUMPRODUCT(($B$2:$B801&lt;&gt;"")*1),"")</f>
        <v/>
      </c>
    </row>
    <row r="802" spans="1:7">
      <c r="A802" s="23" t="str">
        <f>IF('الصرف المباشر'!C302="","",'الصرف المباشر'!B302)</f>
        <v/>
      </c>
      <c r="B802" t="str">
        <f>IF('الصرف المباشر'!C302="","","صرف مباشر")</f>
        <v/>
      </c>
      <c r="C802" t="str">
        <f>IF('الصرف المباشر'!C302="","",IF('الصرف المباشر'!E302="","-",'الصرف المباشر'!E302))</f>
        <v/>
      </c>
      <c r="D802" t="str">
        <f>IF('الصرف المباشر'!C302="","",'الصرف المباشر'!C302)</f>
        <v/>
      </c>
      <c r="E802" s="24" t="str">
        <f>IF('الصرف المباشر'!C302="","",-'الصرف المباشر'!D302)</f>
        <v/>
      </c>
      <c r="F802" t="str">
        <f>IF('الصرف المباشر'!C302="","",IF('الصرف المباشر'!F302="","",'الصرف المباشر'!F302))</f>
        <v/>
      </c>
      <c r="G802" t="str">
        <f>IF($B802&lt;&gt;"",SUMPRODUCT(($B$2:$B802&lt;&gt;"")*1),"")</f>
        <v/>
      </c>
    </row>
    <row r="803" spans="1:7">
      <c r="A803" s="23" t="str">
        <f>IF('الصرف المباشر'!C303="","",'الصرف المباشر'!B303)</f>
        <v/>
      </c>
      <c r="B803" t="str">
        <f>IF('الصرف المباشر'!C303="","","صرف مباشر")</f>
        <v/>
      </c>
      <c r="C803" t="str">
        <f>IF('الصرف المباشر'!C303="","",IF('الصرف المباشر'!E303="","-",'الصرف المباشر'!E303))</f>
        <v/>
      </c>
      <c r="D803" t="str">
        <f>IF('الصرف المباشر'!C303="","",'الصرف المباشر'!C303)</f>
        <v/>
      </c>
      <c r="E803" s="24" t="str">
        <f>IF('الصرف المباشر'!C303="","",-'الصرف المباشر'!D303)</f>
        <v/>
      </c>
      <c r="F803" t="str">
        <f>IF('الصرف المباشر'!C303="","",IF('الصرف المباشر'!F303="","",'الصرف المباشر'!F303))</f>
        <v/>
      </c>
      <c r="G803" t="str">
        <f>IF($B803&lt;&gt;"",SUMPRODUCT(($B$2:$B803&lt;&gt;"")*1),"")</f>
        <v/>
      </c>
    </row>
    <row r="804" spans="1:7">
      <c r="A804" s="23" t="str">
        <f>IF('الصرف المباشر'!C304="","",'الصرف المباشر'!B304)</f>
        <v/>
      </c>
      <c r="B804" t="str">
        <f>IF('الصرف المباشر'!C304="","","صرف مباشر")</f>
        <v/>
      </c>
      <c r="C804" t="str">
        <f>IF('الصرف المباشر'!C304="","",IF('الصرف المباشر'!E304="","-",'الصرف المباشر'!E304))</f>
        <v/>
      </c>
      <c r="D804" t="str">
        <f>IF('الصرف المباشر'!C304="","",'الصرف المباشر'!C304)</f>
        <v/>
      </c>
      <c r="E804" s="24" t="str">
        <f>IF('الصرف المباشر'!C304="","",-'الصرف المباشر'!D304)</f>
        <v/>
      </c>
      <c r="F804" t="str">
        <f>IF('الصرف المباشر'!C304="","",IF('الصرف المباشر'!F304="","",'الصرف المباشر'!F304))</f>
        <v/>
      </c>
      <c r="G804" t="str">
        <f>IF($B804&lt;&gt;"",SUMPRODUCT(($B$2:$B804&lt;&gt;"")*1),"")</f>
        <v/>
      </c>
    </row>
    <row r="805" spans="1:7">
      <c r="A805" s="23" t="str">
        <f>IF('الصرف المباشر'!C305="","",'الصرف المباشر'!B305)</f>
        <v/>
      </c>
      <c r="B805" t="str">
        <f>IF('الصرف المباشر'!C305="","","صرف مباشر")</f>
        <v/>
      </c>
      <c r="C805" t="str">
        <f>IF('الصرف المباشر'!C305="","",IF('الصرف المباشر'!E305="","-",'الصرف المباشر'!E305))</f>
        <v/>
      </c>
      <c r="D805" t="str">
        <f>IF('الصرف المباشر'!C305="","",'الصرف المباشر'!C305)</f>
        <v/>
      </c>
      <c r="E805" s="24" t="str">
        <f>IF('الصرف المباشر'!C305="","",-'الصرف المباشر'!D305)</f>
        <v/>
      </c>
      <c r="F805" t="str">
        <f>IF('الصرف المباشر'!C305="","",IF('الصرف المباشر'!F305="","",'الصرف المباشر'!F305))</f>
        <v/>
      </c>
      <c r="G805" t="str">
        <f>IF($B805&lt;&gt;"",SUMPRODUCT(($B$2:$B805&lt;&gt;"")*1),"")</f>
        <v/>
      </c>
    </row>
    <row r="806" spans="1:7">
      <c r="A806" s="23" t="str">
        <f>IF('الصرف المباشر'!C306="","",'الصرف المباشر'!B306)</f>
        <v/>
      </c>
      <c r="B806" t="str">
        <f>IF('الصرف المباشر'!C306="","","صرف مباشر")</f>
        <v/>
      </c>
      <c r="C806" t="str">
        <f>IF('الصرف المباشر'!C306="","",IF('الصرف المباشر'!E306="","-",'الصرف المباشر'!E306))</f>
        <v/>
      </c>
      <c r="D806" t="str">
        <f>IF('الصرف المباشر'!C306="","",'الصرف المباشر'!C306)</f>
        <v/>
      </c>
      <c r="E806" s="24" t="str">
        <f>IF('الصرف المباشر'!C306="","",-'الصرف المباشر'!D306)</f>
        <v/>
      </c>
      <c r="F806" t="str">
        <f>IF('الصرف المباشر'!C306="","",IF('الصرف المباشر'!F306="","",'الصرف المباشر'!F306))</f>
        <v/>
      </c>
      <c r="G806" t="str">
        <f>IF($B806&lt;&gt;"",SUMPRODUCT(($B$2:$B806&lt;&gt;"")*1),"")</f>
        <v/>
      </c>
    </row>
    <row r="807" spans="1:7">
      <c r="A807" s="23" t="str">
        <f>IF('الصرف المباشر'!C307="","",'الصرف المباشر'!B307)</f>
        <v/>
      </c>
      <c r="B807" t="str">
        <f>IF('الصرف المباشر'!C307="","","صرف مباشر")</f>
        <v/>
      </c>
      <c r="C807" t="str">
        <f>IF('الصرف المباشر'!C307="","",IF('الصرف المباشر'!E307="","-",'الصرف المباشر'!E307))</f>
        <v/>
      </c>
      <c r="D807" t="str">
        <f>IF('الصرف المباشر'!C307="","",'الصرف المباشر'!C307)</f>
        <v/>
      </c>
      <c r="E807" s="24" t="str">
        <f>IF('الصرف المباشر'!C307="","",-'الصرف المباشر'!D307)</f>
        <v/>
      </c>
      <c r="F807" t="str">
        <f>IF('الصرف المباشر'!C307="","",IF('الصرف المباشر'!F307="","",'الصرف المباشر'!F307))</f>
        <v/>
      </c>
      <c r="G807" t="str">
        <f>IF($B807&lt;&gt;"",SUMPRODUCT(($B$2:$B807&lt;&gt;"")*1),"")</f>
        <v/>
      </c>
    </row>
    <row r="808" spans="1:7">
      <c r="A808" s="23" t="str">
        <f>IF('الصرف المباشر'!C308="","",'الصرف المباشر'!B308)</f>
        <v/>
      </c>
      <c r="B808" t="str">
        <f>IF('الصرف المباشر'!C308="","","صرف مباشر")</f>
        <v/>
      </c>
      <c r="C808" t="str">
        <f>IF('الصرف المباشر'!C308="","",IF('الصرف المباشر'!E308="","-",'الصرف المباشر'!E308))</f>
        <v/>
      </c>
      <c r="D808" t="str">
        <f>IF('الصرف المباشر'!C308="","",'الصرف المباشر'!C308)</f>
        <v/>
      </c>
      <c r="E808" s="24" t="str">
        <f>IF('الصرف المباشر'!C308="","",-'الصرف المباشر'!D308)</f>
        <v/>
      </c>
      <c r="F808" t="str">
        <f>IF('الصرف المباشر'!C308="","",IF('الصرف المباشر'!F308="","",'الصرف المباشر'!F308))</f>
        <v/>
      </c>
      <c r="G808" t="str">
        <f>IF($B808&lt;&gt;"",SUMPRODUCT(($B$2:$B808&lt;&gt;"")*1),"")</f>
        <v/>
      </c>
    </row>
    <row r="809" spans="1:7">
      <c r="A809" s="23" t="str">
        <f>IF('الصرف المباشر'!C309="","",'الصرف المباشر'!B309)</f>
        <v/>
      </c>
      <c r="B809" t="str">
        <f>IF('الصرف المباشر'!C309="","","صرف مباشر")</f>
        <v/>
      </c>
      <c r="C809" t="str">
        <f>IF('الصرف المباشر'!C309="","",IF('الصرف المباشر'!E309="","-",'الصرف المباشر'!E309))</f>
        <v/>
      </c>
      <c r="D809" t="str">
        <f>IF('الصرف المباشر'!C309="","",'الصرف المباشر'!C309)</f>
        <v/>
      </c>
      <c r="E809" s="24" t="str">
        <f>IF('الصرف المباشر'!C309="","",-'الصرف المباشر'!D309)</f>
        <v/>
      </c>
      <c r="F809" t="str">
        <f>IF('الصرف المباشر'!C309="","",IF('الصرف المباشر'!F309="","",'الصرف المباشر'!F309))</f>
        <v/>
      </c>
      <c r="G809" t="str">
        <f>IF($B809&lt;&gt;"",SUMPRODUCT(($B$2:$B809&lt;&gt;"")*1),"")</f>
        <v/>
      </c>
    </row>
    <row r="810" spans="1:7">
      <c r="A810" s="23" t="str">
        <f>IF('الصرف المباشر'!C310="","",'الصرف المباشر'!B310)</f>
        <v/>
      </c>
      <c r="B810" t="str">
        <f>IF('الصرف المباشر'!C310="","","صرف مباشر")</f>
        <v/>
      </c>
      <c r="C810" t="str">
        <f>IF('الصرف المباشر'!C310="","",IF('الصرف المباشر'!E310="","-",'الصرف المباشر'!E310))</f>
        <v/>
      </c>
      <c r="D810" t="str">
        <f>IF('الصرف المباشر'!C310="","",'الصرف المباشر'!C310)</f>
        <v/>
      </c>
      <c r="E810" s="24" t="str">
        <f>IF('الصرف المباشر'!C310="","",-'الصرف المباشر'!D310)</f>
        <v/>
      </c>
      <c r="F810" t="str">
        <f>IF('الصرف المباشر'!C310="","",IF('الصرف المباشر'!F310="","",'الصرف المباشر'!F310))</f>
        <v/>
      </c>
      <c r="G810" t="str">
        <f>IF($B810&lt;&gt;"",SUMPRODUCT(($B$2:$B810&lt;&gt;"")*1),"")</f>
        <v/>
      </c>
    </row>
    <row r="811" spans="1:7">
      <c r="A811" s="23" t="str">
        <f>IF('الصرف المباشر'!C311="","",'الصرف المباشر'!B311)</f>
        <v/>
      </c>
      <c r="B811" t="str">
        <f>IF('الصرف المباشر'!C311="","","صرف مباشر")</f>
        <v/>
      </c>
      <c r="C811" t="str">
        <f>IF('الصرف المباشر'!C311="","",IF('الصرف المباشر'!E311="","-",'الصرف المباشر'!E311))</f>
        <v/>
      </c>
      <c r="D811" t="str">
        <f>IF('الصرف المباشر'!C311="","",'الصرف المباشر'!C311)</f>
        <v/>
      </c>
      <c r="E811" s="24" t="str">
        <f>IF('الصرف المباشر'!C311="","",-'الصرف المباشر'!D311)</f>
        <v/>
      </c>
      <c r="F811" t="str">
        <f>IF('الصرف المباشر'!C311="","",IF('الصرف المباشر'!F311="","",'الصرف المباشر'!F311))</f>
        <v/>
      </c>
      <c r="G811" t="str">
        <f>IF($B811&lt;&gt;"",SUMPRODUCT(($B$2:$B811&lt;&gt;"")*1),"")</f>
        <v/>
      </c>
    </row>
    <row r="812" spans="1:7">
      <c r="A812" s="23" t="str">
        <f>IF('الصرف المباشر'!C312="","",'الصرف المباشر'!B312)</f>
        <v/>
      </c>
      <c r="B812" t="str">
        <f>IF('الصرف المباشر'!C312="","","صرف مباشر")</f>
        <v/>
      </c>
      <c r="C812" t="str">
        <f>IF('الصرف المباشر'!C312="","",IF('الصرف المباشر'!E312="","-",'الصرف المباشر'!E312))</f>
        <v/>
      </c>
      <c r="D812" t="str">
        <f>IF('الصرف المباشر'!C312="","",'الصرف المباشر'!C312)</f>
        <v/>
      </c>
      <c r="E812" s="24" t="str">
        <f>IF('الصرف المباشر'!C312="","",-'الصرف المباشر'!D312)</f>
        <v/>
      </c>
      <c r="F812" t="str">
        <f>IF('الصرف المباشر'!C312="","",IF('الصرف المباشر'!F312="","",'الصرف المباشر'!F312))</f>
        <v/>
      </c>
      <c r="G812" t="str">
        <f>IF($B812&lt;&gt;"",SUMPRODUCT(($B$2:$B812&lt;&gt;"")*1),"")</f>
        <v/>
      </c>
    </row>
    <row r="813" spans="1:7">
      <c r="A813" s="23" t="str">
        <f>IF('الصرف المباشر'!C313="","",'الصرف المباشر'!B313)</f>
        <v/>
      </c>
      <c r="B813" t="str">
        <f>IF('الصرف المباشر'!C313="","","صرف مباشر")</f>
        <v/>
      </c>
      <c r="C813" t="str">
        <f>IF('الصرف المباشر'!C313="","",IF('الصرف المباشر'!E313="","-",'الصرف المباشر'!E313))</f>
        <v/>
      </c>
      <c r="D813" t="str">
        <f>IF('الصرف المباشر'!C313="","",'الصرف المباشر'!C313)</f>
        <v/>
      </c>
      <c r="E813" s="24" t="str">
        <f>IF('الصرف المباشر'!C313="","",-'الصرف المباشر'!D313)</f>
        <v/>
      </c>
      <c r="F813" t="str">
        <f>IF('الصرف المباشر'!C313="","",IF('الصرف المباشر'!F313="","",'الصرف المباشر'!F313))</f>
        <v/>
      </c>
      <c r="G813" t="str">
        <f>IF($B813&lt;&gt;"",SUMPRODUCT(($B$2:$B813&lt;&gt;"")*1),"")</f>
        <v/>
      </c>
    </row>
    <row r="814" spans="1:7">
      <c r="A814" s="23" t="str">
        <f>IF('الصرف المباشر'!C314="","",'الصرف المباشر'!B314)</f>
        <v/>
      </c>
      <c r="B814" t="str">
        <f>IF('الصرف المباشر'!C314="","","صرف مباشر")</f>
        <v/>
      </c>
      <c r="C814" t="str">
        <f>IF('الصرف المباشر'!C314="","",IF('الصرف المباشر'!E314="","-",'الصرف المباشر'!E314))</f>
        <v/>
      </c>
      <c r="D814" t="str">
        <f>IF('الصرف المباشر'!C314="","",'الصرف المباشر'!C314)</f>
        <v/>
      </c>
      <c r="E814" s="24" t="str">
        <f>IF('الصرف المباشر'!C314="","",-'الصرف المباشر'!D314)</f>
        <v/>
      </c>
      <c r="F814" t="str">
        <f>IF('الصرف المباشر'!C314="","",IF('الصرف المباشر'!F314="","",'الصرف المباشر'!F314))</f>
        <v/>
      </c>
      <c r="G814" t="str">
        <f>IF($B814&lt;&gt;"",SUMPRODUCT(($B$2:$B814&lt;&gt;"")*1),"")</f>
        <v/>
      </c>
    </row>
    <row r="815" spans="1:7">
      <c r="A815" s="23" t="str">
        <f>IF('الصرف المباشر'!C315="","",'الصرف المباشر'!B315)</f>
        <v/>
      </c>
      <c r="B815" t="str">
        <f>IF('الصرف المباشر'!C315="","","صرف مباشر")</f>
        <v/>
      </c>
      <c r="C815" t="str">
        <f>IF('الصرف المباشر'!C315="","",IF('الصرف المباشر'!E315="","-",'الصرف المباشر'!E315))</f>
        <v/>
      </c>
      <c r="D815" t="str">
        <f>IF('الصرف المباشر'!C315="","",'الصرف المباشر'!C315)</f>
        <v/>
      </c>
      <c r="E815" s="24" t="str">
        <f>IF('الصرف المباشر'!C315="","",-'الصرف المباشر'!D315)</f>
        <v/>
      </c>
      <c r="F815" t="str">
        <f>IF('الصرف المباشر'!C315="","",IF('الصرف المباشر'!F315="","",'الصرف المباشر'!F315))</f>
        <v/>
      </c>
      <c r="G815" t="str">
        <f>IF($B815&lt;&gt;"",SUMPRODUCT(($B$2:$B815&lt;&gt;"")*1),"")</f>
        <v/>
      </c>
    </row>
    <row r="816" spans="1:7">
      <c r="A816" s="23" t="str">
        <f>IF('الصرف المباشر'!C316="","",'الصرف المباشر'!B316)</f>
        <v/>
      </c>
      <c r="B816" t="str">
        <f>IF('الصرف المباشر'!C316="","","صرف مباشر")</f>
        <v/>
      </c>
      <c r="C816" t="str">
        <f>IF('الصرف المباشر'!C316="","",IF('الصرف المباشر'!E316="","-",'الصرف المباشر'!E316))</f>
        <v/>
      </c>
      <c r="D816" t="str">
        <f>IF('الصرف المباشر'!C316="","",'الصرف المباشر'!C316)</f>
        <v/>
      </c>
      <c r="E816" s="24" t="str">
        <f>IF('الصرف المباشر'!C316="","",-'الصرف المباشر'!D316)</f>
        <v/>
      </c>
      <c r="F816" t="str">
        <f>IF('الصرف المباشر'!C316="","",IF('الصرف المباشر'!F316="","",'الصرف المباشر'!F316))</f>
        <v/>
      </c>
      <c r="G816" t="str">
        <f>IF($B816&lt;&gt;"",SUMPRODUCT(($B$2:$B816&lt;&gt;"")*1),"")</f>
        <v/>
      </c>
    </row>
    <row r="817" spans="1:7">
      <c r="A817" s="23" t="str">
        <f>IF('الصرف المباشر'!C317="","",'الصرف المباشر'!B317)</f>
        <v/>
      </c>
      <c r="B817" t="str">
        <f>IF('الصرف المباشر'!C317="","","صرف مباشر")</f>
        <v/>
      </c>
      <c r="C817" t="str">
        <f>IF('الصرف المباشر'!C317="","",IF('الصرف المباشر'!E317="","-",'الصرف المباشر'!E317))</f>
        <v/>
      </c>
      <c r="D817" t="str">
        <f>IF('الصرف المباشر'!C317="","",'الصرف المباشر'!C317)</f>
        <v/>
      </c>
      <c r="E817" s="24" t="str">
        <f>IF('الصرف المباشر'!C317="","",-'الصرف المباشر'!D317)</f>
        <v/>
      </c>
      <c r="F817" t="str">
        <f>IF('الصرف المباشر'!C317="","",IF('الصرف المباشر'!F317="","",'الصرف المباشر'!F317))</f>
        <v/>
      </c>
      <c r="G817" t="str">
        <f>IF($B817&lt;&gt;"",SUMPRODUCT(($B$2:$B817&lt;&gt;"")*1),"")</f>
        <v/>
      </c>
    </row>
    <row r="818" spans="1:7">
      <c r="A818" s="23" t="str">
        <f>IF('الصرف المباشر'!C318="","",'الصرف المباشر'!B318)</f>
        <v/>
      </c>
      <c r="B818" t="str">
        <f>IF('الصرف المباشر'!C318="","","صرف مباشر")</f>
        <v/>
      </c>
      <c r="C818" t="str">
        <f>IF('الصرف المباشر'!C318="","",IF('الصرف المباشر'!E318="","-",'الصرف المباشر'!E318))</f>
        <v/>
      </c>
      <c r="D818" t="str">
        <f>IF('الصرف المباشر'!C318="","",'الصرف المباشر'!C318)</f>
        <v/>
      </c>
      <c r="E818" s="24" t="str">
        <f>IF('الصرف المباشر'!C318="","",-'الصرف المباشر'!D318)</f>
        <v/>
      </c>
      <c r="F818" t="str">
        <f>IF('الصرف المباشر'!C318="","",IF('الصرف المباشر'!F318="","",'الصرف المباشر'!F318))</f>
        <v/>
      </c>
      <c r="G818" t="str">
        <f>IF($B818&lt;&gt;"",SUMPRODUCT(($B$2:$B818&lt;&gt;"")*1),"")</f>
        <v/>
      </c>
    </row>
    <row r="819" spans="1:7">
      <c r="A819" s="23" t="str">
        <f>IF('الصرف المباشر'!C319="","",'الصرف المباشر'!B319)</f>
        <v/>
      </c>
      <c r="B819" t="str">
        <f>IF('الصرف المباشر'!C319="","","صرف مباشر")</f>
        <v/>
      </c>
      <c r="C819" t="str">
        <f>IF('الصرف المباشر'!C319="","",IF('الصرف المباشر'!E319="","-",'الصرف المباشر'!E319))</f>
        <v/>
      </c>
      <c r="D819" t="str">
        <f>IF('الصرف المباشر'!C319="","",'الصرف المباشر'!C319)</f>
        <v/>
      </c>
      <c r="E819" s="24" t="str">
        <f>IF('الصرف المباشر'!C319="","",-'الصرف المباشر'!D319)</f>
        <v/>
      </c>
      <c r="F819" t="str">
        <f>IF('الصرف المباشر'!C319="","",IF('الصرف المباشر'!F319="","",'الصرف المباشر'!F319))</f>
        <v/>
      </c>
      <c r="G819" t="str">
        <f>IF($B819&lt;&gt;"",SUMPRODUCT(($B$2:$B819&lt;&gt;"")*1),"")</f>
        <v/>
      </c>
    </row>
    <row r="820" spans="1:7">
      <c r="A820" s="23" t="str">
        <f>IF('الصرف المباشر'!C320="","",'الصرف المباشر'!B320)</f>
        <v/>
      </c>
      <c r="B820" t="str">
        <f>IF('الصرف المباشر'!C320="","","صرف مباشر")</f>
        <v/>
      </c>
      <c r="C820" t="str">
        <f>IF('الصرف المباشر'!C320="","",IF('الصرف المباشر'!E320="","-",'الصرف المباشر'!E320))</f>
        <v/>
      </c>
      <c r="D820" t="str">
        <f>IF('الصرف المباشر'!C320="","",'الصرف المباشر'!C320)</f>
        <v/>
      </c>
      <c r="E820" s="24" t="str">
        <f>IF('الصرف المباشر'!C320="","",-'الصرف المباشر'!D320)</f>
        <v/>
      </c>
      <c r="F820" t="str">
        <f>IF('الصرف المباشر'!C320="","",IF('الصرف المباشر'!F320="","",'الصرف المباشر'!F320))</f>
        <v/>
      </c>
      <c r="G820" t="str">
        <f>IF($B820&lt;&gt;"",SUMPRODUCT(($B$2:$B820&lt;&gt;"")*1),"")</f>
        <v/>
      </c>
    </row>
    <row r="821" spans="1:7">
      <c r="A821" s="23" t="str">
        <f>IF('الصرف المباشر'!C321="","",'الصرف المباشر'!B321)</f>
        <v/>
      </c>
      <c r="B821" t="str">
        <f>IF('الصرف المباشر'!C321="","","صرف مباشر")</f>
        <v/>
      </c>
      <c r="C821" t="str">
        <f>IF('الصرف المباشر'!C321="","",IF('الصرف المباشر'!E321="","-",'الصرف المباشر'!E321))</f>
        <v/>
      </c>
      <c r="D821" t="str">
        <f>IF('الصرف المباشر'!C321="","",'الصرف المباشر'!C321)</f>
        <v/>
      </c>
      <c r="E821" s="24" t="str">
        <f>IF('الصرف المباشر'!C321="","",-'الصرف المباشر'!D321)</f>
        <v/>
      </c>
      <c r="F821" t="str">
        <f>IF('الصرف المباشر'!C321="","",IF('الصرف المباشر'!F321="","",'الصرف المباشر'!F321))</f>
        <v/>
      </c>
      <c r="G821" t="str">
        <f>IF($B821&lt;&gt;"",SUMPRODUCT(($B$2:$B821&lt;&gt;"")*1),"")</f>
        <v/>
      </c>
    </row>
    <row r="822" spans="1:7">
      <c r="A822" s="23" t="str">
        <f>IF('الصرف المباشر'!C322="","",'الصرف المباشر'!B322)</f>
        <v/>
      </c>
      <c r="B822" t="str">
        <f>IF('الصرف المباشر'!C322="","","صرف مباشر")</f>
        <v/>
      </c>
      <c r="C822" t="str">
        <f>IF('الصرف المباشر'!C322="","",IF('الصرف المباشر'!E322="","-",'الصرف المباشر'!E322))</f>
        <v/>
      </c>
      <c r="D822" t="str">
        <f>IF('الصرف المباشر'!C322="","",'الصرف المباشر'!C322)</f>
        <v/>
      </c>
      <c r="E822" s="24" t="str">
        <f>IF('الصرف المباشر'!C322="","",-'الصرف المباشر'!D322)</f>
        <v/>
      </c>
      <c r="F822" t="str">
        <f>IF('الصرف المباشر'!C322="","",IF('الصرف المباشر'!F322="","",'الصرف المباشر'!F322))</f>
        <v/>
      </c>
      <c r="G822" t="str">
        <f>IF($B822&lt;&gt;"",SUMPRODUCT(($B$2:$B822&lt;&gt;"")*1),"")</f>
        <v/>
      </c>
    </row>
    <row r="823" spans="1:7">
      <c r="A823" s="23" t="str">
        <f>IF('الصرف المباشر'!C323="","",'الصرف المباشر'!B323)</f>
        <v/>
      </c>
      <c r="B823" t="str">
        <f>IF('الصرف المباشر'!C323="","","صرف مباشر")</f>
        <v/>
      </c>
      <c r="C823" t="str">
        <f>IF('الصرف المباشر'!C323="","",IF('الصرف المباشر'!E323="","-",'الصرف المباشر'!E323))</f>
        <v/>
      </c>
      <c r="D823" t="str">
        <f>IF('الصرف المباشر'!C323="","",'الصرف المباشر'!C323)</f>
        <v/>
      </c>
      <c r="E823" s="24" t="str">
        <f>IF('الصرف المباشر'!C323="","",-'الصرف المباشر'!D323)</f>
        <v/>
      </c>
      <c r="F823" t="str">
        <f>IF('الصرف المباشر'!C323="","",IF('الصرف المباشر'!F323="","",'الصرف المباشر'!F323))</f>
        <v/>
      </c>
      <c r="G823" t="str">
        <f>IF($B823&lt;&gt;"",SUMPRODUCT(($B$2:$B823&lt;&gt;"")*1),"")</f>
        <v/>
      </c>
    </row>
    <row r="824" spans="1:7">
      <c r="A824" s="23" t="str">
        <f>IF('الصرف المباشر'!C324="","",'الصرف المباشر'!B324)</f>
        <v/>
      </c>
      <c r="B824" t="str">
        <f>IF('الصرف المباشر'!C324="","","صرف مباشر")</f>
        <v/>
      </c>
      <c r="C824" t="str">
        <f>IF('الصرف المباشر'!C324="","",IF('الصرف المباشر'!E324="","-",'الصرف المباشر'!E324))</f>
        <v/>
      </c>
      <c r="D824" t="str">
        <f>IF('الصرف المباشر'!C324="","",'الصرف المباشر'!C324)</f>
        <v/>
      </c>
      <c r="E824" s="24" t="str">
        <f>IF('الصرف المباشر'!C324="","",-'الصرف المباشر'!D324)</f>
        <v/>
      </c>
      <c r="F824" t="str">
        <f>IF('الصرف المباشر'!C324="","",IF('الصرف المباشر'!F324="","",'الصرف المباشر'!F324))</f>
        <v/>
      </c>
      <c r="G824" t="str">
        <f>IF($B824&lt;&gt;"",SUMPRODUCT(($B$2:$B824&lt;&gt;"")*1),"")</f>
        <v/>
      </c>
    </row>
    <row r="825" spans="1:7">
      <c r="A825" s="23" t="str">
        <f>IF('الصرف المباشر'!C325="","",'الصرف المباشر'!B325)</f>
        <v/>
      </c>
      <c r="B825" t="str">
        <f>IF('الصرف المباشر'!C325="","","صرف مباشر")</f>
        <v/>
      </c>
      <c r="C825" t="str">
        <f>IF('الصرف المباشر'!C325="","",IF('الصرف المباشر'!E325="","-",'الصرف المباشر'!E325))</f>
        <v/>
      </c>
      <c r="D825" t="str">
        <f>IF('الصرف المباشر'!C325="","",'الصرف المباشر'!C325)</f>
        <v/>
      </c>
      <c r="E825" s="24" t="str">
        <f>IF('الصرف المباشر'!C325="","",-'الصرف المباشر'!D325)</f>
        <v/>
      </c>
      <c r="F825" t="str">
        <f>IF('الصرف المباشر'!C325="","",IF('الصرف المباشر'!F325="","",'الصرف المباشر'!F325))</f>
        <v/>
      </c>
      <c r="G825" t="str">
        <f>IF($B825&lt;&gt;"",SUMPRODUCT(($B$2:$B825&lt;&gt;"")*1),"")</f>
        <v/>
      </c>
    </row>
    <row r="826" spans="1:7">
      <c r="A826" s="23" t="str">
        <f>IF('الصرف المباشر'!C326="","",'الصرف المباشر'!B326)</f>
        <v/>
      </c>
      <c r="B826" t="str">
        <f>IF('الصرف المباشر'!C326="","","صرف مباشر")</f>
        <v/>
      </c>
      <c r="C826" t="str">
        <f>IF('الصرف المباشر'!C326="","",IF('الصرف المباشر'!E326="","-",'الصرف المباشر'!E326))</f>
        <v/>
      </c>
      <c r="D826" t="str">
        <f>IF('الصرف المباشر'!C326="","",'الصرف المباشر'!C326)</f>
        <v/>
      </c>
      <c r="E826" s="24" t="str">
        <f>IF('الصرف المباشر'!C326="","",-'الصرف المباشر'!D326)</f>
        <v/>
      </c>
      <c r="F826" t="str">
        <f>IF('الصرف المباشر'!C326="","",IF('الصرف المباشر'!F326="","",'الصرف المباشر'!F326))</f>
        <v/>
      </c>
      <c r="G826" t="str">
        <f>IF($B826&lt;&gt;"",SUMPRODUCT(($B$2:$B826&lt;&gt;"")*1),"")</f>
        <v/>
      </c>
    </row>
    <row r="827" spans="1:7">
      <c r="A827" s="23" t="str">
        <f>IF('الصرف المباشر'!C327="","",'الصرف المباشر'!B327)</f>
        <v/>
      </c>
      <c r="B827" t="str">
        <f>IF('الصرف المباشر'!C327="","","صرف مباشر")</f>
        <v/>
      </c>
      <c r="C827" t="str">
        <f>IF('الصرف المباشر'!C327="","",IF('الصرف المباشر'!E327="","-",'الصرف المباشر'!E327))</f>
        <v/>
      </c>
      <c r="D827" t="str">
        <f>IF('الصرف المباشر'!C327="","",'الصرف المباشر'!C327)</f>
        <v/>
      </c>
      <c r="E827" s="24" t="str">
        <f>IF('الصرف المباشر'!C327="","",-'الصرف المباشر'!D327)</f>
        <v/>
      </c>
      <c r="F827" t="str">
        <f>IF('الصرف المباشر'!C327="","",IF('الصرف المباشر'!F327="","",'الصرف المباشر'!F327))</f>
        <v/>
      </c>
      <c r="G827" t="str">
        <f>IF($B827&lt;&gt;"",SUMPRODUCT(($B$2:$B827&lt;&gt;"")*1),"")</f>
        <v/>
      </c>
    </row>
    <row r="828" spans="1:7">
      <c r="A828" s="23" t="str">
        <f>IF('الصرف المباشر'!C328="","",'الصرف المباشر'!B328)</f>
        <v/>
      </c>
      <c r="B828" t="str">
        <f>IF('الصرف المباشر'!C328="","","صرف مباشر")</f>
        <v/>
      </c>
      <c r="C828" t="str">
        <f>IF('الصرف المباشر'!C328="","",IF('الصرف المباشر'!E328="","-",'الصرف المباشر'!E328))</f>
        <v/>
      </c>
      <c r="D828" t="str">
        <f>IF('الصرف المباشر'!C328="","",'الصرف المباشر'!C328)</f>
        <v/>
      </c>
      <c r="E828" s="24" t="str">
        <f>IF('الصرف المباشر'!C328="","",-'الصرف المباشر'!D328)</f>
        <v/>
      </c>
      <c r="F828" t="str">
        <f>IF('الصرف المباشر'!C328="","",IF('الصرف المباشر'!F328="","",'الصرف المباشر'!F328))</f>
        <v/>
      </c>
      <c r="G828" t="str">
        <f>IF($B828&lt;&gt;"",SUMPRODUCT(($B$2:$B828&lt;&gt;"")*1),"")</f>
        <v/>
      </c>
    </row>
    <row r="829" spans="1:7">
      <c r="A829" s="23" t="str">
        <f>IF('الصرف المباشر'!C329="","",'الصرف المباشر'!B329)</f>
        <v/>
      </c>
      <c r="B829" t="str">
        <f>IF('الصرف المباشر'!C329="","","صرف مباشر")</f>
        <v/>
      </c>
      <c r="C829" t="str">
        <f>IF('الصرف المباشر'!C329="","",IF('الصرف المباشر'!E329="","-",'الصرف المباشر'!E329))</f>
        <v/>
      </c>
      <c r="D829" t="str">
        <f>IF('الصرف المباشر'!C329="","",'الصرف المباشر'!C329)</f>
        <v/>
      </c>
      <c r="E829" s="24" t="str">
        <f>IF('الصرف المباشر'!C329="","",-'الصرف المباشر'!D329)</f>
        <v/>
      </c>
      <c r="F829" t="str">
        <f>IF('الصرف المباشر'!C329="","",IF('الصرف المباشر'!F329="","",'الصرف المباشر'!F329))</f>
        <v/>
      </c>
      <c r="G829" t="str">
        <f>IF($B829&lt;&gt;"",SUMPRODUCT(($B$2:$B829&lt;&gt;"")*1),"")</f>
        <v/>
      </c>
    </row>
    <row r="830" spans="1:7">
      <c r="A830" s="23" t="str">
        <f>IF('الصرف المباشر'!C330="","",'الصرف المباشر'!B330)</f>
        <v/>
      </c>
      <c r="B830" t="str">
        <f>IF('الصرف المباشر'!C330="","","صرف مباشر")</f>
        <v/>
      </c>
      <c r="C830" t="str">
        <f>IF('الصرف المباشر'!C330="","",IF('الصرف المباشر'!E330="","-",'الصرف المباشر'!E330))</f>
        <v/>
      </c>
      <c r="D830" t="str">
        <f>IF('الصرف المباشر'!C330="","",'الصرف المباشر'!C330)</f>
        <v/>
      </c>
      <c r="E830" s="24" t="str">
        <f>IF('الصرف المباشر'!C330="","",-'الصرف المباشر'!D330)</f>
        <v/>
      </c>
      <c r="F830" t="str">
        <f>IF('الصرف المباشر'!C330="","",IF('الصرف المباشر'!F330="","",'الصرف المباشر'!F330))</f>
        <v/>
      </c>
      <c r="G830" t="str">
        <f>IF($B830&lt;&gt;"",SUMPRODUCT(($B$2:$B830&lt;&gt;"")*1),"")</f>
        <v/>
      </c>
    </row>
    <row r="831" spans="1:7">
      <c r="A831" s="23" t="str">
        <f>IF('الصرف المباشر'!C331="","",'الصرف المباشر'!B331)</f>
        <v/>
      </c>
      <c r="B831" t="str">
        <f>IF('الصرف المباشر'!C331="","","صرف مباشر")</f>
        <v/>
      </c>
      <c r="C831" t="str">
        <f>IF('الصرف المباشر'!C331="","",IF('الصرف المباشر'!E331="","-",'الصرف المباشر'!E331))</f>
        <v/>
      </c>
      <c r="D831" t="str">
        <f>IF('الصرف المباشر'!C331="","",'الصرف المباشر'!C331)</f>
        <v/>
      </c>
      <c r="E831" s="24" t="str">
        <f>IF('الصرف المباشر'!C331="","",-'الصرف المباشر'!D331)</f>
        <v/>
      </c>
      <c r="F831" t="str">
        <f>IF('الصرف المباشر'!C331="","",IF('الصرف المباشر'!F331="","",'الصرف المباشر'!F331))</f>
        <v/>
      </c>
      <c r="G831" t="str">
        <f>IF($B831&lt;&gt;"",SUMPRODUCT(($B$2:$B831&lt;&gt;"")*1),"")</f>
        <v/>
      </c>
    </row>
    <row r="832" spans="1:7">
      <c r="A832" s="23" t="str">
        <f>IF('الصرف المباشر'!C332="","",'الصرف المباشر'!B332)</f>
        <v/>
      </c>
      <c r="B832" t="str">
        <f>IF('الصرف المباشر'!C332="","","صرف مباشر")</f>
        <v/>
      </c>
      <c r="C832" t="str">
        <f>IF('الصرف المباشر'!C332="","",IF('الصرف المباشر'!E332="","-",'الصرف المباشر'!E332))</f>
        <v/>
      </c>
      <c r="D832" t="str">
        <f>IF('الصرف المباشر'!C332="","",'الصرف المباشر'!C332)</f>
        <v/>
      </c>
      <c r="E832" s="24" t="str">
        <f>IF('الصرف المباشر'!C332="","",-'الصرف المباشر'!D332)</f>
        <v/>
      </c>
      <c r="F832" t="str">
        <f>IF('الصرف المباشر'!C332="","",IF('الصرف المباشر'!F332="","",'الصرف المباشر'!F332))</f>
        <v/>
      </c>
      <c r="G832" t="str">
        <f>IF($B832&lt;&gt;"",SUMPRODUCT(($B$2:$B832&lt;&gt;"")*1),"")</f>
        <v/>
      </c>
    </row>
    <row r="833" spans="1:7">
      <c r="A833" s="23" t="str">
        <f>IF('الصرف المباشر'!C333="","",'الصرف المباشر'!B333)</f>
        <v/>
      </c>
      <c r="B833" t="str">
        <f>IF('الصرف المباشر'!C333="","","صرف مباشر")</f>
        <v/>
      </c>
      <c r="C833" t="str">
        <f>IF('الصرف المباشر'!C333="","",IF('الصرف المباشر'!E333="","-",'الصرف المباشر'!E333))</f>
        <v/>
      </c>
      <c r="D833" t="str">
        <f>IF('الصرف المباشر'!C333="","",'الصرف المباشر'!C333)</f>
        <v/>
      </c>
      <c r="E833" s="24" t="str">
        <f>IF('الصرف المباشر'!C333="","",-'الصرف المباشر'!D333)</f>
        <v/>
      </c>
      <c r="F833" t="str">
        <f>IF('الصرف المباشر'!C333="","",IF('الصرف المباشر'!F333="","",'الصرف المباشر'!F333))</f>
        <v/>
      </c>
      <c r="G833" t="str">
        <f>IF($B833&lt;&gt;"",SUMPRODUCT(($B$2:$B833&lt;&gt;"")*1),"")</f>
        <v/>
      </c>
    </row>
    <row r="834" spans="1:7">
      <c r="A834" s="23" t="str">
        <f>IF('الصرف المباشر'!C334="","",'الصرف المباشر'!B334)</f>
        <v/>
      </c>
      <c r="B834" t="str">
        <f>IF('الصرف المباشر'!C334="","","صرف مباشر")</f>
        <v/>
      </c>
      <c r="C834" t="str">
        <f>IF('الصرف المباشر'!C334="","",IF('الصرف المباشر'!E334="","-",'الصرف المباشر'!E334))</f>
        <v/>
      </c>
      <c r="D834" t="str">
        <f>IF('الصرف المباشر'!C334="","",'الصرف المباشر'!C334)</f>
        <v/>
      </c>
      <c r="E834" s="24" t="str">
        <f>IF('الصرف المباشر'!C334="","",-'الصرف المباشر'!D334)</f>
        <v/>
      </c>
      <c r="F834" t="str">
        <f>IF('الصرف المباشر'!C334="","",IF('الصرف المباشر'!F334="","",'الصرف المباشر'!F334))</f>
        <v/>
      </c>
      <c r="G834" t="str">
        <f>IF($B834&lt;&gt;"",SUMPRODUCT(($B$2:$B834&lt;&gt;"")*1),"")</f>
        <v/>
      </c>
    </row>
    <row r="835" spans="1:7">
      <c r="A835" s="23" t="str">
        <f>IF('الصرف المباشر'!C335="","",'الصرف المباشر'!B335)</f>
        <v/>
      </c>
      <c r="B835" t="str">
        <f>IF('الصرف المباشر'!C335="","","صرف مباشر")</f>
        <v/>
      </c>
      <c r="C835" t="str">
        <f>IF('الصرف المباشر'!C335="","",IF('الصرف المباشر'!E335="","-",'الصرف المباشر'!E335))</f>
        <v/>
      </c>
      <c r="D835" t="str">
        <f>IF('الصرف المباشر'!C335="","",'الصرف المباشر'!C335)</f>
        <v/>
      </c>
      <c r="E835" s="24" t="str">
        <f>IF('الصرف المباشر'!C335="","",-'الصرف المباشر'!D335)</f>
        <v/>
      </c>
      <c r="F835" t="str">
        <f>IF('الصرف المباشر'!C335="","",IF('الصرف المباشر'!F335="","",'الصرف المباشر'!F335))</f>
        <v/>
      </c>
      <c r="G835" t="str">
        <f>IF($B835&lt;&gt;"",SUMPRODUCT(($B$2:$B835&lt;&gt;"")*1),"")</f>
        <v/>
      </c>
    </row>
    <row r="836" spans="1:7">
      <c r="A836" s="23" t="str">
        <f>IF('الصرف المباشر'!C336="","",'الصرف المباشر'!B336)</f>
        <v/>
      </c>
      <c r="B836" t="str">
        <f>IF('الصرف المباشر'!C336="","","صرف مباشر")</f>
        <v/>
      </c>
      <c r="C836" t="str">
        <f>IF('الصرف المباشر'!C336="","",IF('الصرف المباشر'!E336="","-",'الصرف المباشر'!E336))</f>
        <v/>
      </c>
      <c r="D836" t="str">
        <f>IF('الصرف المباشر'!C336="","",'الصرف المباشر'!C336)</f>
        <v/>
      </c>
      <c r="E836" s="24" t="str">
        <f>IF('الصرف المباشر'!C336="","",-'الصرف المباشر'!D336)</f>
        <v/>
      </c>
      <c r="F836" t="str">
        <f>IF('الصرف المباشر'!C336="","",IF('الصرف المباشر'!F336="","",'الصرف المباشر'!F336))</f>
        <v/>
      </c>
      <c r="G836" t="str">
        <f>IF($B836&lt;&gt;"",SUMPRODUCT(($B$2:$B836&lt;&gt;"")*1),"")</f>
        <v/>
      </c>
    </row>
    <row r="837" spans="1:7">
      <c r="A837" s="23" t="str">
        <f>IF('الصرف المباشر'!C337="","",'الصرف المباشر'!B337)</f>
        <v/>
      </c>
      <c r="B837" t="str">
        <f>IF('الصرف المباشر'!C337="","","صرف مباشر")</f>
        <v/>
      </c>
      <c r="C837" t="str">
        <f>IF('الصرف المباشر'!C337="","",IF('الصرف المباشر'!E337="","-",'الصرف المباشر'!E337))</f>
        <v/>
      </c>
      <c r="D837" t="str">
        <f>IF('الصرف المباشر'!C337="","",'الصرف المباشر'!C337)</f>
        <v/>
      </c>
      <c r="E837" s="24" t="str">
        <f>IF('الصرف المباشر'!C337="","",-'الصرف المباشر'!D337)</f>
        <v/>
      </c>
      <c r="F837" t="str">
        <f>IF('الصرف المباشر'!C337="","",IF('الصرف المباشر'!F337="","",'الصرف المباشر'!F337))</f>
        <v/>
      </c>
      <c r="G837" t="str">
        <f>IF($B837&lt;&gt;"",SUMPRODUCT(($B$2:$B837&lt;&gt;"")*1),"")</f>
        <v/>
      </c>
    </row>
    <row r="838" spans="1:7">
      <c r="A838" s="23" t="str">
        <f>IF('الصرف المباشر'!C338="","",'الصرف المباشر'!B338)</f>
        <v/>
      </c>
      <c r="B838" t="str">
        <f>IF('الصرف المباشر'!C338="","","صرف مباشر")</f>
        <v/>
      </c>
      <c r="C838" t="str">
        <f>IF('الصرف المباشر'!C338="","",IF('الصرف المباشر'!E338="","-",'الصرف المباشر'!E338))</f>
        <v/>
      </c>
      <c r="D838" t="str">
        <f>IF('الصرف المباشر'!C338="","",'الصرف المباشر'!C338)</f>
        <v/>
      </c>
      <c r="E838" s="24" t="str">
        <f>IF('الصرف المباشر'!C338="","",-'الصرف المباشر'!D338)</f>
        <v/>
      </c>
      <c r="F838" t="str">
        <f>IF('الصرف المباشر'!C338="","",IF('الصرف المباشر'!F338="","",'الصرف المباشر'!F338))</f>
        <v/>
      </c>
      <c r="G838" t="str">
        <f>IF($B838&lt;&gt;"",SUMPRODUCT(($B$2:$B838&lt;&gt;"")*1),"")</f>
        <v/>
      </c>
    </row>
    <row r="839" spans="1:7">
      <c r="A839" s="23" t="str">
        <f>IF('الصرف المباشر'!C339="","",'الصرف المباشر'!B339)</f>
        <v/>
      </c>
      <c r="B839" t="str">
        <f>IF('الصرف المباشر'!C339="","","صرف مباشر")</f>
        <v/>
      </c>
      <c r="C839" t="str">
        <f>IF('الصرف المباشر'!C339="","",IF('الصرف المباشر'!E339="","-",'الصرف المباشر'!E339))</f>
        <v/>
      </c>
      <c r="D839" t="str">
        <f>IF('الصرف المباشر'!C339="","",'الصرف المباشر'!C339)</f>
        <v/>
      </c>
      <c r="E839" s="24" t="str">
        <f>IF('الصرف المباشر'!C339="","",-'الصرف المباشر'!D339)</f>
        <v/>
      </c>
      <c r="F839" t="str">
        <f>IF('الصرف المباشر'!C339="","",IF('الصرف المباشر'!F339="","",'الصرف المباشر'!F339))</f>
        <v/>
      </c>
      <c r="G839" t="str">
        <f>IF($B839&lt;&gt;"",SUMPRODUCT(($B$2:$B839&lt;&gt;"")*1),"")</f>
        <v/>
      </c>
    </row>
    <row r="840" spans="1:7">
      <c r="A840" s="23" t="str">
        <f>IF('الصرف المباشر'!C340="","",'الصرف المباشر'!B340)</f>
        <v/>
      </c>
      <c r="B840" t="str">
        <f>IF('الصرف المباشر'!C340="","","صرف مباشر")</f>
        <v/>
      </c>
      <c r="C840" t="str">
        <f>IF('الصرف المباشر'!C340="","",IF('الصرف المباشر'!E340="","-",'الصرف المباشر'!E340))</f>
        <v/>
      </c>
      <c r="D840" t="str">
        <f>IF('الصرف المباشر'!C340="","",'الصرف المباشر'!C340)</f>
        <v/>
      </c>
      <c r="E840" s="24" t="str">
        <f>IF('الصرف المباشر'!C340="","",-'الصرف المباشر'!D340)</f>
        <v/>
      </c>
      <c r="F840" t="str">
        <f>IF('الصرف المباشر'!C340="","",IF('الصرف المباشر'!F340="","",'الصرف المباشر'!F340))</f>
        <v/>
      </c>
      <c r="G840" t="str">
        <f>IF($B840&lt;&gt;"",SUMPRODUCT(($B$2:$B840&lt;&gt;"")*1),"")</f>
        <v/>
      </c>
    </row>
    <row r="841" spans="1:7">
      <c r="A841" s="23" t="str">
        <f>IF('الصرف المباشر'!C341="","",'الصرف المباشر'!B341)</f>
        <v/>
      </c>
      <c r="B841" t="str">
        <f>IF('الصرف المباشر'!C341="","","صرف مباشر")</f>
        <v/>
      </c>
      <c r="C841" t="str">
        <f>IF('الصرف المباشر'!C341="","",IF('الصرف المباشر'!E341="","-",'الصرف المباشر'!E341))</f>
        <v/>
      </c>
      <c r="D841" t="str">
        <f>IF('الصرف المباشر'!C341="","",'الصرف المباشر'!C341)</f>
        <v/>
      </c>
      <c r="E841" s="24" t="str">
        <f>IF('الصرف المباشر'!C341="","",-'الصرف المباشر'!D341)</f>
        <v/>
      </c>
      <c r="F841" t="str">
        <f>IF('الصرف المباشر'!C341="","",IF('الصرف المباشر'!F341="","",'الصرف المباشر'!F341))</f>
        <v/>
      </c>
      <c r="G841" t="str">
        <f>IF($B841&lt;&gt;"",SUMPRODUCT(($B$2:$B841&lt;&gt;"")*1),"")</f>
        <v/>
      </c>
    </row>
    <row r="842" spans="1:7">
      <c r="A842" s="23" t="str">
        <f>IF('الصرف المباشر'!C342="","",'الصرف المباشر'!B342)</f>
        <v/>
      </c>
      <c r="B842" t="str">
        <f>IF('الصرف المباشر'!C342="","","صرف مباشر")</f>
        <v/>
      </c>
      <c r="C842" t="str">
        <f>IF('الصرف المباشر'!C342="","",IF('الصرف المباشر'!E342="","-",'الصرف المباشر'!E342))</f>
        <v/>
      </c>
      <c r="D842" t="str">
        <f>IF('الصرف المباشر'!C342="","",'الصرف المباشر'!C342)</f>
        <v/>
      </c>
      <c r="E842" s="24" t="str">
        <f>IF('الصرف المباشر'!C342="","",-'الصرف المباشر'!D342)</f>
        <v/>
      </c>
      <c r="F842" t="str">
        <f>IF('الصرف المباشر'!C342="","",IF('الصرف المباشر'!F342="","",'الصرف المباشر'!F342))</f>
        <v/>
      </c>
      <c r="G842" t="str">
        <f>IF($B842&lt;&gt;"",SUMPRODUCT(($B$2:$B842&lt;&gt;"")*1),"")</f>
        <v/>
      </c>
    </row>
    <row r="843" spans="1:7">
      <c r="A843" s="23" t="str">
        <f>IF('الصرف المباشر'!C343="","",'الصرف المباشر'!B343)</f>
        <v/>
      </c>
      <c r="B843" t="str">
        <f>IF('الصرف المباشر'!C343="","","صرف مباشر")</f>
        <v/>
      </c>
      <c r="C843" t="str">
        <f>IF('الصرف المباشر'!C343="","",IF('الصرف المباشر'!E343="","-",'الصرف المباشر'!E343))</f>
        <v/>
      </c>
      <c r="D843" t="str">
        <f>IF('الصرف المباشر'!C343="","",'الصرف المباشر'!C343)</f>
        <v/>
      </c>
      <c r="E843" s="24" t="str">
        <f>IF('الصرف المباشر'!C343="","",-'الصرف المباشر'!D343)</f>
        <v/>
      </c>
      <c r="F843" t="str">
        <f>IF('الصرف المباشر'!C343="","",IF('الصرف المباشر'!F343="","",'الصرف المباشر'!F343))</f>
        <v/>
      </c>
      <c r="G843" t="str">
        <f>IF($B843&lt;&gt;"",SUMPRODUCT(($B$2:$B843&lt;&gt;"")*1),"")</f>
        <v/>
      </c>
    </row>
    <row r="844" spans="1:7">
      <c r="A844" s="23" t="str">
        <f>IF('الصرف المباشر'!C344="","",'الصرف المباشر'!B344)</f>
        <v/>
      </c>
      <c r="B844" t="str">
        <f>IF('الصرف المباشر'!C344="","","صرف مباشر")</f>
        <v/>
      </c>
      <c r="C844" t="str">
        <f>IF('الصرف المباشر'!C344="","",IF('الصرف المباشر'!E344="","-",'الصرف المباشر'!E344))</f>
        <v/>
      </c>
      <c r="D844" t="str">
        <f>IF('الصرف المباشر'!C344="","",'الصرف المباشر'!C344)</f>
        <v/>
      </c>
      <c r="E844" s="24" t="str">
        <f>IF('الصرف المباشر'!C344="","",-'الصرف المباشر'!D344)</f>
        <v/>
      </c>
      <c r="F844" t="str">
        <f>IF('الصرف المباشر'!C344="","",IF('الصرف المباشر'!F344="","",'الصرف المباشر'!F344))</f>
        <v/>
      </c>
      <c r="G844" t="str">
        <f>IF($B844&lt;&gt;"",SUMPRODUCT(($B$2:$B844&lt;&gt;"")*1),"")</f>
        <v/>
      </c>
    </row>
    <row r="845" spans="1:7">
      <c r="A845" s="23" t="str">
        <f>IF('الصرف المباشر'!C345="","",'الصرف المباشر'!B345)</f>
        <v/>
      </c>
      <c r="B845" t="str">
        <f>IF('الصرف المباشر'!C345="","","صرف مباشر")</f>
        <v/>
      </c>
      <c r="C845" t="str">
        <f>IF('الصرف المباشر'!C345="","",IF('الصرف المباشر'!E345="","-",'الصرف المباشر'!E345))</f>
        <v/>
      </c>
      <c r="D845" t="str">
        <f>IF('الصرف المباشر'!C345="","",'الصرف المباشر'!C345)</f>
        <v/>
      </c>
      <c r="E845" s="24" t="str">
        <f>IF('الصرف المباشر'!C345="","",-'الصرف المباشر'!D345)</f>
        <v/>
      </c>
      <c r="F845" t="str">
        <f>IF('الصرف المباشر'!C345="","",IF('الصرف المباشر'!F345="","",'الصرف المباشر'!F345))</f>
        <v/>
      </c>
      <c r="G845" t="str">
        <f>IF($B845&lt;&gt;"",SUMPRODUCT(($B$2:$B845&lt;&gt;"")*1),"")</f>
        <v/>
      </c>
    </row>
    <row r="846" spans="1:7">
      <c r="A846" s="23" t="str">
        <f>IF('الصرف المباشر'!C346="","",'الصرف المباشر'!B346)</f>
        <v/>
      </c>
      <c r="B846" t="str">
        <f>IF('الصرف المباشر'!C346="","","صرف مباشر")</f>
        <v/>
      </c>
      <c r="C846" t="str">
        <f>IF('الصرف المباشر'!C346="","",IF('الصرف المباشر'!E346="","-",'الصرف المباشر'!E346))</f>
        <v/>
      </c>
      <c r="D846" t="str">
        <f>IF('الصرف المباشر'!C346="","",'الصرف المباشر'!C346)</f>
        <v/>
      </c>
      <c r="E846" s="24" t="str">
        <f>IF('الصرف المباشر'!C346="","",-'الصرف المباشر'!D346)</f>
        <v/>
      </c>
      <c r="F846" t="str">
        <f>IF('الصرف المباشر'!C346="","",IF('الصرف المباشر'!F346="","",'الصرف المباشر'!F346))</f>
        <v/>
      </c>
      <c r="G846" t="str">
        <f>IF($B846&lt;&gt;"",SUMPRODUCT(($B$2:$B846&lt;&gt;"")*1),"")</f>
        <v/>
      </c>
    </row>
    <row r="847" spans="1:7">
      <c r="A847" s="23" t="str">
        <f>IF('الصرف المباشر'!C347="","",'الصرف المباشر'!B347)</f>
        <v/>
      </c>
      <c r="B847" t="str">
        <f>IF('الصرف المباشر'!C347="","","صرف مباشر")</f>
        <v/>
      </c>
      <c r="C847" t="str">
        <f>IF('الصرف المباشر'!C347="","",IF('الصرف المباشر'!E347="","-",'الصرف المباشر'!E347))</f>
        <v/>
      </c>
      <c r="D847" t="str">
        <f>IF('الصرف المباشر'!C347="","",'الصرف المباشر'!C347)</f>
        <v/>
      </c>
      <c r="E847" s="24" t="str">
        <f>IF('الصرف المباشر'!C347="","",-'الصرف المباشر'!D347)</f>
        <v/>
      </c>
      <c r="F847" t="str">
        <f>IF('الصرف المباشر'!C347="","",IF('الصرف المباشر'!F347="","",'الصرف المباشر'!F347))</f>
        <v/>
      </c>
      <c r="G847" t="str">
        <f>IF($B847&lt;&gt;"",SUMPRODUCT(($B$2:$B847&lt;&gt;"")*1),"")</f>
        <v/>
      </c>
    </row>
    <row r="848" spans="1:7">
      <c r="A848" s="23" t="str">
        <f>IF('الصرف المباشر'!C348="","",'الصرف المباشر'!B348)</f>
        <v/>
      </c>
      <c r="B848" t="str">
        <f>IF('الصرف المباشر'!C348="","","صرف مباشر")</f>
        <v/>
      </c>
      <c r="C848" t="str">
        <f>IF('الصرف المباشر'!C348="","",IF('الصرف المباشر'!E348="","-",'الصرف المباشر'!E348))</f>
        <v/>
      </c>
      <c r="D848" t="str">
        <f>IF('الصرف المباشر'!C348="","",'الصرف المباشر'!C348)</f>
        <v/>
      </c>
      <c r="E848" s="24" t="str">
        <f>IF('الصرف المباشر'!C348="","",-'الصرف المباشر'!D348)</f>
        <v/>
      </c>
      <c r="F848" t="str">
        <f>IF('الصرف المباشر'!C348="","",IF('الصرف المباشر'!F348="","",'الصرف المباشر'!F348))</f>
        <v/>
      </c>
      <c r="G848" t="str">
        <f>IF($B848&lt;&gt;"",SUMPRODUCT(($B$2:$B848&lt;&gt;"")*1),"")</f>
        <v/>
      </c>
    </row>
    <row r="849" spans="1:7">
      <c r="A849" s="23" t="str">
        <f>IF('الصرف المباشر'!C349="","",'الصرف المباشر'!B349)</f>
        <v/>
      </c>
      <c r="B849" t="str">
        <f>IF('الصرف المباشر'!C349="","","صرف مباشر")</f>
        <v/>
      </c>
      <c r="C849" t="str">
        <f>IF('الصرف المباشر'!C349="","",IF('الصرف المباشر'!E349="","-",'الصرف المباشر'!E349))</f>
        <v/>
      </c>
      <c r="D849" t="str">
        <f>IF('الصرف المباشر'!C349="","",'الصرف المباشر'!C349)</f>
        <v/>
      </c>
      <c r="E849" s="24" t="str">
        <f>IF('الصرف المباشر'!C349="","",-'الصرف المباشر'!D349)</f>
        <v/>
      </c>
      <c r="F849" t="str">
        <f>IF('الصرف المباشر'!C349="","",IF('الصرف المباشر'!F349="","",'الصرف المباشر'!F349))</f>
        <v/>
      </c>
      <c r="G849" t="str">
        <f>IF($B849&lt;&gt;"",SUMPRODUCT(($B$2:$B849&lt;&gt;"")*1),"")</f>
        <v/>
      </c>
    </row>
    <row r="850" spans="1:7">
      <c r="A850" s="23" t="str">
        <f>IF('الصرف المباشر'!C350="","",'الصرف المباشر'!B350)</f>
        <v/>
      </c>
      <c r="B850" t="str">
        <f>IF('الصرف المباشر'!C350="","","صرف مباشر")</f>
        <v/>
      </c>
      <c r="C850" t="str">
        <f>IF('الصرف المباشر'!C350="","",IF('الصرف المباشر'!E350="","-",'الصرف المباشر'!E350))</f>
        <v/>
      </c>
      <c r="D850" t="str">
        <f>IF('الصرف المباشر'!C350="","",'الصرف المباشر'!C350)</f>
        <v/>
      </c>
      <c r="E850" s="24" t="str">
        <f>IF('الصرف المباشر'!C350="","",-'الصرف المباشر'!D350)</f>
        <v/>
      </c>
      <c r="F850" t="str">
        <f>IF('الصرف المباشر'!C350="","",IF('الصرف المباشر'!F350="","",'الصرف المباشر'!F350))</f>
        <v/>
      </c>
      <c r="G850" t="str">
        <f>IF($B850&lt;&gt;"",SUMPRODUCT(($B$2:$B850&lt;&gt;"")*1),"")</f>
        <v/>
      </c>
    </row>
    <row r="851" spans="1:7">
      <c r="A851" s="23" t="str">
        <f>IF('الصرف المباشر'!C351="","",'الصرف المباشر'!B351)</f>
        <v/>
      </c>
      <c r="B851" t="str">
        <f>IF('الصرف المباشر'!C351="","","صرف مباشر")</f>
        <v/>
      </c>
      <c r="C851" t="str">
        <f>IF('الصرف المباشر'!C351="","",IF('الصرف المباشر'!E351="","-",'الصرف المباشر'!E351))</f>
        <v/>
      </c>
      <c r="D851" t="str">
        <f>IF('الصرف المباشر'!C351="","",'الصرف المباشر'!C351)</f>
        <v/>
      </c>
      <c r="E851" s="24" t="str">
        <f>IF('الصرف المباشر'!C351="","",-'الصرف المباشر'!D351)</f>
        <v/>
      </c>
      <c r="F851" t="str">
        <f>IF('الصرف المباشر'!C351="","",IF('الصرف المباشر'!F351="","",'الصرف المباشر'!F351))</f>
        <v/>
      </c>
      <c r="G851" t="str">
        <f>IF($B851&lt;&gt;"",SUMPRODUCT(($B$2:$B851&lt;&gt;"")*1),"")</f>
        <v/>
      </c>
    </row>
    <row r="852" spans="1:7">
      <c r="A852" s="23" t="str">
        <f>IF('الصرف المباشر'!C352="","",'الصرف المباشر'!B352)</f>
        <v/>
      </c>
      <c r="B852" t="str">
        <f>IF('الصرف المباشر'!C352="","","صرف مباشر")</f>
        <v/>
      </c>
      <c r="C852" t="str">
        <f>IF('الصرف المباشر'!C352="","",IF('الصرف المباشر'!E352="","-",'الصرف المباشر'!E352))</f>
        <v/>
      </c>
      <c r="D852" t="str">
        <f>IF('الصرف المباشر'!C352="","",'الصرف المباشر'!C352)</f>
        <v/>
      </c>
      <c r="E852" s="24" t="str">
        <f>IF('الصرف المباشر'!C352="","",-'الصرف المباشر'!D352)</f>
        <v/>
      </c>
      <c r="F852" t="str">
        <f>IF('الصرف المباشر'!C352="","",IF('الصرف المباشر'!F352="","",'الصرف المباشر'!F352))</f>
        <v/>
      </c>
      <c r="G852" t="str">
        <f>IF($B852&lt;&gt;"",SUMPRODUCT(($B$2:$B852&lt;&gt;"")*1),"")</f>
        <v/>
      </c>
    </row>
    <row r="853" spans="1:7">
      <c r="A853" s="23" t="str">
        <f>IF('الصرف المباشر'!C353="","",'الصرف المباشر'!B353)</f>
        <v/>
      </c>
      <c r="B853" t="str">
        <f>IF('الصرف المباشر'!C353="","","صرف مباشر")</f>
        <v/>
      </c>
      <c r="C853" t="str">
        <f>IF('الصرف المباشر'!C353="","",IF('الصرف المباشر'!E353="","-",'الصرف المباشر'!E353))</f>
        <v/>
      </c>
      <c r="D853" t="str">
        <f>IF('الصرف المباشر'!C353="","",'الصرف المباشر'!C353)</f>
        <v/>
      </c>
      <c r="E853" s="24" t="str">
        <f>IF('الصرف المباشر'!C353="","",-'الصرف المباشر'!D353)</f>
        <v/>
      </c>
      <c r="F853" t="str">
        <f>IF('الصرف المباشر'!C353="","",IF('الصرف المباشر'!F353="","",'الصرف المباشر'!F353))</f>
        <v/>
      </c>
      <c r="G853" t="str">
        <f>IF($B853&lt;&gt;"",SUMPRODUCT(($B$2:$B853&lt;&gt;"")*1),"")</f>
        <v/>
      </c>
    </row>
    <row r="854" spans="1:7">
      <c r="A854" s="23" t="str">
        <f>IF('الصرف المباشر'!C354="","",'الصرف المباشر'!B354)</f>
        <v/>
      </c>
      <c r="B854" t="str">
        <f>IF('الصرف المباشر'!C354="","","صرف مباشر")</f>
        <v/>
      </c>
      <c r="C854" t="str">
        <f>IF('الصرف المباشر'!C354="","",IF('الصرف المباشر'!E354="","-",'الصرف المباشر'!E354))</f>
        <v/>
      </c>
      <c r="D854" t="str">
        <f>IF('الصرف المباشر'!C354="","",'الصرف المباشر'!C354)</f>
        <v/>
      </c>
      <c r="E854" s="24" t="str">
        <f>IF('الصرف المباشر'!C354="","",-'الصرف المباشر'!D354)</f>
        <v/>
      </c>
      <c r="F854" t="str">
        <f>IF('الصرف المباشر'!C354="","",IF('الصرف المباشر'!F354="","",'الصرف المباشر'!F354))</f>
        <v/>
      </c>
      <c r="G854" t="str">
        <f>IF($B854&lt;&gt;"",SUMPRODUCT(($B$2:$B854&lt;&gt;"")*1),"")</f>
        <v/>
      </c>
    </row>
    <row r="855" spans="1:7">
      <c r="A855" s="23" t="str">
        <f>IF('الصرف المباشر'!C355="","",'الصرف المباشر'!B355)</f>
        <v/>
      </c>
      <c r="B855" t="str">
        <f>IF('الصرف المباشر'!C355="","","صرف مباشر")</f>
        <v/>
      </c>
      <c r="C855" t="str">
        <f>IF('الصرف المباشر'!C355="","",IF('الصرف المباشر'!E355="","-",'الصرف المباشر'!E355))</f>
        <v/>
      </c>
      <c r="D855" t="str">
        <f>IF('الصرف المباشر'!C355="","",'الصرف المباشر'!C355)</f>
        <v/>
      </c>
      <c r="E855" s="24" t="str">
        <f>IF('الصرف المباشر'!C355="","",-'الصرف المباشر'!D355)</f>
        <v/>
      </c>
      <c r="F855" t="str">
        <f>IF('الصرف المباشر'!C355="","",IF('الصرف المباشر'!F355="","",'الصرف المباشر'!F355))</f>
        <v/>
      </c>
      <c r="G855" t="str">
        <f>IF($B855&lt;&gt;"",SUMPRODUCT(($B$2:$B855&lt;&gt;"")*1),"")</f>
        <v/>
      </c>
    </row>
    <row r="856" spans="1:7">
      <c r="A856" s="23" t="str">
        <f>IF('الصرف المباشر'!C356="","",'الصرف المباشر'!B356)</f>
        <v/>
      </c>
      <c r="B856" t="str">
        <f>IF('الصرف المباشر'!C356="","","صرف مباشر")</f>
        <v/>
      </c>
      <c r="C856" t="str">
        <f>IF('الصرف المباشر'!C356="","",IF('الصرف المباشر'!E356="","-",'الصرف المباشر'!E356))</f>
        <v/>
      </c>
      <c r="D856" t="str">
        <f>IF('الصرف المباشر'!C356="","",'الصرف المباشر'!C356)</f>
        <v/>
      </c>
      <c r="E856" s="24" t="str">
        <f>IF('الصرف المباشر'!C356="","",-'الصرف المباشر'!D356)</f>
        <v/>
      </c>
      <c r="F856" t="str">
        <f>IF('الصرف المباشر'!C356="","",IF('الصرف المباشر'!F356="","",'الصرف المباشر'!F356))</f>
        <v/>
      </c>
      <c r="G856" t="str">
        <f>IF($B856&lt;&gt;"",SUMPRODUCT(($B$2:$B856&lt;&gt;"")*1),"")</f>
        <v/>
      </c>
    </row>
    <row r="857" spans="1:7">
      <c r="A857" s="23" t="str">
        <f>IF('الصرف المباشر'!C357="","",'الصرف المباشر'!B357)</f>
        <v/>
      </c>
      <c r="B857" t="str">
        <f>IF('الصرف المباشر'!C357="","","صرف مباشر")</f>
        <v/>
      </c>
      <c r="C857" t="str">
        <f>IF('الصرف المباشر'!C357="","",IF('الصرف المباشر'!E357="","-",'الصرف المباشر'!E357))</f>
        <v/>
      </c>
      <c r="D857" t="str">
        <f>IF('الصرف المباشر'!C357="","",'الصرف المباشر'!C357)</f>
        <v/>
      </c>
      <c r="E857" s="24" t="str">
        <f>IF('الصرف المباشر'!C357="","",-'الصرف المباشر'!D357)</f>
        <v/>
      </c>
      <c r="F857" t="str">
        <f>IF('الصرف المباشر'!C357="","",IF('الصرف المباشر'!F357="","",'الصرف المباشر'!F357))</f>
        <v/>
      </c>
      <c r="G857" t="str">
        <f>IF($B857&lt;&gt;"",SUMPRODUCT(($B$2:$B857&lt;&gt;"")*1),"")</f>
        <v/>
      </c>
    </row>
    <row r="858" spans="1:7">
      <c r="A858" s="23" t="str">
        <f>IF('الصرف المباشر'!C358="","",'الصرف المباشر'!B358)</f>
        <v/>
      </c>
      <c r="B858" t="str">
        <f>IF('الصرف المباشر'!C358="","","صرف مباشر")</f>
        <v/>
      </c>
      <c r="C858" t="str">
        <f>IF('الصرف المباشر'!C358="","",IF('الصرف المباشر'!E358="","-",'الصرف المباشر'!E358))</f>
        <v/>
      </c>
      <c r="D858" t="str">
        <f>IF('الصرف المباشر'!C358="","",'الصرف المباشر'!C358)</f>
        <v/>
      </c>
      <c r="E858" s="24" t="str">
        <f>IF('الصرف المباشر'!C358="","",-'الصرف المباشر'!D358)</f>
        <v/>
      </c>
      <c r="F858" t="str">
        <f>IF('الصرف المباشر'!C358="","",IF('الصرف المباشر'!F358="","",'الصرف المباشر'!F358))</f>
        <v/>
      </c>
      <c r="G858" t="str">
        <f>IF($B858&lt;&gt;"",SUMPRODUCT(($B$2:$B858&lt;&gt;"")*1),"")</f>
        <v/>
      </c>
    </row>
    <row r="859" spans="1:7">
      <c r="A859" s="23" t="str">
        <f>IF('الصرف المباشر'!C359="","",'الصرف المباشر'!B359)</f>
        <v/>
      </c>
      <c r="B859" t="str">
        <f>IF('الصرف المباشر'!C359="","","صرف مباشر")</f>
        <v/>
      </c>
      <c r="C859" t="str">
        <f>IF('الصرف المباشر'!C359="","",IF('الصرف المباشر'!E359="","-",'الصرف المباشر'!E359))</f>
        <v/>
      </c>
      <c r="D859" t="str">
        <f>IF('الصرف المباشر'!C359="","",'الصرف المباشر'!C359)</f>
        <v/>
      </c>
      <c r="E859" s="24" t="str">
        <f>IF('الصرف المباشر'!C359="","",-'الصرف المباشر'!D359)</f>
        <v/>
      </c>
      <c r="F859" t="str">
        <f>IF('الصرف المباشر'!C359="","",IF('الصرف المباشر'!F359="","",'الصرف المباشر'!F359))</f>
        <v/>
      </c>
      <c r="G859" t="str">
        <f>IF($B859&lt;&gt;"",SUMPRODUCT(($B$2:$B859&lt;&gt;"")*1),"")</f>
        <v/>
      </c>
    </row>
    <row r="860" spans="1:7">
      <c r="A860" s="23" t="str">
        <f>IF('الصرف المباشر'!C360="","",'الصرف المباشر'!B360)</f>
        <v/>
      </c>
      <c r="B860" t="str">
        <f>IF('الصرف المباشر'!C360="","","صرف مباشر")</f>
        <v/>
      </c>
      <c r="C860" t="str">
        <f>IF('الصرف المباشر'!C360="","",IF('الصرف المباشر'!E360="","-",'الصرف المباشر'!E360))</f>
        <v/>
      </c>
      <c r="D860" t="str">
        <f>IF('الصرف المباشر'!C360="","",'الصرف المباشر'!C360)</f>
        <v/>
      </c>
      <c r="E860" s="24" t="str">
        <f>IF('الصرف المباشر'!C360="","",-'الصرف المباشر'!D360)</f>
        <v/>
      </c>
      <c r="F860" t="str">
        <f>IF('الصرف المباشر'!C360="","",IF('الصرف المباشر'!F360="","",'الصرف المباشر'!F360))</f>
        <v/>
      </c>
      <c r="G860" t="str">
        <f>IF($B860&lt;&gt;"",SUMPRODUCT(($B$2:$B860&lt;&gt;"")*1),"")</f>
        <v/>
      </c>
    </row>
    <row r="861" spans="1:7">
      <c r="A861" s="23" t="str">
        <f>IF('الصرف المباشر'!C361="","",'الصرف المباشر'!B361)</f>
        <v/>
      </c>
      <c r="B861" t="str">
        <f>IF('الصرف المباشر'!C361="","","صرف مباشر")</f>
        <v/>
      </c>
      <c r="C861" t="str">
        <f>IF('الصرف المباشر'!C361="","",IF('الصرف المباشر'!E361="","-",'الصرف المباشر'!E361))</f>
        <v/>
      </c>
      <c r="D861" t="str">
        <f>IF('الصرف المباشر'!C361="","",'الصرف المباشر'!C361)</f>
        <v/>
      </c>
      <c r="E861" s="24" t="str">
        <f>IF('الصرف المباشر'!C361="","",-'الصرف المباشر'!D361)</f>
        <v/>
      </c>
      <c r="F861" t="str">
        <f>IF('الصرف المباشر'!C361="","",IF('الصرف المباشر'!F361="","",'الصرف المباشر'!F361))</f>
        <v/>
      </c>
      <c r="G861" t="str">
        <f>IF($B861&lt;&gt;"",SUMPRODUCT(($B$2:$B861&lt;&gt;"")*1),"")</f>
        <v/>
      </c>
    </row>
    <row r="862" spans="1:7">
      <c r="A862" s="23" t="str">
        <f>IF('الصرف المباشر'!C362="","",'الصرف المباشر'!B362)</f>
        <v/>
      </c>
      <c r="B862" t="str">
        <f>IF('الصرف المباشر'!C362="","","صرف مباشر")</f>
        <v/>
      </c>
      <c r="C862" t="str">
        <f>IF('الصرف المباشر'!C362="","",IF('الصرف المباشر'!E362="","-",'الصرف المباشر'!E362))</f>
        <v/>
      </c>
      <c r="D862" t="str">
        <f>IF('الصرف المباشر'!C362="","",'الصرف المباشر'!C362)</f>
        <v/>
      </c>
      <c r="E862" s="24" t="str">
        <f>IF('الصرف المباشر'!C362="","",-'الصرف المباشر'!D362)</f>
        <v/>
      </c>
      <c r="F862" t="str">
        <f>IF('الصرف المباشر'!C362="","",IF('الصرف المباشر'!F362="","",'الصرف المباشر'!F362))</f>
        <v/>
      </c>
      <c r="G862" t="str">
        <f>IF($B862&lt;&gt;"",SUMPRODUCT(($B$2:$B862&lt;&gt;"")*1),"")</f>
        <v/>
      </c>
    </row>
    <row r="863" spans="1:7">
      <c r="A863" s="23" t="str">
        <f>IF('الصرف المباشر'!C363="","",'الصرف المباشر'!B363)</f>
        <v/>
      </c>
      <c r="B863" t="str">
        <f>IF('الصرف المباشر'!C363="","","صرف مباشر")</f>
        <v/>
      </c>
      <c r="C863" t="str">
        <f>IF('الصرف المباشر'!C363="","",IF('الصرف المباشر'!E363="","-",'الصرف المباشر'!E363))</f>
        <v/>
      </c>
      <c r="D863" t="str">
        <f>IF('الصرف المباشر'!C363="","",'الصرف المباشر'!C363)</f>
        <v/>
      </c>
      <c r="E863" s="24" t="str">
        <f>IF('الصرف المباشر'!C363="","",-'الصرف المباشر'!D363)</f>
        <v/>
      </c>
      <c r="F863" t="str">
        <f>IF('الصرف المباشر'!C363="","",IF('الصرف المباشر'!F363="","",'الصرف المباشر'!F363))</f>
        <v/>
      </c>
      <c r="G863" t="str">
        <f>IF($B863&lt;&gt;"",SUMPRODUCT(($B$2:$B863&lt;&gt;"")*1),"")</f>
        <v/>
      </c>
    </row>
    <row r="864" spans="1:7">
      <c r="A864" s="23" t="str">
        <f>IF('الصرف المباشر'!C364="","",'الصرف المباشر'!B364)</f>
        <v/>
      </c>
      <c r="B864" t="str">
        <f>IF('الصرف المباشر'!C364="","","صرف مباشر")</f>
        <v/>
      </c>
      <c r="C864" t="str">
        <f>IF('الصرف المباشر'!C364="","",IF('الصرف المباشر'!E364="","-",'الصرف المباشر'!E364))</f>
        <v/>
      </c>
      <c r="D864" t="str">
        <f>IF('الصرف المباشر'!C364="","",'الصرف المباشر'!C364)</f>
        <v/>
      </c>
      <c r="E864" s="24" t="str">
        <f>IF('الصرف المباشر'!C364="","",-'الصرف المباشر'!D364)</f>
        <v/>
      </c>
      <c r="F864" t="str">
        <f>IF('الصرف المباشر'!C364="","",IF('الصرف المباشر'!F364="","",'الصرف المباشر'!F364))</f>
        <v/>
      </c>
      <c r="G864" t="str">
        <f>IF($B864&lt;&gt;"",SUMPRODUCT(($B$2:$B864&lt;&gt;"")*1),"")</f>
        <v/>
      </c>
    </row>
    <row r="865" spans="1:7">
      <c r="A865" s="23" t="str">
        <f>IF('الصرف المباشر'!C365="","",'الصرف المباشر'!B365)</f>
        <v/>
      </c>
      <c r="B865" t="str">
        <f>IF('الصرف المباشر'!C365="","","صرف مباشر")</f>
        <v/>
      </c>
      <c r="C865" t="str">
        <f>IF('الصرف المباشر'!C365="","",IF('الصرف المباشر'!E365="","-",'الصرف المباشر'!E365))</f>
        <v/>
      </c>
      <c r="D865" t="str">
        <f>IF('الصرف المباشر'!C365="","",'الصرف المباشر'!C365)</f>
        <v/>
      </c>
      <c r="E865" s="24" t="str">
        <f>IF('الصرف المباشر'!C365="","",-'الصرف المباشر'!D365)</f>
        <v/>
      </c>
      <c r="F865" t="str">
        <f>IF('الصرف المباشر'!C365="","",IF('الصرف المباشر'!F365="","",'الصرف المباشر'!F365))</f>
        <v/>
      </c>
      <c r="G865" t="str">
        <f>IF($B865&lt;&gt;"",SUMPRODUCT(($B$2:$B865&lt;&gt;"")*1),"")</f>
        <v/>
      </c>
    </row>
    <row r="866" spans="1:7">
      <c r="A866" s="23" t="str">
        <f>IF('الصرف المباشر'!C366="","",'الصرف المباشر'!B366)</f>
        <v/>
      </c>
      <c r="B866" t="str">
        <f>IF('الصرف المباشر'!C366="","","صرف مباشر")</f>
        <v/>
      </c>
      <c r="C866" t="str">
        <f>IF('الصرف المباشر'!C366="","",IF('الصرف المباشر'!E366="","-",'الصرف المباشر'!E366))</f>
        <v/>
      </c>
      <c r="D866" t="str">
        <f>IF('الصرف المباشر'!C366="","",'الصرف المباشر'!C366)</f>
        <v/>
      </c>
      <c r="E866" s="24" t="str">
        <f>IF('الصرف المباشر'!C366="","",-'الصرف المباشر'!D366)</f>
        <v/>
      </c>
      <c r="F866" t="str">
        <f>IF('الصرف المباشر'!C366="","",IF('الصرف المباشر'!F366="","",'الصرف المباشر'!F366))</f>
        <v/>
      </c>
      <c r="G866" t="str">
        <f>IF($B866&lt;&gt;"",SUMPRODUCT(($B$2:$B866&lt;&gt;"")*1),"")</f>
        <v/>
      </c>
    </row>
    <row r="867" spans="1:7">
      <c r="A867" s="23" t="str">
        <f>IF('الصرف المباشر'!C367="","",'الصرف المباشر'!B367)</f>
        <v/>
      </c>
      <c r="B867" t="str">
        <f>IF('الصرف المباشر'!C367="","","صرف مباشر")</f>
        <v/>
      </c>
      <c r="C867" t="str">
        <f>IF('الصرف المباشر'!C367="","",IF('الصرف المباشر'!E367="","-",'الصرف المباشر'!E367))</f>
        <v/>
      </c>
      <c r="D867" t="str">
        <f>IF('الصرف المباشر'!C367="","",'الصرف المباشر'!C367)</f>
        <v/>
      </c>
      <c r="E867" s="24" t="str">
        <f>IF('الصرف المباشر'!C367="","",-'الصرف المباشر'!D367)</f>
        <v/>
      </c>
      <c r="F867" t="str">
        <f>IF('الصرف المباشر'!C367="","",IF('الصرف المباشر'!F367="","",'الصرف المباشر'!F367))</f>
        <v/>
      </c>
      <c r="G867" t="str">
        <f>IF($B867&lt;&gt;"",SUMPRODUCT(($B$2:$B867&lt;&gt;"")*1),"")</f>
        <v/>
      </c>
    </row>
    <row r="868" spans="1:7">
      <c r="A868" s="23" t="str">
        <f>IF('الصرف المباشر'!C368="","",'الصرف المباشر'!B368)</f>
        <v/>
      </c>
      <c r="B868" t="str">
        <f>IF('الصرف المباشر'!C368="","","صرف مباشر")</f>
        <v/>
      </c>
      <c r="C868" t="str">
        <f>IF('الصرف المباشر'!C368="","",IF('الصرف المباشر'!E368="","-",'الصرف المباشر'!E368))</f>
        <v/>
      </c>
      <c r="D868" t="str">
        <f>IF('الصرف المباشر'!C368="","",'الصرف المباشر'!C368)</f>
        <v/>
      </c>
      <c r="E868" s="24" t="str">
        <f>IF('الصرف المباشر'!C368="","",-'الصرف المباشر'!D368)</f>
        <v/>
      </c>
      <c r="F868" t="str">
        <f>IF('الصرف المباشر'!C368="","",IF('الصرف المباشر'!F368="","",'الصرف المباشر'!F368))</f>
        <v/>
      </c>
      <c r="G868" t="str">
        <f>IF($B868&lt;&gt;"",SUMPRODUCT(($B$2:$B868&lt;&gt;"")*1),"")</f>
        <v/>
      </c>
    </row>
    <row r="869" spans="1:7">
      <c r="A869" s="23" t="str">
        <f>IF('الصرف المباشر'!C369="","",'الصرف المباشر'!B369)</f>
        <v/>
      </c>
      <c r="B869" t="str">
        <f>IF('الصرف المباشر'!C369="","","صرف مباشر")</f>
        <v/>
      </c>
      <c r="C869" t="str">
        <f>IF('الصرف المباشر'!C369="","",IF('الصرف المباشر'!E369="","-",'الصرف المباشر'!E369))</f>
        <v/>
      </c>
      <c r="D869" t="str">
        <f>IF('الصرف المباشر'!C369="","",'الصرف المباشر'!C369)</f>
        <v/>
      </c>
      <c r="E869" s="24" t="str">
        <f>IF('الصرف المباشر'!C369="","",-'الصرف المباشر'!D369)</f>
        <v/>
      </c>
      <c r="F869" t="str">
        <f>IF('الصرف المباشر'!C369="","",IF('الصرف المباشر'!F369="","",'الصرف المباشر'!F369))</f>
        <v/>
      </c>
      <c r="G869" t="str">
        <f>IF($B869&lt;&gt;"",SUMPRODUCT(($B$2:$B869&lt;&gt;"")*1),"")</f>
        <v/>
      </c>
    </row>
    <row r="870" spans="1:7">
      <c r="A870" s="23" t="str">
        <f>IF('الصرف المباشر'!C370="","",'الصرف المباشر'!B370)</f>
        <v/>
      </c>
      <c r="B870" t="str">
        <f>IF('الصرف المباشر'!C370="","","صرف مباشر")</f>
        <v/>
      </c>
      <c r="C870" t="str">
        <f>IF('الصرف المباشر'!C370="","",IF('الصرف المباشر'!E370="","-",'الصرف المباشر'!E370))</f>
        <v/>
      </c>
      <c r="D870" t="str">
        <f>IF('الصرف المباشر'!C370="","",'الصرف المباشر'!C370)</f>
        <v/>
      </c>
      <c r="E870" s="24" t="str">
        <f>IF('الصرف المباشر'!C370="","",-'الصرف المباشر'!D370)</f>
        <v/>
      </c>
      <c r="F870" t="str">
        <f>IF('الصرف المباشر'!C370="","",IF('الصرف المباشر'!F370="","",'الصرف المباشر'!F370))</f>
        <v/>
      </c>
      <c r="G870" t="str">
        <f>IF($B870&lt;&gt;"",SUMPRODUCT(($B$2:$B870&lt;&gt;"")*1),"")</f>
        <v/>
      </c>
    </row>
    <row r="871" spans="1:7">
      <c r="A871" s="23" t="str">
        <f>IF('الصرف المباشر'!C371="","",'الصرف المباشر'!B371)</f>
        <v/>
      </c>
      <c r="B871" t="str">
        <f>IF('الصرف المباشر'!C371="","","صرف مباشر")</f>
        <v/>
      </c>
      <c r="C871" t="str">
        <f>IF('الصرف المباشر'!C371="","",IF('الصرف المباشر'!E371="","-",'الصرف المباشر'!E371))</f>
        <v/>
      </c>
      <c r="D871" t="str">
        <f>IF('الصرف المباشر'!C371="","",'الصرف المباشر'!C371)</f>
        <v/>
      </c>
      <c r="E871" s="24" t="str">
        <f>IF('الصرف المباشر'!C371="","",-'الصرف المباشر'!D371)</f>
        <v/>
      </c>
      <c r="F871" t="str">
        <f>IF('الصرف المباشر'!C371="","",IF('الصرف المباشر'!F371="","",'الصرف المباشر'!F371))</f>
        <v/>
      </c>
      <c r="G871" t="str">
        <f>IF($B871&lt;&gt;"",SUMPRODUCT(($B$2:$B871&lt;&gt;"")*1),"")</f>
        <v/>
      </c>
    </row>
    <row r="872" spans="1:7">
      <c r="A872" s="23" t="str">
        <f>IF('الصرف المباشر'!C372="","",'الصرف المباشر'!B372)</f>
        <v/>
      </c>
      <c r="B872" t="str">
        <f>IF('الصرف المباشر'!C372="","","صرف مباشر")</f>
        <v/>
      </c>
      <c r="C872" t="str">
        <f>IF('الصرف المباشر'!C372="","",IF('الصرف المباشر'!E372="","-",'الصرف المباشر'!E372))</f>
        <v/>
      </c>
      <c r="D872" t="str">
        <f>IF('الصرف المباشر'!C372="","",'الصرف المباشر'!C372)</f>
        <v/>
      </c>
      <c r="E872" s="24" t="str">
        <f>IF('الصرف المباشر'!C372="","",-'الصرف المباشر'!D372)</f>
        <v/>
      </c>
      <c r="F872" t="str">
        <f>IF('الصرف المباشر'!C372="","",IF('الصرف المباشر'!F372="","",'الصرف المباشر'!F372))</f>
        <v/>
      </c>
      <c r="G872" t="str">
        <f>IF($B872&lt;&gt;"",SUMPRODUCT(($B$2:$B872&lt;&gt;"")*1),"")</f>
        <v/>
      </c>
    </row>
    <row r="873" spans="1:7">
      <c r="A873" s="23" t="str">
        <f>IF('الصرف المباشر'!C373="","",'الصرف المباشر'!B373)</f>
        <v/>
      </c>
      <c r="B873" t="str">
        <f>IF('الصرف المباشر'!C373="","","صرف مباشر")</f>
        <v/>
      </c>
      <c r="C873" t="str">
        <f>IF('الصرف المباشر'!C373="","",IF('الصرف المباشر'!E373="","-",'الصرف المباشر'!E373))</f>
        <v/>
      </c>
      <c r="D873" t="str">
        <f>IF('الصرف المباشر'!C373="","",'الصرف المباشر'!C373)</f>
        <v/>
      </c>
      <c r="E873" s="24" t="str">
        <f>IF('الصرف المباشر'!C373="","",-'الصرف المباشر'!D373)</f>
        <v/>
      </c>
      <c r="F873" t="str">
        <f>IF('الصرف المباشر'!C373="","",IF('الصرف المباشر'!F373="","",'الصرف المباشر'!F373))</f>
        <v/>
      </c>
      <c r="G873" t="str">
        <f>IF($B873&lt;&gt;"",SUMPRODUCT(($B$2:$B873&lt;&gt;"")*1),"")</f>
        <v/>
      </c>
    </row>
    <row r="874" spans="1:7">
      <c r="A874" s="23" t="str">
        <f>IF('الصرف المباشر'!C374="","",'الصرف المباشر'!B374)</f>
        <v/>
      </c>
      <c r="B874" t="str">
        <f>IF('الصرف المباشر'!C374="","","صرف مباشر")</f>
        <v/>
      </c>
      <c r="C874" t="str">
        <f>IF('الصرف المباشر'!C374="","",IF('الصرف المباشر'!E374="","-",'الصرف المباشر'!E374))</f>
        <v/>
      </c>
      <c r="D874" t="str">
        <f>IF('الصرف المباشر'!C374="","",'الصرف المباشر'!C374)</f>
        <v/>
      </c>
      <c r="E874" s="24" t="str">
        <f>IF('الصرف المباشر'!C374="","",-'الصرف المباشر'!D374)</f>
        <v/>
      </c>
      <c r="F874" t="str">
        <f>IF('الصرف المباشر'!C374="","",IF('الصرف المباشر'!F374="","",'الصرف المباشر'!F374))</f>
        <v/>
      </c>
      <c r="G874" t="str">
        <f>IF($B874&lt;&gt;"",SUMPRODUCT(($B$2:$B874&lt;&gt;"")*1),"")</f>
        <v/>
      </c>
    </row>
    <row r="875" spans="1:7">
      <c r="A875" s="23" t="str">
        <f>IF('الصرف المباشر'!C375="","",'الصرف المباشر'!B375)</f>
        <v/>
      </c>
      <c r="B875" t="str">
        <f>IF('الصرف المباشر'!C375="","","صرف مباشر")</f>
        <v/>
      </c>
      <c r="C875" t="str">
        <f>IF('الصرف المباشر'!C375="","",IF('الصرف المباشر'!E375="","-",'الصرف المباشر'!E375))</f>
        <v/>
      </c>
      <c r="D875" t="str">
        <f>IF('الصرف المباشر'!C375="","",'الصرف المباشر'!C375)</f>
        <v/>
      </c>
      <c r="E875" s="24" t="str">
        <f>IF('الصرف المباشر'!C375="","",-'الصرف المباشر'!D375)</f>
        <v/>
      </c>
      <c r="F875" t="str">
        <f>IF('الصرف المباشر'!C375="","",IF('الصرف المباشر'!F375="","",'الصرف المباشر'!F375))</f>
        <v/>
      </c>
      <c r="G875" t="str">
        <f>IF($B875&lt;&gt;"",SUMPRODUCT(($B$2:$B875&lt;&gt;"")*1),"")</f>
        <v/>
      </c>
    </row>
    <row r="876" spans="1:7">
      <c r="A876" s="23" t="str">
        <f>IF('الصرف المباشر'!C376="","",'الصرف المباشر'!B376)</f>
        <v/>
      </c>
      <c r="B876" t="str">
        <f>IF('الصرف المباشر'!C376="","","صرف مباشر")</f>
        <v/>
      </c>
      <c r="C876" t="str">
        <f>IF('الصرف المباشر'!C376="","",IF('الصرف المباشر'!E376="","-",'الصرف المباشر'!E376))</f>
        <v/>
      </c>
      <c r="D876" t="str">
        <f>IF('الصرف المباشر'!C376="","",'الصرف المباشر'!C376)</f>
        <v/>
      </c>
      <c r="E876" s="24" t="str">
        <f>IF('الصرف المباشر'!C376="","",-'الصرف المباشر'!D376)</f>
        <v/>
      </c>
      <c r="F876" t="str">
        <f>IF('الصرف المباشر'!C376="","",IF('الصرف المباشر'!F376="","",'الصرف المباشر'!F376))</f>
        <v/>
      </c>
      <c r="G876" t="str">
        <f>IF($B876&lt;&gt;"",SUMPRODUCT(($B$2:$B876&lt;&gt;"")*1),"")</f>
        <v/>
      </c>
    </row>
    <row r="877" spans="1:7">
      <c r="A877" s="23" t="str">
        <f>IF('الصرف المباشر'!C377="","",'الصرف المباشر'!B377)</f>
        <v/>
      </c>
      <c r="B877" t="str">
        <f>IF('الصرف المباشر'!C377="","","صرف مباشر")</f>
        <v/>
      </c>
      <c r="C877" t="str">
        <f>IF('الصرف المباشر'!C377="","",IF('الصرف المباشر'!E377="","-",'الصرف المباشر'!E377))</f>
        <v/>
      </c>
      <c r="D877" t="str">
        <f>IF('الصرف المباشر'!C377="","",'الصرف المباشر'!C377)</f>
        <v/>
      </c>
      <c r="E877" s="24" t="str">
        <f>IF('الصرف المباشر'!C377="","",-'الصرف المباشر'!D377)</f>
        <v/>
      </c>
      <c r="F877" t="str">
        <f>IF('الصرف المباشر'!C377="","",IF('الصرف المباشر'!F377="","",'الصرف المباشر'!F377))</f>
        <v/>
      </c>
      <c r="G877" t="str">
        <f>IF($B877&lt;&gt;"",SUMPRODUCT(($B$2:$B877&lt;&gt;"")*1),"")</f>
        <v/>
      </c>
    </row>
    <row r="878" spans="1:7">
      <c r="A878" s="23" t="str">
        <f>IF('الصرف المباشر'!C378="","",'الصرف المباشر'!B378)</f>
        <v/>
      </c>
      <c r="B878" t="str">
        <f>IF('الصرف المباشر'!C378="","","صرف مباشر")</f>
        <v/>
      </c>
      <c r="C878" t="str">
        <f>IF('الصرف المباشر'!C378="","",IF('الصرف المباشر'!E378="","-",'الصرف المباشر'!E378))</f>
        <v/>
      </c>
      <c r="D878" t="str">
        <f>IF('الصرف المباشر'!C378="","",'الصرف المباشر'!C378)</f>
        <v/>
      </c>
      <c r="E878" s="24" t="str">
        <f>IF('الصرف المباشر'!C378="","",-'الصرف المباشر'!D378)</f>
        <v/>
      </c>
      <c r="F878" t="str">
        <f>IF('الصرف المباشر'!C378="","",IF('الصرف المباشر'!F378="","",'الصرف المباشر'!F378))</f>
        <v/>
      </c>
      <c r="G878" t="str">
        <f>IF($B878&lt;&gt;"",SUMPRODUCT(($B$2:$B878&lt;&gt;"")*1),"")</f>
        <v/>
      </c>
    </row>
    <row r="879" spans="1:7">
      <c r="A879" s="23" t="str">
        <f>IF('الصرف المباشر'!C379="","",'الصرف المباشر'!B379)</f>
        <v/>
      </c>
      <c r="B879" t="str">
        <f>IF('الصرف المباشر'!C379="","","صرف مباشر")</f>
        <v/>
      </c>
      <c r="C879" t="str">
        <f>IF('الصرف المباشر'!C379="","",IF('الصرف المباشر'!E379="","-",'الصرف المباشر'!E379))</f>
        <v/>
      </c>
      <c r="D879" t="str">
        <f>IF('الصرف المباشر'!C379="","",'الصرف المباشر'!C379)</f>
        <v/>
      </c>
      <c r="E879" s="24" t="str">
        <f>IF('الصرف المباشر'!C379="","",-'الصرف المباشر'!D379)</f>
        <v/>
      </c>
      <c r="F879" t="str">
        <f>IF('الصرف المباشر'!C379="","",IF('الصرف المباشر'!F379="","",'الصرف المباشر'!F379))</f>
        <v/>
      </c>
      <c r="G879" t="str">
        <f>IF($B879&lt;&gt;"",SUMPRODUCT(($B$2:$B879&lt;&gt;"")*1),"")</f>
        <v/>
      </c>
    </row>
    <row r="880" spans="1:7">
      <c r="A880" s="23" t="str">
        <f>IF('الصرف المباشر'!C380="","",'الصرف المباشر'!B380)</f>
        <v/>
      </c>
      <c r="B880" t="str">
        <f>IF('الصرف المباشر'!C380="","","صرف مباشر")</f>
        <v/>
      </c>
      <c r="C880" t="str">
        <f>IF('الصرف المباشر'!C380="","",IF('الصرف المباشر'!E380="","-",'الصرف المباشر'!E380))</f>
        <v/>
      </c>
      <c r="D880" t="str">
        <f>IF('الصرف المباشر'!C380="","",'الصرف المباشر'!C380)</f>
        <v/>
      </c>
      <c r="E880" s="24" t="str">
        <f>IF('الصرف المباشر'!C380="","",-'الصرف المباشر'!D380)</f>
        <v/>
      </c>
      <c r="F880" t="str">
        <f>IF('الصرف المباشر'!C380="","",IF('الصرف المباشر'!F380="","",'الصرف المباشر'!F380))</f>
        <v/>
      </c>
      <c r="G880" t="str">
        <f>IF($B880&lt;&gt;"",SUMPRODUCT(($B$2:$B880&lt;&gt;"")*1),"")</f>
        <v/>
      </c>
    </row>
    <row r="881" spans="1:7">
      <c r="A881" s="23" t="str">
        <f>IF('الصرف المباشر'!C381="","",'الصرف المباشر'!B381)</f>
        <v/>
      </c>
      <c r="B881" t="str">
        <f>IF('الصرف المباشر'!C381="","","صرف مباشر")</f>
        <v/>
      </c>
      <c r="C881" t="str">
        <f>IF('الصرف المباشر'!C381="","",IF('الصرف المباشر'!E381="","-",'الصرف المباشر'!E381))</f>
        <v/>
      </c>
      <c r="D881" t="str">
        <f>IF('الصرف المباشر'!C381="","",'الصرف المباشر'!C381)</f>
        <v/>
      </c>
      <c r="E881" s="24" t="str">
        <f>IF('الصرف المباشر'!C381="","",-'الصرف المباشر'!D381)</f>
        <v/>
      </c>
      <c r="F881" t="str">
        <f>IF('الصرف المباشر'!C381="","",IF('الصرف المباشر'!F381="","",'الصرف المباشر'!F381))</f>
        <v/>
      </c>
      <c r="G881" t="str">
        <f>IF($B881&lt;&gt;"",SUMPRODUCT(($B$2:$B881&lt;&gt;"")*1),"")</f>
        <v/>
      </c>
    </row>
    <row r="882" spans="1:7">
      <c r="A882" s="23" t="str">
        <f>IF('الصرف المباشر'!C382="","",'الصرف المباشر'!B382)</f>
        <v/>
      </c>
      <c r="B882" t="str">
        <f>IF('الصرف المباشر'!C382="","","صرف مباشر")</f>
        <v/>
      </c>
      <c r="C882" t="str">
        <f>IF('الصرف المباشر'!C382="","",IF('الصرف المباشر'!E382="","-",'الصرف المباشر'!E382))</f>
        <v/>
      </c>
      <c r="D882" t="str">
        <f>IF('الصرف المباشر'!C382="","",'الصرف المباشر'!C382)</f>
        <v/>
      </c>
      <c r="E882" s="24" t="str">
        <f>IF('الصرف المباشر'!C382="","",-'الصرف المباشر'!D382)</f>
        <v/>
      </c>
      <c r="F882" t="str">
        <f>IF('الصرف المباشر'!C382="","",IF('الصرف المباشر'!F382="","",'الصرف المباشر'!F382))</f>
        <v/>
      </c>
      <c r="G882" t="str">
        <f>IF($B882&lt;&gt;"",SUMPRODUCT(($B$2:$B882&lt;&gt;"")*1),"")</f>
        <v/>
      </c>
    </row>
    <row r="883" spans="1:7">
      <c r="A883" s="23" t="str">
        <f>IF('الصرف المباشر'!C383="","",'الصرف المباشر'!B383)</f>
        <v/>
      </c>
      <c r="B883" t="str">
        <f>IF('الصرف المباشر'!C383="","","صرف مباشر")</f>
        <v/>
      </c>
      <c r="C883" t="str">
        <f>IF('الصرف المباشر'!C383="","",IF('الصرف المباشر'!E383="","-",'الصرف المباشر'!E383))</f>
        <v/>
      </c>
      <c r="D883" t="str">
        <f>IF('الصرف المباشر'!C383="","",'الصرف المباشر'!C383)</f>
        <v/>
      </c>
      <c r="E883" s="24" t="str">
        <f>IF('الصرف المباشر'!C383="","",-'الصرف المباشر'!D383)</f>
        <v/>
      </c>
      <c r="F883" t="str">
        <f>IF('الصرف المباشر'!C383="","",IF('الصرف المباشر'!F383="","",'الصرف المباشر'!F383))</f>
        <v/>
      </c>
      <c r="G883" t="str">
        <f>IF($B883&lt;&gt;"",SUMPRODUCT(($B$2:$B883&lt;&gt;"")*1),"")</f>
        <v/>
      </c>
    </row>
    <row r="884" spans="1:7">
      <c r="A884" s="23" t="str">
        <f>IF('الصرف المباشر'!C384="","",'الصرف المباشر'!B384)</f>
        <v/>
      </c>
      <c r="B884" t="str">
        <f>IF('الصرف المباشر'!C384="","","صرف مباشر")</f>
        <v/>
      </c>
      <c r="C884" t="str">
        <f>IF('الصرف المباشر'!C384="","",IF('الصرف المباشر'!E384="","-",'الصرف المباشر'!E384))</f>
        <v/>
      </c>
      <c r="D884" t="str">
        <f>IF('الصرف المباشر'!C384="","",'الصرف المباشر'!C384)</f>
        <v/>
      </c>
      <c r="E884" s="24" t="str">
        <f>IF('الصرف المباشر'!C384="","",-'الصرف المباشر'!D384)</f>
        <v/>
      </c>
      <c r="F884" t="str">
        <f>IF('الصرف المباشر'!C384="","",IF('الصرف المباشر'!F384="","",'الصرف المباشر'!F384))</f>
        <v/>
      </c>
      <c r="G884" t="str">
        <f>IF($B884&lt;&gt;"",SUMPRODUCT(($B$2:$B884&lt;&gt;"")*1),"")</f>
        <v/>
      </c>
    </row>
    <row r="885" spans="1:7">
      <c r="A885" s="23" t="str">
        <f>IF('الصرف المباشر'!C385="","",'الصرف المباشر'!B385)</f>
        <v/>
      </c>
      <c r="B885" t="str">
        <f>IF('الصرف المباشر'!C385="","","صرف مباشر")</f>
        <v/>
      </c>
      <c r="C885" t="str">
        <f>IF('الصرف المباشر'!C385="","",IF('الصرف المباشر'!E385="","-",'الصرف المباشر'!E385))</f>
        <v/>
      </c>
      <c r="D885" t="str">
        <f>IF('الصرف المباشر'!C385="","",'الصرف المباشر'!C385)</f>
        <v/>
      </c>
      <c r="E885" s="24" t="str">
        <f>IF('الصرف المباشر'!C385="","",-'الصرف المباشر'!D385)</f>
        <v/>
      </c>
      <c r="F885" t="str">
        <f>IF('الصرف المباشر'!C385="","",IF('الصرف المباشر'!F385="","",'الصرف المباشر'!F385))</f>
        <v/>
      </c>
      <c r="G885" t="str">
        <f>IF($B885&lt;&gt;"",SUMPRODUCT(($B$2:$B885&lt;&gt;"")*1),"")</f>
        <v/>
      </c>
    </row>
    <row r="886" spans="1:7">
      <c r="A886" s="23" t="str">
        <f>IF('الصرف المباشر'!C386="","",'الصرف المباشر'!B386)</f>
        <v/>
      </c>
      <c r="B886" t="str">
        <f>IF('الصرف المباشر'!C386="","","صرف مباشر")</f>
        <v/>
      </c>
      <c r="C886" t="str">
        <f>IF('الصرف المباشر'!C386="","",IF('الصرف المباشر'!E386="","-",'الصرف المباشر'!E386))</f>
        <v/>
      </c>
      <c r="D886" t="str">
        <f>IF('الصرف المباشر'!C386="","",'الصرف المباشر'!C386)</f>
        <v/>
      </c>
      <c r="E886" s="24" t="str">
        <f>IF('الصرف المباشر'!C386="","",-'الصرف المباشر'!D386)</f>
        <v/>
      </c>
      <c r="F886" t="str">
        <f>IF('الصرف المباشر'!C386="","",IF('الصرف المباشر'!F386="","",'الصرف المباشر'!F386))</f>
        <v/>
      </c>
      <c r="G886" t="str">
        <f>IF($B886&lt;&gt;"",SUMPRODUCT(($B$2:$B886&lt;&gt;"")*1),"")</f>
        <v/>
      </c>
    </row>
    <row r="887" spans="1:7">
      <c r="A887" s="23" t="str">
        <f>IF('الصرف المباشر'!C387="","",'الصرف المباشر'!B387)</f>
        <v/>
      </c>
      <c r="B887" t="str">
        <f>IF('الصرف المباشر'!C387="","","صرف مباشر")</f>
        <v/>
      </c>
      <c r="C887" t="str">
        <f>IF('الصرف المباشر'!C387="","",IF('الصرف المباشر'!E387="","-",'الصرف المباشر'!E387))</f>
        <v/>
      </c>
      <c r="D887" t="str">
        <f>IF('الصرف المباشر'!C387="","",'الصرف المباشر'!C387)</f>
        <v/>
      </c>
      <c r="E887" s="24" t="str">
        <f>IF('الصرف المباشر'!C387="","",-'الصرف المباشر'!D387)</f>
        <v/>
      </c>
      <c r="F887" t="str">
        <f>IF('الصرف المباشر'!C387="","",IF('الصرف المباشر'!F387="","",'الصرف المباشر'!F387))</f>
        <v/>
      </c>
      <c r="G887" t="str">
        <f>IF($B887&lt;&gt;"",SUMPRODUCT(($B$2:$B887&lt;&gt;"")*1),"")</f>
        <v/>
      </c>
    </row>
    <row r="888" spans="1:7">
      <c r="A888" s="23" t="str">
        <f>IF('الصرف المباشر'!C388="","",'الصرف المباشر'!B388)</f>
        <v/>
      </c>
      <c r="B888" t="str">
        <f>IF('الصرف المباشر'!C388="","","صرف مباشر")</f>
        <v/>
      </c>
      <c r="C888" t="str">
        <f>IF('الصرف المباشر'!C388="","",IF('الصرف المباشر'!E388="","-",'الصرف المباشر'!E388))</f>
        <v/>
      </c>
      <c r="D888" t="str">
        <f>IF('الصرف المباشر'!C388="","",'الصرف المباشر'!C388)</f>
        <v/>
      </c>
      <c r="E888" s="24" t="str">
        <f>IF('الصرف المباشر'!C388="","",-'الصرف المباشر'!D388)</f>
        <v/>
      </c>
      <c r="F888" t="str">
        <f>IF('الصرف المباشر'!C388="","",IF('الصرف المباشر'!F388="","",'الصرف المباشر'!F388))</f>
        <v/>
      </c>
      <c r="G888" t="str">
        <f>IF($B888&lt;&gt;"",SUMPRODUCT(($B$2:$B888&lt;&gt;"")*1),"")</f>
        <v/>
      </c>
    </row>
    <row r="889" spans="1:7">
      <c r="A889" s="23" t="str">
        <f>IF('الصرف المباشر'!C389="","",'الصرف المباشر'!B389)</f>
        <v/>
      </c>
      <c r="B889" t="str">
        <f>IF('الصرف المباشر'!C389="","","صرف مباشر")</f>
        <v/>
      </c>
      <c r="C889" t="str">
        <f>IF('الصرف المباشر'!C389="","",IF('الصرف المباشر'!E389="","-",'الصرف المباشر'!E389))</f>
        <v/>
      </c>
      <c r="D889" t="str">
        <f>IF('الصرف المباشر'!C389="","",'الصرف المباشر'!C389)</f>
        <v/>
      </c>
      <c r="E889" s="24" t="str">
        <f>IF('الصرف المباشر'!C389="","",-'الصرف المباشر'!D389)</f>
        <v/>
      </c>
      <c r="F889" t="str">
        <f>IF('الصرف المباشر'!C389="","",IF('الصرف المباشر'!F389="","",'الصرف المباشر'!F389))</f>
        <v/>
      </c>
      <c r="G889" t="str">
        <f>IF($B889&lt;&gt;"",SUMPRODUCT(($B$2:$B889&lt;&gt;"")*1),"")</f>
        <v/>
      </c>
    </row>
    <row r="890" spans="1:7">
      <c r="A890" s="23" t="str">
        <f>IF('الصرف المباشر'!C390="","",'الصرف المباشر'!B390)</f>
        <v/>
      </c>
      <c r="B890" t="str">
        <f>IF('الصرف المباشر'!C390="","","صرف مباشر")</f>
        <v/>
      </c>
      <c r="C890" t="str">
        <f>IF('الصرف المباشر'!C390="","",IF('الصرف المباشر'!E390="","-",'الصرف المباشر'!E390))</f>
        <v/>
      </c>
      <c r="D890" t="str">
        <f>IF('الصرف المباشر'!C390="","",'الصرف المباشر'!C390)</f>
        <v/>
      </c>
      <c r="E890" s="24" t="str">
        <f>IF('الصرف المباشر'!C390="","",-'الصرف المباشر'!D390)</f>
        <v/>
      </c>
      <c r="F890" t="str">
        <f>IF('الصرف المباشر'!C390="","",IF('الصرف المباشر'!F390="","",'الصرف المباشر'!F390))</f>
        <v/>
      </c>
      <c r="G890" t="str">
        <f>IF($B890&lt;&gt;"",SUMPRODUCT(($B$2:$B890&lt;&gt;"")*1),"")</f>
        <v/>
      </c>
    </row>
    <row r="891" spans="1:7">
      <c r="A891" s="23" t="str">
        <f>IF('الصرف المباشر'!C391="","",'الصرف المباشر'!B391)</f>
        <v/>
      </c>
      <c r="B891" t="str">
        <f>IF('الصرف المباشر'!C391="","","صرف مباشر")</f>
        <v/>
      </c>
      <c r="C891" t="str">
        <f>IF('الصرف المباشر'!C391="","",IF('الصرف المباشر'!E391="","-",'الصرف المباشر'!E391))</f>
        <v/>
      </c>
      <c r="D891" t="str">
        <f>IF('الصرف المباشر'!C391="","",'الصرف المباشر'!C391)</f>
        <v/>
      </c>
      <c r="E891" s="24" t="str">
        <f>IF('الصرف المباشر'!C391="","",-'الصرف المباشر'!D391)</f>
        <v/>
      </c>
      <c r="F891" t="str">
        <f>IF('الصرف المباشر'!C391="","",IF('الصرف المباشر'!F391="","",'الصرف المباشر'!F391))</f>
        <v/>
      </c>
      <c r="G891" t="str">
        <f>IF($B891&lt;&gt;"",SUMPRODUCT(($B$2:$B891&lt;&gt;"")*1),"")</f>
        <v/>
      </c>
    </row>
    <row r="892" spans="1:7">
      <c r="A892" s="23" t="str">
        <f>IF('الصرف المباشر'!C392="","",'الصرف المباشر'!B392)</f>
        <v/>
      </c>
      <c r="B892" t="str">
        <f>IF('الصرف المباشر'!C392="","","صرف مباشر")</f>
        <v/>
      </c>
      <c r="C892" t="str">
        <f>IF('الصرف المباشر'!C392="","",IF('الصرف المباشر'!E392="","-",'الصرف المباشر'!E392))</f>
        <v/>
      </c>
      <c r="D892" t="str">
        <f>IF('الصرف المباشر'!C392="","",'الصرف المباشر'!C392)</f>
        <v/>
      </c>
      <c r="E892" s="24" t="str">
        <f>IF('الصرف المباشر'!C392="","",-'الصرف المباشر'!D392)</f>
        <v/>
      </c>
      <c r="F892" t="str">
        <f>IF('الصرف المباشر'!C392="","",IF('الصرف المباشر'!F392="","",'الصرف المباشر'!F392))</f>
        <v/>
      </c>
      <c r="G892" t="str">
        <f>IF($B892&lt;&gt;"",SUMPRODUCT(($B$2:$B892&lt;&gt;"")*1),"")</f>
        <v/>
      </c>
    </row>
    <row r="893" spans="1:7">
      <c r="A893" s="23" t="str">
        <f>IF('الصرف المباشر'!C393="","",'الصرف المباشر'!B393)</f>
        <v/>
      </c>
      <c r="B893" t="str">
        <f>IF('الصرف المباشر'!C393="","","صرف مباشر")</f>
        <v/>
      </c>
      <c r="C893" t="str">
        <f>IF('الصرف المباشر'!C393="","",IF('الصرف المباشر'!E393="","-",'الصرف المباشر'!E393))</f>
        <v/>
      </c>
      <c r="D893" t="str">
        <f>IF('الصرف المباشر'!C393="","",'الصرف المباشر'!C393)</f>
        <v/>
      </c>
      <c r="E893" s="24" t="str">
        <f>IF('الصرف المباشر'!C393="","",-'الصرف المباشر'!D393)</f>
        <v/>
      </c>
      <c r="F893" t="str">
        <f>IF('الصرف المباشر'!C393="","",IF('الصرف المباشر'!F393="","",'الصرف المباشر'!F393))</f>
        <v/>
      </c>
      <c r="G893" t="str">
        <f>IF($B893&lt;&gt;"",SUMPRODUCT(($B$2:$B893&lt;&gt;"")*1),"")</f>
        <v/>
      </c>
    </row>
    <row r="894" spans="1:7">
      <c r="A894" s="23" t="str">
        <f>IF('الصرف المباشر'!C394="","",'الصرف المباشر'!B394)</f>
        <v/>
      </c>
      <c r="B894" t="str">
        <f>IF('الصرف المباشر'!C394="","","صرف مباشر")</f>
        <v/>
      </c>
      <c r="C894" t="str">
        <f>IF('الصرف المباشر'!C394="","",IF('الصرف المباشر'!E394="","-",'الصرف المباشر'!E394))</f>
        <v/>
      </c>
      <c r="D894" t="str">
        <f>IF('الصرف المباشر'!C394="","",'الصرف المباشر'!C394)</f>
        <v/>
      </c>
      <c r="E894" s="24" t="str">
        <f>IF('الصرف المباشر'!C394="","",-'الصرف المباشر'!D394)</f>
        <v/>
      </c>
      <c r="F894" t="str">
        <f>IF('الصرف المباشر'!C394="","",IF('الصرف المباشر'!F394="","",'الصرف المباشر'!F394))</f>
        <v/>
      </c>
      <c r="G894" t="str">
        <f>IF($B894&lt;&gt;"",SUMPRODUCT(($B$2:$B894&lt;&gt;"")*1),"")</f>
        <v/>
      </c>
    </row>
    <row r="895" spans="1:7">
      <c r="A895" s="23" t="str">
        <f>IF('الصرف المباشر'!C395="","",'الصرف المباشر'!B395)</f>
        <v/>
      </c>
      <c r="B895" t="str">
        <f>IF('الصرف المباشر'!C395="","","صرف مباشر")</f>
        <v/>
      </c>
      <c r="C895" t="str">
        <f>IF('الصرف المباشر'!C395="","",IF('الصرف المباشر'!E395="","-",'الصرف المباشر'!E395))</f>
        <v/>
      </c>
      <c r="D895" t="str">
        <f>IF('الصرف المباشر'!C395="","",'الصرف المباشر'!C395)</f>
        <v/>
      </c>
      <c r="E895" s="24" t="str">
        <f>IF('الصرف المباشر'!C395="","",-'الصرف المباشر'!D395)</f>
        <v/>
      </c>
      <c r="F895" t="str">
        <f>IF('الصرف المباشر'!C395="","",IF('الصرف المباشر'!F395="","",'الصرف المباشر'!F395))</f>
        <v/>
      </c>
      <c r="G895" t="str">
        <f>IF($B895&lt;&gt;"",SUMPRODUCT(($B$2:$B895&lt;&gt;"")*1),"")</f>
        <v/>
      </c>
    </row>
    <row r="896" spans="1:7">
      <c r="A896" s="23" t="str">
        <f>IF('الصرف المباشر'!C396="","",'الصرف المباشر'!B396)</f>
        <v/>
      </c>
      <c r="B896" t="str">
        <f>IF('الصرف المباشر'!C396="","","صرف مباشر")</f>
        <v/>
      </c>
      <c r="C896" t="str">
        <f>IF('الصرف المباشر'!C396="","",IF('الصرف المباشر'!E396="","-",'الصرف المباشر'!E396))</f>
        <v/>
      </c>
      <c r="D896" t="str">
        <f>IF('الصرف المباشر'!C396="","",'الصرف المباشر'!C396)</f>
        <v/>
      </c>
      <c r="E896" s="24" t="str">
        <f>IF('الصرف المباشر'!C396="","",-'الصرف المباشر'!D396)</f>
        <v/>
      </c>
      <c r="F896" t="str">
        <f>IF('الصرف المباشر'!C396="","",IF('الصرف المباشر'!F396="","",'الصرف المباشر'!F396))</f>
        <v/>
      </c>
      <c r="G896" t="str">
        <f>IF($B896&lt;&gt;"",SUMPRODUCT(($B$2:$B896&lt;&gt;"")*1),"")</f>
        <v/>
      </c>
    </row>
    <row r="897" spans="1:7">
      <c r="A897" s="23" t="str">
        <f>IF('الصرف المباشر'!C397="","",'الصرف المباشر'!B397)</f>
        <v/>
      </c>
      <c r="B897" t="str">
        <f>IF('الصرف المباشر'!C397="","","صرف مباشر")</f>
        <v/>
      </c>
      <c r="C897" t="str">
        <f>IF('الصرف المباشر'!C397="","",IF('الصرف المباشر'!E397="","-",'الصرف المباشر'!E397))</f>
        <v/>
      </c>
      <c r="D897" t="str">
        <f>IF('الصرف المباشر'!C397="","",'الصرف المباشر'!C397)</f>
        <v/>
      </c>
      <c r="E897" s="24" t="str">
        <f>IF('الصرف المباشر'!C397="","",-'الصرف المباشر'!D397)</f>
        <v/>
      </c>
      <c r="F897" t="str">
        <f>IF('الصرف المباشر'!C397="","",IF('الصرف المباشر'!F397="","",'الصرف المباشر'!F397))</f>
        <v/>
      </c>
      <c r="G897" t="str">
        <f>IF($B897&lt;&gt;"",SUMPRODUCT(($B$2:$B897&lt;&gt;"")*1),"")</f>
        <v/>
      </c>
    </row>
    <row r="898" spans="1:7">
      <c r="A898" s="23" t="str">
        <f>IF('الصرف المباشر'!C398="","",'الصرف المباشر'!B398)</f>
        <v/>
      </c>
      <c r="B898" t="str">
        <f>IF('الصرف المباشر'!C398="","","صرف مباشر")</f>
        <v/>
      </c>
      <c r="C898" t="str">
        <f>IF('الصرف المباشر'!C398="","",IF('الصرف المباشر'!E398="","-",'الصرف المباشر'!E398))</f>
        <v/>
      </c>
      <c r="D898" t="str">
        <f>IF('الصرف المباشر'!C398="","",'الصرف المباشر'!C398)</f>
        <v/>
      </c>
      <c r="E898" s="24" t="str">
        <f>IF('الصرف المباشر'!C398="","",-'الصرف المباشر'!D398)</f>
        <v/>
      </c>
      <c r="F898" t="str">
        <f>IF('الصرف المباشر'!C398="","",IF('الصرف المباشر'!F398="","",'الصرف المباشر'!F398))</f>
        <v/>
      </c>
      <c r="G898" t="str">
        <f>IF($B898&lt;&gt;"",SUMPRODUCT(($B$2:$B898&lt;&gt;"")*1),"")</f>
        <v/>
      </c>
    </row>
    <row r="899" spans="1:7">
      <c r="A899" s="23" t="str">
        <f>IF('الصرف المباشر'!C399="","",'الصرف المباشر'!B399)</f>
        <v/>
      </c>
      <c r="B899" t="str">
        <f>IF('الصرف المباشر'!C399="","","صرف مباشر")</f>
        <v/>
      </c>
      <c r="C899" t="str">
        <f>IF('الصرف المباشر'!C399="","",IF('الصرف المباشر'!E399="","-",'الصرف المباشر'!E399))</f>
        <v/>
      </c>
      <c r="D899" t="str">
        <f>IF('الصرف المباشر'!C399="","",'الصرف المباشر'!C399)</f>
        <v/>
      </c>
      <c r="E899" s="24" t="str">
        <f>IF('الصرف المباشر'!C399="","",-'الصرف المباشر'!D399)</f>
        <v/>
      </c>
      <c r="F899" t="str">
        <f>IF('الصرف المباشر'!C399="","",IF('الصرف المباشر'!F399="","",'الصرف المباشر'!F399))</f>
        <v/>
      </c>
      <c r="G899" t="str">
        <f>IF($B899&lt;&gt;"",SUMPRODUCT(($B$2:$B899&lt;&gt;"")*1),"")</f>
        <v/>
      </c>
    </row>
    <row r="900" spans="1:7">
      <c r="A900" s="23" t="str">
        <f>IF('الصرف المباشر'!C400="","",'الصرف المباشر'!B400)</f>
        <v/>
      </c>
      <c r="B900" t="str">
        <f>IF('الصرف المباشر'!C400="","","صرف مباشر")</f>
        <v/>
      </c>
      <c r="C900" t="str">
        <f>IF('الصرف المباشر'!C400="","",IF('الصرف المباشر'!E400="","-",'الصرف المباشر'!E400))</f>
        <v/>
      </c>
      <c r="D900" t="str">
        <f>IF('الصرف المباشر'!C400="","",'الصرف المباشر'!C400)</f>
        <v/>
      </c>
      <c r="E900" s="24" t="str">
        <f>IF('الصرف المباشر'!C400="","",-'الصرف المباشر'!D400)</f>
        <v/>
      </c>
      <c r="F900" t="str">
        <f>IF('الصرف المباشر'!C400="","",IF('الصرف المباشر'!F400="","",'الصرف المباشر'!F400))</f>
        <v/>
      </c>
      <c r="G900" t="str">
        <f>IF($B900&lt;&gt;"",SUMPRODUCT(($B$2:$B900&lt;&gt;"")*1),"")</f>
        <v/>
      </c>
    </row>
    <row r="901" spans="1:7">
      <c r="A901" s="23" t="str">
        <f>IF('الصرف المباشر'!C401="","",'الصرف المباشر'!B401)</f>
        <v/>
      </c>
      <c r="B901" t="str">
        <f>IF('الصرف المباشر'!C401="","","صرف مباشر")</f>
        <v/>
      </c>
      <c r="C901" t="str">
        <f>IF('الصرف المباشر'!C401="","",IF('الصرف المباشر'!E401="","-",'الصرف المباشر'!E401))</f>
        <v/>
      </c>
      <c r="D901" t="str">
        <f>IF('الصرف المباشر'!C401="","",'الصرف المباشر'!C401)</f>
        <v/>
      </c>
      <c r="E901" s="24" t="str">
        <f>IF('الصرف المباشر'!C401="","",-'الصرف المباشر'!D401)</f>
        <v/>
      </c>
      <c r="F901" t="str">
        <f>IF('الصرف المباشر'!C401="","",IF('الصرف المباشر'!F401="","",'الصرف المباشر'!F401))</f>
        <v/>
      </c>
      <c r="G901" t="str">
        <f>IF($B901&lt;&gt;"",SUMPRODUCT(($B$2:$B901&lt;&gt;"")*1),"")</f>
        <v/>
      </c>
    </row>
    <row r="902" spans="1:7">
      <c r="A902" s="23" t="str">
        <f>IF('الصرف المباشر'!C402="","",'الصرف المباشر'!B402)</f>
        <v/>
      </c>
      <c r="B902" t="str">
        <f>IF('الصرف المباشر'!C402="","","صرف مباشر")</f>
        <v/>
      </c>
      <c r="C902" t="str">
        <f>IF('الصرف المباشر'!C402="","",IF('الصرف المباشر'!E402="","-",'الصرف المباشر'!E402))</f>
        <v/>
      </c>
      <c r="D902" t="str">
        <f>IF('الصرف المباشر'!C402="","",'الصرف المباشر'!C402)</f>
        <v/>
      </c>
      <c r="E902" s="24" t="str">
        <f>IF('الصرف المباشر'!C402="","",-'الصرف المباشر'!D402)</f>
        <v/>
      </c>
      <c r="F902" t="str">
        <f>IF('الصرف المباشر'!C402="","",IF('الصرف المباشر'!F402="","",'الصرف المباشر'!F402))</f>
        <v/>
      </c>
      <c r="G902" t="str">
        <f>IF($B902&lt;&gt;"",SUMPRODUCT(($B$2:$B902&lt;&gt;"")*1),"")</f>
        <v/>
      </c>
    </row>
    <row r="903" spans="1:7">
      <c r="A903" s="23" t="str">
        <f>IF('الصرف المباشر'!C403="","",'الصرف المباشر'!B403)</f>
        <v/>
      </c>
      <c r="B903" t="str">
        <f>IF('الصرف المباشر'!C403="","","صرف مباشر")</f>
        <v/>
      </c>
      <c r="C903" t="str">
        <f>IF('الصرف المباشر'!C403="","",IF('الصرف المباشر'!E403="","-",'الصرف المباشر'!E403))</f>
        <v/>
      </c>
      <c r="D903" t="str">
        <f>IF('الصرف المباشر'!C403="","",'الصرف المباشر'!C403)</f>
        <v/>
      </c>
      <c r="E903" s="24" t="str">
        <f>IF('الصرف المباشر'!C403="","",-'الصرف المباشر'!D403)</f>
        <v/>
      </c>
      <c r="F903" t="str">
        <f>IF('الصرف المباشر'!C403="","",IF('الصرف المباشر'!F403="","",'الصرف المباشر'!F403))</f>
        <v/>
      </c>
      <c r="G903" t="str">
        <f>IF($B903&lt;&gt;"",SUMPRODUCT(($B$2:$B903&lt;&gt;"")*1),"")</f>
        <v/>
      </c>
    </row>
    <row r="904" spans="1:7">
      <c r="A904" s="23" t="str">
        <f>IF('الصرف المباشر'!C404="","",'الصرف المباشر'!B404)</f>
        <v/>
      </c>
      <c r="B904" t="str">
        <f>IF('الصرف المباشر'!C404="","","صرف مباشر")</f>
        <v/>
      </c>
      <c r="C904" t="str">
        <f>IF('الصرف المباشر'!C404="","",IF('الصرف المباشر'!E404="","-",'الصرف المباشر'!E404))</f>
        <v/>
      </c>
      <c r="D904" t="str">
        <f>IF('الصرف المباشر'!C404="","",'الصرف المباشر'!C404)</f>
        <v/>
      </c>
      <c r="E904" s="24" t="str">
        <f>IF('الصرف المباشر'!C404="","",-'الصرف المباشر'!D404)</f>
        <v/>
      </c>
      <c r="F904" t="str">
        <f>IF('الصرف المباشر'!C404="","",IF('الصرف المباشر'!F404="","",'الصرف المباشر'!F404))</f>
        <v/>
      </c>
      <c r="G904" t="str">
        <f>IF($B904&lt;&gt;"",SUMPRODUCT(($B$2:$B904&lt;&gt;"")*1),"")</f>
        <v/>
      </c>
    </row>
    <row r="905" spans="1:7">
      <c r="A905" s="23" t="str">
        <f>IF('الصرف المباشر'!C405="","",'الصرف المباشر'!B405)</f>
        <v/>
      </c>
      <c r="B905" t="str">
        <f>IF('الصرف المباشر'!C405="","","صرف مباشر")</f>
        <v/>
      </c>
      <c r="C905" t="str">
        <f>IF('الصرف المباشر'!C405="","",IF('الصرف المباشر'!E405="","-",'الصرف المباشر'!E405))</f>
        <v/>
      </c>
      <c r="D905" t="str">
        <f>IF('الصرف المباشر'!C405="","",'الصرف المباشر'!C405)</f>
        <v/>
      </c>
      <c r="E905" s="24" t="str">
        <f>IF('الصرف المباشر'!C405="","",-'الصرف المباشر'!D405)</f>
        <v/>
      </c>
      <c r="F905" t="str">
        <f>IF('الصرف المباشر'!C405="","",IF('الصرف المباشر'!F405="","",'الصرف المباشر'!F405))</f>
        <v/>
      </c>
      <c r="G905" t="str">
        <f>IF($B905&lt;&gt;"",SUMPRODUCT(($B$2:$B905&lt;&gt;"")*1),"")</f>
        <v/>
      </c>
    </row>
    <row r="906" spans="1:7">
      <c r="A906" s="23" t="str">
        <f>IF('الصرف المباشر'!C406="","",'الصرف المباشر'!B406)</f>
        <v/>
      </c>
      <c r="B906" t="str">
        <f>IF('الصرف المباشر'!C406="","","صرف مباشر")</f>
        <v/>
      </c>
      <c r="C906" t="str">
        <f>IF('الصرف المباشر'!C406="","",IF('الصرف المباشر'!E406="","-",'الصرف المباشر'!E406))</f>
        <v/>
      </c>
      <c r="D906" t="str">
        <f>IF('الصرف المباشر'!C406="","",'الصرف المباشر'!C406)</f>
        <v/>
      </c>
      <c r="E906" s="24" t="str">
        <f>IF('الصرف المباشر'!C406="","",-'الصرف المباشر'!D406)</f>
        <v/>
      </c>
      <c r="F906" t="str">
        <f>IF('الصرف المباشر'!C406="","",IF('الصرف المباشر'!F406="","",'الصرف المباشر'!F406))</f>
        <v/>
      </c>
      <c r="G906" t="str">
        <f>IF($B906&lt;&gt;"",SUMPRODUCT(($B$2:$B906&lt;&gt;"")*1),"")</f>
        <v/>
      </c>
    </row>
    <row r="907" spans="1:7">
      <c r="A907" s="23" t="str">
        <f>IF('الصرف المباشر'!C407="","",'الصرف المباشر'!B407)</f>
        <v/>
      </c>
      <c r="B907" t="str">
        <f>IF('الصرف المباشر'!C407="","","صرف مباشر")</f>
        <v/>
      </c>
      <c r="C907" t="str">
        <f>IF('الصرف المباشر'!C407="","",IF('الصرف المباشر'!E407="","-",'الصرف المباشر'!E407))</f>
        <v/>
      </c>
      <c r="D907" t="str">
        <f>IF('الصرف المباشر'!C407="","",'الصرف المباشر'!C407)</f>
        <v/>
      </c>
      <c r="E907" s="24" t="str">
        <f>IF('الصرف المباشر'!C407="","",-'الصرف المباشر'!D407)</f>
        <v/>
      </c>
      <c r="F907" t="str">
        <f>IF('الصرف المباشر'!C407="","",IF('الصرف المباشر'!F407="","",'الصرف المباشر'!F407))</f>
        <v/>
      </c>
      <c r="G907" t="str">
        <f>IF($B907&lt;&gt;"",SUMPRODUCT(($B$2:$B907&lt;&gt;"")*1),"")</f>
        <v/>
      </c>
    </row>
    <row r="908" spans="1:7">
      <c r="A908" s="23" t="str">
        <f>IF('الصرف المباشر'!C408="","",'الصرف المباشر'!B408)</f>
        <v/>
      </c>
      <c r="B908" t="str">
        <f>IF('الصرف المباشر'!C408="","","صرف مباشر")</f>
        <v/>
      </c>
      <c r="C908" t="str">
        <f>IF('الصرف المباشر'!C408="","",IF('الصرف المباشر'!E408="","-",'الصرف المباشر'!E408))</f>
        <v/>
      </c>
      <c r="D908" t="str">
        <f>IF('الصرف المباشر'!C408="","",'الصرف المباشر'!C408)</f>
        <v/>
      </c>
      <c r="E908" s="24" t="str">
        <f>IF('الصرف المباشر'!C408="","",-'الصرف المباشر'!D408)</f>
        <v/>
      </c>
      <c r="F908" t="str">
        <f>IF('الصرف المباشر'!C408="","",IF('الصرف المباشر'!F408="","",'الصرف المباشر'!F408))</f>
        <v/>
      </c>
      <c r="G908" t="str">
        <f>IF($B908&lt;&gt;"",SUMPRODUCT(($B$2:$B908&lt;&gt;"")*1),"")</f>
        <v/>
      </c>
    </row>
    <row r="909" spans="1:7">
      <c r="A909" s="23" t="str">
        <f>IF('الصرف المباشر'!C409="","",'الصرف المباشر'!B409)</f>
        <v/>
      </c>
      <c r="B909" t="str">
        <f>IF('الصرف المباشر'!C409="","","صرف مباشر")</f>
        <v/>
      </c>
      <c r="C909" t="str">
        <f>IF('الصرف المباشر'!C409="","",IF('الصرف المباشر'!E409="","-",'الصرف المباشر'!E409))</f>
        <v/>
      </c>
      <c r="D909" t="str">
        <f>IF('الصرف المباشر'!C409="","",'الصرف المباشر'!C409)</f>
        <v/>
      </c>
      <c r="E909" s="24" t="str">
        <f>IF('الصرف المباشر'!C409="","",-'الصرف المباشر'!D409)</f>
        <v/>
      </c>
      <c r="F909" t="str">
        <f>IF('الصرف المباشر'!C409="","",IF('الصرف المباشر'!F409="","",'الصرف المباشر'!F409))</f>
        <v/>
      </c>
      <c r="G909" t="str">
        <f>IF($B909&lt;&gt;"",SUMPRODUCT(($B$2:$B909&lt;&gt;"")*1),"")</f>
        <v/>
      </c>
    </row>
    <row r="910" spans="1:7">
      <c r="A910" s="23" t="str">
        <f>IF('الصرف المباشر'!C410="","",'الصرف المباشر'!B410)</f>
        <v/>
      </c>
      <c r="B910" t="str">
        <f>IF('الصرف المباشر'!C410="","","صرف مباشر")</f>
        <v/>
      </c>
      <c r="C910" t="str">
        <f>IF('الصرف المباشر'!C410="","",IF('الصرف المباشر'!E410="","-",'الصرف المباشر'!E410))</f>
        <v/>
      </c>
      <c r="D910" t="str">
        <f>IF('الصرف المباشر'!C410="","",'الصرف المباشر'!C410)</f>
        <v/>
      </c>
      <c r="E910" s="24" t="str">
        <f>IF('الصرف المباشر'!C410="","",-'الصرف المباشر'!D410)</f>
        <v/>
      </c>
      <c r="F910" t="str">
        <f>IF('الصرف المباشر'!C410="","",IF('الصرف المباشر'!F410="","",'الصرف المباشر'!F410))</f>
        <v/>
      </c>
      <c r="G910" t="str">
        <f>IF($B910&lt;&gt;"",SUMPRODUCT(($B$2:$B910&lt;&gt;"")*1),"")</f>
        <v/>
      </c>
    </row>
    <row r="911" spans="1:7">
      <c r="A911" s="23" t="str">
        <f>IF('الصرف المباشر'!C411="","",'الصرف المباشر'!B411)</f>
        <v/>
      </c>
      <c r="B911" t="str">
        <f>IF('الصرف المباشر'!C411="","","صرف مباشر")</f>
        <v/>
      </c>
      <c r="C911" t="str">
        <f>IF('الصرف المباشر'!C411="","",IF('الصرف المباشر'!E411="","-",'الصرف المباشر'!E411))</f>
        <v/>
      </c>
      <c r="D911" t="str">
        <f>IF('الصرف المباشر'!C411="","",'الصرف المباشر'!C411)</f>
        <v/>
      </c>
      <c r="E911" s="24" t="str">
        <f>IF('الصرف المباشر'!C411="","",-'الصرف المباشر'!D411)</f>
        <v/>
      </c>
      <c r="F911" t="str">
        <f>IF('الصرف المباشر'!C411="","",IF('الصرف المباشر'!F411="","",'الصرف المباشر'!F411))</f>
        <v/>
      </c>
      <c r="G911" t="str">
        <f>IF($B911&lt;&gt;"",SUMPRODUCT(($B$2:$B911&lt;&gt;"")*1),"")</f>
        <v/>
      </c>
    </row>
    <row r="912" spans="1:7">
      <c r="A912" s="23" t="str">
        <f>IF('الصرف المباشر'!C412="","",'الصرف المباشر'!B412)</f>
        <v/>
      </c>
      <c r="B912" t="str">
        <f>IF('الصرف المباشر'!C412="","","صرف مباشر")</f>
        <v/>
      </c>
      <c r="C912" t="str">
        <f>IF('الصرف المباشر'!C412="","",IF('الصرف المباشر'!E412="","-",'الصرف المباشر'!E412))</f>
        <v/>
      </c>
      <c r="D912" t="str">
        <f>IF('الصرف المباشر'!C412="","",'الصرف المباشر'!C412)</f>
        <v/>
      </c>
      <c r="E912" s="24" t="str">
        <f>IF('الصرف المباشر'!C412="","",-'الصرف المباشر'!D412)</f>
        <v/>
      </c>
      <c r="F912" t="str">
        <f>IF('الصرف المباشر'!C412="","",IF('الصرف المباشر'!F412="","",'الصرف المباشر'!F412))</f>
        <v/>
      </c>
      <c r="G912" t="str">
        <f>IF($B912&lt;&gt;"",SUMPRODUCT(($B$2:$B912&lt;&gt;"")*1),"")</f>
        <v/>
      </c>
    </row>
    <row r="913" spans="1:7">
      <c r="A913" s="23" t="str">
        <f>IF('الصرف المباشر'!C413="","",'الصرف المباشر'!B413)</f>
        <v/>
      </c>
      <c r="B913" t="str">
        <f>IF('الصرف المباشر'!C413="","","صرف مباشر")</f>
        <v/>
      </c>
      <c r="C913" t="str">
        <f>IF('الصرف المباشر'!C413="","",IF('الصرف المباشر'!E413="","-",'الصرف المباشر'!E413))</f>
        <v/>
      </c>
      <c r="D913" t="str">
        <f>IF('الصرف المباشر'!C413="","",'الصرف المباشر'!C413)</f>
        <v/>
      </c>
      <c r="E913" s="24" t="str">
        <f>IF('الصرف المباشر'!C413="","",-'الصرف المباشر'!D413)</f>
        <v/>
      </c>
      <c r="F913" t="str">
        <f>IF('الصرف المباشر'!C413="","",IF('الصرف المباشر'!F413="","",'الصرف المباشر'!F413))</f>
        <v/>
      </c>
      <c r="G913" t="str">
        <f>IF($B913&lt;&gt;"",SUMPRODUCT(($B$2:$B913&lt;&gt;"")*1),"")</f>
        <v/>
      </c>
    </row>
    <row r="914" spans="1:7">
      <c r="A914" s="23" t="str">
        <f>IF('الصرف المباشر'!C414="","",'الصرف المباشر'!B414)</f>
        <v/>
      </c>
      <c r="B914" t="str">
        <f>IF('الصرف المباشر'!C414="","","صرف مباشر")</f>
        <v/>
      </c>
      <c r="C914" t="str">
        <f>IF('الصرف المباشر'!C414="","",IF('الصرف المباشر'!E414="","-",'الصرف المباشر'!E414))</f>
        <v/>
      </c>
      <c r="D914" t="str">
        <f>IF('الصرف المباشر'!C414="","",'الصرف المباشر'!C414)</f>
        <v/>
      </c>
      <c r="E914" s="24" t="str">
        <f>IF('الصرف المباشر'!C414="","",-'الصرف المباشر'!D414)</f>
        <v/>
      </c>
      <c r="F914" t="str">
        <f>IF('الصرف المباشر'!C414="","",IF('الصرف المباشر'!F414="","",'الصرف المباشر'!F414))</f>
        <v/>
      </c>
      <c r="G914" t="str">
        <f>IF($B914&lt;&gt;"",SUMPRODUCT(($B$2:$B914&lt;&gt;"")*1),"")</f>
        <v/>
      </c>
    </row>
    <row r="915" spans="1:7">
      <c r="A915" s="23" t="str">
        <f>IF('الصرف المباشر'!C415="","",'الصرف المباشر'!B415)</f>
        <v/>
      </c>
      <c r="B915" t="str">
        <f>IF('الصرف المباشر'!C415="","","صرف مباشر")</f>
        <v/>
      </c>
      <c r="C915" t="str">
        <f>IF('الصرف المباشر'!C415="","",IF('الصرف المباشر'!E415="","-",'الصرف المباشر'!E415))</f>
        <v/>
      </c>
      <c r="D915" t="str">
        <f>IF('الصرف المباشر'!C415="","",'الصرف المباشر'!C415)</f>
        <v/>
      </c>
      <c r="E915" s="24" t="str">
        <f>IF('الصرف المباشر'!C415="","",-'الصرف المباشر'!D415)</f>
        <v/>
      </c>
      <c r="F915" t="str">
        <f>IF('الصرف المباشر'!C415="","",IF('الصرف المباشر'!F415="","",'الصرف المباشر'!F415))</f>
        <v/>
      </c>
      <c r="G915" t="str">
        <f>IF($B915&lt;&gt;"",SUMPRODUCT(($B$2:$B915&lt;&gt;"")*1),"")</f>
        <v/>
      </c>
    </row>
    <row r="916" spans="1:7">
      <c r="A916" s="23" t="str">
        <f>IF('الصرف المباشر'!C416="","",'الصرف المباشر'!B416)</f>
        <v/>
      </c>
      <c r="B916" t="str">
        <f>IF('الصرف المباشر'!C416="","","صرف مباشر")</f>
        <v/>
      </c>
      <c r="C916" t="str">
        <f>IF('الصرف المباشر'!C416="","",IF('الصرف المباشر'!E416="","-",'الصرف المباشر'!E416))</f>
        <v/>
      </c>
      <c r="D916" t="str">
        <f>IF('الصرف المباشر'!C416="","",'الصرف المباشر'!C416)</f>
        <v/>
      </c>
      <c r="E916" s="24" t="str">
        <f>IF('الصرف المباشر'!C416="","",-'الصرف المباشر'!D416)</f>
        <v/>
      </c>
      <c r="F916" t="str">
        <f>IF('الصرف المباشر'!C416="","",IF('الصرف المباشر'!F416="","",'الصرف المباشر'!F416))</f>
        <v/>
      </c>
      <c r="G916" t="str">
        <f>IF($B916&lt;&gt;"",SUMPRODUCT(($B$2:$B916&lt;&gt;"")*1),"")</f>
        <v/>
      </c>
    </row>
    <row r="917" spans="1:7">
      <c r="A917" s="23" t="str">
        <f>IF('الصرف المباشر'!C417="","",'الصرف المباشر'!B417)</f>
        <v/>
      </c>
      <c r="B917" t="str">
        <f>IF('الصرف المباشر'!C417="","","صرف مباشر")</f>
        <v/>
      </c>
      <c r="C917" t="str">
        <f>IF('الصرف المباشر'!C417="","",IF('الصرف المباشر'!E417="","-",'الصرف المباشر'!E417))</f>
        <v/>
      </c>
      <c r="D917" t="str">
        <f>IF('الصرف المباشر'!C417="","",'الصرف المباشر'!C417)</f>
        <v/>
      </c>
      <c r="E917" s="24" t="str">
        <f>IF('الصرف المباشر'!C417="","",-'الصرف المباشر'!D417)</f>
        <v/>
      </c>
      <c r="F917" t="str">
        <f>IF('الصرف المباشر'!C417="","",IF('الصرف المباشر'!F417="","",'الصرف المباشر'!F417))</f>
        <v/>
      </c>
      <c r="G917" t="str">
        <f>IF($B917&lt;&gt;"",SUMPRODUCT(($B$2:$B917&lt;&gt;"")*1),"")</f>
        <v/>
      </c>
    </row>
    <row r="918" spans="1:7">
      <c r="A918" s="23" t="str">
        <f>IF('الصرف المباشر'!C418="","",'الصرف المباشر'!B418)</f>
        <v/>
      </c>
      <c r="B918" t="str">
        <f>IF('الصرف المباشر'!C418="","","صرف مباشر")</f>
        <v/>
      </c>
      <c r="C918" t="str">
        <f>IF('الصرف المباشر'!C418="","",IF('الصرف المباشر'!E418="","-",'الصرف المباشر'!E418))</f>
        <v/>
      </c>
      <c r="D918" t="str">
        <f>IF('الصرف المباشر'!C418="","",'الصرف المباشر'!C418)</f>
        <v/>
      </c>
      <c r="E918" s="24" t="str">
        <f>IF('الصرف المباشر'!C418="","",-'الصرف المباشر'!D418)</f>
        <v/>
      </c>
      <c r="F918" t="str">
        <f>IF('الصرف المباشر'!C418="","",IF('الصرف المباشر'!F418="","",'الصرف المباشر'!F418))</f>
        <v/>
      </c>
      <c r="G918" t="str">
        <f>IF($B918&lt;&gt;"",SUMPRODUCT(($B$2:$B918&lt;&gt;"")*1),"")</f>
        <v/>
      </c>
    </row>
    <row r="919" spans="1:7">
      <c r="A919" s="23" t="str">
        <f>IF('الصرف المباشر'!C419="","",'الصرف المباشر'!B419)</f>
        <v/>
      </c>
      <c r="B919" t="str">
        <f>IF('الصرف المباشر'!C419="","","صرف مباشر")</f>
        <v/>
      </c>
      <c r="C919" t="str">
        <f>IF('الصرف المباشر'!C419="","",IF('الصرف المباشر'!E419="","-",'الصرف المباشر'!E419))</f>
        <v/>
      </c>
      <c r="D919" t="str">
        <f>IF('الصرف المباشر'!C419="","",'الصرف المباشر'!C419)</f>
        <v/>
      </c>
      <c r="E919" s="24" t="str">
        <f>IF('الصرف المباشر'!C419="","",-'الصرف المباشر'!D419)</f>
        <v/>
      </c>
      <c r="F919" t="str">
        <f>IF('الصرف المباشر'!C419="","",IF('الصرف المباشر'!F419="","",'الصرف المباشر'!F419))</f>
        <v/>
      </c>
      <c r="G919" t="str">
        <f>IF($B919&lt;&gt;"",SUMPRODUCT(($B$2:$B919&lt;&gt;"")*1),"")</f>
        <v/>
      </c>
    </row>
    <row r="920" spans="1:7">
      <c r="A920" s="23" t="str">
        <f>IF('الصرف المباشر'!C420="","",'الصرف المباشر'!B420)</f>
        <v/>
      </c>
      <c r="B920" t="str">
        <f>IF('الصرف المباشر'!C420="","","صرف مباشر")</f>
        <v/>
      </c>
      <c r="C920" t="str">
        <f>IF('الصرف المباشر'!C420="","",IF('الصرف المباشر'!E420="","-",'الصرف المباشر'!E420))</f>
        <v/>
      </c>
      <c r="D920" t="str">
        <f>IF('الصرف المباشر'!C420="","",'الصرف المباشر'!C420)</f>
        <v/>
      </c>
      <c r="E920" s="24" t="str">
        <f>IF('الصرف المباشر'!C420="","",-'الصرف المباشر'!D420)</f>
        <v/>
      </c>
      <c r="F920" t="str">
        <f>IF('الصرف المباشر'!C420="","",IF('الصرف المباشر'!F420="","",'الصرف المباشر'!F420))</f>
        <v/>
      </c>
      <c r="G920" t="str">
        <f>IF($B920&lt;&gt;"",SUMPRODUCT(($B$2:$B920&lt;&gt;"")*1),"")</f>
        <v/>
      </c>
    </row>
    <row r="921" spans="1:7">
      <c r="A921" s="23" t="str">
        <f>IF('الصرف المباشر'!C421="","",'الصرف المباشر'!B421)</f>
        <v/>
      </c>
      <c r="B921" t="str">
        <f>IF('الصرف المباشر'!C421="","","صرف مباشر")</f>
        <v/>
      </c>
      <c r="C921" t="str">
        <f>IF('الصرف المباشر'!C421="","",IF('الصرف المباشر'!E421="","-",'الصرف المباشر'!E421))</f>
        <v/>
      </c>
      <c r="D921" t="str">
        <f>IF('الصرف المباشر'!C421="","",'الصرف المباشر'!C421)</f>
        <v/>
      </c>
      <c r="E921" s="24" t="str">
        <f>IF('الصرف المباشر'!C421="","",-'الصرف المباشر'!D421)</f>
        <v/>
      </c>
      <c r="F921" t="str">
        <f>IF('الصرف المباشر'!C421="","",IF('الصرف المباشر'!F421="","",'الصرف المباشر'!F421))</f>
        <v/>
      </c>
      <c r="G921" t="str">
        <f>IF($B921&lt;&gt;"",SUMPRODUCT(($B$2:$B921&lt;&gt;"")*1),"")</f>
        <v/>
      </c>
    </row>
    <row r="922" spans="1:7">
      <c r="A922" s="23" t="str">
        <f>IF('الصرف المباشر'!C422="","",'الصرف المباشر'!B422)</f>
        <v/>
      </c>
      <c r="B922" t="str">
        <f>IF('الصرف المباشر'!C422="","","صرف مباشر")</f>
        <v/>
      </c>
      <c r="C922" t="str">
        <f>IF('الصرف المباشر'!C422="","",IF('الصرف المباشر'!E422="","-",'الصرف المباشر'!E422))</f>
        <v/>
      </c>
      <c r="D922" t="str">
        <f>IF('الصرف المباشر'!C422="","",'الصرف المباشر'!C422)</f>
        <v/>
      </c>
      <c r="E922" s="24" t="str">
        <f>IF('الصرف المباشر'!C422="","",-'الصرف المباشر'!D422)</f>
        <v/>
      </c>
      <c r="F922" t="str">
        <f>IF('الصرف المباشر'!C422="","",IF('الصرف المباشر'!F422="","",'الصرف المباشر'!F422))</f>
        <v/>
      </c>
      <c r="G922" t="str">
        <f>IF($B922&lt;&gt;"",SUMPRODUCT(($B$2:$B922&lt;&gt;"")*1),"")</f>
        <v/>
      </c>
    </row>
    <row r="923" spans="1:7">
      <c r="A923" s="23" t="str">
        <f>IF('الصرف المباشر'!C423="","",'الصرف المباشر'!B423)</f>
        <v/>
      </c>
      <c r="B923" t="str">
        <f>IF('الصرف المباشر'!C423="","","صرف مباشر")</f>
        <v/>
      </c>
      <c r="C923" t="str">
        <f>IF('الصرف المباشر'!C423="","",IF('الصرف المباشر'!E423="","-",'الصرف المباشر'!E423))</f>
        <v/>
      </c>
      <c r="D923" t="str">
        <f>IF('الصرف المباشر'!C423="","",'الصرف المباشر'!C423)</f>
        <v/>
      </c>
      <c r="E923" s="24" t="str">
        <f>IF('الصرف المباشر'!C423="","",-'الصرف المباشر'!D423)</f>
        <v/>
      </c>
      <c r="F923" t="str">
        <f>IF('الصرف المباشر'!C423="","",IF('الصرف المباشر'!F423="","",'الصرف المباشر'!F423))</f>
        <v/>
      </c>
      <c r="G923" t="str">
        <f>IF($B923&lt;&gt;"",SUMPRODUCT(($B$2:$B923&lt;&gt;"")*1),"")</f>
        <v/>
      </c>
    </row>
    <row r="924" spans="1:7">
      <c r="A924" s="23" t="str">
        <f>IF('الصرف المباشر'!C424="","",'الصرف المباشر'!B424)</f>
        <v/>
      </c>
      <c r="B924" t="str">
        <f>IF('الصرف المباشر'!C424="","","صرف مباشر")</f>
        <v/>
      </c>
      <c r="C924" t="str">
        <f>IF('الصرف المباشر'!C424="","",IF('الصرف المباشر'!E424="","-",'الصرف المباشر'!E424))</f>
        <v/>
      </c>
      <c r="D924" t="str">
        <f>IF('الصرف المباشر'!C424="","",'الصرف المباشر'!C424)</f>
        <v/>
      </c>
      <c r="E924" s="24" t="str">
        <f>IF('الصرف المباشر'!C424="","",-'الصرف المباشر'!D424)</f>
        <v/>
      </c>
      <c r="F924" t="str">
        <f>IF('الصرف المباشر'!C424="","",IF('الصرف المباشر'!F424="","",'الصرف المباشر'!F424))</f>
        <v/>
      </c>
      <c r="G924" t="str">
        <f>IF($B924&lt;&gt;"",SUMPRODUCT(($B$2:$B924&lt;&gt;"")*1),"")</f>
        <v/>
      </c>
    </row>
    <row r="925" spans="1:7">
      <c r="A925" s="23" t="str">
        <f>IF('الصرف المباشر'!C425="","",'الصرف المباشر'!B425)</f>
        <v/>
      </c>
      <c r="B925" t="str">
        <f>IF('الصرف المباشر'!C425="","","صرف مباشر")</f>
        <v/>
      </c>
      <c r="C925" t="str">
        <f>IF('الصرف المباشر'!C425="","",IF('الصرف المباشر'!E425="","-",'الصرف المباشر'!E425))</f>
        <v/>
      </c>
      <c r="D925" t="str">
        <f>IF('الصرف المباشر'!C425="","",'الصرف المباشر'!C425)</f>
        <v/>
      </c>
      <c r="E925" s="24" t="str">
        <f>IF('الصرف المباشر'!C425="","",-'الصرف المباشر'!D425)</f>
        <v/>
      </c>
      <c r="F925" t="str">
        <f>IF('الصرف المباشر'!C425="","",IF('الصرف المباشر'!F425="","",'الصرف المباشر'!F425))</f>
        <v/>
      </c>
      <c r="G925" t="str">
        <f>IF($B925&lt;&gt;"",SUMPRODUCT(($B$2:$B925&lt;&gt;"")*1),"")</f>
        <v/>
      </c>
    </row>
    <row r="926" spans="1:7">
      <c r="A926" s="23" t="str">
        <f>IF('الصرف المباشر'!C426="","",'الصرف المباشر'!B426)</f>
        <v/>
      </c>
      <c r="B926" t="str">
        <f>IF('الصرف المباشر'!C426="","","صرف مباشر")</f>
        <v/>
      </c>
      <c r="C926" t="str">
        <f>IF('الصرف المباشر'!C426="","",IF('الصرف المباشر'!E426="","-",'الصرف المباشر'!E426))</f>
        <v/>
      </c>
      <c r="D926" t="str">
        <f>IF('الصرف المباشر'!C426="","",'الصرف المباشر'!C426)</f>
        <v/>
      </c>
      <c r="E926" s="24" t="str">
        <f>IF('الصرف المباشر'!C426="","",-'الصرف المباشر'!D426)</f>
        <v/>
      </c>
      <c r="F926" t="str">
        <f>IF('الصرف المباشر'!C426="","",IF('الصرف المباشر'!F426="","",'الصرف المباشر'!F426))</f>
        <v/>
      </c>
      <c r="G926" t="str">
        <f>IF($B926&lt;&gt;"",SUMPRODUCT(($B$2:$B926&lt;&gt;"")*1),"")</f>
        <v/>
      </c>
    </row>
    <row r="927" spans="1:7">
      <c r="A927" s="23" t="str">
        <f>IF('الصرف المباشر'!C427="","",'الصرف المباشر'!B427)</f>
        <v/>
      </c>
      <c r="B927" t="str">
        <f>IF('الصرف المباشر'!C427="","","صرف مباشر")</f>
        <v/>
      </c>
      <c r="C927" t="str">
        <f>IF('الصرف المباشر'!C427="","",IF('الصرف المباشر'!E427="","-",'الصرف المباشر'!E427))</f>
        <v/>
      </c>
      <c r="D927" t="str">
        <f>IF('الصرف المباشر'!C427="","",'الصرف المباشر'!C427)</f>
        <v/>
      </c>
      <c r="E927" s="24" t="str">
        <f>IF('الصرف المباشر'!C427="","",-'الصرف المباشر'!D427)</f>
        <v/>
      </c>
      <c r="F927" t="str">
        <f>IF('الصرف المباشر'!C427="","",IF('الصرف المباشر'!F427="","",'الصرف المباشر'!F427))</f>
        <v/>
      </c>
      <c r="G927" t="str">
        <f>IF($B927&lt;&gt;"",SUMPRODUCT(($B$2:$B927&lt;&gt;"")*1),"")</f>
        <v/>
      </c>
    </row>
    <row r="928" spans="1:7">
      <c r="A928" s="23" t="str">
        <f>IF('الصرف المباشر'!C428="","",'الصرف المباشر'!B428)</f>
        <v/>
      </c>
      <c r="B928" t="str">
        <f>IF('الصرف المباشر'!C428="","","صرف مباشر")</f>
        <v/>
      </c>
      <c r="C928" t="str">
        <f>IF('الصرف المباشر'!C428="","",IF('الصرف المباشر'!E428="","-",'الصرف المباشر'!E428))</f>
        <v/>
      </c>
      <c r="D928" t="str">
        <f>IF('الصرف المباشر'!C428="","",'الصرف المباشر'!C428)</f>
        <v/>
      </c>
      <c r="E928" s="24" t="str">
        <f>IF('الصرف المباشر'!C428="","",-'الصرف المباشر'!D428)</f>
        <v/>
      </c>
      <c r="F928" t="str">
        <f>IF('الصرف المباشر'!C428="","",IF('الصرف المباشر'!F428="","",'الصرف المباشر'!F428))</f>
        <v/>
      </c>
      <c r="G928" t="str">
        <f>IF($B928&lt;&gt;"",SUMPRODUCT(($B$2:$B928&lt;&gt;"")*1),"")</f>
        <v/>
      </c>
    </row>
    <row r="929" spans="1:7">
      <c r="A929" s="23" t="str">
        <f>IF('الصرف المباشر'!C429="","",'الصرف المباشر'!B429)</f>
        <v/>
      </c>
      <c r="B929" t="str">
        <f>IF('الصرف المباشر'!C429="","","صرف مباشر")</f>
        <v/>
      </c>
      <c r="C929" t="str">
        <f>IF('الصرف المباشر'!C429="","",IF('الصرف المباشر'!E429="","-",'الصرف المباشر'!E429))</f>
        <v/>
      </c>
      <c r="D929" t="str">
        <f>IF('الصرف المباشر'!C429="","",'الصرف المباشر'!C429)</f>
        <v/>
      </c>
      <c r="E929" s="24" t="str">
        <f>IF('الصرف المباشر'!C429="","",-'الصرف المباشر'!D429)</f>
        <v/>
      </c>
      <c r="F929" t="str">
        <f>IF('الصرف المباشر'!C429="","",IF('الصرف المباشر'!F429="","",'الصرف المباشر'!F429))</f>
        <v/>
      </c>
      <c r="G929" t="str">
        <f>IF($B929&lt;&gt;"",SUMPRODUCT(($B$2:$B929&lt;&gt;"")*1),"")</f>
        <v/>
      </c>
    </row>
    <row r="930" spans="1:7">
      <c r="A930" s="23" t="str">
        <f>IF('الصرف المباشر'!C430="","",'الصرف المباشر'!B430)</f>
        <v/>
      </c>
      <c r="B930" t="str">
        <f>IF('الصرف المباشر'!C430="","","صرف مباشر")</f>
        <v/>
      </c>
      <c r="C930" t="str">
        <f>IF('الصرف المباشر'!C430="","",IF('الصرف المباشر'!E430="","-",'الصرف المباشر'!E430))</f>
        <v/>
      </c>
      <c r="D930" t="str">
        <f>IF('الصرف المباشر'!C430="","",'الصرف المباشر'!C430)</f>
        <v/>
      </c>
      <c r="E930" s="24" t="str">
        <f>IF('الصرف المباشر'!C430="","",-'الصرف المباشر'!D430)</f>
        <v/>
      </c>
      <c r="F930" t="str">
        <f>IF('الصرف المباشر'!C430="","",IF('الصرف المباشر'!F430="","",'الصرف المباشر'!F430))</f>
        <v/>
      </c>
      <c r="G930" t="str">
        <f>IF($B930&lt;&gt;"",SUMPRODUCT(($B$2:$B930&lt;&gt;"")*1),"")</f>
        <v/>
      </c>
    </row>
    <row r="931" spans="1:7">
      <c r="A931" s="23" t="str">
        <f>IF('الصرف المباشر'!C431="","",'الصرف المباشر'!B431)</f>
        <v/>
      </c>
      <c r="B931" t="str">
        <f>IF('الصرف المباشر'!C431="","","صرف مباشر")</f>
        <v/>
      </c>
      <c r="C931" t="str">
        <f>IF('الصرف المباشر'!C431="","",IF('الصرف المباشر'!E431="","-",'الصرف المباشر'!E431))</f>
        <v/>
      </c>
      <c r="D931" t="str">
        <f>IF('الصرف المباشر'!C431="","",'الصرف المباشر'!C431)</f>
        <v/>
      </c>
      <c r="E931" s="24" t="str">
        <f>IF('الصرف المباشر'!C431="","",-'الصرف المباشر'!D431)</f>
        <v/>
      </c>
      <c r="F931" t="str">
        <f>IF('الصرف المباشر'!C431="","",IF('الصرف المباشر'!F431="","",'الصرف المباشر'!F431))</f>
        <v/>
      </c>
      <c r="G931" t="str">
        <f>IF($B931&lt;&gt;"",SUMPRODUCT(($B$2:$B931&lt;&gt;"")*1),"")</f>
        <v/>
      </c>
    </row>
    <row r="932" spans="1:7">
      <c r="A932" s="23" t="str">
        <f>IF('الصرف المباشر'!C432="","",'الصرف المباشر'!B432)</f>
        <v/>
      </c>
      <c r="B932" t="str">
        <f>IF('الصرف المباشر'!C432="","","صرف مباشر")</f>
        <v/>
      </c>
      <c r="C932" t="str">
        <f>IF('الصرف المباشر'!C432="","",IF('الصرف المباشر'!E432="","-",'الصرف المباشر'!E432))</f>
        <v/>
      </c>
      <c r="D932" t="str">
        <f>IF('الصرف المباشر'!C432="","",'الصرف المباشر'!C432)</f>
        <v/>
      </c>
      <c r="E932" s="24" t="str">
        <f>IF('الصرف المباشر'!C432="","",-'الصرف المباشر'!D432)</f>
        <v/>
      </c>
      <c r="F932" t="str">
        <f>IF('الصرف المباشر'!C432="","",IF('الصرف المباشر'!F432="","",'الصرف المباشر'!F432))</f>
        <v/>
      </c>
      <c r="G932" t="str">
        <f>IF($B932&lt;&gt;"",SUMPRODUCT(($B$2:$B932&lt;&gt;"")*1),"")</f>
        <v/>
      </c>
    </row>
    <row r="933" spans="1:7">
      <c r="A933" s="23" t="str">
        <f>IF('الصرف المباشر'!C433="","",'الصرف المباشر'!B433)</f>
        <v/>
      </c>
      <c r="B933" t="str">
        <f>IF('الصرف المباشر'!C433="","","صرف مباشر")</f>
        <v/>
      </c>
      <c r="C933" t="str">
        <f>IF('الصرف المباشر'!C433="","",IF('الصرف المباشر'!E433="","-",'الصرف المباشر'!E433))</f>
        <v/>
      </c>
      <c r="D933" t="str">
        <f>IF('الصرف المباشر'!C433="","",'الصرف المباشر'!C433)</f>
        <v/>
      </c>
      <c r="E933" s="24" t="str">
        <f>IF('الصرف المباشر'!C433="","",-'الصرف المباشر'!D433)</f>
        <v/>
      </c>
      <c r="F933" t="str">
        <f>IF('الصرف المباشر'!C433="","",IF('الصرف المباشر'!F433="","",'الصرف المباشر'!F433))</f>
        <v/>
      </c>
      <c r="G933" t="str">
        <f>IF($B933&lt;&gt;"",SUMPRODUCT(($B$2:$B933&lt;&gt;"")*1),"")</f>
        <v/>
      </c>
    </row>
    <row r="934" spans="1:7">
      <c r="A934" s="23" t="str">
        <f>IF('الصرف المباشر'!C434="","",'الصرف المباشر'!B434)</f>
        <v/>
      </c>
      <c r="B934" t="str">
        <f>IF('الصرف المباشر'!C434="","","صرف مباشر")</f>
        <v/>
      </c>
      <c r="C934" t="str">
        <f>IF('الصرف المباشر'!C434="","",IF('الصرف المباشر'!E434="","-",'الصرف المباشر'!E434))</f>
        <v/>
      </c>
      <c r="D934" t="str">
        <f>IF('الصرف المباشر'!C434="","",'الصرف المباشر'!C434)</f>
        <v/>
      </c>
      <c r="E934" s="24" t="str">
        <f>IF('الصرف المباشر'!C434="","",-'الصرف المباشر'!D434)</f>
        <v/>
      </c>
      <c r="F934" t="str">
        <f>IF('الصرف المباشر'!C434="","",IF('الصرف المباشر'!F434="","",'الصرف المباشر'!F434))</f>
        <v/>
      </c>
      <c r="G934" t="str">
        <f>IF($B934&lt;&gt;"",SUMPRODUCT(($B$2:$B934&lt;&gt;"")*1),"")</f>
        <v/>
      </c>
    </row>
    <row r="935" spans="1:7">
      <c r="A935" s="23" t="str">
        <f>IF('الصرف المباشر'!C435="","",'الصرف المباشر'!B435)</f>
        <v/>
      </c>
      <c r="B935" t="str">
        <f>IF('الصرف المباشر'!C435="","","صرف مباشر")</f>
        <v/>
      </c>
      <c r="C935" t="str">
        <f>IF('الصرف المباشر'!C435="","",IF('الصرف المباشر'!E435="","-",'الصرف المباشر'!E435))</f>
        <v/>
      </c>
      <c r="D935" t="str">
        <f>IF('الصرف المباشر'!C435="","",'الصرف المباشر'!C435)</f>
        <v/>
      </c>
      <c r="E935" s="24" t="str">
        <f>IF('الصرف المباشر'!C435="","",-'الصرف المباشر'!D435)</f>
        <v/>
      </c>
      <c r="F935" t="str">
        <f>IF('الصرف المباشر'!C435="","",IF('الصرف المباشر'!F435="","",'الصرف المباشر'!F435))</f>
        <v/>
      </c>
      <c r="G935" t="str">
        <f>IF($B935&lt;&gt;"",SUMPRODUCT(($B$2:$B935&lt;&gt;"")*1),"")</f>
        <v/>
      </c>
    </row>
    <row r="936" spans="1:7">
      <c r="A936" s="23" t="str">
        <f>IF('الصرف المباشر'!C436="","",'الصرف المباشر'!B436)</f>
        <v/>
      </c>
      <c r="B936" t="str">
        <f>IF('الصرف المباشر'!C436="","","صرف مباشر")</f>
        <v/>
      </c>
      <c r="C936" t="str">
        <f>IF('الصرف المباشر'!C436="","",IF('الصرف المباشر'!E436="","-",'الصرف المباشر'!E436))</f>
        <v/>
      </c>
      <c r="D936" t="str">
        <f>IF('الصرف المباشر'!C436="","",'الصرف المباشر'!C436)</f>
        <v/>
      </c>
      <c r="E936" s="24" t="str">
        <f>IF('الصرف المباشر'!C436="","",-'الصرف المباشر'!D436)</f>
        <v/>
      </c>
      <c r="F936" t="str">
        <f>IF('الصرف المباشر'!C436="","",IF('الصرف المباشر'!F436="","",'الصرف المباشر'!F436))</f>
        <v/>
      </c>
      <c r="G936" t="str">
        <f>IF($B936&lt;&gt;"",SUMPRODUCT(($B$2:$B936&lt;&gt;"")*1),"")</f>
        <v/>
      </c>
    </row>
    <row r="937" spans="1:7">
      <c r="A937" s="23" t="str">
        <f>IF('الصرف المباشر'!C437="","",'الصرف المباشر'!B437)</f>
        <v/>
      </c>
      <c r="B937" t="str">
        <f>IF('الصرف المباشر'!C437="","","صرف مباشر")</f>
        <v/>
      </c>
      <c r="C937" t="str">
        <f>IF('الصرف المباشر'!C437="","",IF('الصرف المباشر'!E437="","-",'الصرف المباشر'!E437))</f>
        <v/>
      </c>
      <c r="D937" t="str">
        <f>IF('الصرف المباشر'!C437="","",'الصرف المباشر'!C437)</f>
        <v/>
      </c>
      <c r="E937" s="24" t="str">
        <f>IF('الصرف المباشر'!C437="","",-'الصرف المباشر'!D437)</f>
        <v/>
      </c>
      <c r="F937" t="str">
        <f>IF('الصرف المباشر'!C437="","",IF('الصرف المباشر'!F437="","",'الصرف المباشر'!F437))</f>
        <v/>
      </c>
      <c r="G937" t="str">
        <f>IF($B937&lt;&gt;"",SUMPRODUCT(($B$2:$B937&lt;&gt;"")*1),"")</f>
        <v/>
      </c>
    </row>
    <row r="938" spans="1:7">
      <c r="A938" s="23" t="str">
        <f>IF('الصرف المباشر'!C438="","",'الصرف المباشر'!B438)</f>
        <v/>
      </c>
      <c r="B938" t="str">
        <f>IF('الصرف المباشر'!C438="","","صرف مباشر")</f>
        <v/>
      </c>
      <c r="C938" t="str">
        <f>IF('الصرف المباشر'!C438="","",IF('الصرف المباشر'!E438="","-",'الصرف المباشر'!E438))</f>
        <v/>
      </c>
      <c r="D938" t="str">
        <f>IF('الصرف المباشر'!C438="","",'الصرف المباشر'!C438)</f>
        <v/>
      </c>
      <c r="E938" s="24" t="str">
        <f>IF('الصرف المباشر'!C438="","",-'الصرف المباشر'!D438)</f>
        <v/>
      </c>
      <c r="F938" t="str">
        <f>IF('الصرف المباشر'!C438="","",IF('الصرف المباشر'!F438="","",'الصرف المباشر'!F438))</f>
        <v/>
      </c>
      <c r="G938" t="str">
        <f>IF($B938&lt;&gt;"",SUMPRODUCT(($B$2:$B938&lt;&gt;"")*1),"")</f>
        <v/>
      </c>
    </row>
    <row r="939" spans="1:7">
      <c r="A939" s="23" t="str">
        <f>IF('الصرف المباشر'!C439="","",'الصرف المباشر'!B439)</f>
        <v/>
      </c>
      <c r="B939" t="str">
        <f>IF('الصرف المباشر'!C439="","","صرف مباشر")</f>
        <v/>
      </c>
      <c r="C939" t="str">
        <f>IF('الصرف المباشر'!C439="","",IF('الصرف المباشر'!E439="","-",'الصرف المباشر'!E439))</f>
        <v/>
      </c>
      <c r="D939" t="str">
        <f>IF('الصرف المباشر'!C439="","",'الصرف المباشر'!C439)</f>
        <v/>
      </c>
      <c r="E939" s="24" t="str">
        <f>IF('الصرف المباشر'!C439="","",-'الصرف المباشر'!D439)</f>
        <v/>
      </c>
      <c r="F939" t="str">
        <f>IF('الصرف المباشر'!C439="","",IF('الصرف المباشر'!F439="","",'الصرف المباشر'!F439))</f>
        <v/>
      </c>
      <c r="G939" t="str">
        <f>IF($B939&lt;&gt;"",SUMPRODUCT(($B$2:$B939&lt;&gt;"")*1),"")</f>
        <v/>
      </c>
    </row>
    <row r="940" spans="1:7">
      <c r="A940" s="23" t="str">
        <f>IF('الصرف المباشر'!C440="","",'الصرف المباشر'!B440)</f>
        <v/>
      </c>
      <c r="B940" t="str">
        <f>IF('الصرف المباشر'!C440="","","صرف مباشر")</f>
        <v/>
      </c>
      <c r="C940" t="str">
        <f>IF('الصرف المباشر'!C440="","",IF('الصرف المباشر'!E440="","-",'الصرف المباشر'!E440))</f>
        <v/>
      </c>
      <c r="D940" t="str">
        <f>IF('الصرف المباشر'!C440="","",'الصرف المباشر'!C440)</f>
        <v/>
      </c>
      <c r="E940" s="24" t="str">
        <f>IF('الصرف المباشر'!C440="","",-'الصرف المباشر'!D440)</f>
        <v/>
      </c>
      <c r="F940" t="str">
        <f>IF('الصرف المباشر'!C440="","",IF('الصرف المباشر'!F440="","",'الصرف المباشر'!F440))</f>
        <v/>
      </c>
      <c r="G940" t="str">
        <f>IF($B940&lt;&gt;"",SUMPRODUCT(($B$2:$B940&lt;&gt;"")*1),"")</f>
        <v/>
      </c>
    </row>
    <row r="941" spans="1:7">
      <c r="A941" s="23" t="str">
        <f>IF('الصرف المباشر'!C441="","",'الصرف المباشر'!B441)</f>
        <v/>
      </c>
      <c r="B941" t="str">
        <f>IF('الصرف المباشر'!C441="","","صرف مباشر")</f>
        <v/>
      </c>
      <c r="C941" t="str">
        <f>IF('الصرف المباشر'!C441="","",IF('الصرف المباشر'!E441="","-",'الصرف المباشر'!E441))</f>
        <v/>
      </c>
      <c r="D941" t="str">
        <f>IF('الصرف المباشر'!C441="","",'الصرف المباشر'!C441)</f>
        <v/>
      </c>
      <c r="E941" s="24" t="str">
        <f>IF('الصرف المباشر'!C441="","",-'الصرف المباشر'!D441)</f>
        <v/>
      </c>
      <c r="F941" t="str">
        <f>IF('الصرف المباشر'!C441="","",IF('الصرف المباشر'!F441="","",'الصرف المباشر'!F441))</f>
        <v/>
      </c>
      <c r="G941" t="str">
        <f>IF($B941&lt;&gt;"",SUMPRODUCT(($B$2:$B941&lt;&gt;"")*1),"")</f>
        <v/>
      </c>
    </row>
    <row r="942" spans="1:7">
      <c r="A942" s="23" t="str">
        <f>IF('الصرف المباشر'!C442="","",'الصرف المباشر'!B442)</f>
        <v/>
      </c>
      <c r="B942" t="str">
        <f>IF('الصرف المباشر'!C442="","","صرف مباشر")</f>
        <v/>
      </c>
      <c r="C942" t="str">
        <f>IF('الصرف المباشر'!C442="","",IF('الصرف المباشر'!E442="","-",'الصرف المباشر'!E442))</f>
        <v/>
      </c>
      <c r="D942" t="str">
        <f>IF('الصرف المباشر'!C442="","",'الصرف المباشر'!C442)</f>
        <v/>
      </c>
      <c r="E942" s="24" t="str">
        <f>IF('الصرف المباشر'!C442="","",-'الصرف المباشر'!D442)</f>
        <v/>
      </c>
      <c r="F942" t="str">
        <f>IF('الصرف المباشر'!C442="","",IF('الصرف المباشر'!F442="","",'الصرف المباشر'!F442))</f>
        <v/>
      </c>
      <c r="G942" t="str">
        <f>IF($B942&lt;&gt;"",SUMPRODUCT(($B$2:$B942&lt;&gt;"")*1),"")</f>
        <v/>
      </c>
    </row>
    <row r="943" spans="1:7">
      <c r="A943" s="23" t="str">
        <f>IF('الصرف المباشر'!C443="","",'الصرف المباشر'!B443)</f>
        <v/>
      </c>
      <c r="B943" t="str">
        <f>IF('الصرف المباشر'!C443="","","صرف مباشر")</f>
        <v/>
      </c>
      <c r="C943" t="str">
        <f>IF('الصرف المباشر'!C443="","",IF('الصرف المباشر'!E443="","-",'الصرف المباشر'!E443))</f>
        <v/>
      </c>
      <c r="D943" t="str">
        <f>IF('الصرف المباشر'!C443="","",'الصرف المباشر'!C443)</f>
        <v/>
      </c>
      <c r="E943" s="24" t="str">
        <f>IF('الصرف المباشر'!C443="","",-'الصرف المباشر'!D443)</f>
        <v/>
      </c>
      <c r="F943" t="str">
        <f>IF('الصرف المباشر'!C443="","",IF('الصرف المباشر'!F443="","",'الصرف المباشر'!F443))</f>
        <v/>
      </c>
      <c r="G943" t="str">
        <f>IF($B943&lt;&gt;"",SUMPRODUCT(($B$2:$B943&lt;&gt;"")*1),"")</f>
        <v/>
      </c>
    </row>
    <row r="944" spans="1:7">
      <c r="A944" s="23" t="str">
        <f>IF('الصرف المباشر'!C444="","",'الصرف المباشر'!B444)</f>
        <v/>
      </c>
      <c r="B944" t="str">
        <f>IF('الصرف المباشر'!C444="","","صرف مباشر")</f>
        <v/>
      </c>
      <c r="C944" t="str">
        <f>IF('الصرف المباشر'!C444="","",IF('الصرف المباشر'!E444="","-",'الصرف المباشر'!E444))</f>
        <v/>
      </c>
      <c r="D944" t="str">
        <f>IF('الصرف المباشر'!C444="","",'الصرف المباشر'!C444)</f>
        <v/>
      </c>
      <c r="E944" s="24" t="str">
        <f>IF('الصرف المباشر'!C444="","",-'الصرف المباشر'!D444)</f>
        <v/>
      </c>
      <c r="F944" t="str">
        <f>IF('الصرف المباشر'!C444="","",IF('الصرف المباشر'!F444="","",'الصرف المباشر'!F444))</f>
        <v/>
      </c>
      <c r="G944" t="str">
        <f>IF($B944&lt;&gt;"",SUMPRODUCT(($B$2:$B944&lt;&gt;"")*1),"")</f>
        <v/>
      </c>
    </row>
    <row r="945" spans="1:7">
      <c r="A945" s="23" t="str">
        <f>IF('الصرف المباشر'!C445="","",'الصرف المباشر'!B445)</f>
        <v/>
      </c>
      <c r="B945" t="str">
        <f>IF('الصرف المباشر'!C445="","","صرف مباشر")</f>
        <v/>
      </c>
      <c r="C945" t="str">
        <f>IF('الصرف المباشر'!C445="","",IF('الصرف المباشر'!E445="","-",'الصرف المباشر'!E445))</f>
        <v/>
      </c>
      <c r="D945" t="str">
        <f>IF('الصرف المباشر'!C445="","",'الصرف المباشر'!C445)</f>
        <v/>
      </c>
      <c r="E945" s="24" t="str">
        <f>IF('الصرف المباشر'!C445="","",-'الصرف المباشر'!D445)</f>
        <v/>
      </c>
      <c r="F945" t="str">
        <f>IF('الصرف المباشر'!C445="","",IF('الصرف المباشر'!F445="","",'الصرف المباشر'!F445))</f>
        <v/>
      </c>
      <c r="G945" t="str">
        <f>IF($B945&lt;&gt;"",SUMPRODUCT(($B$2:$B945&lt;&gt;"")*1),"")</f>
        <v/>
      </c>
    </row>
    <row r="946" spans="1:7">
      <c r="A946" s="23" t="str">
        <f>IF('الصرف المباشر'!C446="","",'الصرف المباشر'!B446)</f>
        <v/>
      </c>
      <c r="B946" t="str">
        <f>IF('الصرف المباشر'!C446="","","صرف مباشر")</f>
        <v/>
      </c>
      <c r="C946" t="str">
        <f>IF('الصرف المباشر'!C446="","",IF('الصرف المباشر'!E446="","-",'الصرف المباشر'!E446))</f>
        <v/>
      </c>
      <c r="D946" t="str">
        <f>IF('الصرف المباشر'!C446="","",'الصرف المباشر'!C446)</f>
        <v/>
      </c>
      <c r="E946" s="24" t="str">
        <f>IF('الصرف المباشر'!C446="","",-'الصرف المباشر'!D446)</f>
        <v/>
      </c>
      <c r="F946" t="str">
        <f>IF('الصرف المباشر'!C446="","",IF('الصرف المباشر'!F446="","",'الصرف المباشر'!F446))</f>
        <v/>
      </c>
      <c r="G946" t="str">
        <f>IF($B946&lt;&gt;"",SUMPRODUCT(($B$2:$B946&lt;&gt;"")*1),"")</f>
        <v/>
      </c>
    </row>
    <row r="947" spans="1:7">
      <c r="A947" s="23" t="str">
        <f>IF('الصرف المباشر'!C447="","",'الصرف المباشر'!B447)</f>
        <v/>
      </c>
      <c r="B947" t="str">
        <f>IF('الصرف المباشر'!C447="","","صرف مباشر")</f>
        <v/>
      </c>
      <c r="C947" t="str">
        <f>IF('الصرف المباشر'!C447="","",IF('الصرف المباشر'!E447="","-",'الصرف المباشر'!E447))</f>
        <v/>
      </c>
      <c r="D947" t="str">
        <f>IF('الصرف المباشر'!C447="","",'الصرف المباشر'!C447)</f>
        <v/>
      </c>
      <c r="E947" s="24" t="str">
        <f>IF('الصرف المباشر'!C447="","",-'الصرف المباشر'!D447)</f>
        <v/>
      </c>
      <c r="F947" t="str">
        <f>IF('الصرف المباشر'!C447="","",IF('الصرف المباشر'!F447="","",'الصرف المباشر'!F447))</f>
        <v/>
      </c>
      <c r="G947" t="str">
        <f>IF($B947&lt;&gt;"",SUMPRODUCT(($B$2:$B947&lt;&gt;"")*1),"")</f>
        <v/>
      </c>
    </row>
    <row r="948" spans="1:7">
      <c r="A948" s="23" t="str">
        <f>IF('الصرف المباشر'!C448="","",'الصرف المباشر'!B448)</f>
        <v/>
      </c>
      <c r="B948" t="str">
        <f>IF('الصرف المباشر'!C448="","","صرف مباشر")</f>
        <v/>
      </c>
      <c r="C948" t="str">
        <f>IF('الصرف المباشر'!C448="","",IF('الصرف المباشر'!E448="","-",'الصرف المباشر'!E448))</f>
        <v/>
      </c>
      <c r="D948" t="str">
        <f>IF('الصرف المباشر'!C448="","",'الصرف المباشر'!C448)</f>
        <v/>
      </c>
      <c r="E948" s="24" t="str">
        <f>IF('الصرف المباشر'!C448="","",-'الصرف المباشر'!D448)</f>
        <v/>
      </c>
      <c r="F948" t="str">
        <f>IF('الصرف المباشر'!C448="","",IF('الصرف المباشر'!F448="","",'الصرف المباشر'!F448))</f>
        <v/>
      </c>
      <c r="G948" t="str">
        <f>IF($B948&lt;&gt;"",SUMPRODUCT(($B$2:$B948&lt;&gt;"")*1),"")</f>
        <v/>
      </c>
    </row>
    <row r="949" spans="1:7">
      <c r="A949" s="23" t="str">
        <f>IF('الصرف المباشر'!C449="","",'الصرف المباشر'!B449)</f>
        <v/>
      </c>
      <c r="B949" t="str">
        <f>IF('الصرف المباشر'!C449="","","صرف مباشر")</f>
        <v/>
      </c>
      <c r="C949" t="str">
        <f>IF('الصرف المباشر'!C449="","",IF('الصرف المباشر'!E449="","-",'الصرف المباشر'!E449))</f>
        <v/>
      </c>
      <c r="D949" t="str">
        <f>IF('الصرف المباشر'!C449="","",'الصرف المباشر'!C449)</f>
        <v/>
      </c>
      <c r="E949" s="24" t="str">
        <f>IF('الصرف المباشر'!C449="","",-'الصرف المباشر'!D449)</f>
        <v/>
      </c>
      <c r="F949" t="str">
        <f>IF('الصرف المباشر'!C449="","",IF('الصرف المباشر'!F449="","",'الصرف المباشر'!F449))</f>
        <v/>
      </c>
      <c r="G949" t="str">
        <f>IF($B949&lt;&gt;"",SUMPRODUCT(($B$2:$B949&lt;&gt;"")*1),"")</f>
        <v/>
      </c>
    </row>
    <row r="950" spans="1:7">
      <c r="A950" s="23" t="str">
        <f>IF('الصرف المباشر'!C450="","",'الصرف المباشر'!B450)</f>
        <v/>
      </c>
      <c r="B950" t="str">
        <f>IF('الصرف المباشر'!C450="","","صرف مباشر")</f>
        <v/>
      </c>
      <c r="C950" t="str">
        <f>IF('الصرف المباشر'!C450="","",IF('الصرف المباشر'!E450="","-",'الصرف المباشر'!E450))</f>
        <v/>
      </c>
      <c r="D950" t="str">
        <f>IF('الصرف المباشر'!C450="","",'الصرف المباشر'!C450)</f>
        <v/>
      </c>
      <c r="E950" s="24" t="str">
        <f>IF('الصرف المباشر'!C450="","",-'الصرف المباشر'!D450)</f>
        <v/>
      </c>
      <c r="F950" t="str">
        <f>IF('الصرف المباشر'!C450="","",IF('الصرف المباشر'!F450="","",'الصرف المباشر'!F450))</f>
        <v/>
      </c>
      <c r="G950" t="str">
        <f>IF($B950&lt;&gt;"",SUMPRODUCT(($B$2:$B950&lt;&gt;"")*1),"")</f>
        <v/>
      </c>
    </row>
    <row r="951" spans="1:7">
      <c r="A951" s="23" t="str">
        <f>IF('الصرف المباشر'!C451="","",'الصرف المباشر'!B451)</f>
        <v/>
      </c>
      <c r="B951" t="str">
        <f>IF('الصرف المباشر'!C451="","","صرف مباشر")</f>
        <v/>
      </c>
      <c r="C951" t="str">
        <f>IF('الصرف المباشر'!C451="","",IF('الصرف المباشر'!E451="","-",'الصرف المباشر'!E451))</f>
        <v/>
      </c>
      <c r="D951" t="str">
        <f>IF('الصرف المباشر'!C451="","",'الصرف المباشر'!C451)</f>
        <v/>
      </c>
      <c r="E951" s="24" t="str">
        <f>IF('الصرف المباشر'!C451="","",-'الصرف المباشر'!D451)</f>
        <v/>
      </c>
      <c r="F951" t="str">
        <f>IF('الصرف المباشر'!C451="","",IF('الصرف المباشر'!F451="","",'الصرف المباشر'!F451))</f>
        <v/>
      </c>
      <c r="G951" t="str">
        <f>IF($B951&lt;&gt;"",SUMPRODUCT(($B$2:$B951&lt;&gt;"")*1),"")</f>
        <v/>
      </c>
    </row>
    <row r="952" spans="1:7">
      <c r="A952" s="23" t="str">
        <f>IF('الصرف المباشر'!C452="","",'الصرف المباشر'!B452)</f>
        <v/>
      </c>
      <c r="B952" t="str">
        <f>IF('الصرف المباشر'!C452="","","صرف مباشر")</f>
        <v/>
      </c>
      <c r="C952" t="str">
        <f>IF('الصرف المباشر'!C452="","",IF('الصرف المباشر'!E452="","-",'الصرف المباشر'!E452))</f>
        <v/>
      </c>
      <c r="D952" t="str">
        <f>IF('الصرف المباشر'!C452="","",'الصرف المباشر'!C452)</f>
        <v/>
      </c>
      <c r="E952" s="24" t="str">
        <f>IF('الصرف المباشر'!C452="","",-'الصرف المباشر'!D452)</f>
        <v/>
      </c>
      <c r="F952" t="str">
        <f>IF('الصرف المباشر'!C452="","",IF('الصرف المباشر'!F452="","",'الصرف المباشر'!F452))</f>
        <v/>
      </c>
      <c r="G952" t="str">
        <f>IF($B952&lt;&gt;"",SUMPRODUCT(($B$2:$B952&lt;&gt;"")*1),"")</f>
        <v/>
      </c>
    </row>
    <row r="953" spans="1:7">
      <c r="A953" s="23" t="str">
        <f>IF('الصرف المباشر'!C453="","",'الصرف المباشر'!B453)</f>
        <v/>
      </c>
      <c r="B953" t="str">
        <f>IF('الصرف المباشر'!C453="","","صرف مباشر")</f>
        <v/>
      </c>
      <c r="C953" t="str">
        <f>IF('الصرف المباشر'!C453="","",IF('الصرف المباشر'!E453="","-",'الصرف المباشر'!E453))</f>
        <v/>
      </c>
      <c r="D953" t="str">
        <f>IF('الصرف المباشر'!C453="","",'الصرف المباشر'!C453)</f>
        <v/>
      </c>
      <c r="E953" s="24" t="str">
        <f>IF('الصرف المباشر'!C453="","",-'الصرف المباشر'!D453)</f>
        <v/>
      </c>
      <c r="F953" t="str">
        <f>IF('الصرف المباشر'!C453="","",IF('الصرف المباشر'!F453="","",'الصرف المباشر'!F453))</f>
        <v/>
      </c>
      <c r="G953" t="str">
        <f>IF($B953&lt;&gt;"",SUMPRODUCT(($B$2:$B953&lt;&gt;"")*1),"")</f>
        <v/>
      </c>
    </row>
    <row r="954" spans="1:7">
      <c r="A954" s="23" t="str">
        <f>IF('الصرف المباشر'!C454="","",'الصرف المباشر'!B454)</f>
        <v/>
      </c>
      <c r="B954" t="str">
        <f>IF('الصرف المباشر'!C454="","","صرف مباشر")</f>
        <v/>
      </c>
      <c r="C954" t="str">
        <f>IF('الصرف المباشر'!C454="","",IF('الصرف المباشر'!E454="","-",'الصرف المباشر'!E454))</f>
        <v/>
      </c>
      <c r="D954" t="str">
        <f>IF('الصرف المباشر'!C454="","",'الصرف المباشر'!C454)</f>
        <v/>
      </c>
      <c r="E954" s="24" t="str">
        <f>IF('الصرف المباشر'!C454="","",-'الصرف المباشر'!D454)</f>
        <v/>
      </c>
      <c r="F954" t="str">
        <f>IF('الصرف المباشر'!C454="","",IF('الصرف المباشر'!F454="","",'الصرف المباشر'!F454))</f>
        <v/>
      </c>
      <c r="G954" t="str">
        <f>IF($B954&lt;&gt;"",SUMPRODUCT(($B$2:$B954&lt;&gt;"")*1),"")</f>
        <v/>
      </c>
    </row>
    <row r="955" spans="1:7">
      <c r="A955" s="23" t="str">
        <f>IF('الصرف المباشر'!C455="","",'الصرف المباشر'!B455)</f>
        <v/>
      </c>
      <c r="B955" t="str">
        <f>IF('الصرف المباشر'!C455="","","صرف مباشر")</f>
        <v/>
      </c>
      <c r="C955" t="str">
        <f>IF('الصرف المباشر'!C455="","",IF('الصرف المباشر'!E455="","-",'الصرف المباشر'!E455))</f>
        <v/>
      </c>
      <c r="D955" t="str">
        <f>IF('الصرف المباشر'!C455="","",'الصرف المباشر'!C455)</f>
        <v/>
      </c>
      <c r="E955" s="24" t="str">
        <f>IF('الصرف المباشر'!C455="","",-'الصرف المباشر'!D455)</f>
        <v/>
      </c>
      <c r="F955" t="str">
        <f>IF('الصرف المباشر'!C455="","",IF('الصرف المباشر'!F455="","",'الصرف المباشر'!F455))</f>
        <v/>
      </c>
      <c r="G955" t="str">
        <f>IF($B955&lt;&gt;"",SUMPRODUCT(($B$2:$B955&lt;&gt;"")*1),"")</f>
        <v/>
      </c>
    </row>
    <row r="956" spans="1:7">
      <c r="A956" s="23" t="str">
        <f>IF('الصرف المباشر'!C456="","",'الصرف المباشر'!B456)</f>
        <v/>
      </c>
      <c r="B956" t="str">
        <f>IF('الصرف المباشر'!C456="","","صرف مباشر")</f>
        <v/>
      </c>
      <c r="C956" t="str">
        <f>IF('الصرف المباشر'!C456="","",IF('الصرف المباشر'!E456="","-",'الصرف المباشر'!E456))</f>
        <v/>
      </c>
      <c r="D956" t="str">
        <f>IF('الصرف المباشر'!C456="","",'الصرف المباشر'!C456)</f>
        <v/>
      </c>
      <c r="E956" s="24" t="str">
        <f>IF('الصرف المباشر'!C456="","",-'الصرف المباشر'!D456)</f>
        <v/>
      </c>
      <c r="F956" t="str">
        <f>IF('الصرف المباشر'!C456="","",IF('الصرف المباشر'!F456="","",'الصرف المباشر'!F456))</f>
        <v/>
      </c>
      <c r="G956" t="str">
        <f>IF($B956&lt;&gt;"",SUMPRODUCT(($B$2:$B956&lt;&gt;"")*1),"")</f>
        <v/>
      </c>
    </row>
    <row r="957" spans="1:7">
      <c r="A957" s="23" t="str">
        <f>IF('الصرف المباشر'!C457="","",'الصرف المباشر'!B457)</f>
        <v/>
      </c>
      <c r="B957" t="str">
        <f>IF('الصرف المباشر'!C457="","","صرف مباشر")</f>
        <v/>
      </c>
      <c r="C957" t="str">
        <f>IF('الصرف المباشر'!C457="","",IF('الصرف المباشر'!E457="","-",'الصرف المباشر'!E457))</f>
        <v/>
      </c>
      <c r="D957" t="str">
        <f>IF('الصرف المباشر'!C457="","",'الصرف المباشر'!C457)</f>
        <v/>
      </c>
      <c r="E957" s="24" t="str">
        <f>IF('الصرف المباشر'!C457="","",-'الصرف المباشر'!D457)</f>
        <v/>
      </c>
      <c r="F957" t="str">
        <f>IF('الصرف المباشر'!C457="","",IF('الصرف المباشر'!F457="","",'الصرف المباشر'!F457))</f>
        <v/>
      </c>
      <c r="G957" t="str">
        <f>IF($B957&lt;&gt;"",SUMPRODUCT(($B$2:$B957&lt;&gt;"")*1),"")</f>
        <v/>
      </c>
    </row>
    <row r="958" spans="1:7">
      <c r="A958" s="23" t="str">
        <f>IF('الصرف المباشر'!C458="","",'الصرف المباشر'!B458)</f>
        <v/>
      </c>
      <c r="B958" t="str">
        <f>IF('الصرف المباشر'!C458="","","صرف مباشر")</f>
        <v/>
      </c>
      <c r="C958" t="str">
        <f>IF('الصرف المباشر'!C458="","",IF('الصرف المباشر'!E458="","-",'الصرف المباشر'!E458))</f>
        <v/>
      </c>
      <c r="D958" t="str">
        <f>IF('الصرف المباشر'!C458="","",'الصرف المباشر'!C458)</f>
        <v/>
      </c>
      <c r="E958" s="24" t="str">
        <f>IF('الصرف المباشر'!C458="","",-'الصرف المباشر'!D458)</f>
        <v/>
      </c>
      <c r="F958" t="str">
        <f>IF('الصرف المباشر'!C458="","",IF('الصرف المباشر'!F458="","",'الصرف المباشر'!F458))</f>
        <v/>
      </c>
      <c r="G958" t="str">
        <f>IF($B958&lt;&gt;"",SUMPRODUCT(($B$2:$B958&lt;&gt;"")*1),"")</f>
        <v/>
      </c>
    </row>
    <row r="959" spans="1:7">
      <c r="A959" s="23" t="str">
        <f>IF('الصرف المباشر'!C459="","",'الصرف المباشر'!B459)</f>
        <v/>
      </c>
      <c r="B959" t="str">
        <f>IF('الصرف المباشر'!C459="","","صرف مباشر")</f>
        <v/>
      </c>
      <c r="C959" t="str">
        <f>IF('الصرف المباشر'!C459="","",IF('الصرف المباشر'!E459="","-",'الصرف المباشر'!E459))</f>
        <v/>
      </c>
      <c r="D959" t="str">
        <f>IF('الصرف المباشر'!C459="","",'الصرف المباشر'!C459)</f>
        <v/>
      </c>
      <c r="E959" s="24" t="str">
        <f>IF('الصرف المباشر'!C459="","",-'الصرف المباشر'!D459)</f>
        <v/>
      </c>
      <c r="F959" t="str">
        <f>IF('الصرف المباشر'!C459="","",IF('الصرف المباشر'!F459="","",'الصرف المباشر'!F459))</f>
        <v/>
      </c>
      <c r="G959" t="str">
        <f>IF($B959&lt;&gt;"",SUMPRODUCT(($B$2:$B959&lt;&gt;"")*1),"")</f>
        <v/>
      </c>
    </row>
    <row r="960" spans="1:7">
      <c r="A960" s="23" t="str">
        <f>IF('الصرف المباشر'!C460="","",'الصرف المباشر'!B460)</f>
        <v/>
      </c>
      <c r="B960" t="str">
        <f>IF('الصرف المباشر'!C460="","","صرف مباشر")</f>
        <v/>
      </c>
      <c r="C960" t="str">
        <f>IF('الصرف المباشر'!C460="","",IF('الصرف المباشر'!E460="","-",'الصرف المباشر'!E460))</f>
        <v/>
      </c>
      <c r="D960" t="str">
        <f>IF('الصرف المباشر'!C460="","",'الصرف المباشر'!C460)</f>
        <v/>
      </c>
      <c r="E960" s="24" t="str">
        <f>IF('الصرف المباشر'!C460="","",-'الصرف المباشر'!D460)</f>
        <v/>
      </c>
      <c r="F960" t="str">
        <f>IF('الصرف المباشر'!C460="","",IF('الصرف المباشر'!F460="","",'الصرف المباشر'!F460))</f>
        <v/>
      </c>
      <c r="G960" t="str">
        <f>IF($B960&lt;&gt;"",SUMPRODUCT(($B$2:$B960&lt;&gt;"")*1),"")</f>
        <v/>
      </c>
    </row>
    <row r="961" spans="1:7">
      <c r="A961" s="23" t="str">
        <f>IF('الصرف المباشر'!C461="","",'الصرف المباشر'!B461)</f>
        <v/>
      </c>
      <c r="B961" t="str">
        <f>IF('الصرف المباشر'!C461="","","صرف مباشر")</f>
        <v/>
      </c>
      <c r="C961" t="str">
        <f>IF('الصرف المباشر'!C461="","",IF('الصرف المباشر'!E461="","-",'الصرف المباشر'!E461))</f>
        <v/>
      </c>
      <c r="D961" t="str">
        <f>IF('الصرف المباشر'!C461="","",'الصرف المباشر'!C461)</f>
        <v/>
      </c>
      <c r="E961" s="24" t="str">
        <f>IF('الصرف المباشر'!C461="","",-'الصرف المباشر'!D461)</f>
        <v/>
      </c>
      <c r="F961" t="str">
        <f>IF('الصرف المباشر'!C461="","",IF('الصرف المباشر'!F461="","",'الصرف المباشر'!F461))</f>
        <v/>
      </c>
      <c r="G961" t="str">
        <f>IF($B961&lt;&gt;"",SUMPRODUCT(($B$2:$B961&lt;&gt;"")*1),"")</f>
        <v/>
      </c>
    </row>
    <row r="962" spans="1:7">
      <c r="A962" s="23" t="str">
        <f>IF('الصرف المباشر'!C462="","",'الصرف المباشر'!B462)</f>
        <v/>
      </c>
      <c r="B962" t="str">
        <f>IF('الصرف المباشر'!C462="","","صرف مباشر")</f>
        <v/>
      </c>
      <c r="C962" t="str">
        <f>IF('الصرف المباشر'!C462="","",IF('الصرف المباشر'!E462="","-",'الصرف المباشر'!E462))</f>
        <v/>
      </c>
      <c r="D962" t="str">
        <f>IF('الصرف المباشر'!C462="","",'الصرف المباشر'!C462)</f>
        <v/>
      </c>
      <c r="E962" s="24" t="str">
        <f>IF('الصرف المباشر'!C462="","",-'الصرف المباشر'!D462)</f>
        <v/>
      </c>
      <c r="F962" t="str">
        <f>IF('الصرف المباشر'!C462="","",IF('الصرف المباشر'!F462="","",'الصرف المباشر'!F462))</f>
        <v/>
      </c>
      <c r="G962" t="str">
        <f>IF($B962&lt;&gt;"",SUMPRODUCT(($B$2:$B962&lt;&gt;"")*1),"")</f>
        <v/>
      </c>
    </row>
    <row r="963" spans="1:7">
      <c r="A963" s="23" t="str">
        <f>IF('الصرف المباشر'!C463="","",'الصرف المباشر'!B463)</f>
        <v/>
      </c>
      <c r="B963" t="str">
        <f>IF('الصرف المباشر'!C463="","","صرف مباشر")</f>
        <v/>
      </c>
      <c r="C963" t="str">
        <f>IF('الصرف المباشر'!C463="","",IF('الصرف المباشر'!E463="","-",'الصرف المباشر'!E463))</f>
        <v/>
      </c>
      <c r="D963" t="str">
        <f>IF('الصرف المباشر'!C463="","",'الصرف المباشر'!C463)</f>
        <v/>
      </c>
      <c r="E963" s="24" t="str">
        <f>IF('الصرف المباشر'!C463="","",-'الصرف المباشر'!D463)</f>
        <v/>
      </c>
      <c r="F963" t="str">
        <f>IF('الصرف المباشر'!C463="","",IF('الصرف المباشر'!F463="","",'الصرف المباشر'!F463))</f>
        <v/>
      </c>
      <c r="G963" t="str">
        <f>IF($B963&lt;&gt;"",SUMPRODUCT(($B$2:$B963&lt;&gt;"")*1),"")</f>
        <v/>
      </c>
    </row>
    <row r="964" spans="1:7">
      <c r="A964" s="23" t="str">
        <f>IF('الصرف المباشر'!C464="","",'الصرف المباشر'!B464)</f>
        <v/>
      </c>
      <c r="B964" t="str">
        <f>IF('الصرف المباشر'!C464="","","صرف مباشر")</f>
        <v/>
      </c>
      <c r="C964" t="str">
        <f>IF('الصرف المباشر'!C464="","",IF('الصرف المباشر'!E464="","-",'الصرف المباشر'!E464))</f>
        <v/>
      </c>
      <c r="D964" t="str">
        <f>IF('الصرف المباشر'!C464="","",'الصرف المباشر'!C464)</f>
        <v/>
      </c>
      <c r="E964" s="24" t="str">
        <f>IF('الصرف المباشر'!C464="","",-'الصرف المباشر'!D464)</f>
        <v/>
      </c>
      <c r="F964" t="str">
        <f>IF('الصرف المباشر'!C464="","",IF('الصرف المباشر'!F464="","",'الصرف المباشر'!F464))</f>
        <v/>
      </c>
      <c r="G964" t="str">
        <f>IF($B964&lt;&gt;"",SUMPRODUCT(($B$2:$B964&lt;&gt;"")*1),"")</f>
        <v/>
      </c>
    </row>
    <row r="965" spans="1:7">
      <c r="A965" s="23" t="str">
        <f>IF('الصرف المباشر'!C465="","",'الصرف المباشر'!B465)</f>
        <v/>
      </c>
      <c r="B965" t="str">
        <f>IF('الصرف المباشر'!C465="","","صرف مباشر")</f>
        <v/>
      </c>
      <c r="C965" t="str">
        <f>IF('الصرف المباشر'!C465="","",IF('الصرف المباشر'!E465="","-",'الصرف المباشر'!E465))</f>
        <v/>
      </c>
      <c r="D965" t="str">
        <f>IF('الصرف المباشر'!C465="","",'الصرف المباشر'!C465)</f>
        <v/>
      </c>
      <c r="E965" s="24" t="str">
        <f>IF('الصرف المباشر'!C465="","",-'الصرف المباشر'!D465)</f>
        <v/>
      </c>
      <c r="F965" t="str">
        <f>IF('الصرف المباشر'!C465="","",IF('الصرف المباشر'!F465="","",'الصرف المباشر'!F465))</f>
        <v/>
      </c>
      <c r="G965" t="str">
        <f>IF($B965&lt;&gt;"",SUMPRODUCT(($B$2:$B965&lt;&gt;"")*1),"")</f>
        <v/>
      </c>
    </row>
    <row r="966" spans="1:7">
      <c r="A966" s="23" t="str">
        <f>IF('الصرف المباشر'!C466="","",'الصرف المباشر'!B466)</f>
        <v/>
      </c>
      <c r="B966" t="str">
        <f>IF('الصرف المباشر'!C466="","","صرف مباشر")</f>
        <v/>
      </c>
      <c r="C966" t="str">
        <f>IF('الصرف المباشر'!C466="","",IF('الصرف المباشر'!E466="","-",'الصرف المباشر'!E466))</f>
        <v/>
      </c>
      <c r="D966" t="str">
        <f>IF('الصرف المباشر'!C466="","",'الصرف المباشر'!C466)</f>
        <v/>
      </c>
      <c r="E966" s="24" t="str">
        <f>IF('الصرف المباشر'!C466="","",-'الصرف المباشر'!D466)</f>
        <v/>
      </c>
      <c r="F966" t="str">
        <f>IF('الصرف المباشر'!C466="","",IF('الصرف المباشر'!F466="","",'الصرف المباشر'!F466))</f>
        <v/>
      </c>
      <c r="G966" t="str">
        <f>IF($B966&lt;&gt;"",SUMPRODUCT(($B$2:$B966&lt;&gt;"")*1),"")</f>
        <v/>
      </c>
    </row>
    <row r="967" spans="1:7">
      <c r="A967" s="23" t="str">
        <f>IF('الصرف المباشر'!C467="","",'الصرف المباشر'!B467)</f>
        <v/>
      </c>
      <c r="B967" t="str">
        <f>IF('الصرف المباشر'!C467="","","صرف مباشر")</f>
        <v/>
      </c>
      <c r="C967" t="str">
        <f>IF('الصرف المباشر'!C467="","",IF('الصرف المباشر'!E467="","-",'الصرف المباشر'!E467))</f>
        <v/>
      </c>
      <c r="D967" t="str">
        <f>IF('الصرف المباشر'!C467="","",'الصرف المباشر'!C467)</f>
        <v/>
      </c>
      <c r="E967" s="24" t="str">
        <f>IF('الصرف المباشر'!C467="","",-'الصرف المباشر'!D467)</f>
        <v/>
      </c>
      <c r="F967" t="str">
        <f>IF('الصرف المباشر'!C467="","",IF('الصرف المباشر'!F467="","",'الصرف المباشر'!F467))</f>
        <v/>
      </c>
      <c r="G967" t="str">
        <f>IF($B967&lt;&gt;"",SUMPRODUCT(($B$2:$B967&lt;&gt;"")*1),"")</f>
        <v/>
      </c>
    </row>
    <row r="968" spans="1:7">
      <c r="A968" s="23" t="str">
        <f>IF('الصرف المباشر'!C468="","",'الصرف المباشر'!B468)</f>
        <v/>
      </c>
      <c r="B968" t="str">
        <f>IF('الصرف المباشر'!C468="","","صرف مباشر")</f>
        <v/>
      </c>
      <c r="C968" t="str">
        <f>IF('الصرف المباشر'!C468="","",IF('الصرف المباشر'!E468="","-",'الصرف المباشر'!E468))</f>
        <v/>
      </c>
      <c r="D968" t="str">
        <f>IF('الصرف المباشر'!C468="","",'الصرف المباشر'!C468)</f>
        <v/>
      </c>
      <c r="E968" s="24" t="str">
        <f>IF('الصرف المباشر'!C468="","",-'الصرف المباشر'!D468)</f>
        <v/>
      </c>
      <c r="F968" t="str">
        <f>IF('الصرف المباشر'!C468="","",IF('الصرف المباشر'!F468="","",'الصرف المباشر'!F468))</f>
        <v/>
      </c>
      <c r="G968" t="str">
        <f>IF($B968&lt;&gt;"",SUMPRODUCT(($B$2:$B968&lt;&gt;"")*1),"")</f>
        <v/>
      </c>
    </row>
    <row r="969" spans="1:7">
      <c r="A969" s="23" t="str">
        <f>IF('الصرف المباشر'!C469="","",'الصرف المباشر'!B469)</f>
        <v/>
      </c>
      <c r="B969" t="str">
        <f>IF('الصرف المباشر'!C469="","","صرف مباشر")</f>
        <v/>
      </c>
      <c r="C969" t="str">
        <f>IF('الصرف المباشر'!C469="","",IF('الصرف المباشر'!E469="","-",'الصرف المباشر'!E469))</f>
        <v/>
      </c>
      <c r="D969" t="str">
        <f>IF('الصرف المباشر'!C469="","",'الصرف المباشر'!C469)</f>
        <v/>
      </c>
      <c r="E969" s="24" t="str">
        <f>IF('الصرف المباشر'!C469="","",-'الصرف المباشر'!D469)</f>
        <v/>
      </c>
      <c r="F969" t="str">
        <f>IF('الصرف المباشر'!C469="","",IF('الصرف المباشر'!F469="","",'الصرف المباشر'!F469))</f>
        <v/>
      </c>
      <c r="G969" t="str">
        <f>IF($B969&lt;&gt;"",SUMPRODUCT(($B$2:$B969&lt;&gt;"")*1),"")</f>
        <v/>
      </c>
    </row>
    <row r="970" spans="1:7">
      <c r="A970" s="23" t="str">
        <f>IF('الصرف المباشر'!C470="","",'الصرف المباشر'!B470)</f>
        <v/>
      </c>
      <c r="B970" t="str">
        <f>IF('الصرف المباشر'!C470="","","صرف مباشر")</f>
        <v/>
      </c>
      <c r="C970" t="str">
        <f>IF('الصرف المباشر'!C470="","",IF('الصرف المباشر'!E470="","-",'الصرف المباشر'!E470))</f>
        <v/>
      </c>
      <c r="D970" t="str">
        <f>IF('الصرف المباشر'!C470="","",'الصرف المباشر'!C470)</f>
        <v/>
      </c>
      <c r="E970" s="24" t="str">
        <f>IF('الصرف المباشر'!C470="","",-'الصرف المباشر'!D470)</f>
        <v/>
      </c>
      <c r="F970" t="str">
        <f>IF('الصرف المباشر'!C470="","",IF('الصرف المباشر'!F470="","",'الصرف المباشر'!F470))</f>
        <v/>
      </c>
      <c r="G970" t="str">
        <f>IF($B970&lt;&gt;"",SUMPRODUCT(($B$2:$B970&lt;&gt;"")*1),"")</f>
        <v/>
      </c>
    </row>
    <row r="971" spans="1:7">
      <c r="A971" s="23" t="str">
        <f>IF('الصرف المباشر'!C471="","",'الصرف المباشر'!B471)</f>
        <v/>
      </c>
      <c r="B971" t="str">
        <f>IF('الصرف المباشر'!C471="","","صرف مباشر")</f>
        <v/>
      </c>
      <c r="C971" t="str">
        <f>IF('الصرف المباشر'!C471="","",IF('الصرف المباشر'!E471="","-",'الصرف المباشر'!E471))</f>
        <v/>
      </c>
      <c r="D971" t="str">
        <f>IF('الصرف المباشر'!C471="","",'الصرف المباشر'!C471)</f>
        <v/>
      </c>
      <c r="E971" s="24" t="str">
        <f>IF('الصرف المباشر'!C471="","",-'الصرف المباشر'!D471)</f>
        <v/>
      </c>
      <c r="F971" t="str">
        <f>IF('الصرف المباشر'!C471="","",IF('الصرف المباشر'!F471="","",'الصرف المباشر'!F471))</f>
        <v/>
      </c>
      <c r="G971" t="str">
        <f>IF($B971&lt;&gt;"",SUMPRODUCT(($B$2:$B971&lt;&gt;"")*1),"")</f>
        <v/>
      </c>
    </row>
    <row r="972" spans="1:7">
      <c r="A972" s="23" t="str">
        <f>IF('الصرف المباشر'!C472="","",'الصرف المباشر'!B472)</f>
        <v/>
      </c>
      <c r="B972" t="str">
        <f>IF('الصرف المباشر'!C472="","","صرف مباشر")</f>
        <v/>
      </c>
      <c r="C972" t="str">
        <f>IF('الصرف المباشر'!C472="","",IF('الصرف المباشر'!E472="","-",'الصرف المباشر'!E472))</f>
        <v/>
      </c>
      <c r="D972" t="str">
        <f>IF('الصرف المباشر'!C472="","",'الصرف المباشر'!C472)</f>
        <v/>
      </c>
      <c r="E972" s="24" t="str">
        <f>IF('الصرف المباشر'!C472="","",-'الصرف المباشر'!D472)</f>
        <v/>
      </c>
      <c r="F972" t="str">
        <f>IF('الصرف المباشر'!C472="","",IF('الصرف المباشر'!F472="","",'الصرف المباشر'!F472))</f>
        <v/>
      </c>
      <c r="G972" t="str">
        <f>IF($B972&lt;&gt;"",SUMPRODUCT(($B$2:$B972&lt;&gt;"")*1),"")</f>
        <v/>
      </c>
    </row>
    <row r="973" spans="1:7">
      <c r="A973" s="23" t="str">
        <f>IF('الصرف المباشر'!C473="","",'الصرف المباشر'!B473)</f>
        <v/>
      </c>
      <c r="B973" t="str">
        <f>IF('الصرف المباشر'!C473="","","صرف مباشر")</f>
        <v/>
      </c>
      <c r="C973" t="str">
        <f>IF('الصرف المباشر'!C473="","",IF('الصرف المباشر'!E473="","-",'الصرف المباشر'!E473))</f>
        <v/>
      </c>
      <c r="D973" t="str">
        <f>IF('الصرف المباشر'!C473="","",'الصرف المباشر'!C473)</f>
        <v/>
      </c>
      <c r="E973" s="24" t="str">
        <f>IF('الصرف المباشر'!C473="","",-'الصرف المباشر'!D473)</f>
        <v/>
      </c>
      <c r="F973" t="str">
        <f>IF('الصرف المباشر'!C473="","",IF('الصرف المباشر'!F473="","",'الصرف المباشر'!F473))</f>
        <v/>
      </c>
      <c r="G973" t="str">
        <f>IF($B973&lt;&gt;"",SUMPRODUCT(($B$2:$B973&lt;&gt;"")*1),"")</f>
        <v/>
      </c>
    </row>
    <row r="974" spans="1:7">
      <c r="A974" s="23" t="str">
        <f>IF('الصرف المباشر'!C474="","",'الصرف المباشر'!B474)</f>
        <v/>
      </c>
      <c r="B974" t="str">
        <f>IF('الصرف المباشر'!C474="","","صرف مباشر")</f>
        <v/>
      </c>
      <c r="C974" t="str">
        <f>IF('الصرف المباشر'!C474="","",IF('الصرف المباشر'!E474="","-",'الصرف المباشر'!E474))</f>
        <v/>
      </c>
      <c r="D974" t="str">
        <f>IF('الصرف المباشر'!C474="","",'الصرف المباشر'!C474)</f>
        <v/>
      </c>
      <c r="E974" s="24" t="str">
        <f>IF('الصرف المباشر'!C474="","",-'الصرف المباشر'!D474)</f>
        <v/>
      </c>
      <c r="F974" t="str">
        <f>IF('الصرف المباشر'!C474="","",IF('الصرف المباشر'!F474="","",'الصرف المباشر'!F474))</f>
        <v/>
      </c>
      <c r="G974" t="str">
        <f>IF($B974&lt;&gt;"",SUMPRODUCT(($B$2:$B974&lt;&gt;"")*1),"")</f>
        <v/>
      </c>
    </row>
    <row r="975" spans="1:7">
      <c r="A975" s="23" t="str">
        <f>IF('الصرف المباشر'!C475="","",'الصرف المباشر'!B475)</f>
        <v/>
      </c>
      <c r="B975" t="str">
        <f>IF('الصرف المباشر'!C475="","","صرف مباشر")</f>
        <v/>
      </c>
      <c r="C975" t="str">
        <f>IF('الصرف المباشر'!C475="","",IF('الصرف المباشر'!E475="","-",'الصرف المباشر'!E475))</f>
        <v/>
      </c>
      <c r="D975" t="str">
        <f>IF('الصرف المباشر'!C475="","",'الصرف المباشر'!C475)</f>
        <v/>
      </c>
      <c r="E975" s="24" t="str">
        <f>IF('الصرف المباشر'!C475="","",-'الصرف المباشر'!D475)</f>
        <v/>
      </c>
      <c r="F975" t="str">
        <f>IF('الصرف المباشر'!C475="","",IF('الصرف المباشر'!F475="","",'الصرف المباشر'!F475))</f>
        <v/>
      </c>
      <c r="G975" t="str">
        <f>IF($B975&lt;&gt;"",SUMPRODUCT(($B$2:$B975&lt;&gt;"")*1),"")</f>
        <v/>
      </c>
    </row>
    <row r="976" spans="1:7">
      <c r="A976" s="23" t="str">
        <f>IF('الصرف المباشر'!C476="","",'الصرف المباشر'!B476)</f>
        <v/>
      </c>
      <c r="B976" t="str">
        <f>IF('الصرف المباشر'!C476="","","صرف مباشر")</f>
        <v/>
      </c>
      <c r="C976" t="str">
        <f>IF('الصرف المباشر'!C476="","",IF('الصرف المباشر'!E476="","-",'الصرف المباشر'!E476))</f>
        <v/>
      </c>
      <c r="D976" t="str">
        <f>IF('الصرف المباشر'!C476="","",'الصرف المباشر'!C476)</f>
        <v/>
      </c>
      <c r="E976" s="24" t="str">
        <f>IF('الصرف المباشر'!C476="","",-'الصرف المباشر'!D476)</f>
        <v/>
      </c>
      <c r="F976" t="str">
        <f>IF('الصرف المباشر'!C476="","",IF('الصرف المباشر'!F476="","",'الصرف المباشر'!F476))</f>
        <v/>
      </c>
      <c r="G976" t="str">
        <f>IF($B976&lt;&gt;"",SUMPRODUCT(($B$2:$B976&lt;&gt;"")*1),"")</f>
        <v/>
      </c>
    </row>
    <row r="977" spans="1:7">
      <c r="A977" s="23" t="str">
        <f>IF('الصرف المباشر'!C477="","",'الصرف المباشر'!B477)</f>
        <v/>
      </c>
      <c r="B977" t="str">
        <f>IF('الصرف المباشر'!C477="","","صرف مباشر")</f>
        <v/>
      </c>
      <c r="C977" t="str">
        <f>IF('الصرف المباشر'!C477="","",IF('الصرف المباشر'!E477="","-",'الصرف المباشر'!E477))</f>
        <v/>
      </c>
      <c r="D977" t="str">
        <f>IF('الصرف المباشر'!C477="","",'الصرف المباشر'!C477)</f>
        <v/>
      </c>
      <c r="E977" s="24" t="str">
        <f>IF('الصرف المباشر'!C477="","",-'الصرف المباشر'!D477)</f>
        <v/>
      </c>
      <c r="F977" t="str">
        <f>IF('الصرف المباشر'!C477="","",IF('الصرف المباشر'!F477="","",'الصرف المباشر'!F477))</f>
        <v/>
      </c>
      <c r="G977" t="str">
        <f>IF($B977&lt;&gt;"",SUMPRODUCT(($B$2:$B977&lt;&gt;"")*1),"")</f>
        <v/>
      </c>
    </row>
    <row r="978" spans="1:7">
      <c r="A978" s="23" t="str">
        <f>IF('الصرف المباشر'!C478="","",'الصرف المباشر'!B478)</f>
        <v/>
      </c>
      <c r="B978" t="str">
        <f>IF('الصرف المباشر'!C478="","","صرف مباشر")</f>
        <v/>
      </c>
      <c r="C978" t="str">
        <f>IF('الصرف المباشر'!C478="","",IF('الصرف المباشر'!E478="","-",'الصرف المباشر'!E478))</f>
        <v/>
      </c>
      <c r="D978" t="str">
        <f>IF('الصرف المباشر'!C478="","",'الصرف المباشر'!C478)</f>
        <v/>
      </c>
      <c r="E978" s="24" t="str">
        <f>IF('الصرف المباشر'!C478="","",-'الصرف المباشر'!D478)</f>
        <v/>
      </c>
      <c r="F978" t="str">
        <f>IF('الصرف المباشر'!C478="","",IF('الصرف المباشر'!F478="","",'الصرف المباشر'!F478))</f>
        <v/>
      </c>
      <c r="G978" t="str">
        <f>IF($B978&lt;&gt;"",SUMPRODUCT(($B$2:$B978&lt;&gt;"")*1),"")</f>
        <v/>
      </c>
    </row>
    <row r="979" spans="1:7">
      <c r="A979" s="23" t="str">
        <f>IF('الصرف المباشر'!C479="","",'الصرف المباشر'!B479)</f>
        <v/>
      </c>
      <c r="B979" t="str">
        <f>IF('الصرف المباشر'!C479="","","صرف مباشر")</f>
        <v/>
      </c>
      <c r="C979" t="str">
        <f>IF('الصرف المباشر'!C479="","",IF('الصرف المباشر'!E479="","-",'الصرف المباشر'!E479))</f>
        <v/>
      </c>
      <c r="D979" t="str">
        <f>IF('الصرف المباشر'!C479="","",'الصرف المباشر'!C479)</f>
        <v/>
      </c>
      <c r="E979" s="24" t="str">
        <f>IF('الصرف المباشر'!C479="","",-'الصرف المباشر'!D479)</f>
        <v/>
      </c>
      <c r="F979" t="str">
        <f>IF('الصرف المباشر'!C479="","",IF('الصرف المباشر'!F479="","",'الصرف المباشر'!F479))</f>
        <v/>
      </c>
      <c r="G979" t="str">
        <f>IF($B979&lt;&gt;"",SUMPRODUCT(($B$2:$B979&lt;&gt;"")*1),"")</f>
        <v/>
      </c>
    </row>
    <row r="980" spans="1:7">
      <c r="A980" s="23" t="str">
        <f>IF('الصرف المباشر'!C480="","",'الصرف المباشر'!B480)</f>
        <v/>
      </c>
      <c r="B980" t="str">
        <f>IF('الصرف المباشر'!C480="","","صرف مباشر")</f>
        <v/>
      </c>
      <c r="C980" t="str">
        <f>IF('الصرف المباشر'!C480="","",IF('الصرف المباشر'!E480="","-",'الصرف المباشر'!E480))</f>
        <v/>
      </c>
      <c r="D980" t="str">
        <f>IF('الصرف المباشر'!C480="","",'الصرف المباشر'!C480)</f>
        <v/>
      </c>
      <c r="E980" s="24" t="str">
        <f>IF('الصرف المباشر'!C480="","",-'الصرف المباشر'!D480)</f>
        <v/>
      </c>
      <c r="F980" t="str">
        <f>IF('الصرف المباشر'!C480="","",IF('الصرف المباشر'!F480="","",'الصرف المباشر'!F480))</f>
        <v/>
      </c>
      <c r="G980" t="str">
        <f>IF($B980&lt;&gt;"",SUMPRODUCT(($B$2:$B980&lt;&gt;"")*1),"")</f>
        <v/>
      </c>
    </row>
    <row r="981" spans="1:7">
      <c r="A981" s="23" t="str">
        <f>IF('الصرف المباشر'!C481="","",'الصرف المباشر'!B481)</f>
        <v/>
      </c>
      <c r="B981" t="str">
        <f>IF('الصرف المباشر'!C481="","","صرف مباشر")</f>
        <v/>
      </c>
      <c r="C981" t="str">
        <f>IF('الصرف المباشر'!C481="","",IF('الصرف المباشر'!E481="","-",'الصرف المباشر'!E481))</f>
        <v/>
      </c>
      <c r="D981" t="str">
        <f>IF('الصرف المباشر'!C481="","",'الصرف المباشر'!C481)</f>
        <v/>
      </c>
      <c r="E981" s="24" t="str">
        <f>IF('الصرف المباشر'!C481="","",-'الصرف المباشر'!D481)</f>
        <v/>
      </c>
      <c r="F981" t="str">
        <f>IF('الصرف المباشر'!C481="","",IF('الصرف المباشر'!F481="","",'الصرف المباشر'!F481))</f>
        <v/>
      </c>
      <c r="G981" t="str">
        <f>IF($B981&lt;&gt;"",SUMPRODUCT(($B$2:$B981&lt;&gt;"")*1),"")</f>
        <v/>
      </c>
    </row>
    <row r="982" spans="1:7">
      <c r="A982" s="23" t="str">
        <f>IF('الصرف المباشر'!C482="","",'الصرف المباشر'!B482)</f>
        <v/>
      </c>
      <c r="B982" t="str">
        <f>IF('الصرف المباشر'!C482="","","صرف مباشر")</f>
        <v/>
      </c>
      <c r="C982" t="str">
        <f>IF('الصرف المباشر'!C482="","",IF('الصرف المباشر'!E482="","-",'الصرف المباشر'!E482))</f>
        <v/>
      </c>
      <c r="D982" t="str">
        <f>IF('الصرف المباشر'!C482="","",'الصرف المباشر'!C482)</f>
        <v/>
      </c>
      <c r="E982" s="24" t="str">
        <f>IF('الصرف المباشر'!C482="","",-'الصرف المباشر'!D482)</f>
        <v/>
      </c>
      <c r="F982" t="str">
        <f>IF('الصرف المباشر'!C482="","",IF('الصرف المباشر'!F482="","",'الصرف المباشر'!F482))</f>
        <v/>
      </c>
      <c r="G982" t="str">
        <f>IF($B982&lt;&gt;"",SUMPRODUCT(($B$2:$B982&lt;&gt;"")*1),"")</f>
        <v/>
      </c>
    </row>
    <row r="983" spans="1:7">
      <c r="A983" s="23" t="str">
        <f>IF('الصرف المباشر'!C483="","",'الصرف المباشر'!B483)</f>
        <v/>
      </c>
      <c r="B983" t="str">
        <f>IF('الصرف المباشر'!C483="","","صرف مباشر")</f>
        <v/>
      </c>
      <c r="C983" t="str">
        <f>IF('الصرف المباشر'!C483="","",IF('الصرف المباشر'!E483="","-",'الصرف المباشر'!E483))</f>
        <v/>
      </c>
      <c r="D983" t="str">
        <f>IF('الصرف المباشر'!C483="","",'الصرف المباشر'!C483)</f>
        <v/>
      </c>
      <c r="E983" s="24" t="str">
        <f>IF('الصرف المباشر'!C483="","",-'الصرف المباشر'!D483)</f>
        <v/>
      </c>
      <c r="F983" t="str">
        <f>IF('الصرف المباشر'!C483="","",IF('الصرف المباشر'!F483="","",'الصرف المباشر'!F483))</f>
        <v/>
      </c>
      <c r="G983" t="str">
        <f>IF($B983&lt;&gt;"",SUMPRODUCT(($B$2:$B983&lt;&gt;"")*1),"")</f>
        <v/>
      </c>
    </row>
    <row r="984" spans="1:7">
      <c r="A984" s="23" t="str">
        <f>IF('الصرف المباشر'!C484="","",'الصرف المباشر'!B484)</f>
        <v/>
      </c>
      <c r="B984" t="str">
        <f>IF('الصرف المباشر'!C484="","","صرف مباشر")</f>
        <v/>
      </c>
      <c r="C984" t="str">
        <f>IF('الصرف المباشر'!C484="","",IF('الصرف المباشر'!E484="","-",'الصرف المباشر'!E484))</f>
        <v/>
      </c>
      <c r="D984" t="str">
        <f>IF('الصرف المباشر'!C484="","",'الصرف المباشر'!C484)</f>
        <v/>
      </c>
      <c r="E984" s="24" t="str">
        <f>IF('الصرف المباشر'!C484="","",-'الصرف المباشر'!D484)</f>
        <v/>
      </c>
      <c r="F984" t="str">
        <f>IF('الصرف المباشر'!C484="","",IF('الصرف المباشر'!F484="","",'الصرف المباشر'!F484))</f>
        <v/>
      </c>
      <c r="G984" t="str">
        <f>IF($B984&lt;&gt;"",SUMPRODUCT(($B$2:$B984&lt;&gt;"")*1),"")</f>
        <v/>
      </c>
    </row>
    <row r="985" spans="1:7">
      <c r="A985" s="23" t="str">
        <f>IF('الصرف المباشر'!C485="","",'الصرف المباشر'!B485)</f>
        <v/>
      </c>
      <c r="B985" t="str">
        <f>IF('الصرف المباشر'!C485="","","صرف مباشر")</f>
        <v/>
      </c>
      <c r="C985" t="str">
        <f>IF('الصرف المباشر'!C485="","",IF('الصرف المباشر'!E485="","-",'الصرف المباشر'!E485))</f>
        <v/>
      </c>
      <c r="D985" t="str">
        <f>IF('الصرف المباشر'!C485="","",'الصرف المباشر'!C485)</f>
        <v/>
      </c>
      <c r="E985" s="24" t="str">
        <f>IF('الصرف المباشر'!C485="","",-'الصرف المباشر'!D485)</f>
        <v/>
      </c>
      <c r="F985" t="str">
        <f>IF('الصرف المباشر'!C485="","",IF('الصرف المباشر'!F485="","",'الصرف المباشر'!F485))</f>
        <v/>
      </c>
      <c r="G985" t="str">
        <f>IF($B985&lt;&gt;"",SUMPRODUCT(($B$2:$B985&lt;&gt;"")*1),"")</f>
        <v/>
      </c>
    </row>
    <row r="986" spans="1:7">
      <c r="A986" s="23" t="str">
        <f>IF('الصرف المباشر'!C486="","",'الصرف المباشر'!B486)</f>
        <v/>
      </c>
      <c r="B986" t="str">
        <f>IF('الصرف المباشر'!C486="","","صرف مباشر")</f>
        <v/>
      </c>
      <c r="C986" t="str">
        <f>IF('الصرف المباشر'!C486="","",IF('الصرف المباشر'!E486="","-",'الصرف المباشر'!E486))</f>
        <v/>
      </c>
      <c r="D986" t="str">
        <f>IF('الصرف المباشر'!C486="","",'الصرف المباشر'!C486)</f>
        <v/>
      </c>
      <c r="E986" s="24" t="str">
        <f>IF('الصرف المباشر'!C486="","",-'الصرف المباشر'!D486)</f>
        <v/>
      </c>
      <c r="F986" t="str">
        <f>IF('الصرف المباشر'!C486="","",IF('الصرف المباشر'!F486="","",'الصرف المباشر'!F486))</f>
        <v/>
      </c>
      <c r="G986" t="str">
        <f>IF($B986&lt;&gt;"",SUMPRODUCT(($B$2:$B986&lt;&gt;"")*1),"")</f>
        <v/>
      </c>
    </row>
    <row r="987" spans="1:7">
      <c r="A987" s="23" t="str">
        <f>IF('الصرف المباشر'!C487="","",'الصرف المباشر'!B487)</f>
        <v/>
      </c>
      <c r="B987" t="str">
        <f>IF('الصرف المباشر'!C487="","","صرف مباشر")</f>
        <v/>
      </c>
      <c r="C987" t="str">
        <f>IF('الصرف المباشر'!C487="","",IF('الصرف المباشر'!E487="","-",'الصرف المباشر'!E487))</f>
        <v/>
      </c>
      <c r="D987" t="str">
        <f>IF('الصرف المباشر'!C487="","",'الصرف المباشر'!C487)</f>
        <v/>
      </c>
      <c r="E987" s="24" t="str">
        <f>IF('الصرف المباشر'!C487="","",-'الصرف المباشر'!D487)</f>
        <v/>
      </c>
      <c r="F987" t="str">
        <f>IF('الصرف المباشر'!C487="","",IF('الصرف المباشر'!F487="","",'الصرف المباشر'!F487))</f>
        <v/>
      </c>
      <c r="G987" t="str">
        <f>IF($B987&lt;&gt;"",SUMPRODUCT(($B$2:$B987&lt;&gt;"")*1),"")</f>
        <v/>
      </c>
    </row>
    <row r="988" spans="1:7">
      <c r="A988" s="23" t="str">
        <f>IF('الصرف المباشر'!C488="","",'الصرف المباشر'!B488)</f>
        <v/>
      </c>
      <c r="B988" t="str">
        <f>IF('الصرف المباشر'!C488="","","صرف مباشر")</f>
        <v/>
      </c>
      <c r="C988" t="str">
        <f>IF('الصرف المباشر'!C488="","",IF('الصرف المباشر'!E488="","-",'الصرف المباشر'!E488))</f>
        <v/>
      </c>
      <c r="D988" t="str">
        <f>IF('الصرف المباشر'!C488="","",'الصرف المباشر'!C488)</f>
        <v/>
      </c>
      <c r="E988" s="24" t="str">
        <f>IF('الصرف المباشر'!C488="","",-'الصرف المباشر'!D488)</f>
        <v/>
      </c>
      <c r="F988" t="str">
        <f>IF('الصرف المباشر'!C488="","",IF('الصرف المباشر'!F488="","",'الصرف المباشر'!F488))</f>
        <v/>
      </c>
      <c r="G988" t="str">
        <f>IF($B988&lt;&gt;"",SUMPRODUCT(($B$2:$B988&lt;&gt;"")*1),"")</f>
        <v/>
      </c>
    </row>
    <row r="989" spans="1:7">
      <c r="A989" s="23" t="str">
        <f>IF('الصرف المباشر'!C489="","",'الصرف المباشر'!B489)</f>
        <v/>
      </c>
      <c r="B989" t="str">
        <f>IF('الصرف المباشر'!C489="","","صرف مباشر")</f>
        <v/>
      </c>
      <c r="C989" t="str">
        <f>IF('الصرف المباشر'!C489="","",IF('الصرف المباشر'!E489="","-",'الصرف المباشر'!E489))</f>
        <v/>
      </c>
      <c r="D989" t="str">
        <f>IF('الصرف المباشر'!C489="","",'الصرف المباشر'!C489)</f>
        <v/>
      </c>
      <c r="E989" s="24" t="str">
        <f>IF('الصرف المباشر'!C489="","",-'الصرف المباشر'!D489)</f>
        <v/>
      </c>
      <c r="F989" t="str">
        <f>IF('الصرف المباشر'!C489="","",IF('الصرف المباشر'!F489="","",'الصرف المباشر'!F489))</f>
        <v/>
      </c>
      <c r="G989" t="str">
        <f>IF($B989&lt;&gt;"",SUMPRODUCT(($B$2:$B989&lt;&gt;"")*1),"")</f>
        <v/>
      </c>
    </row>
    <row r="990" spans="1:7">
      <c r="A990" s="23" t="str">
        <f>IF('الصرف المباشر'!C490="","",'الصرف المباشر'!B490)</f>
        <v/>
      </c>
      <c r="B990" t="str">
        <f>IF('الصرف المباشر'!C490="","","صرف مباشر")</f>
        <v/>
      </c>
      <c r="C990" t="str">
        <f>IF('الصرف المباشر'!C490="","",IF('الصرف المباشر'!E490="","-",'الصرف المباشر'!E490))</f>
        <v/>
      </c>
      <c r="D990" t="str">
        <f>IF('الصرف المباشر'!C490="","",'الصرف المباشر'!C490)</f>
        <v/>
      </c>
      <c r="E990" s="24" t="str">
        <f>IF('الصرف المباشر'!C490="","",-'الصرف المباشر'!D490)</f>
        <v/>
      </c>
      <c r="F990" t="str">
        <f>IF('الصرف المباشر'!C490="","",IF('الصرف المباشر'!F490="","",'الصرف المباشر'!F490))</f>
        <v/>
      </c>
      <c r="G990" t="str">
        <f>IF($B990&lt;&gt;"",SUMPRODUCT(($B$2:$B990&lt;&gt;"")*1),"")</f>
        <v/>
      </c>
    </row>
    <row r="991" spans="1:7">
      <c r="A991" s="23" t="str">
        <f>IF('الصرف المباشر'!C491="","",'الصرف المباشر'!B491)</f>
        <v/>
      </c>
      <c r="B991" t="str">
        <f>IF('الصرف المباشر'!C491="","","صرف مباشر")</f>
        <v/>
      </c>
      <c r="C991" t="str">
        <f>IF('الصرف المباشر'!C491="","",IF('الصرف المباشر'!E491="","-",'الصرف المباشر'!E491))</f>
        <v/>
      </c>
      <c r="D991" t="str">
        <f>IF('الصرف المباشر'!C491="","",'الصرف المباشر'!C491)</f>
        <v/>
      </c>
      <c r="E991" s="24" t="str">
        <f>IF('الصرف المباشر'!C491="","",-'الصرف المباشر'!D491)</f>
        <v/>
      </c>
      <c r="F991" t="str">
        <f>IF('الصرف المباشر'!C491="","",IF('الصرف المباشر'!F491="","",'الصرف المباشر'!F491))</f>
        <v/>
      </c>
      <c r="G991" t="str">
        <f>IF($B991&lt;&gt;"",SUMPRODUCT(($B$2:$B991&lt;&gt;"")*1),"")</f>
        <v/>
      </c>
    </row>
    <row r="992" spans="1:7">
      <c r="A992" s="23" t="str">
        <f>IF('الصرف المباشر'!C492="","",'الصرف المباشر'!B492)</f>
        <v/>
      </c>
      <c r="B992" t="str">
        <f>IF('الصرف المباشر'!C492="","","صرف مباشر")</f>
        <v/>
      </c>
      <c r="C992" t="str">
        <f>IF('الصرف المباشر'!C492="","",IF('الصرف المباشر'!E492="","-",'الصرف المباشر'!E492))</f>
        <v/>
      </c>
      <c r="D992" t="str">
        <f>IF('الصرف المباشر'!C492="","",'الصرف المباشر'!C492)</f>
        <v/>
      </c>
      <c r="E992" s="24" t="str">
        <f>IF('الصرف المباشر'!C492="","",-'الصرف المباشر'!D492)</f>
        <v/>
      </c>
      <c r="F992" t="str">
        <f>IF('الصرف المباشر'!C492="","",IF('الصرف المباشر'!F492="","",'الصرف المباشر'!F492))</f>
        <v/>
      </c>
      <c r="G992" t="str">
        <f>IF($B992&lt;&gt;"",SUMPRODUCT(($B$2:$B992&lt;&gt;"")*1),"")</f>
        <v/>
      </c>
    </row>
    <row r="993" spans="1:7">
      <c r="A993" s="23" t="str">
        <f>IF('الصرف المباشر'!C493="","",'الصرف المباشر'!B493)</f>
        <v/>
      </c>
      <c r="B993" t="str">
        <f>IF('الصرف المباشر'!C493="","","صرف مباشر")</f>
        <v/>
      </c>
      <c r="C993" t="str">
        <f>IF('الصرف المباشر'!C493="","",IF('الصرف المباشر'!E493="","-",'الصرف المباشر'!E493))</f>
        <v/>
      </c>
      <c r="D993" t="str">
        <f>IF('الصرف المباشر'!C493="","",'الصرف المباشر'!C493)</f>
        <v/>
      </c>
      <c r="E993" s="24" t="str">
        <f>IF('الصرف المباشر'!C493="","",-'الصرف المباشر'!D493)</f>
        <v/>
      </c>
      <c r="F993" t="str">
        <f>IF('الصرف المباشر'!C493="","",IF('الصرف المباشر'!F493="","",'الصرف المباشر'!F493))</f>
        <v/>
      </c>
      <c r="G993" t="str">
        <f>IF($B993&lt;&gt;"",SUMPRODUCT(($B$2:$B993&lt;&gt;"")*1),"")</f>
        <v/>
      </c>
    </row>
    <row r="994" spans="1:7">
      <c r="A994" s="23" t="str">
        <f>IF('الصرف المباشر'!C494="","",'الصرف المباشر'!B494)</f>
        <v/>
      </c>
      <c r="B994" t="str">
        <f>IF('الصرف المباشر'!C494="","","صرف مباشر")</f>
        <v/>
      </c>
      <c r="C994" t="str">
        <f>IF('الصرف المباشر'!C494="","",IF('الصرف المباشر'!E494="","-",'الصرف المباشر'!E494))</f>
        <v/>
      </c>
      <c r="D994" t="str">
        <f>IF('الصرف المباشر'!C494="","",'الصرف المباشر'!C494)</f>
        <v/>
      </c>
      <c r="E994" s="24" t="str">
        <f>IF('الصرف المباشر'!C494="","",-'الصرف المباشر'!D494)</f>
        <v/>
      </c>
      <c r="F994" t="str">
        <f>IF('الصرف المباشر'!C494="","",IF('الصرف المباشر'!F494="","",'الصرف المباشر'!F494))</f>
        <v/>
      </c>
      <c r="G994" t="str">
        <f>IF($B994&lt;&gt;"",SUMPRODUCT(($B$2:$B994&lt;&gt;"")*1),"")</f>
        <v/>
      </c>
    </row>
    <row r="995" spans="1:7">
      <c r="A995" s="23" t="str">
        <f>IF('الصرف المباشر'!C495="","",'الصرف المباشر'!B495)</f>
        <v/>
      </c>
      <c r="B995" t="str">
        <f>IF('الصرف المباشر'!C495="","","صرف مباشر")</f>
        <v/>
      </c>
      <c r="C995" t="str">
        <f>IF('الصرف المباشر'!C495="","",IF('الصرف المباشر'!E495="","-",'الصرف المباشر'!E495))</f>
        <v/>
      </c>
      <c r="D995" t="str">
        <f>IF('الصرف المباشر'!C495="","",'الصرف المباشر'!C495)</f>
        <v/>
      </c>
      <c r="E995" s="24" t="str">
        <f>IF('الصرف المباشر'!C495="","",-'الصرف المباشر'!D495)</f>
        <v/>
      </c>
      <c r="F995" t="str">
        <f>IF('الصرف المباشر'!C495="","",IF('الصرف المباشر'!F495="","",'الصرف المباشر'!F495))</f>
        <v/>
      </c>
      <c r="G995" t="str">
        <f>IF($B995&lt;&gt;"",SUMPRODUCT(($B$2:$B995&lt;&gt;"")*1),"")</f>
        <v/>
      </c>
    </row>
    <row r="996" spans="1:7">
      <c r="A996" s="23" t="str">
        <f>IF('الصرف المباشر'!C496="","",'الصرف المباشر'!B496)</f>
        <v/>
      </c>
      <c r="B996" t="str">
        <f>IF('الصرف المباشر'!C496="","","صرف مباشر")</f>
        <v/>
      </c>
      <c r="C996" t="str">
        <f>IF('الصرف المباشر'!C496="","",IF('الصرف المباشر'!E496="","-",'الصرف المباشر'!E496))</f>
        <v/>
      </c>
      <c r="D996" t="str">
        <f>IF('الصرف المباشر'!C496="","",'الصرف المباشر'!C496)</f>
        <v/>
      </c>
      <c r="E996" s="24" t="str">
        <f>IF('الصرف المباشر'!C496="","",-'الصرف المباشر'!D496)</f>
        <v/>
      </c>
      <c r="F996" t="str">
        <f>IF('الصرف المباشر'!C496="","",IF('الصرف المباشر'!F496="","",'الصرف المباشر'!F496))</f>
        <v/>
      </c>
      <c r="G996" t="str">
        <f>IF($B996&lt;&gt;"",SUMPRODUCT(($B$2:$B996&lt;&gt;"")*1),"")</f>
        <v/>
      </c>
    </row>
    <row r="997" spans="1:7">
      <c r="A997" s="23" t="str">
        <f>IF('الصرف المباشر'!C497="","",'الصرف المباشر'!B497)</f>
        <v/>
      </c>
      <c r="B997" t="str">
        <f>IF('الصرف المباشر'!C497="","","صرف مباشر")</f>
        <v/>
      </c>
      <c r="C997" t="str">
        <f>IF('الصرف المباشر'!C497="","",IF('الصرف المباشر'!E497="","-",'الصرف المباشر'!E497))</f>
        <v/>
      </c>
      <c r="D997" t="str">
        <f>IF('الصرف المباشر'!C497="","",'الصرف المباشر'!C497)</f>
        <v/>
      </c>
      <c r="E997" s="24" t="str">
        <f>IF('الصرف المباشر'!C497="","",-'الصرف المباشر'!D497)</f>
        <v/>
      </c>
      <c r="F997" t="str">
        <f>IF('الصرف المباشر'!C497="","",IF('الصرف المباشر'!F497="","",'الصرف المباشر'!F497))</f>
        <v/>
      </c>
      <c r="G997" t="str">
        <f>IF($B997&lt;&gt;"",SUMPRODUCT(($B$2:$B997&lt;&gt;"")*1),"")</f>
        <v/>
      </c>
    </row>
    <row r="998" spans="1:7">
      <c r="A998" s="23" t="str">
        <f>IF('الصرف المباشر'!C498="","",'الصرف المباشر'!B498)</f>
        <v/>
      </c>
      <c r="B998" t="str">
        <f>IF('الصرف المباشر'!C498="","","صرف مباشر")</f>
        <v/>
      </c>
      <c r="C998" t="str">
        <f>IF('الصرف المباشر'!C498="","",IF('الصرف المباشر'!E498="","-",'الصرف المباشر'!E498))</f>
        <v/>
      </c>
      <c r="D998" t="str">
        <f>IF('الصرف المباشر'!C498="","",'الصرف المباشر'!C498)</f>
        <v/>
      </c>
      <c r="E998" s="24" t="str">
        <f>IF('الصرف المباشر'!C498="","",-'الصرف المباشر'!D498)</f>
        <v/>
      </c>
      <c r="F998" t="str">
        <f>IF('الصرف المباشر'!C498="","",IF('الصرف المباشر'!F498="","",'الصرف المباشر'!F498))</f>
        <v/>
      </c>
      <c r="G998" t="str">
        <f>IF($B998&lt;&gt;"",SUMPRODUCT(($B$2:$B998&lt;&gt;"")*1),"")</f>
        <v/>
      </c>
    </row>
    <row r="999" spans="1:7">
      <c r="A999" s="23" t="str">
        <f>IF('الصرف المباشر'!C499="","",'الصرف المباشر'!B499)</f>
        <v/>
      </c>
      <c r="B999" t="str">
        <f>IF('الصرف المباشر'!C499="","","صرف مباشر")</f>
        <v/>
      </c>
      <c r="C999" t="str">
        <f>IF('الصرف المباشر'!C499="","",IF('الصرف المباشر'!E499="","-",'الصرف المباشر'!E499))</f>
        <v/>
      </c>
      <c r="D999" t="str">
        <f>IF('الصرف المباشر'!C499="","",'الصرف المباشر'!C499)</f>
        <v/>
      </c>
      <c r="E999" s="24" t="str">
        <f>IF('الصرف المباشر'!C499="","",-'الصرف المباشر'!D499)</f>
        <v/>
      </c>
      <c r="F999" t="str">
        <f>IF('الصرف المباشر'!C499="","",IF('الصرف المباشر'!F499="","",'الصرف المباشر'!F499))</f>
        <v/>
      </c>
      <c r="G999" t="str">
        <f>IF($B999&lt;&gt;"",SUMPRODUCT(($B$2:$B999&lt;&gt;"")*1),"")</f>
        <v/>
      </c>
    </row>
    <row r="1000" spans="1:7">
      <c r="A1000" s="23" t="str">
        <f>IF('الصرف المباشر'!C500="","",'الصرف المباشر'!B500)</f>
        <v/>
      </c>
      <c r="B1000" t="str">
        <f>IF('الصرف المباشر'!C500="","","صرف مباشر")</f>
        <v/>
      </c>
      <c r="C1000" t="str">
        <f>IF('الصرف المباشر'!C500="","",IF('الصرف المباشر'!E500="","-",'الصرف المباشر'!E500))</f>
        <v/>
      </c>
      <c r="D1000" t="str">
        <f>IF('الصرف المباشر'!C500="","",'الصرف المباشر'!C500)</f>
        <v/>
      </c>
      <c r="E1000" s="24" t="str">
        <f>IF('الصرف المباشر'!C500="","",-'الصرف المباشر'!D500)</f>
        <v/>
      </c>
      <c r="F1000" t="str">
        <f>IF('الصرف المباشر'!C500="","",IF('الصرف المباشر'!F500="","",'الصرف المباشر'!F500))</f>
        <v/>
      </c>
      <c r="G1000" t="str">
        <f>IF($B1000&lt;&gt;"",SUMPRODUCT(($B$2:$B1000&lt;&gt;"")*1),"")</f>
        <v/>
      </c>
    </row>
    <row r="1001" spans="1:7">
      <c r="A1001" s="23" t="str">
        <f>IF('الصرف المباشر'!C501="","",'الصرف المباشر'!B501)</f>
        <v/>
      </c>
      <c r="B1001" t="str">
        <f>IF('الصرف المباشر'!C501="","","صرف مباشر")</f>
        <v/>
      </c>
      <c r="C1001" t="str">
        <f>IF('الصرف المباشر'!C501="","",IF('الصرف المباشر'!E501="","-",'الصرف المباشر'!E501))</f>
        <v/>
      </c>
      <c r="D1001" t="str">
        <f>IF('الصرف المباشر'!C501="","",'الصرف المباشر'!C501)</f>
        <v/>
      </c>
      <c r="E1001" s="24" t="str">
        <f>IF('الصرف المباشر'!C501="","",-'الصرف المباشر'!D501)</f>
        <v/>
      </c>
      <c r="F1001" t="str">
        <f>IF('الصرف المباشر'!C501="","",IF('الصرف المباشر'!F501="","",'الصرف المباشر'!F501))</f>
        <v/>
      </c>
      <c r="G1001" t="str">
        <f>IF($B1001&lt;&gt;"",SUMPRODUCT(($B$2:$B1001&lt;&gt;"")*1),"")</f>
        <v/>
      </c>
    </row>
    <row r="1002" spans="1:7">
      <c r="A1002" s="23">
        <f>IF('سجل الإنتاج'!C2="","",'سجل الإنتاج'!B2)</f>
        <v>46225</v>
      </c>
      <c r="B1002" t="str">
        <f>IF('سجل الإنتاج'!C2="","","إنتاج طبخة")</f>
        <v>إنتاج طبخة</v>
      </c>
      <c r="C1002" t="str">
        <f>IF('سجل الإنتاج'!C2="","",'سجل الإنتاج'!C2)</f>
        <v>لودلين فريز أول</v>
      </c>
      <c r="D1002" t="str">
        <f>IF('سجل الإنتاج'!C2="","","عدة مواد - راجع صفحة الطبخات")</f>
        <v>عدة مواد - راجع صفحة الطبخات</v>
      </c>
      <c r="F1002" t="str">
        <f>IF('سجل الإنتاج'!C2="","",IF('سجل الإنتاج'!D2="","",'سجل الإنتاج'!D2))</f>
        <v>تجريبية</v>
      </c>
      <c r="G1002">
        <f>IF($B1002&lt;&gt;"",SUMPRODUCT(($B$2:$B1002&lt;&gt;"")*1),"")</f>
        <v>178</v>
      </c>
    </row>
    <row r="1003" spans="1:7">
      <c r="A1003" s="23" t="str">
        <f>IF('سجل الإنتاج'!C3="","",'سجل الإنتاج'!B3)</f>
        <v/>
      </c>
      <c r="B1003" t="str">
        <f>IF('سجل الإنتاج'!C3="","","إنتاج طبخة")</f>
        <v/>
      </c>
      <c r="C1003" t="str">
        <f>IF('سجل الإنتاج'!C3="","",'سجل الإنتاج'!C3)</f>
        <v/>
      </c>
      <c r="D1003" t="str">
        <f>IF('سجل الإنتاج'!C3="","","عدة مواد - راجع صفحة الطبخات")</f>
        <v/>
      </c>
      <c r="F1003" t="str">
        <f>IF('سجل الإنتاج'!C3="","",IF('سجل الإنتاج'!D3="","",'سجل الإنتاج'!D3))</f>
        <v/>
      </c>
      <c r="G1003" t="str">
        <f>IF($B1003&lt;&gt;"",SUMPRODUCT(($B$2:$B1003&lt;&gt;"")*1),"")</f>
        <v/>
      </c>
    </row>
    <row r="1004" spans="1:7">
      <c r="A1004" s="23" t="str">
        <f>IF('سجل الإنتاج'!C4="","",'سجل الإنتاج'!B4)</f>
        <v/>
      </c>
      <c r="B1004" t="str">
        <f>IF('سجل الإنتاج'!C4="","","إنتاج طبخة")</f>
        <v/>
      </c>
      <c r="C1004" t="str">
        <f>IF('سجل الإنتاج'!C4="","",'سجل الإنتاج'!C4)</f>
        <v/>
      </c>
      <c r="D1004" t="str">
        <f>IF('سجل الإنتاج'!C4="","","عدة مواد - راجع صفحة الطبخات")</f>
        <v/>
      </c>
      <c r="F1004" t="str">
        <f>IF('سجل الإنتاج'!C4="","",IF('سجل الإنتاج'!D4="","",'سجل الإنتاج'!D4))</f>
        <v/>
      </c>
      <c r="G1004" t="str">
        <f>IF($B1004&lt;&gt;"",SUMPRODUCT(($B$2:$B1004&lt;&gt;"")*1),"")</f>
        <v/>
      </c>
    </row>
    <row r="1005" spans="1:7">
      <c r="A1005" s="23" t="str">
        <f>IF('سجل الإنتاج'!C5="","",'سجل الإنتاج'!B5)</f>
        <v/>
      </c>
      <c r="B1005" t="str">
        <f>IF('سجل الإنتاج'!C5="","","إنتاج طبخة")</f>
        <v/>
      </c>
      <c r="C1005" t="str">
        <f>IF('سجل الإنتاج'!C5="","",'سجل الإنتاج'!C5)</f>
        <v/>
      </c>
      <c r="D1005" t="str">
        <f>IF('سجل الإنتاج'!C5="","","عدة مواد - راجع صفحة الطبخات")</f>
        <v/>
      </c>
      <c r="F1005" t="str">
        <f>IF('سجل الإنتاج'!C5="","",IF('سجل الإنتاج'!D5="","",'سجل الإنتاج'!D5))</f>
        <v/>
      </c>
      <c r="G1005" t="str">
        <f>IF($B1005&lt;&gt;"",SUMPRODUCT(($B$2:$B1005&lt;&gt;"")*1),"")</f>
        <v/>
      </c>
    </row>
    <row r="1006" spans="1:7">
      <c r="A1006" s="23" t="str">
        <f>IF('سجل الإنتاج'!C6="","",'سجل الإنتاج'!B6)</f>
        <v/>
      </c>
      <c r="B1006" t="str">
        <f>IF('سجل الإنتاج'!C6="","","إنتاج طبخة")</f>
        <v/>
      </c>
      <c r="C1006" t="str">
        <f>IF('سجل الإنتاج'!C6="","",'سجل الإنتاج'!C6)</f>
        <v/>
      </c>
      <c r="D1006" t="str">
        <f>IF('سجل الإنتاج'!C6="","","عدة مواد - راجع صفحة الطبخات")</f>
        <v/>
      </c>
      <c r="F1006" t="str">
        <f>IF('سجل الإنتاج'!C6="","",IF('سجل الإنتاج'!D6="","",'سجل الإنتاج'!D6))</f>
        <v/>
      </c>
      <c r="G1006" t="str">
        <f>IF($B1006&lt;&gt;"",SUMPRODUCT(($B$2:$B1006&lt;&gt;"")*1),"")</f>
        <v/>
      </c>
    </row>
    <row r="1007" spans="1:7">
      <c r="A1007" s="23" t="str">
        <f>IF('سجل الإنتاج'!C7="","",'سجل الإنتاج'!B7)</f>
        <v/>
      </c>
      <c r="B1007" t="str">
        <f>IF('سجل الإنتاج'!C7="","","إنتاج طبخة")</f>
        <v/>
      </c>
      <c r="C1007" t="str">
        <f>IF('سجل الإنتاج'!C7="","",'سجل الإنتاج'!C7)</f>
        <v/>
      </c>
      <c r="D1007" t="str">
        <f>IF('سجل الإنتاج'!C7="","","عدة مواد - راجع صفحة الطبخات")</f>
        <v/>
      </c>
      <c r="F1007" t="str">
        <f>IF('سجل الإنتاج'!C7="","",IF('سجل الإنتاج'!D7="","",'سجل الإنتاج'!D7))</f>
        <v/>
      </c>
      <c r="G1007" t="str">
        <f>IF($B1007&lt;&gt;"",SUMPRODUCT(($B$2:$B1007&lt;&gt;"")*1),"")</f>
        <v/>
      </c>
    </row>
    <row r="1008" spans="1:7">
      <c r="A1008" s="23" t="str">
        <f>IF('سجل الإنتاج'!C8="","",'سجل الإنتاج'!B8)</f>
        <v/>
      </c>
      <c r="B1008" t="str">
        <f>IF('سجل الإنتاج'!C8="","","إنتاج طبخة")</f>
        <v/>
      </c>
      <c r="C1008" t="str">
        <f>IF('سجل الإنتاج'!C8="","",'سجل الإنتاج'!C8)</f>
        <v/>
      </c>
      <c r="D1008" t="str">
        <f>IF('سجل الإنتاج'!C8="","","عدة مواد - راجع صفحة الطبخات")</f>
        <v/>
      </c>
      <c r="F1008" t="str">
        <f>IF('سجل الإنتاج'!C8="","",IF('سجل الإنتاج'!D8="","",'سجل الإنتاج'!D8))</f>
        <v/>
      </c>
      <c r="G1008" t="str">
        <f>IF($B1008&lt;&gt;"",SUMPRODUCT(($B$2:$B1008&lt;&gt;"")*1),"")</f>
        <v/>
      </c>
    </row>
    <row r="1009" spans="1:7">
      <c r="A1009" s="23" t="str">
        <f>IF('سجل الإنتاج'!C9="","",'سجل الإنتاج'!B9)</f>
        <v/>
      </c>
      <c r="B1009" t="str">
        <f>IF('سجل الإنتاج'!C9="","","إنتاج طبخة")</f>
        <v/>
      </c>
      <c r="C1009" t="str">
        <f>IF('سجل الإنتاج'!C9="","",'سجل الإنتاج'!C9)</f>
        <v/>
      </c>
      <c r="D1009" t="str">
        <f>IF('سجل الإنتاج'!C9="","","عدة مواد - راجع صفحة الطبخات")</f>
        <v/>
      </c>
      <c r="F1009" t="str">
        <f>IF('سجل الإنتاج'!C9="","",IF('سجل الإنتاج'!D9="","",'سجل الإنتاج'!D9))</f>
        <v/>
      </c>
      <c r="G1009" t="str">
        <f>IF($B1009&lt;&gt;"",SUMPRODUCT(($B$2:$B1009&lt;&gt;"")*1),"")</f>
        <v/>
      </c>
    </row>
    <row r="1010" spans="1:7">
      <c r="A1010" s="23" t="str">
        <f>IF('سجل الإنتاج'!C10="","",'سجل الإنتاج'!B10)</f>
        <v/>
      </c>
      <c r="B1010" t="str">
        <f>IF('سجل الإنتاج'!C10="","","إنتاج طبخة")</f>
        <v/>
      </c>
      <c r="C1010" t="str">
        <f>IF('سجل الإنتاج'!C10="","",'سجل الإنتاج'!C10)</f>
        <v/>
      </c>
      <c r="D1010" t="str">
        <f>IF('سجل الإنتاج'!C10="","","عدة مواد - راجع صفحة الطبخات")</f>
        <v/>
      </c>
      <c r="F1010" t="str">
        <f>IF('سجل الإنتاج'!C10="","",IF('سجل الإنتاج'!D10="","",'سجل الإنتاج'!D10))</f>
        <v/>
      </c>
      <c r="G1010" t="str">
        <f>IF($B1010&lt;&gt;"",SUMPRODUCT(($B$2:$B1010&lt;&gt;"")*1),"")</f>
        <v/>
      </c>
    </row>
    <row r="1011" spans="1:7">
      <c r="A1011" s="23" t="str">
        <f>IF('سجل الإنتاج'!C11="","",'سجل الإنتاج'!B11)</f>
        <v/>
      </c>
      <c r="B1011" t="str">
        <f>IF('سجل الإنتاج'!C11="","","إنتاج طبخة")</f>
        <v/>
      </c>
      <c r="C1011" t="str">
        <f>IF('سجل الإنتاج'!C11="","",'سجل الإنتاج'!C11)</f>
        <v/>
      </c>
      <c r="D1011" t="str">
        <f>IF('سجل الإنتاج'!C11="","","عدة مواد - راجع صفحة الطبخات")</f>
        <v/>
      </c>
      <c r="F1011" t="str">
        <f>IF('سجل الإنتاج'!C11="","",IF('سجل الإنتاج'!D11="","",'سجل الإنتاج'!D11))</f>
        <v/>
      </c>
      <c r="G1011" t="str">
        <f>IF($B1011&lt;&gt;"",SUMPRODUCT(($B$2:$B1011&lt;&gt;"")*1),"")</f>
        <v/>
      </c>
    </row>
    <row r="1012" spans="1:7">
      <c r="A1012" s="23" t="str">
        <f>IF('سجل الإنتاج'!C12="","",'سجل الإنتاج'!B12)</f>
        <v/>
      </c>
      <c r="B1012" t="str">
        <f>IF('سجل الإنتاج'!C12="","","إنتاج طبخة")</f>
        <v/>
      </c>
      <c r="C1012" t="str">
        <f>IF('سجل الإنتاج'!C12="","",'سجل الإنتاج'!C12)</f>
        <v/>
      </c>
      <c r="D1012" t="str">
        <f>IF('سجل الإنتاج'!C12="","","عدة مواد - راجع صفحة الطبخات")</f>
        <v/>
      </c>
      <c r="F1012" t="str">
        <f>IF('سجل الإنتاج'!C12="","",IF('سجل الإنتاج'!D12="","",'سجل الإنتاج'!D12))</f>
        <v/>
      </c>
      <c r="G1012" t="str">
        <f>IF($B1012&lt;&gt;"",SUMPRODUCT(($B$2:$B1012&lt;&gt;"")*1),"")</f>
        <v/>
      </c>
    </row>
    <row r="1013" spans="1:7">
      <c r="A1013" s="23" t="str">
        <f>IF('سجل الإنتاج'!C13="","",'سجل الإنتاج'!B13)</f>
        <v/>
      </c>
      <c r="B1013" t="str">
        <f>IF('سجل الإنتاج'!C13="","","إنتاج طبخة")</f>
        <v/>
      </c>
      <c r="C1013" t="str">
        <f>IF('سجل الإنتاج'!C13="","",'سجل الإنتاج'!C13)</f>
        <v/>
      </c>
      <c r="D1013" t="str">
        <f>IF('سجل الإنتاج'!C13="","","عدة مواد - راجع صفحة الطبخات")</f>
        <v/>
      </c>
      <c r="F1013" t="str">
        <f>IF('سجل الإنتاج'!C13="","",IF('سجل الإنتاج'!D13="","",'سجل الإنتاج'!D13))</f>
        <v/>
      </c>
      <c r="G1013" t="str">
        <f>IF($B1013&lt;&gt;"",SUMPRODUCT(($B$2:$B1013&lt;&gt;"")*1),"")</f>
        <v/>
      </c>
    </row>
    <row r="1014" spans="1:7">
      <c r="A1014" s="23" t="str">
        <f>IF('سجل الإنتاج'!C14="","",'سجل الإنتاج'!B14)</f>
        <v/>
      </c>
      <c r="B1014" t="str">
        <f>IF('سجل الإنتاج'!C14="","","إنتاج طبخة")</f>
        <v/>
      </c>
      <c r="C1014" t="str">
        <f>IF('سجل الإنتاج'!C14="","",'سجل الإنتاج'!C14)</f>
        <v/>
      </c>
      <c r="D1014" t="str">
        <f>IF('سجل الإنتاج'!C14="","","عدة مواد - راجع صفحة الطبخات")</f>
        <v/>
      </c>
      <c r="F1014" t="str">
        <f>IF('سجل الإنتاج'!C14="","",IF('سجل الإنتاج'!D14="","",'سجل الإنتاج'!D14))</f>
        <v/>
      </c>
      <c r="G1014" t="str">
        <f>IF($B1014&lt;&gt;"",SUMPRODUCT(($B$2:$B1014&lt;&gt;"")*1),"")</f>
        <v/>
      </c>
    </row>
    <row r="1015" spans="1:7">
      <c r="A1015" s="23" t="str">
        <f>IF('سجل الإنتاج'!C15="","",'سجل الإنتاج'!B15)</f>
        <v/>
      </c>
      <c r="B1015" t="str">
        <f>IF('سجل الإنتاج'!C15="","","إنتاج طبخة")</f>
        <v/>
      </c>
      <c r="C1015" t="str">
        <f>IF('سجل الإنتاج'!C15="","",'سجل الإنتاج'!C15)</f>
        <v/>
      </c>
      <c r="D1015" t="str">
        <f>IF('سجل الإنتاج'!C15="","","عدة مواد - راجع صفحة الطبخات")</f>
        <v/>
      </c>
      <c r="F1015" t="str">
        <f>IF('سجل الإنتاج'!C15="","",IF('سجل الإنتاج'!D15="","",'سجل الإنتاج'!D15))</f>
        <v/>
      </c>
      <c r="G1015" t="str">
        <f>IF($B1015&lt;&gt;"",SUMPRODUCT(($B$2:$B1015&lt;&gt;"")*1),"")</f>
        <v/>
      </c>
    </row>
    <row r="1016" spans="1:7">
      <c r="A1016" s="23" t="str">
        <f>IF('سجل الإنتاج'!C16="","",'سجل الإنتاج'!B16)</f>
        <v/>
      </c>
      <c r="B1016" t="str">
        <f>IF('سجل الإنتاج'!C16="","","إنتاج طبخة")</f>
        <v/>
      </c>
      <c r="C1016" t="str">
        <f>IF('سجل الإنتاج'!C16="","",'سجل الإنتاج'!C16)</f>
        <v/>
      </c>
      <c r="D1016" t="str">
        <f>IF('سجل الإنتاج'!C16="","","عدة مواد - راجع صفحة الطبخات")</f>
        <v/>
      </c>
      <c r="F1016" t="str">
        <f>IF('سجل الإنتاج'!C16="","",IF('سجل الإنتاج'!D16="","",'سجل الإنتاج'!D16))</f>
        <v/>
      </c>
      <c r="G1016" t="str">
        <f>IF($B1016&lt;&gt;"",SUMPRODUCT(($B$2:$B1016&lt;&gt;"")*1),"")</f>
        <v/>
      </c>
    </row>
    <row r="1017" spans="1:7">
      <c r="A1017" s="23" t="str">
        <f>IF('سجل الإنتاج'!C17="","",'سجل الإنتاج'!B17)</f>
        <v/>
      </c>
      <c r="B1017" t="str">
        <f>IF('سجل الإنتاج'!C17="","","إنتاج طبخة")</f>
        <v/>
      </c>
      <c r="C1017" t="str">
        <f>IF('سجل الإنتاج'!C17="","",'سجل الإنتاج'!C17)</f>
        <v/>
      </c>
      <c r="D1017" t="str">
        <f>IF('سجل الإنتاج'!C17="","","عدة مواد - راجع صفحة الطبخات")</f>
        <v/>
      </c>
      <c r="F1017" t="str">
        <f>IF('سجل الإنتاج'!C17="","",IF('سجل الإنتاج'!D17="","",'سجل الإنتاج'!D17))</f>
        <v/>
      </c>
      <c r="G1017" t="str">
        <f>IF($B1017&lt;&gt;"",SUMPRODUCT(($B$2:$B1017&lt;&gt;"")*1),"")</f>
        <v/>
      </c>
    </row>
    <row r="1018" spans="1:7">
      <c r="A1018" s="23" t="str">
        <f>IF('سجل الإنتاج'!C18="","",'سجل الإنتاج'!B18)</f>
        <v/>
      </c>
      <c r="B1018" t="str">
        <f>IF('سجل الإنتاج'!C18="","","إنتاج طبخة")</f>
        <v/>
      </c>
      <c r="C1018" t="str">
        <f>IF('سجل الإنتاج'!C18="","",'سجل الإنتاج'!C18)</f>
        <v/>
      </c>
      <c r="D1018" t="str">
        <f>IF('سجل الإنتاج'!C18="","","عدة مواد - راجع صفحة الطبخات")</f>
        <v/>
      </c>
      <c r="F1018" t="str">
        <f>IF('سجل الإنتاج'!C18="","",IF('سجل الإنتاج'!D18="","",'سجل الإنتاج'!D18))</f>
        <v/>
      </c>
      <c r="G1018" t="str">
        <f>IF($B1018&lt;&gt;"",SUMPRODUCT(($B$2:$B1018&lt;&gt;"")*1),"")</f>
        <v/>
      </c>
    </row>
    <row r="1019" spans="1:7">
      <c r="A1019" s="23" t="str">
        <f>IF('سجل الإنتاج'!C19="","",'سجل الإنتاج'!B19)</f>
        <v/>
      </c>
      <c r="B1019" t="str">
        <f>IF('سجل الإنتاج'!C19="","","إنتاج طبخة")</f>
        <v/>
      </c>
      <c r="C1019" t="str">
        <f>IF('سجل الإنتاج'!C19="","",'سجل الإنتاج'!C19)</f>
        <v/>
      </c>
      <c r="D1019" t="str">
        <f>IF('سجل الإنتاج'!C19="","","عدة مواد - راجع صفحة الطبخات")</f>
        <v/>
      </c>
      <c r="F1019" t="str">
        <f>IF('سجل الإنتاج'!C19="","",IF('سجل الإنتاج'!D19="","",'سجل الإنتاج'!D19))</f>
        <v/>
      </c>
      <c r="G1019" t="str">
        <f>IF($B1019&lt;&gt;"",SUMPRODUCT(($B$2:$B1019&lt;&gt;"")*1),"")</f>
        <v/>
      </c>
    </row>
    <row r="1020" spans="1:7">
      <c r="A1020" s="23" t="str">
        <f>IF('سجل الإنتاج'!C20="","",'سجل الإنتاج'!B20)</f>
        <v/>
      </c>
      <c r="B1020" t="str">
        <f>IF('سجل الإنتاج'!C20="","","إنتاج طبخة")</f>
        <v/>
      </c>
      <c r="C1020" t="str">
        <f>IF('سجل الإنتاج'!C20="","",'سجل الإنتاج'!C20)</f>
        <v/>
      </c>
      <c r="D1020" t="str">
        <f>IF('سجل الإنتاج'!C20="","","عدة مواد - راجع صفحة الطبخات")</f>
        <v/>
      </c>
      <c r="F1020" t="str">
        <f>IF('سجل الإنتاج'!C20="","",IF('سجل الإنتاج'!D20="","",'سجل الإنتاج'!D20))</f>
        <v/>
      </c>
      <c r="G1020" t="str">
        <f>IF($B1020&lt;&gt;"",SUMPRODUCT(($B$2:$B1020&lt;&gt;"")*1),"")</f>
        <v/>
      </c>
    </row>
    <row r="1021" spans="1:7">
      <c r="A1021" s="23" t="str">
        <f>IF('سجل الإنتاج'!C21="","",'سجل الإنتاج'!B21)</f>
        <v/>
      </c>
      <c r="B1021" t="str">
        <f>IF('سجل الإنتاج'!C21="","","إنتاج طبخة")</f>
        <v/>
      </c>
      <c r="C1021" t="str">
        <f>IF('سجل الإنتاج'!C21="","",'سجل الإنتاج'!C21)</f>
        <v/>
      </c>
      <c r="D1021" t="str">
        <f>IF('سجل الإنتاج'!C21="","","عدة مواد - راجع صفحة الطبخات")</f>
        <v/>
      </c>
      <c r="F1021" t="str">
        <f>IF('سجل الإنتاج'!C21="","",IF('سجل الإنتاج'!D21="","",'سجل الإنتاج'!D21))</f>
        <v/>
      </c>
      <c r="G1021" t="str">
        <f>IF($B1021&lt;&gt;"",SUMPRODUCT(($B$2:$B1021&lt;&gt;"")*1),"")</f>
        <v/>
      </c>
    </row>
    <row r="1022" spans="1:7">
      <c r="A1022" s="23" t="str">
        <f>IF('سجل الإنتاج'!C22="","",'سجل الإنتاج'!B22)</f>
        <v/>
      </c>
      <c r="B1022" t="str">
        <f>IF('سجل الإنتاج'!C22="","","إنتاج طبخة")</f>
        <v/>
      </c>
      <c r="C1022" t="str">
        <f>IF('سجل الإنتاج'!C22="","",'سجل الإنتاج'!C22)</f>
        <v/>
      </c>
      <c r="D1022" t="str">
        <f>IF('سجل الإنتاج'!C22="","","عدة مواد - راجع صفحة الطبخات")</f>
        <v/>
      </c>
      <c r="F1022" t="str">
        <f>IF('سجل الإنتاج'!C22="","",IF('سجل الإنتاج'!D22="","",'سجل الإنتاج'!D22))</f>
        <v/>
      </c>
      <c r="G1022" t="str">
        <f>IF($B1022&lt;&gt;"",SUMPRODUCT(($B$2:$B1022&lt;&gt;"")*1),"")</f>
        <v/>
      </c>
    </row>
    <row r="1023" spans="1:7">
      <c r="A1023" s="23" t="str">
        <f>IF('سجل الإنتاج'!C23="","",'سجل الإنتاج'!B23)</f>
        <v/>
      </c>
      <c r="B1023" t="str">
        <f>IF('سجل الإنتاج'!C23="","","إنتاج طبخة")</f>
        <v/>
      </c>
      <c r="C1023" t="str">
        <f>IF('سجل الإنتاج'!C23="","",'سجل الإنتاج'!C23)</f>
        <v/>
      </c>
      <c r="D1023" t="str">
        <f>IF('سجل الإنتاج'!C23="","","عدة مواد - راجع صفحة الطبخات")</f>
        <v/>
      </c>
      <c r="F1023" t="str">
        <f>IF('سجل الإنتاج'!C23="","",IF('سجل الإنتاج'!D23="","",'سجل الإنتاج'!D23))</f>
        <v/>
      </c>
      <c r="G1023" t="str">
        <f>IF($B1023&lt;&gt;"",SUMPRODUCT(($B$2:$B1023&lt;&gt;"")*1),"")</f>
        <v/>
      </c>
    </row>
    <row r="1024" spans="1:7">
      <c r="A1024" s="23" t="str">
        <f>IF('سجل الإنتاج'!C24="","",'سجل الإنتاج'!B24)</f>
        <v/>
      </c>
      <c r="B1024" t="str">
        <f>IF('سجل الإنتاج'!C24="","","إنتاج طبخة")</f>
        <v/>
      </c>
      <c r="C1024" t="str">
        <f>IF('سجل الإنتاج'!C24="","",'سجل الإنتاج'!C24)</f>
        <v/>
      </c>
      <c r="D1024" t="str">
        <f>IF('سجل الإنتاج'!C24="","","عدة مواد - راجع صفحة الطبخات")</f>
        <v/>
      </c>
      <c r="F1024" t="str">
        <f>IF('سجل الإنتاج'!C24="","",IF('سجل الإنتاج'!D24="","",'سجل الإنتاج'!D24))</f>
        <v/>
      </c>
      <c r="G1024" t="str">
        <f>IF($B1024&lt;&gt;"",SUMPRODUCT(($B$2:$B1024&lt;&gt;"")*1),"")</f>
        <v/>
      </c>
    </row>
    <row r="1025" spans="1:7">
      <c r="A1025" s="23" t="str">
        <f>IF('سجل الإنتاج'!C25="","",'سجل الإنتاج'!B25)</f>
        <v/>
      </c>
      <c r="B1025" t="str">
        <f>IF('سجل الإنتاج'!C25="","","إنتاج طبخة")</f>
        <v/>
      </c>
      <c r="C1025" t="str">
        <f>IF('سجل الإنتاج'!C25="","",'سجل الإنتاج'!C25)</f>
        <v/>
      </c>
      <c r="D1025" t="str">
        <f>IF('سجل الإنتاج'!C25="","","عدة مواد - راجع صفحة الطبخات")</f>
        <v/>
      </c>
      <c r="F1025" t="str">
        <f>IF('سجل الإنتاج'!C25="","",IF('سجل الإنتاج'!D25="","",'سجل الإنتاج'!D25))</f>
        <v/>
      </c>
      <c r="G1025" t="str">
        <f>IF($B1025&lt;&gt;"",SUMPRODUCT(($B$2:$B1025&lt;&gt;"")*1),"")</f>
        <v/>
      </c>
    </row>
    <row r="1026" spans="1:7">
      <c r="A1026" s="23" t="str">
        <f>IF('سجل الإنتاج'!C26="","",'سجل الإنتاج'!B26)</f>
        <v/>
      </c>
      <c r="B1026" t="str">
        <f>IF('سجل الإنتاج'!C26="","","إنتاج طبخة")</f>
        <v/>
      </c>
      <c r="C1026" t="str">
        <f>IF('سجل الإنتاج'!C26="","",'سجل الإنتاج'!C26)</f>
        <v/>
      </c>
      <c r="D1026" t="str">
        <f>IF('سجل الإنتاج'!C26="","","عدة مواد - راجع صفحة الطبخات")</f>
        <v/>
      </c>
      <c r="F1026" t="str">
        <f>IF('سجل الإنتاج'!C26="","",IF('سجل الإنتاج'!D26="","",'سجل الإنتاج'!D26))</f>
        <v/>
      </c>
      <c r="G1026" t="str">
        <f>IF($B1026&lt;&gt;"",SUMPRODUCT(($B$2:$B1026&lt;&gt;"")*1),"")</f>
        <v/>
      </c>
    </row>
    <row r="1027" spans="1:7">
      <c r="A1027" s="23" t="str">
        <f>IF('سجل الإنتاج'!C27="","",'سجل الإنتاج'!B27)</f>
        <v/>
      </c>
      <c r="B1027" t="str">
        <f>IF('سجل الإنتاج'!C27="","","إنتاج طبخة")</f>
        <v/>
      </c>
      <c r="C1027" t="str">
        <f>IF('سجل الإنتاج'!C27="","",'سجل الإنتاج'!C27)</f>
        <v/>
      </c>
      <c r="D1027" t="str">
        <f>IF('سجل الإنتاج'!C27="","","عدة مواد - راجع صفحة الطبخات")</f>
        <v/>
      </c>
      <c r="F1027" t="str">
        <f>IF('سجل الإنتاج'!C27="","",IF('سجل الإنتاج'!D27="","",'سجل الإنتاج'!D27))</f>
        <v/>
      </c>
      <c r="G1027" t="str">
        <f>IF($B1027&lt;&gt;"",SUMPRODUCT(($B$2:$B1027&lt;&gt;"")*1),"")</f>
        <v/>
      </c>
    </row>
    <row r="1028" spans="1:7">
      <c r="A1028" s="23" t="str">
        <f>IF('سجل الإنتاج'!C28="","",'سجل الإنتاج'!B28)</f>
        <v/>
      </c>
      <c r="B1028" t="str">
        <f>IF('سجل الإنتاج'!C28="","","إنتاج طبخة")</f>
        <v/>
      </c>
      <c r="C1028" t="str">
        <f>IF('سجل الإنتاج'!C28="","",'سجل الإنتاج'!C28)</f>
        <v/>
      </c>
      <c r="D1028" t="str">
        <f>IF('سجل الإنتاج'!C28="","","عدة مواد - راجع صفحة الطبخات")</f>
        <v/>
      </c>
      <c r="F1028" t="str">
        <f>IF('سجل الإنتاج'!C28="","",IF('سجل الإنتاج'!D28="","",'سجل الإنتاج'!D28))</f>
        <v/>
      </c>
      <c r="G1028" t="str">
        <f>IF($B1028&lt;&gt;"",SUMPRODUCT(($B$2:$B1028&lt;&gt;"")*1),"")</f>
        <v/>
      </c>
    </row>
    <row r="1029" spans="1:7">
      <c r="A1029" s="23" t="str">
        <f>IF('سجل الإنتاج'!C29="","",'سجل الإنتاج'!B29)</f>
        <v/>
      </c>
      <c r="B1029" t="str">
        <f>IF('سجل الإنتاج'!C29="","","إنتاج طبخة")</f>
        <v/>
      </c>
      <c r="C1029" t="str">
        <f>IF('سجل الإنتاج'!C29="","",'سجل الإنتاج'!C29)</f>
        <v/>
      </c>
      <c r="D1029" t="str">
        <f>IF('سجل الإنتاج'!C29="","","عدة مواد - راجع صفحة الطبخات")</f>
        <v/>
      </c>
      <c r="F1029" t="str">
        <f>IF('سجل الإنتاج'!C29="","",IF('سجل الإنتاج'!D29="","",'سجل الإنتاج'!D29))</f>
        <v/>
      </c>
      <c r="G1029" t="str">
        <f>IF($B1029&lt;&gt;"",SUMPRODUCT(($B$2:$B1029&lt;&gt;"")*1),"")</f>
        <v/>
      </c>
    </row>
    <row r="1030" spans="1:7">
      <c r="A1030" s="23" t="str">
        <f>IF('سجل الإنتاج'!C30="","",'سجل الإنتاج'!B30)</f>
        <v/>
      </c>
      <c r="B1030" t="str">
        <f>IF('سجل الإنتاج'!C30="","","إنتاج طبخة")</f>
        <v/>
      </c>
      <c r="C1030" t="str">
        <f>IF('سجل الإنتاج'!C30="","",'سجل الإنتاج'!C30)</f>
        <v/>
      </c>
      <c r="D1030" t="str">
        <f>IF('سجل الإنتاج'!C30="","","عدة مواد - راجع صفحة الطبخات")</f>
        <v/>
      </c>
      <c r="F1030" t="str">
        <f>IF('سجل الإنتاج'!C30="","",IF('سجل الإنتاج'!D30="","",'سجل الإنتاج'!D30))</f>
        <v/>
      </c>
      <c r="G1030" t="str">
        <f>IF($B1030&lt;&gt;"",SUMPRODUCT(($B$2:$B1030&lt;&gt;"")*1),"")</f>
        <v/>
      </c>
    </row>
    <row r="1031" spans="1:7">
      <c r="A1031" s="23" t="str">
        <f>IF('سجل الإنتاج'!C31="","",'سجل الإنتاج'!B31)</f>
        <v/>
      </c>
      <c r="B1031" t="str">
        <f>IF('سجل الإنتاج'!C31="","","إنتاج طبخة")</f>
        <v/>
      </c>
      <c r="C1031" t="str">
        <f>IF('سجل الإنتاج'!C31="","",'سجل الإنتاج'!C31)</f>
        <v/>
      </c>
      <c r="D1031" t="str">
        <f>IF('سجل الإنتاج'!C31="","","عدة مواد - راجع صفحة الطبخات")</f>
        <v/>
      </c>
      <c r="F1031" t="str">
        <f>IF('سجل الإنتاج'!C31="","",IF('سجل الإنتاج'!D31="","",'سجل الإنتاج'!D31))</f>
        <v/>
      </c>
      <c r="G1031" t="str">
        <f>IF($B1031&lt;&gt;"",SUMPRODUCT(($B$2:$B1031&lt;&gt;"")*1),"")</f>
        <v/>
      </c>
    </row>
    <row r="1032" spans="1:7">
      <c r="A1032" s="23" t="str">
        <f>IF('سجل الإنتاج'!C32="","",'سجل الإنتاج'!B32)</f>
        <v/>
      </c>
      <c r="B1032" t="str">
        <f>IF('سجل الإنتاج'!C32="","","إنتاج طبخة")</f>
        <v/>
      </c>
      <c r="C1032" t="str">
        <f>IF('سجل الإنتاج'!C32="","",'سجل الإنتاج'!C32)</f>
        <v/>
      </c>
      <c r="D1032" t="str">
        <f>IF('سجل الإنتاج'!C32="","","عدة مواد - راجع صفحة الطبخات")</f>
        <v/>
      </c>
      <c r="F1032" t="str">
        <f>IF('سجل الإنتاج'!C32="","",IF('سجل الإنتاج'!D32="","",'سجل الإنتاج'!D32))</f>
        <v/>
      </c>
      <c r="G1032" t="str">
        <f>IF($B1032&lt;&gt;"",SUMPRODUCT(($B$2:$B1032&lt;&gt;"")*1),"")</f>
        <v/>
      </c>
    </row>
    <row r="1033" spans="1:7">
      <c r="A1033" s="23" t="str">
        <f>IF('سجل الإنتاج'!C33="","",'سجل الإنتاج'!B33)</f>
        <v/>
      </c>
      <c r="B1033" t="str">
        <f>IF('سجل الإنتاج'!C33="","","إنتاج طبخة")</f>
        <v/>
      </c>
      <c r="C1033" t="str">
        <f>IF('سجل الإنتاج'!C33="","",'سجل الإنتاج'!C33)</f>
        <v/>
      </c>
      <c r="D1033" t="str">
        <f>IF('سجل الإنتاج'!C33="","","عدة مواد - راجع صفحة الطبخات")</f>
        <v/>
      </c>
      <c r="F1033" t="str">
        <f>IF('سجل الإنتاج'!C33="","",IF('سجل الإنتاج'!D33="","",'سجل الإنتاج'!D33))</f>
        <v/>
      </c>
      <c r="G1033" t="str">
        <f>IF($B1033&lt;&gt;"",SUMPRODUCT(($B$2:$B1033&lt;&gt;"")*1),"")</f>
        <v/>
      </c>
    </row>
    <row r="1034" spans="1:7">
      <c r="A1034" s="23" t="str">
        <f>IF('سجل الإنتاج'!C34="","",'سجل الإنتاج'!B34)</f>
        <v/>
      </c>
      <c r="B1034" t="str">
        <f>IF('سجل الإنتاج'!C34="","","إنتاج طبخة")</f>
        <v/>
      </c>
      <c r="C1034" t="str">
        <f>IF('سجل الإنتاج'!C34="","",'سجل الإنتاج'!C34)</f>
        <v/>
      </c>
      <c r="D1034" t="str">
        <f>IF('سجل الإنتاج'!C34="","","عدة مواد - راجع صفحة الطبخات")</f>
        <v/>
      </c>
      <c r="F1034" t="str">
        <f>IF('سجل الإنتاج'!C34="","",IF('سجل الإنتاج'!D34="","",'سجل الإنتاج'!D34))</f>
        <v/>
      </c>
      <c r="G1034" t="str">
        <f>IF($B1034&lt;&gt;"",SUMPRODUCT(($B$2:$B1034&lt;&gt;"")*1),"")</f>
        <v/>
      </c>
    </row>
    <row r="1035" spans="1:7">
      <c r="A1035" s="23" t="str">
        <f>IF('سجل الإنتاج'!C35="","",'سجل الإنتاج'!B35)</f>
        <v/>
      </c>
      <c r="B1035" t="str">
        <f>IF('سجل الإنتاج'!C35="","","إنتاج طبخة")</f>
        <v/>
      </c>
      <c r="C1035" t="str">
        <f>IF('سجل الإنتاج'!C35="","",'سجل الإنتاج'!C35)</f>
        <v/>
      </c>
      <c r="D1035" t="str">
        <f>IF('سجل الإنتاج'!C35="","","عدة مواد - راجع صفحة الطبخات")</f>
        <v/>
      </c>
      <c r="F1035" t="str">
        <f>IF('سجل الإنتاج'!C35="","",IF('سجل الإنتاج'!D35="","",'سجل الإنتاج'!D35))</f>
        <v/>
      </c>
      <c r="G1035" t="str">
        <f>IF($B1035&lt;&gt;"",SUMPRODUCT(($B$2:$B1035&lt;&gt;"")*1),"")</f>
        <v/>
      </c>
    </row>
    <row r="1036" spans="1:7">
      <c r="A1036" s="23" t="str">
        <f>IF('سجل الإنتاج'!C36="","",'سجل الإنتاج'!B36)</f>
        <v/>
      </c>
      <c r="B1036" t="str">
        <f>IF('سجل الإنتاج'!C36="","","إنتاج طبخة")</f>
        <v/>
      </c>
      <c r="C1036" t="str">
        <f>IF('سجل الإنتاج'!C36="","",'سجل الإنتاج'!C36)</f>
        <v/>
      </c>
      <c r="D1036" t="str">
        <f>IF('سجل الإنتاج'!C36="","","عدة مواد - راجع صفحة الطبخات")</f>
        <v/>
      </c>
      <c r="F1036" t="str">
        <f>IF('سجل الإنتاج'!C36="","",IF('سجل الإنتاج'!D36="","",'سجل الإنتاج'!D36))</f>
        <v/>
      </c>
      <c r="G1036" t="str">
        <f>IF($B1036&lt;&gt;"",SUMPRODUCT(($B$2:$B1036&lt;&gt;"")*1),"")</f>
        <v/>
      </c>
    </row>
    <row r="1037" spans="1:7">
      <c r="A1037" s="23" t="str">
        <f>IF('سجل الإنتاج'!C37="","",'سجل الإنتاج'!B37)</f>
        <v/>
      </c>
      <c r="B1037" t="str">
        <f>IF('سجل الإنتاج'!C37="","","إنتاج طبخة")</f>
        <v/>
      </c>
      <c r="C1037" t="str">
        <f>IF('سجل الإنتاج'!C37="","",'سجل الإنتاج'!C37)</f>
        <v/>
      </c>
      <c r="D1037" t="str">
        <f>IF('سجل الإنتاج'!C37="","","عدة مواد - راجع صفحة الطبخات")</f>
        <v/>
      </c>
      <c r="F1037" t="str">
        <f>IF('سجل الإنتاج'!C37="","",IF('سجل الإنتاج'!D37="","",'سجل الإنتاج'!D37))</f>
        <v/>
      </c>
      <c r="G1037" t="str">
        <f>IF($B1037&lt;&gt;"",SUMPRODUCT(($B$2:$B1037&lt;&gt;"")*1),"")</f>
        <v/>
      </c>
    </row>
    <row r="1038" spans="1:7">
      <c r="A1038" s="23" t="str">
        <f>IF('سجل الإنتاج'!C38="","",'سجل الإنتاج'!B38)</f>
        <v/>
      </c>
      <c r="B1038" t="str">
        <f>IF('سجل الإنتاج'!C38="","","إنتاج طبخة")</f>
        <v/>
      </c>
      <c r="C1038" t="str">
        <f>IF('سجل الإنتاج'!C38="","",'سجل الإنتاج'!C38)</f>
        <v/>
      </c>
      <c r="D1038" t="str">
        <f>IF('سجل الإنتاج'!C38="","","عدة مواد - راجع صفحة الطبخات")</f>
        <v/>
      </c>
      <c r="F1038" t="str">
        <f>IF('سجل الإنتاج'!C38="","",IF('سجل الإنتاج'!D38="","",'سجل الإنتاج'!D38))</f>
        <v/>
      </c>
      <c r="G1038" t="str">
        <f>IF($B1038&lt;&gt;"",SUMPRODUCT(($B$2:$B1038&lt;&gt;"")*1),"")</f>
        <v/>
      </c>
    </row>
    <row r="1039" spans="1:7">
      <c r="A1039" s="23" t="str">
        <f>IF('سجل الإنتاج'!C39="","",'سجل الإنتاج'!B39)</f>
        <v/>
      </c>
      <c r="B1039" t="str">
        <f>IF('سجل الإنتاج'!C39="","","إنتاج طبخة")</f>
        <v/>
      </c>
      <c r="C1039" t="str">
        <f>IF('سجل الإنتاج'!C39="","",'سجل الإنتاج'!C39)</f>
        <v/>
      </c>
      <c r="D1039" t="str">
        <f>IF('سجل الإنتاج'!C39="","","عدة مواد - راجع صفحة الطبخات")</f>
        <v/>
      </c>
      <c r="F1039" t="str">
        <f>IF('سجل الإنتاج'!C39="","",IF('سجل الإنتاج'!D39="","",'سجل الإنتاج'!D39))</f>
        <v/>
      </c>
      <c r="G1039" t="str">
        <f>IF($B1039&lt;&gt;"",SUMPRODUCT(($B$2:$B1039&lt;&gt;"")*1),"")</f>
        <v/>
      </c>
    </row>
    <row r="1040" spans="1:7">
      <c r="A1040" s="23" t="str">
        <f>IF('سجل الإنتاج'!C40="","",'سجل الإنتاج'!B40)</f>
        <v/>
      </c>
      <c r="B1040" t="str">
        <f>IF('سجل الإنتاج'!C40="","","إنتاج طبخة")</f>
        <v/>
      </c>
      <c r="C1040" t="str">
        <f>IF('سجل الإنتاج'!C40="","",'سجل الإنتاج'!C40)</f>
        <v/>
      </c>
      <c r="D1040" t="str">
        <f>IF('سجل الإنتاج'!C40="","","عدة مواد - راجع صفحة الطبخات")</f>
        <v/>
      </c>
      <c r="F1040" t="str">
        <f>IF('سجل الإنتاج'!C40="","",IF('سجل الإنتاج'!D40="","",'سجل الإنتاج'!D40))</f>
        <v/>
      </c>
      <c r="G1040" t="str">
        <f>IF($B1040&lt;&gt;"",SUMPRODUCT(($B$2:$B1040&lt;&gt;"")*1),"")</f>
        <v/>
      </c>
    </row>
    <row r="1041" spans="1:7">
      <c r="A1041" s="23" t="str">
        <f>IF('سجل الإنتاج'!C41="","",'سجل الإنتاج'!B41)</f>
        <v/>
      </c>
      <c r="B1041" t="str">
        <f>IF('سجل الإنتاج'!C41="","","إنتاج طبخة")</f>
        <v/>
      </c>
      <c r="C1041" t="str">
        <f>IF('سجل الإنتاج'!C41="","",'سجل الإنتاج'!C41)</f>
        <v/>
      </c>
      <c r="D1041" t="str">
        <f>IF('سجل الإنتاج'!C41="","","عدة مواد - راجع صفحة الطبخات")</f>
        <v/>
      </c>
      <c r="F1041" t="str">
        <f>IF('سجل الإنتاج'!C41="","",IF('سجل الإنتاج'!D41="","",'سجل الإنتاج'!D41))</f>
        <v/>
      </c>
      <c r="G1041" t="str">
        <f>IF($B1041&lt;&gt;"",SUMPRODUCT(($B$2:$B1041&lt;&gt;"")*1),"")</f>
        <v/>
      </c>
    </row>
    <row r="1042" spans="1:7">
      <c r="A1042" s="23" t="str">
        <f>IF('سجل الإنتاج'!C42="","",'سجل الإنتاج'!B42)</f>
        <v/>
      </c>
      <c r="B1042" t="str">
        <f>IF('سجل الإنتاج'!C42="","","إنتاج طبخة")</f>
        <v/>
      </c>
      <c r="C1042" t="str">
        <f>IF('سجل الإنتاج'!C42="","",'سجل الإنتاج'!C42)</f>
        <v/>
      </c>
      <c r="D1042" t="str">
        <f>IF('سجل الإنتاج'!C42="","","عدة مواد - راجع صفحة الطبخات")</f>
        <v/>
      </c>
      <c r="F1042" t="str">
        <f>IF('سجل الإنتاج'!C42="","",IF('سجل الإنتاج'!D42="","",'سجل الإنتاج'!D42))</f>
        <v/>
      </c>
      <c r="G1042" t="str">
        <f>IF($B1042&lt;&gt;"",SUMPRODUCT(($B$2:$B1042&lt;&gt;"")*1),"")</f>
        <v/>
      </c>
    </row>
    <row r="1043" spans="1:7">
      <c r="A1043" s="23" t="str">
        <f>IF('سجل الإنتاج'!C43="","",'سجل الإنتاج'!B43)</f>
        <v/>
      </c>
      <c r="B1043" t="str">
        <f>IF('سجل الإنتاج'!C43="","","إنتاج طبخة")</f>
        <v/>
      </c>
      <c r="C1043" t="str">
        <f>IF('سجل الإنتاج'!C43="","",'سجل الإنتاج'!C43)</f>
        <v/>
      </c>
      <c r="D1043" t="str">
        <f>IF('سجل الإنتاج'!C43="","","عدة مواد - راجع صفحة الطبخات")</f>
        <v/>
      </c>
      <c r="F1043" t="str">
        <f>IF('سجل الإنتاج'!C43="","",IF('سجل الإنتاج'!D43="","",'سجل الإنتاج'!D43))</f>
        <v/>
      </c>
      <c r="G1043" t="str">
        <f>IF($B1043&lt;&gt;"",SUMPRODUCT(($B$2:$B1043&lt;&gt;"")*1),"")</f>
        <v/>
      </c>
    </row>
    <row r="1044" spans="1:7">
      <c r="A1044" s="23" t="str">
        <f>IF('سجل الإنتاج'!C44="","",'سجل الإنتاج'!B44)</f>
        <v/>
      </c>
      <c r="B1044" t="str">
        <f>IF('سجل الإنتاج'!C44="","","إنتاج طبخة")</f>
        <v/>
      </c>
      <c r="C1044" t="str">
        <f>IF('سجل الإنتاج'!C44="","",'سجل الإنتاج'!C44)</f>
        <v/>
      </c>
      <c r="D1044" t="str">
        <f>IF('سجل الإنتاج'!C44="","","عدة مواد - راجع صفحة الطبخات")</f>
        <v/>
      </c>
      <c r="F1044" t="str">
        <f>IF('سجل الإنتاج'!C44="","",IF('سجل الإنتاج'!D44="","",'سجل الإنتاج'!D44))</f>
        <v/>
      </c>
      <c r="G1044" t="str">
        <f>IF($B1044&lt;&gt;"",SUMPRODUCT(($B$2:$B1044&lt;&gt;"")*1),"")</f>
        <v/>
      </c>
    </row>
    <row r="1045" spans="1:7">
      <c r="A1045" s="23" t="str">
        <f>IF('سجل الإنتاج'!C45="","",'سجل الإنتاج'!B45)</f>
        <v/>
      </c>
      <c r="B1045" t="str">
        <f>IF('سجل الإنتاج'!C45="","","إنتاج طبخة")</f>
        <v/>
      </c>
      <c r="C1045" t="str">
        <f>IF('سجل الإنتاج'!C45="","",'سجل الإنتاج'!C45)</f>
        <v/>
      </c>
      <c r="D1045" t="str">
        <f>IF('سجل الإنتاج'!C45="","","عدة مواد - راجع صفحة الطبخات")</f>
        <v/>
      </c>
      <c r="F1045" t="str">
        <f>IF('سجل الإنتاج'!C45="","",IF('سجل الإنتاج'!D45="","",'سجل الإنتاج'!D45))</f>
        <v/>
      </c>
      <c r="G1045" t="str">
        <f>IF($B1045&lt;&gt;"",SUMPRODUCT(($B$2:$B1045&lt;&gt;"")*1),"")</f>
        <v/>
      </c>
    </row>
    <row r="1046" spans="1:7">
      <c r="A1046" s="23" t="str">
        <f>IF('سجل الإنتاج'!C46="","",'سجل الإنتاج'!B46)</f>
        <v/>
      </c>
      <c r="B1046" t="str">
        <f>IF('سجل الإنتاج'!C46="","","إنتاج طبخة")</f>
        <v/>
      </c>
      <c r="C1046" t="str">
        <f>IF('سجل الإنتاج'!C46="","",'سجل الإنتاج'!C46)</f>
        <v/>
      </c>
      <c r="D1046" t="str">
        <f>IF('سجل الإنتاج'!C46="","","عدة مواد - راجع صفحة الطبخات")</f>
        <v/>
      </c>
      <c r="F1046" t="str">
        <f>IF('سجل الإنتاج'!C46="","",IF('سجل الإنتاج'!D46="","",'سجل الإنتاج'!D46))</f>
        <v/>
      </c>
      <c r="G1046" t="str">
        <f>IF($B1046&lt;&gt;"",SUMPRODUCT(($B$2:$B1046&lt;&gt;"")*1),"")</f>
        <v/>
      </c>
    </row>
    <row r="1047" spans="1:7">
      <c r="A1047" s="23" t="str">
        <f>IF('سجل الإنتاج'!C47="","",'سجل الإنتاج'!B47)</f>
        <v/>
      </c>
      <c r="B1047" t="str">
        <f>IF('سجل الإنتاج'!C47="","","إنتاج طبخة")</f>
        <v/>
      </c>
      <c r="C1047" t="str">
        <f>IF('سجل الإنتاج'!C47="","",'سجل الإنتاج'!C47)</f>
        <v/>
      </c>
      <c r="D1047" t="str">
        <f>IF('سجل الإنتاج'!C47="","","عدة مواد - راجع صفحة الطبخات")</f>
        <v/>
      </c>
      <c r="F1047" t="str">
        <f>IF('سجل الإنتاج'!C47="","",IF('سجل الإنتاج'!D47="","",'سجل الإنتاج'!D47))</f>
        <v/>
      </c>
      <c r="G1047" t="str">
        <f>IF($B1047&lt;&gt;"",SUMPRODUCT(($B$2:$B1047&lt;&gt;"")*1),"")</f>
        <v/>
      </c>
    </row>
    <row r="1048" spans="1:7">
      <c r="A1048" s="23" t="str">
        <f>IF('سجل الإنتاج'!C48="","",'سجل الإنتاج'!B48)</f>
        <v/>
      </c>
      <c r="B1048" t="str">
        <f>IF('سجل الإنتاج'!C48="","","إنتاج طبخة")</f>
        <v/>
      </c>
      <c r="C1048" t="str">
        <f>IF('سجل الإنتاج'!C48="","",'سجل الإنتاج'!C48)</f>
        <v/>
      </c>
      <c r="D1048" t="str">
        <f>IF('سجل الإنتاج'!C48="","","عدة مواد - راجع صفحة الطبخات")</f>
        <v/>
      </c>
      <c r="F1048" t="str">
        <f>IF('سجل الإنتاج'!C48="","",IF('سجل الإنتاج'!D48="","",'سجل الإنتاج'!D48))</f>
        <v/>
      </c>
      <c r="G1048" t="str">
        <f>IF($B1048&lt;&gt;"",SUMPRODUCT(($B$2:$B1048&lt;&gt;"")*1),"")</f>
        <v/>
      </c>
    </row>
    <row r="1049" spans="1:7">
      <c r="A1049" s="23" t="str">
        <f>IF('سجل الإنتاج'!C49="","",'سجل الإنتاج'!B49)</f>
        <v/>
      </c>
      <c r="B1049" t="str">
        <f>IF('سجل الإنتاج'!C49="","","إنتاج طبخة")</f>
        <v/>
      </c>
      <c r="C1049" t="str">
        <f>IF('سجل الإنتاج'!C49="","",'سجل الإنتاج'!C49)</f>
        <v/>
      </c>
      <c r="D1049" t="str">
        <f>IF('سجل الإنتاج'!C49="","","عدة مواد - راجع صفحة الطبخات")</f>
        <v/>
      </c>
      <c r="F1049" t="str">
        <f>IF('سجل الإنتاج'!C49="","",IF('سجل الإنتاج'!D49="","",'سجل الإنتاج'!D49))</f>
        <v/>
      </c>
      <c r="G1049" t="str">
        <f>IF($B1049&lt;&gt;"",SUMPRODUCT(($B$2:$B1049&lt;&gt;"")*1),"")</f>
        <v/>
      </c>
    </row>
    <row r="1050" spans="1:7">
      <c r="A1050" s="23" t="str">
        <f>IF('سجل الإنتاج'!C50="","",'سجل الإنتاج'!B50)</f>
        <v/>
      </c>
      <c r="B1050" t="str">
        <f>IF('سجل الإنتاج'!C50="","","إنتاج طبخة")</f>
        <v/>
      </c>
      <c r="C1050" t="str">
        <f>IF('سجل الإنتاج'!C50="","",'سجل الإنتاج'!C50)</f>
        <v/>
      </c>
      <c r="D1050" t="str">
        <f>IF('سجل الإنتاج'!C50="","","عدة مواد - راجع صفحة الطبخات")</f>
        <v/>
      </c>
      <c r="F1050" t="str">
        <f>IF('سجل الإنتاج'!C50="","",IF('سجل الإنتاج'!D50="","",'سجل الإنتاج'!D50))</f>
        <v/>
      </c>
      <c r="G1050" t="str">
        <f>IF($B1050&lt;&gt;"",SUMPRODUCT(($B$2:$B1050&lt;&gt;"")*1),"")</f>
        <v/>
      </c>
    </row>
    <row r="1051" spans="1:7">
      <c r="A1051" s="23" t="str">
        <f>IF('سجل الإنتاج'!C51="","",'سجل الإنتاج'!B51)</f>
        <v/>
      </c>
      <c r="B1051" t="str">
        <f>IF('سجل الإنتاج'!C51="","","إنتاج طبخة")</f>
        <v/>
      </c>
      <c r="C1051" t="str">
        <f>IF('سجل الإنتاج'!C51="","",'سجل الإنتاج'!C51)</f>
        <v/>
      </c>
      <c r="D1051" t="str">
        <f>IF('سجل الإنتاج'!C51="","","عدة مواد - راجع صفحة الطبخات")</f>
        <v/>
      </c>
      <c r="F1051" t="str">
        <f>IF('سجل الإنتاج'!C51="","",IF('سجل الإنتاج'!D51="","",'سجل الإنتاج'!D51))</f>
        <v/>
      </c>
      <c r="G1051" t="str">
        <f>IF($B1051&lt;&gt;"",SUMPRODUCT(($B$2:$B1051&lt;&gt;"")*1),"")</f>
        <v/>
      </c>
    </row>
    <row r="1052" spans="1:7">
      <c r="A1052" s="23" t="str">
        <f>IF('سجل الإنتاج'!C52="","",'سجل الإنتاج'!B52)</f>
        <v/>
      </c>
      <c r="B1052" t="str">
        <f>IF('سجل الإنتاج'!C52="","","إنتاج طبخة")</f>
        <v/>
      </c>
      <c r="C1052" t="str">
        <f>IF('سجل الإنتاج'!C52="","",'سجل الإنتاج'!C52)</f>
        <v/>
      </c>
      <c r="D1052" t="str">
        <f>IF('سجل الإنتاج'!C52="","","عدة مواد - راجع صفحة الطبخات")</f>
        <v/>
      </c>
      <c r="F1052" t="str">
        <f>IF('سجل الإنتاج'!C52="","",IF('سجل الإنتاج'!D52="","",'سجل الإنتاج'!D52))</f>
        <v/>
      </c>
      <c r="G1052" t="str">
        <f>IF($B1052&lt;&gt;"",SUMPRODUCT(($B$2:$B1052&lt;&gt;"")*1),"")</f>
        <v/>
      </c>
    </row>
    <row r="1053" spans="1:7">
      <c r="A1053" s="23" t="str">
        <f>IF('سجل الإنتاج'!C53="","",'سجل الإنتاج'!B53)</f>
        <v/>
      </c>
      <c r="B1053" t="str">
        <f>IF('سجل الإنتاج'!C53="","","إنتاج طبخة")</f>
        <v/>
      </c>
      <c r="C1053" t="str">
        <f>IF('سجل الإنتاج'!C53="","",'سجل الإنتاج'!C53)</f>
        <v/>
      </c>
      <c r="D1053" t="str">
        <f>IF('سجل الإنتاج'!C53="","","عدة مواد - راجع صفحة الطبخات")</f>
        <v/>
      </c>
      <c r="F1053" t="str">
        <f>IF('سجل الإنتاج'!C53="","",IF('سجل الإنتاج'!D53="","",'سجل الإنتاج'!D53))</f>
        <v/>
      </c>
      <c r="G1053" t="str">
        <f>IF($B1053&lt;&gt;"",SUMPRODUCT(($B$2:$B1053&lt;&gt;"")*1),"")</f>
        <v/>
      </c>
    </row>
    <row r="1054" spans="1:7">
      <c r="A1054" s="23" t="str">
        <f>IF('سجل الإنتاج'!C54="","",'سجل الإنتاج'!B54)</f>
        <v/>
      </c>
      <c r="B1054" t="str">
        <f>IF('سجل الإنتاج'!C54="","","إنتاج طبخة")</f>
        <v/>
      </c>
      <c r="C1054" t="str">
        <f>IF('سجل الإنتاج'!C54="","",'سجل الإنتاج'!C54)</f>
        <v/>
      </c>
      <c r="D1054" t="str">
        <f>IF('سجل الإنتاج'!C54="","","عدة مواد - راجع صفحة الطبخات")</f>
        <v/>
      </c>
      <c r="F1054" t="str">
        <f>IF('سجل الإنتاج'!C54="","",IF('سجل الإنتاج'!D54="","",'سجل الإنتاج'!D54))</f>
        <v/>
      </c>
      <c r="G1054" t="str">
        <f>IF($B1054&lt;&gt;"",SUMPRODUCT(($B$2:$B1054&lt;&gt;"")*1),"")</f>
        <v/>
      </c>
    </row>
    <row r="1055" spans="1:7">
      <c r="A1055" s="23" t="str">
        <f>IF('سجل الإنتاج'!C55="","",'سجل الإنتاج'!B55)</f>
        <v/>
      </c>
      <c r="B1055" t="str">
        <f>IF('سجل الإنتاج'!C55="","","إنتاج طبخة")</f>
        <v/>
      </c>
      <c r="C1055" t="str">
        <f>IF('سجل الإنتاج'!C55="","",'سجل الإنتاج'!C55)</f>
        <v/>
      </c>
      <c r="D1055" t="str">
        <f>IF('سجل الإنتاج'!C55="","","عدة مواد - راجع صفحة الطبخات")</f>
        <v/>
      </c>
      <c r="F1055" t="str">
        <f>IF('سجل الإنتاج'!C55="","",IF('سجل الإنتاج'!D55="","",'سجل الإنتاج'!D55))</f>
        <v/>
      </c>
      <c r="G1055" t="str">
        <f>IF($B1055&lt;&gt;"",SUMPRODUCT(($B$2:$B1055&lt;&gt;"")*1),"")</f>
        <v/>
      </c>
    </row>
    <row r="1056" spans="1:7">
      <c r="A1056" s="23" t="str">
        <f>IF('سجل الإنتاج'!C56="","",'سجل الإنتاج'!B56)</f>
        <v/>
      </c>
      <c r="B1056" t="str">
        <f>IF('سجل الإنتاج'!C56="","","إنتاج طبخة")</f>
        <v/>
      </c>
      <c r="C1056" t="str">
        <f>IF('سجل الإنتاج'!C56="","",'سجل الإنتاج'!C56)</f>
        <v/>
      </c>
      <c r="D1056" t="str">
        <f>IF('سجل الإنتاج'!C56="","","عدة مواد - راجع صفحة الطبخات")</f>
        <v/>
      </c>
      <c r="F1056" t="str">
        <f>IF('سجل الإنتاج'!C56="","",IF('سجل الإنتاج'!D56="","",'سجل الإنتاج'!D56))</f>
        <v/>
      </c>
      <c r="G1056" t="str">
        <f>IF($B1056&lt;&gt;"",SUMPRODUCT(($B$2:$B1056&lt;&gt;"")*1),"")</f>
        <v/>
      </c>
    </row>
    <row r="1057" spans="1:7">
      <c r="A1057" s="23" t="str">
        <f>IF('سجل الإنتاج'!C57="","",'سجل الإنتاج'!B57)</f>
        <v/>
      </c>
      <c r="B1057" t="str">
        <f>IF('سجل الإنتاج'!C57="","","إنتاج طبخة")</f>
        <v/>
      </c>
      <c r="C1057" t="str">
        <f>IF('سجل الإنتاج'!C57="","",'سجل الإنتاج'!C57)</f>
        <v/>
      </c>
      <c r="D1057" t="str">
        <f>IF('سجل الإنتاج'!C57="","","عدة مواد - راجع صفحة الطبخات")</f>
        <v/>
      </c>
      <c r="F1057" t="str">
        <f>IF('سجل الإنتاج'!C57="","",IF('سجل الإنتاج'!D57="","",'سجل الإنتاج'!D57))</f>
        <v/>
      </c>
      <c r="G1057" t="str">
        <f>IF($B1057&lt;&gt;"",SUMPRODUCT(($B$2:$B1057&lt;&gt;"")*1),"")</f>
        <v/>
      </c>
    </row>
    <row r="1058" spans="1:7">
      <c r="A1058" s="23" t="str">
        <f>IF('سجل الإنتاج'!C58="","",'سجل الإنتاج'!B58)</f>
        <v/>
      </c>
      <c r="B1058" t="str">
        <f>IF('سجل الإنتاج'!C58="","","إنتاج طبخة")</f>
        <v/>
      </c>
      <c r="C1058" t="str">
        <f>IF('سجل الإنتاج'!C58="","",'سجل الإنتاج'!C58)</f>
        <v/>
      </c>
      <c r="D1058" t="str">
        <f>IF('سجل الإنتاج'!C58="","","عدة مواد - راجع صفحة الطبخات")</f>
        <v/>
      </c>
      <c r="F1058" t="str">
        <f>IF('سجل الإنتاج'!C58="","",IF('سجل الإنتاج'!D58="","",'سجل الإنتاج'!D58))</f>
        <v/>
      </c>
      <c r="G1058" t="str">
        <f>IF($B1058&lt;&gt;"",SUMPRODUCT(($B$2:$B1058&lt;&gt;"")*1),"")</f>
        <v/>
      </c>
    </row>
    <row r="1059" spans="1:7">
      <c r="A1059" s="23" t="str">
        <f>IF('سجل الإنتاج'!C59="","",'سجل الإنتاج'!B59)</f>
        <v/>
      </c>
      <c r="B1059" t="str">
        <f>IF('سجل الإنتاج'!C59="","","إنتاج طبخة")</f>
        <v/>
      </c>
      <c r="C1059" t="str">
        <f>IF('سجل الإنتاج'!C59="","",'سجل الإنتاج'!C59)</f>
        <v/>
      </c>
      <c r="D1059" t="str">
        <f>IF('سجل الإنتاج'!C59="","","عدة مواد - راجع صفحة الطبخات")</f>
        <v/>
      </c>
      <c r="F1059" t="str">
        <f>IF('سجل الإنتاج'!C59="","",IF('سجل الإنتاج'!D59="","",'سجل الإنتاج'!D59))</f>
        <v/>
      </c>
      <c r="G1059" t="str">
        <f>IF($B1059&lt;&gt;"",SUMPRODUCT(($B$2:$B1059&lt;&gt;"")*1),"")</f>
        <v/>
      </c>
    </row>
    <row r="1060" spans="1:7">
      <c r="A1060" s="23" t="str">
        <f>IF('سجل الإنتاج'!C60="","",'سجل الإنتاج'!B60)</f>
        <v/>
      </c>
      <c r="B1060" t="str">
        <f>IF('سجل الإنتاج'!C60="","","إنتاج طبخة")</f>
        <v/>
      </c>
      <c r="C1060" t="str">
        <f>IF('سجل الإنتاج'!C60="","",'سجل الإنتاج'!C60)</f>
        <v/>
      </c>
      <c r="D1060" t="str">
        <f>IF('سجل الإنتاج'!C60="","","عدة مواد - راجع صفحة الطبخات")</f>
        <v/>
      </c>
      <c r="F1060" t="str">
        <f>IF('سجل الإنتاج'!C60="","",IF('سجل الإنتاج'!D60="","",'سجل الإنتاج'!D60))</f>
        <v/>
      </c>
      <c r="G1060" t="str">
        <f>IF($B1060&lt;&gt;"",SUMPRODUCT(($B$2:$B1060&lt;&gt;"")*1),"")</f>
        <v/>
      </c>
    </row>
    <row r="1061" spans="1:7">
      <c r="A1061" s="23" t="str">
        <f>IF('سجل الإنتاج'!C61="","",'سجل الإنتاج'!B61)</f>
        <v/>
      </c>
      <c r="B1061" t="str">
        <f>IF('سجل الإنتاج'!C61="","","إنتاج طبخة")</f>
        <v/>
      </c>
      <c r="C1061" t="str">
        <f>IF('سجل الإنتاج'!C61="","",'سجل الإنتاج'!C61)</f>
        <v/>
      </c>
      <c r="D1061" t="str">
        <f>IF('سجل الإنتاج'!C61="","","عدة مواد - راجع صفحة الطبخات")</f>
        <v/>
      </c>
      <c r="F1061" t="str">
        <f>IF('سجل الإنتاج'!C61="","",IF('سجل الإنتاج'!D61="","",'سجل الإنتاج'!D61))</f>
        <v/>
      </c>
      <c r="G1061" t="str">
        <f>IF($B1061&lt;&gt;"",SUMPRODUCT(($B$2:$B1061&lt;&gt;"")*1),"")</f>
        <v/>
      </c>
    </row>
    <row r="1062" spans="1:7">
      <c r="A1062" s="23" t="str">
        <f>IF('سجل الإنتاج'!C62="","",'سجل الإنتاج'!B62)</f>
        <v/>
      </c>
      <c r="B1062" t="str">
        <f>IF('سجل الإنتاج'!C62="","","إنتاج طبخة")</f>
        <v/>
      </c>
      <c r="C1062" t="str">
        <f>IF('سجل الإنتاج'!C62="","",'سجل الإنتاج'!C62)</f>
        <v/>
      </c>
      <c r="D1062" t="str">
        <f>IF('سجل الإنتاج'!C62="","","عدة مواد - راجع صفحة الطبخات")</f>
        <v/>
      </c>
      <c r="F1062" t="str">
        <f>IF('سجل الإنتاج'!C62="","",IF('سجل الإنتاج'!D62="","",'سجل الإنتاج'!D62))</f>
        <v/>
      </c>
      <c r="G1062" t="str">
        <f>IF($B1062&lt;&gt;"",SUMPRODUCT(($B$2:$B1062&lt;&gt;"")*1),"")</f>
        <v/>
      </c>
    </row>
    <row r="1063" spans="1:7">
      <c r="A1063" s="23" t="str">
        <f>IF('سجل الإنتاج'!C63="","",'سجل الإنتاج'!B63)</f>
        <v/>
      </c>
      <c r="B1063" t="str">
        <f>IF('سجل الإنتاج'!C63="","","إنتاج طبخة")</f>
        <v/>
      </c>
      <c r="C1063" t="str">
        <f>IF('سجل الإنتاج'!C63="","",'سجل الإنتاج'!C63)</f>
        <v/>
      </c>
      <c r="D1063" t="str">
        <f>IF('سجل الإنتاج'!C63="","","عدة مواد - راجع صفحة الطبخات")</f>
        <v/>
      </c>
      <c r="F1063" t="str">
        <f>IF('سجل الإنتاج'!C63="","",IF('سجل الإنتاج'!D63="","",'سجل الإنتاج'!D63))</f>
        <v/>
      </c>
      <c r="G1063" t="str">
        <f>IF($B1063&lt;&gt;"",SUMPRODUCT(($B$2:$B1063&lt;&gt;"")*1),"")</f>
        <v/>
      </c>
    </row>
    <row r="1064" spans="1:7">
      <c r="A1064" s="23" t="str">
        <f>IF('سجل الإنتاج'!C64="","",'سجل الإنتاج'!B64)</f>
        <v/>
      </c>
      <c r="B1064" t="str">
        <f>IF('سجل الإنتاج'!C64="","","إنتاج طبخة")</f>
        <v/>
      </c>
      <c r="C1064" t="str">
        <f>IF('سجل الإنتاج'!C64="","",'سجل الإنتاج'!C64)</f>
        <v/>
      </c>
      <c r="D1064" t="str">
        <f>IF('سجل الإنتاج'!C64="","","عدة مواد - راجع صفحة الطبخات")</f>
        <v/>
      </c>
      <c r="F1064" t="str">
        <f>IF('سجل الإنتاج'!C64="","",IF('سجل الإنتاج'!D64="","",'سجل الإنتاج'!D64))</f>
        <v/>
      </c>
      <c r="G1064" t="str">
        <f>IF($B1064&lt;&gt;"",SUMPRODUCT(($B$2:$B1064&lt;&gt;"")*1),"")</f>
        <v/>
      </c>
    </row>
    <row r="1065" spans="1:7">
      <c r="A1065" s="23" t="str">
        <f>IF('سجل الإنتاج'!C65="","",'سجل الإنتاج'!B65)</f>
        <v/>
      </c>
      <c r="B1065" t="str">
        <f>IF('سجل الإنتاج'!C65="","","إنتاج طبخة")</f>
        <v/>
      </c>
      <c r="C1065" t="str">
        <f>IF('سجل الإنتاج'!C65="","",'سجل الإنتاج'!C65)</f>
        <v/>
      </c>
      <c r="D1065" t="str">
        <f>IF('سجل الإنتاج'!C65="","","عدة مواد - راجع صفحة الطبخات")</f>
        <v/>
      </c>
      <c r="F1065" t="str">
        <f>IF('سجل الإنتاج'!C65="","",IF('سجل الإنتاج'!D65="","",'سجل الإنتاج'!D65))</f>
        <v/>
      </c>
      <c r="G1065" t="str">
        <f>IF($B1065&lt;&gt;"",SUMPRODUCT(($B$2:$B1065&lt;&gt;"")*1),"")</f>
        <v/>
      </c>
    </row>
    <row r="1066" spans="1:7">
      <c r="A1066" s="23" t="str">
        <f>IF('سجل الإنتاج'!C66="","",'سجل الإنتاج'!B66)</f>
        <v/>
      </c>
      <c r="B1066" t="str">
        <f>IF('سجل الإنتاج'!C66="","","إنتاج طبخة")</f>
        <v/>
      </c>
      <c r="C1066" t="str">
        <f>IF('سجل الإنتاج'!C66="","",'سجل الإنتاج'!C66)</f>
        <v/>
      </c>
      <c r="D1066" t="str">
        <f>IF('سجل الإنتاج'!C66="","","عدة مواد - راجع صفحة الطبخات")</f>
        <v/>
      </c>
      <c r="F1066" t="str">
        <f>IF('سجل الإنتاج'!C66="","",IF('سجل الإنتاج'!D66="","",'سجل الإنتاج'!D66))</f>
        <v/>
      </c>
      <c r="G1066" t="str">
        <f>IF($B1066&lt;&gt;"",SUMPRODUCT(($B$2:$B1066&lt;&gt;"")*1),"")</f>
        <v/>
      </c>
    </row>
    <row r="1067" spans="1:7">
      <c r="A1067" s="23" t="str">
        <f>IF('سجل الإنتاج'!C67="","",'سجل الإنتاج'!B67)</f>
        <v/>
      </c>
      <c r="B1067" t="str">
        <f>IF('سجل الإنتاج'!C67="","","إنتاج طبخة")</f>
        <v/>
      </c>
      <c r="C1067" t="str">
        <f>IF('سجل الإنتاج'!C67="","",'سجل الإنتاج'!C67)</f>
        <v/>
      </c>
      <c r="D1067" t="str">
        <f>IF('سجل الإنتاج'!C67="","","عدة مواد - راجع صفحة الطبخات")</f>
        <v/>
      </c>
      <c r="F1067" t="str">
        <f>IF('سجل الإنتاج'!C67="","",IF('سجل الإنتاج'!D67="","",'سجل الإنتاج'!D67))</f>
        <v/>
      </c>
      <c r="G1067" t="str">
        <f>IF($B1067&lt;&gt;"",SUMPRODUCT(($B$2:$B1067&lt;&gt;"")*1),"")</f>
        <v/>
      </c>
    </row>
    <row r="1068" spans="1:7">
      <c r="A1068" s="23" t="str">
        <f>IF('سجل الإنتاج'!C68="","",'سجل الإنتاج'!B68)</f>
        <v/>
      </c>
      <c r="B1068" t="str">
        <f>IF('سجل الإنتاج'!C68="","","إنتاج طبخة")</f>
        <v/>
      </c>
      <c r="C1068" t="str">
        <f>IF('سجل الإنتاج'!C68="","",'سجل الإنتاج'!C68)</f>
        <v/>
      </c>
      <c r="D1068" t="str">
        <f>IF('سجل الإنتاج'!C68="","","عدة مواد - راجع صفحة الطبخات")</f>
        <v/>
      </c>
      <c r="F1068" t="str">
        <f>IF('سجل الإنتاج'!C68="","",IF('سجل الإنتاج'!D68="","",'سجل الإنتاج'!D68))</f>
        <v/>
      </c>
      <c r="G1068" t="str">
        <f>IF($B1068&lt;&gt;"",SUMPRODUCT(($B$2:$B1068&lt;&gt;"")*1),"")</f>
        <v/>
      </c>
    </row>
    <row r="1069" spans="1:7">
      <c r="A1069" s="23" t="str">
        <f>IF('سجل الإنتاج'!C69="","",'سجل الإنتاج'!B69)</f>
        <v/>
      </c>
      <c r="B1069" t="str">
        <f>IF('سجل الإنتاج'!C69="","","إنتاج طبخة")</f>
        <v/>
      </c>
      <c r="C1069" t="str">
        <f>IF('سجل الإنتاج'!C69="","",'سجل الإنتاج'!C69)</f>
        <v/>
      </c>
      <c r="D1069" t="str">
        <f>IF('سجل الإنتاج'!C69="","","عدة مواد - راجع صفحة الطبخات")</f>
        <v/>
      </c>
      <c r="F1069" t="str">
        <f>IF('سجل الإنتاج'!C69="","",IF('سجل الإنتاج'!D69="","",'سجل الإنتاج'!D69))</f>
        <v/>
      </c>
      <c r="G1069" t="str">
        <f>IF($B1069&lt;&gt;"",SUMPRODUCT(($B$2:$B1069&lt;&gt;"")*1),"")</f>
        <v/>
      </c>
    </row>
    <row r="1070" spans="1:7">
      <c r="A1070" s="23" t="str">
        <f>IF('سجل الإنتاج'!C70="","",'سجل الإنتاج'!B70)</f>
        <v/>
      </c>
      <c r="B1070" t="str">
        <f>IF('سجل الإنتاج'!C70="","","إنتاج طبخة")</f>
        <v/>
      </c>
      <c r="C1070" t="str">
        <f>IF('سجل الإنتاج'!C70="","",'سجل الإنتاج'!C70)</f>
        <v/>
      </c>
      <c r="D1070" t="str">
        <f>IF('سجل الإنتاج'!C70="","","عدة مواد - راجع صفحة الطبخات")</f>
        <v/>
      </c>
      <c r="F1070" t="str">
        <f>IF('سجل الإنتاج'!C70="","",IF('سجل الإنتاج'!D70="","",'سجل الإنتاج'!D70))</f>
        <v/>
      </c>
      <c r="G1070" t="str">
        <f>IF($B1070&lt;&gt;"",SUMPRODUCT(($B$2:$B1070&lt;&gt;"")*1),"")</f>
        <v/>
      </c>
    </row>
    <row r="1071" spans="1:7">
      <c r="A1071" s="23" t="str">
        <f>IF('سجل الإنتاج'!C71="","",'سجل الإنتاج'!B71)</f>
        <v/>
      </c>
      <c r="B1071" t="str">
        <f>IF('سجل الإنتاج'!C71="","","إنتاج طبخة")</f>
        <v/>
      </c>
      <c r="C1071" t="str">
        <f>IF('سجل الإنتاج'!C71="","",'سجل الإنتاج'!C71)</f>
        <v/>
      </c>
      <c r="D1071" t="str">
        <f>IF('سجل الإنتاج'!C71="","","عدة مواد - راجع صفحة الطبخات")</f>
        <v/>
      </c>
      <c r="F1071" t="str">
        <f>IF('سجل الإنتاج'!C71="","",IF('سجل الإنتاج'!D71="","",'سجل الإنتاج'!D71))</f>
        <v/>
      </c>
      <c r="G1071" t="str">
        <f>IF($B1071&lt;&gt;"",SUMPRODUCT(($B$2:$B1071&lt;&gt;"")*1),"")</f>
        <v/>
      </c>
    </row>
    <row r="1072" spans="1:7">
      <c r="A1072" s="23" t="str">
        <f>IF('سجل الإنتاج'!C72="","",'سجل الإنتاج'!B72)</f>
        <v/>
      </c>
      <c r="B1072" t="str">
        <f>IF('سجل الإنتاج'!C72="","","إنتاج طبخة")</f>
        <v/>
      </c>
      <c r="C1072" t="str">
        <f>IF('سجل الإنتاج'!C72="","",'سجل الإنتاج'!C72)</f>
        <v/>
      </c>
      <c r="D1072" t="str">
        <f>IF('سجل الإنتاج'!C72="","","عدة مواد - راجع صفحة الطبخات")</f>
        <v/>
      </c>
      <c r="F1072" t="str">
        <f>IF('سجل الإنتاج'!C72="","",IF('سجل الإنتاج'!D72="","",'سجل الإنتاج'!D72))</f>
        <v/>
      </c>
      <c r="G1072" t="str">
        <f>IF($B1072&lt;&gt;"",SUMPRODUCT(($B$2:$B1072&lt;&gt;"")*1),"")</f>
        <v/>
      </c>
    </row>
    <row r="1073" spans="1:7">
      <c r="A1073" s="23" t="str">
        <f>IF('سجل الإنتاج'!C73="","",'سجل الإنتاج'!B73)</f>
        <v/>
      </c>
      <c r="B1073" t="str">
        <f>IF('سجل الإنتاج'!C73="","","إنتاج طبخة")</f>
        <v/>
      </c>
      <c r="C1073" t="str">
        <f>IF('سجل الإنتاج'!C73="","",'سجل الإنتاج'!C73)</f>
        <v/>
      </c>
      <c r="D1073" t="str">
        <f>IF('سجل الإنتاج'!C73="","","عدة مواد - راجع صفحة الطبخات")</f>
        <v/>
      </c>
      <c r="F1073" t="str">
        <f>IF('سجل الإنتاج'!C73="","",IF('سجل الإنتاج'!D73="","",'سجل الإنتاج'!D73))</f>
        <v/>
      </c>
      <c r="G1073" t="str">
        <f>IF($B1073&lt;&gt;"",SUMPRODUCT(($B$2:$B1073&lt;&gt;"")*1),"")</f>
        <v/>
      </c>
    </row>
    <row r="1074" spans="1:7">
      <c r="A1074" s="23" t="str">
        <f>IF('سجل الإنتاج'!C74="","",'سجل الإنتاج'!B74)</f>
        <v/>
      </c>
      <c r="B1074" t="str">
        <f>IF('سجل الإنتاج'!C74="","","إنتاج طبخة")</f>
        <v/>
      </c>
      <c r="C1074" t="str">
        <f>IF('سجل الإنتاج'!C74="","",'سجل الإنتاج'!C74)</f>
        <v/>
      </c>
      <c r="D1074" t="str">
        <f>IF('سجل الإنتاج'!C74="","","عدة مواد - راجع صفحة الطبخات")</f>
        <v/>
      </c>
      <c r="F1074" t="str">
        <f>IF('سجل الإنتاج'!C74="","",IF('سجل الإنتاج'!D74="","",'سجل الإنتاج'!D74))</f>
        <v/>
      </c>
      <c r="G1074" t="str">
        <f>IF($B1074&lt;&gt;"",SUMPRODUCT(($B$2:$B1074&lt;&gt;"")*1),"")</f>
        <v/>
      </c>
    </row>
    <row r="1075" spans="1:7">
      <c r="A1075" s="23" t="str">
        <f>IF('سجل الإنتاج'!C75="","",'سجل الإنتاج'!B75)</f>
        <v/>
      </c>
      <c r="B1075" t="str">
        <f>IF('سجل الإنتاج'!C75="","","إنتاج طبخة")</f>
        <v/>
      </c>
      <c r="C1075" t="str">
        <f>IF('سجل الإنتاج'!C75="","",'سجل الإنتاج'!C75)</f>
        <v/>
      </c>
      <c r="D1075" t="str">
        <f>IF('سجل الإنتاج'!C75="","","عدة مواد - راجع صفحة الطبخات")</f>
        <v/>
      </c>
      <c r="F1075" t="str">
        <f>IF('سجل الإنتاج'!C75="","",IF('سجل الإنتاج'!D75="","",'سجل الإنتاج'!D75))</f>
        <v/>
      </c>
      <c r="G1075" t="str">
        <f>IF($B1075&lt;&gt;"",SUMPRODUCT(($B$2:$B1075&lt;&gt;"")*1),"")</f>
        <v/>
      </c>
    </row>
    <row r="1076" spans="1:7">
      <c r="A1076" s="23" t="str">
        <f>IF('سجل الإنتاج'!C76="","",'سجل الإنتاج'!B76)</f>
        <v/>
      </c>
      <c r="B1076" t="str">
        <f>IF('سجل الإنتاج'!C76="","","إنتاج طبخة")</f>
        <v/>
      </c>
      <c r="C1076" t="str">
        <f>IF('سجل الإنتاج'!C76="","",'سجل الإنتاج'!C76)</f>
        <v/>
      </c>
      <c r="D1076" t="str">
        <f>IF('سجل الإنتاج'!C76="","","عدة مواد - راجع صفحة الطبخات")</f>
        <v/>
      </c>
      <c r="F1076" t="str">
        <f>IF('سجل الإنتاج'!C76="","",IF('سجل الإنتاج'!D76="","",'سجل الإنتاج'!D76))</f>
        <v/>
      </c>
      <c r="G1076" t="str">
        <f>IF($B1076&lt;&gt;"",SUMPRODUCT(($B$2:$B1076&lt;&gt;"")*1),"")</f>
        <v/>
      </c>
    </row>
    <row r="1077" spans="1:7">
      <c r="A1077" s="23" t="str">
        <f>IF('سجل الإنتاج'!C77="","",'سجل الإنتاج'!B77)</f>
        <v/>
      </c>
      <c r="B1077" t="str">
        <f>IF('سجل الإنتاج'!C77="","","إنتاج طبخة")</f>
        <v/>
      </c>
      <c r="C1077" t="str">
        <f>IF('سجل الإنتاج'!C77="","",'سجل الإنتاج'!C77)</f>
        <v/>
      </c>
      <c r="D1077" t="str">
        <f>IF('سجل الإنتاج'!C77="","","عدة مواد - راجع صفحة الطبخات")</f>
        <v/>
      </c>
      <c r="F1077" t="str">
        <f>IF('سجل الإنتاج'!C77="","",IF('سجل الإنتاج'!D77="","",'سجل الإنتاج'!D77))</f>
        <v/>
      </c>
      <c r="G1077" t="str">
        <f>IF($B1077&lt;&gt;"",SUMPRODUCT(($B$2:$B1077&lt;&gt;"")*1),"")</f>
        <v/>
      </c>
    </row>
    <row r="1078" spans="1:7">
      <c r="A1078" s="23" t="str">
        <f>IF('سجل الإنتاج'!C78="","",'سجل الإنتاج'!B78)</f>
        <v/>
      </c>
      <c r="B1078" t="str">
        <f>IF('سجل الإنتاج'!C78="","","إنتاج طبخة")</f>
        <v/>
      </c>
      <c r="C1078" t="str">
        <f>IF('سجل الإنتاج'!C78="","",'سجل الإنتاج'!C78)</f>
        <v/>
      </c>
      <c r="D1078" t="str">
        <f>IF('سجل الإنتاج'!C78="","","عدة مواد - راجع صفحة الطبخات")</f>
        <v/>
      </c>
      <c r="F1078" t="str">
        <f>IF('سجل الإنتاج'!C78="","",IF('سجل الإنتاج'!D78="","",'سجل الإنتاج'!D78))</f>
        <v/>
      </c>
      <c r="G1078" t="str">
        <f>IF($B1078&lt;&gt;"",SUMPRODUCT(($B$2:$B1078&lt;&gt;"")*1),"")</f>
        <v/>
      </c>
    </row>
    <row r="1079" spans="1:7">
      <c r="A1079" s="23" t="str">
        <f>IF('سجل الإنتاج'!C79="","",'سجل الإنتاج'!B79)</f>
        <v/>
      </c>
      <c r="B1079" t="str">
        <f>IF('سجل الإنتاج'!C79="","","إنتاج طبخة")</f>
        <v/>
      </c>
      <c r="C1079" t="str">
        <f>IF('سجل الإنتاج'!C79="","",'سجل الإنتاج'!C79)</f>
        <v/>
      </c>
      <c r="D1079" t="str">
        <f>IF('سجل الإنتاج'!C79="","","عدة مواد - راجع صفحة الطبخات")</f>
        <v/>
      </c>
      <c r="F1079" t="str">
        <f>IF('سجل الإنتاج'!C79="","",IF('سجل الإنتاج'!D79="","",'سجل الإنتاج'!D79))</f>
        <v/>
      </c>
      <c r="G1079" t="str">
        <f>IF($B1079&lt;&gt;"",SUMPRODUCT(($B$2:$B1079&lt;&gt;"")*1),"")</f>
        <v/>
      </c>
    </row>
    <row r="1080" spans="1:7">
      <c r="A1080" s="23" t="str">
        <f>IF('سجل الإنتاج'!C80="","",'سجل الإنتاج'!B80)</f>
        <v/>
      </c>
      <c r="B1080" t="str">
        <f>IF('سجل الإنتاج'!C80="","","إنتاج طبخة")</f>
        <v/>
      </c>
      <c r="C1080" t="str">
        <f>IF('سجل الإنتاج'!C80="","",'سجل الإنتاج'!C80)</f>
        <v/>
      </c>
      <c r="D1080" t="str">
        <f>IF('سجل الإنتاج'!C80="","","عدة مواد - راجع صفحة الطبخات")</f>
        <v/>
      </c>
      <c r="F1080" t="str">
        <f>IF('سجل الإنتاج'!C80="","",IF('سجل الإنتاج'!D80="","",'سجل الإنتاج'!D80))</f>
        <v/>
      </c>
      <c r="G1080" t="str">
        <f>IF($B1080&lt;&gt;"",SUMPRODUCT(($B$2:$B1080&lt;&gt;"")*1),"")</f>
        <v/>
      </c>
    </row>
    <row r="1081" spans="1:7">
      <c r="A1081" s="23" t="str">
        <f>IF('سجل الإنتاج'!C81="","",'سجل الإنتاج'!B81)</f>
        <v/>
      </c>
      <c r="B1081" t="str">
        <f>IF('سجل الإنتاج'!C81="","","إنتاج طبخة")</f>
        <v/>
      </c>
      <c r="C1081" t="str">
        <f>IF('سجل الإنتاج'!C81="","",'سجل الإنتاج'!C81)</f>
        <v/>
      </c>
      <c r="D1081" t="str">
        <f>IF('سجل الإنتاج'!C81="","","عدة مواد - راجع صفحة الطبخات")</f>
        <v/>
      </c>
      <c r="F1081" t="str">
        <f>IF('سجل الإنتاج'!C81="","",IF('سجل الإنتاج'!D81="","",'سجل الإنتاج'!D81))</f>
        <v/>
      </c>
      <c r="G1081" t="str">
        <f>IF($B1081&lt;&gt;"",SUMPRODUCT(($B$2:$B1081&lt;&gt;"")*1),"")</f>
        <v/>
      </c>
    </row>
    <row r="1082" spans="1:7">
      <c r="A1082" s="23" t="str">
        <f>IF('سجل الإنتاج'!C82="","",'سجل الإنتاج'!B82)</f>
        <v/>
      </c>
      <c r="B1082" t="str">
        <f>IF('سجل الإنتاج'!C82="","","إنتاج طبخة")</f>
        <v/>
      </c>
      <c r="C1082" t="str">
        <f>IF('سجل الإنتاج'!C82="","",'سجل الإنتاج'!C82)</f>
        <v/>
      </c>
      <c r="D1082" t="str">
        <f>IF('سجل الإنتاج'!C82="","","عدة مواد - راجع صفحة الطبخات")</f>
        <v/>
      </c>
      <c r="F1082" t="str">
        <f>IF('سجل الإنتاج'!C82="","",IF('سجل الإنتاج'!D82="","",'سجل الإنتاج'!D82))</f>
        <v/>
      </c>
      <c r="G1082" t="str">
        <f>IF($B1082&lt;&gt;"",SUMPRODUCT(($B$2:$B1082&lt;&gt;"")*1),"")</f>
        <v/>
      </c>
    </row>
    <row r="1083" spans="1:7">
      <c r="A1083" s="23" t="str">
        <f>IF('سجل الإنتاج'!C83="","",'سجل الإنتاج'!B83)</f>
        <v/>
      </c>
      <c r="B1083" t="str">
        <f>IF('سجل الإنتاج'!C83="","","إنتاج طبخة")</f>
        <v/>
      </c>
      <c r="C1083" t="str">
        <f>IF('سجل الإنتاج'!C83="","",'سجل الإنتاج'!C83)</f>
        <v/>
      </c>
      <c r="D1083" t="str">
        <f>IF('سجل الإنتاج'!C83="","","عدة مواد - راجع صفحة الطبخات")</f>
        <v/>
      </c>
      <c r="F1083" t="str">
        <f>IF('سجل الإنتاج'!C83="","",IF('سجل الإنتاج'!D83="","",'سجل الإنتاج'!D83))</f>
        <v/>
      </c>
      <c r="G1083" t="str">
        <f>IF($B1083&lt;&gt;"",SUMPRODUCT(($B$2:$B1083&lt;&gt;"")*1),"")</f>
        <v/>
      </c>
    </row>
    <row r="1084" spans="1:7">
      <c r="A1084" s="23" t="str">
        <f>IF('سجل الإنتاج'!C84="","",'سجل الإنتاج'!B84)</f>
        <v/>
      </c>
      <c r="B1084" t="str">
        <f>IF('سجل الإنتاج'!C84="","","إنتاج طبخة")</f>
        <v/>
      </c>
      <c r="C1084" t="str">
        <f>IF('سجل الإنتاج'!C84="","",'سجل الإنتاج'!C84)</f>
        <v/>
      </c>
      <c r="D1084" t="str">
        <f>IF('سجل الإنتاج'!C84="","","عدة مواد - راجع صفحة الطبخات")</f>
        <v/>
      </c>
      <c r="F1084" t="str">
        <f>IF('سجل الإنتاج'!C84="","",IF('سجل الإنتاج'!D84="","",'سجل الإنتاج'!D84))</f>
        <v/>
      </c>
      <c r="G1084" t="str">
        <f>IF($B1084&lt;&gt;"",SUMPRODUCT(($B$2:$B1084&lt;&gt;"")*1),"")</f>
        <v/>
      </c>
    </row>
    <row r="1085" spans="1:7">
      <c r="A1085" s="23" t="str">
        <f>IF('سجل الإنتاج'!C85="","",'سجل الإنتاج'!B85)</f>
        <v/>
      </c>
      <c r="B1085" t="str">
        <f>IF('سجل الإنتاج'!C85="","","إنتاج طبخة")</f>
        <v/>
      </c>
      <c r="C1085" t="str">
        <f>IF('سجل الإنتاج'!C85="","",'سجل الإنتاج'!C85)</f>
        <v/>
      </c>
      <c r="D1085" t="str">
        <f>IF('سجل الإنتاج'!C85="","","عدة مواد - راجع صفحة الطبخات")</f>
        <v/>
      </c>
      <c r="F1085" t="str">
        <f>IF('سجل الإنتاج'!C85="","",IF('سجل الإنتاج'!D85="","",'سجل الإنتاج'!D85))</f>
        <v/>
      </c>
      <c r="G1085" t="str">
        <f>IF($B1085&lt;&gt;"",SUMPRODUCT(($B$2:$B1085&lt;&gt;"")*1),"")</f>
        <v/>
      </c>
    </row>
    <row r="1086" spans="1:7">
      <c r="A1086" s="23" t="str">
        <f>IF('سجل الإنتاج'!C86="","",'سجل الإنتاج'!B86)</f>
        <v/>
      </c>
      <c r="B1086" t="str">
        <f>IF('سجل الإنتاج'!C86="","","إنتاج طبخة")</f>
        <v/>
      </c>
      <c r="C1086" t="str">
        <f>IF('سجل الإنتاج'!C86="","",'سجل الإنتاج'!C86)</f>
        <v/>
      </c>
      <c r="D1086" t="str">
        <f>IF('سجل الإنتاج'!C86="","","عدة مواد - راجع صفحة الطبخات")</f>
        <v/>
      </c>
      <c r="F1086" t="str">
        <f>IF('سجل الإنتاج'!C86="","",IF('سجل الإنتاج'!D86="","",'سجل الإنتاج'!D86))</f>
        <v/>
      </c>
      <c r="G1086" t="str">
        <f>IF($B1086&lt;&gt;"",SUMPRODUCT(($B$2:$B1086&lt;&gt;"")*1),"")</f>
        <v/>
      </c>
    </row>
    <row r="1087" spans="1:7">
      <c r="A1087" s="23" t="str">
        <f>IF('سجل الإنتاج'!C87="","",'سجل الإنتاج'!B87)</f>
        <v/>
      </c>
      <c r="B1087" t="str">
        <f>IF('سجل الإنتاج'!C87="","","إنتاج طبخة")</f>
        <v/>
      </c>
      <c r="C1087" t="str">
        <f>IF('سجل الإنتاج'!C87="","",'سجل الإنتاج'!C87)</f>
        <v/>
      </c>
      <c r="D1087" t="str">
        <f>IF('سجل الإنتاج'!C87="","","عدة مواد - راجع صفحة الطبخات")</f>
        <v/>
      </c>
      <c r="F1087" t="str">
        <f>IF('سجل الإنتاج'!C87="","",IF('سجل الإنتاج'!D87="","",'سجل الإنتاج'!D87))</f>
        <v/>
      </c>
      <c r="G1087" t="str">
        <f>IF($B1087&lt;&gt;"",SUMPRODUCT(($B$2:$B1087&lt;&gt;"")*1),"")</f>
        <v/>
      </c>
    </row>
    <row r="1088" spans="1:7">
      <c r="A1088" s="23" t="str">
        <f>IF('سجل الإنتاج'!C88="","",'سجل الإنتاج'!B88)</f>
        <v/>
      </c>
      <c r="B1088" t="str">
        <f>IF('سجل الإنتاج'!C88="","","إنتاج طبخة")</f>
        <v/>
      </c>
      <c r="C1088" t="str">
        <f>IF('سجل الإنتاج'!C88="","",'سجل الإنتاج'!C88)</f>
        <v/>
      </c>
      <c r="D1088" t="str">
        <f>IF('سجل الإنتاج'!C88="","","عدة مواد - راجع صفحة الطبخات")</f>
        <v/>
      </c>
      <c r="F1088" t="str">
        <f>IF('سجل الإنتاج'!C88="","",IF('سجل الإنتاج'!D88="","",'سجل الإنتاج'!D88))</f>
        <v/>
      </c>
      <c r="G1088" t="str">
        <f>IF($B1088&lt;&gt;"",SUMPRODUCT(($B$2:$B1088&lt;&gt;"")*1),"")</f>
        <v/>
      </c>
    </row>
    <row r="1089" spans="1:7">
      <c r="A1089" s="23" t="str">
        <f>IF('سجل الإنتاج'!C89="","",'سجل الإنتاج'!B89)</f>
        <v/>
      </c>
      <c r="B1089" t="str">
        <f>IF('سجل الإنتاج'!C89="","","إنتاج طبخة")</f>
        <v/>
      </c>
      <c r="C1089" t="str">
        <f>IF('سجل الإنتاج'!C89="","",'سجل الإنتاج'!C89)</f>
        <v/>
      </c>
      <c r="D1089" t="str">
        <f>IF('سجل الإنتاج'!C89="","","عدة مواد - راجع صفحة الطبخات")</f>
        <v/>
      </c>
      <c r="F1089" t="str">
        <f>IF('سجل الإنتاج'!C89="","",IF('سجل الإنتاج'!D89="","",'سجل الإنتاج'!D89))</f>
        <v/>
      </c>
      <c r="G1089" t="str">
        <f>IF($B1089&lt;&gt;"",SUMPRODUCT(($B$2:$B1089&lt;&gt;"")*1),"")</f>
        <v/>
      </c>
    </row>
    <row r="1090" spans="1:7">
      <c r="A1090" s="23" t="str">
        <f>IF('سجل الإنتاج'!C90="","",'سجل الإنتاج'!B90)</f>
        <v/>
      </c>
      <c r="B1090" t="str">
        <f>IF('سجل الإنتاج'!C90="","","إنتاج طبخة")</f>
        <v/>
      </c>
      <c r="C1090" t="str">
        <f>IF('سجل الإنتاج'!C90="","",'سجل الإنتاج'!C90)</f>
        <v/>
      </c>
      <c r="D1090" t="str">
        <f>IF('سجل الإنتاج'!C90="","","عدة مواد - راجع صفحة الطبخات")</f>
        <v/>
      </c>
      <c r="F1090" t="str">
        <f>IF('سجل الإنتاج'!C90="","",IF('سجل الإنتاج'!D90="","",'سجل الإنتاج'!D90))</f>
        <v/>
      </c>
      <c r="G1090" t="str">
        <f>IF($B1090&lt;&gt;"",SUMPRODUCT(($B$2:$B1090&lt;&gt;"")*1),"")</f>
        <v/>
      </c>
    </row>
    <row r="1091" spans="1:7">
      <c r="A1091" s="23" t="str">
        <f>IF('سجل الإنتاج'!C91="","",'سجل الإنتاج'!B91)</f>
        <v/>
      </c>
      <c r="B1091" t="str">
        <f>IF('سجل الإنتاج'!C91="","","إنتاج طبخة")</f>
        <v/>
      </c>
      <c r="C1091" t="str">
        <f>IF('سجل الإنتاج'!C91="","",'سجل الإنتاج'!C91)</f>
        <v/>
      </c>
      <c r="D1091" t="str">
        <f>IF('سجل الإنتاج'!C91="","","عدة مواد - راجع صفحة الطبخات")</f>
        <v/>
      </c>
      <c r="F1091" t="str">
        <f>IF('سجل الإنتاج'!C91="","",IF('سجل الإنتاج'!D91="","",'سجل الإنتاج'!D91))</f>
        <v/>
      </c>
      <c r="G1091" t="str">
        <f>IF($B1091&lt;&gt;"",SUMPRODUCT(($B$2:$B1091&lt;&gt;"")*1),"")</f>
        <v/>
      </c>
    </row>
    <row r="1092" spans="1:7">
      <c r="A1092" s="23" t="str">
        <f>IF('سجل الإنتاج'!C92="","",'سجل الإنتاج'!B92)</f>
        <v/>
      </c>
      <c r="B1092" t="str">
        <f>IF('سجل الإنتاج'!C92="","","إنتاج طبخة")</f>
        <v/>
      </c>
      <c r="C1092" t="str">
        <f>IF('سجل الإنتاج'!C92="","",'سجل الإنتاج'!C92)</f>
        <v/>
      </c>
      <c r="D1092" t="str">
        <f>IF('سجل الإنتاج'!C92="","","عدة مواد - راجع صفحة الطبخات")</f>
        <v/>
      </c>
      <c r="F1092" t="str">
        <f>IF('سجل الإنتاج'!C92="","",IF('سجل الإنتاج'!D92="","",'سجل الإنتاج'!D92))</f>
        <v/>
      </c>
      <c r="G1092" t="str">
        <f>IF($B1092&lt;&gt;"",SUMPRODUCT(($B$2:$B1092&lt;&gt;"")*1),"")</f>
        <v/>
      </c>
    </row>
    <row r="1093" spans="1:7">
      <c r="A1093" s="23" t="str">
        <f>IF('سجل الإنتاج'!C93="","",'سجل الإنتاج'!B93)</f>
        <v/>
      </c>
      <c r="B1093" t="str">
        <f>IF('سجل الإنتاج'!C93="","","إنتاج طبخة")</f>
        <v/>
      </c>
      <c r="C1093" t="str">
        <f>IF('سجل الإنتاج'!C93="","",'سجل الإنتاج'!C93)</f>
        <v/>
      </c>
      <c r="D1093" t="str">
        <f>IF('سجل الإنتاج'!C93="","","عدة مواد - راجع صفحة الطبخات")</f>
        <v/>
      </c>
      <c r="F1093" t="str">
        <f>IF('سجل الإنتاج'!C93="","",IF('سجل الإنتاج'!D93="","",'سجل الإنتاج'!D93))</f>
        <v/>
      </c>
      <c r="G1093" t="str">
        <f>IF($B1093&lt;&gt;"",SUMPRODUCT(($B$2:$B1093&lt;&gt;"")*1),"")</f>
        <v/>
      </c>
    </row>
    <row r="1094" spans="1:7">
      <c r="A1094" s="23" t="str">
        <f>IF('سجل الإنتاج'!C94="","",'سجل الإنتاج'!B94)</f>
        <v/>
      </c>
      <c r="B1094" t="str">
        <f>IF('سجل الإنتاج'!C94="","","إنتاج طبخة")</f>
        <v/>
      </c>
      <c r="C1094" t="str">
        <f>IF('سجل الإنتاج'!C94="","",'سجل الإنتاج'!C94)</f>
        <v/>
      </c>
      <c r="D1094" t="str">
        <f>IF('سجل الإنتاج'!C94="","","عدة مواد - راجع صفحة الطبخات")</f>
        <v/>
      </c>
      <c r="F1094" t="str">
        <f>IF('سجل الإنتاج'!C94="","",IF('سجل الإنتاج'!D94="","",'سجل الإنتاج'!D94))</f>
        <v/>
      </c>
      <c r="G1094" t="str">
        <f>IF($B1094&lt;&gt;"",SUMPRODUCT(($B$2:$B1094&lt;&gt;"")*1),"")</f>
        <v/>
      </c>
    </row>
    <row r="1095" spans="1:7">
      <c r="A1095" s="23" t="str">
        <f>IF('سجل الإنتاج'!C95="","",'سجل الإنتاج'!B95)</f>
        <v/>
      </c>
      <c r="B1095" t="str">
        <f>IF('سجل الإنتاج'!C95="","","إنتاج طبخة")</f>
        <v/>
      </c>
      <c r="C1095" t="str">
        <f>IF('سجل الإنتاج'!C95="","",'سجل الإنتاج'!C95)</f>
        <v/>
      </c>
      <c r="D1095" t="str">
        <f>IF('سجل الإنتاج'!C95="","","عدة مواد - راجع صفحة الطبخات")</f>
        <v/>
      </c>
      <c r="F1095" t="str">
        <f>IF('سجل الإنتاج'!C95="","",IF('سجل الإنتاج'!D95="","",'سجل الإنتاج'!D95))</f>
        <v/>
      </c>
      <c r="G1095" t="str">
        <f>IF($B1095&lt;&gt;"",SUMPRODUCT(($B$2:$B1095&lt;&gt;"")*1),"")</f>
        <v/>
      </c>
    </row>
    <row r="1096" spans="1:7">
      <c r="A1096" s="23" t="str">
        <f>IF('سجل الإنتاج'!C96="","",'سجل الإنتاج'!B96)</f>
        <v/>
      </c>
      <c r="B1096" t="str">
        <f>IF('سجل الإنتاج'!C96="","","إنتاج طبخة")</f>
        <v/>
      </c>
      <c r="C1096" t="str">
        <f>IF('سجل الإنتاج'!C96="","",'سجل الإنتاج'!C96)</f>
        <v/>
      </c>
      <c r="D1096" t="str">
        <f>IF('سجل الإنتاج'!C96="","","عدة مواد - راجع صفحة الطبخات")</f>
        <v/>
      </c>
      <c r="F1096" t="str">
        <f>IF('سجل الإنتاج'!C96="","",IF('سجل الإنتاج'!D96="","",'سجل الإنتاج'!D96))</f>
        <v/>
      </c>
      <c r="G1096" t="str">
        <f>IF($B1096&lt;&gt;"",SUMPRODUCT(($B$2:$B1096&lt;&gt;"")*1),"")</f>
        <v/>
      </c>
    </row>
    <row r="1097" spans="1:7">
      <c r="A1097" s="23" t="str">
        <f>IF('سجل الإنتاج'!C97="","",'سجل الإنتاج'!B97)</f>
        <v/>
      </c>
      <c r="B1097" t="str">
        <f>IF('سجل الإنتاج'!C97="","","إنتاج طبخة")</f>
        <v/>
      </c>
      <c r="C1097" t="str">
        <f>IF('سجل الإنتاج'!C97="","",'سجل الإنتاج'!C97)</f>
        <v/>
      </c>
      <c r="D1097" t="str">
        <f>IF('سجل الإنتاج'!C97="","","عدة مواد - راجع صفحة الطبخات")</f>
        <v/>
      </c>
      <c r="F1097" t="str">
        <f>IF('سجل الإنتاج'!C97="","",IF('سجل الإنتاج'!D97="","",'سجل الإنتاج'!D97))</f>
        <v/>
      </c>
      <c r="G1097" t="str">
        <f>IF($B1097&lt;&gt;"",SUMPRODUCT(($B$2:$B1097&lt;&gt;"")*1),"")</f>
        <v/>
      </c>
    </row>
    <row r="1098" spans="1:7">
      <c r="A1098" s="23" t="str">
        <f>IF('سجل الإنتاج'!C98="","",'سجل الإنتاج'!B98)</f>
        <v/>
      </c>
      <c r="B1098" t="str">
        <f>IF('سجل الإنتاج'!C98="","","إنتاج طبخة")</f>
        <v/>
      </c>
      <c r="C1098" t="str">
        <f>IF('سجل الإنتاج'!C98="","",'سجل الإنتاج'!C98)</f>
        <v/>
      </c>
      <c r="D1098" t="str">
        <f>IF('سجل الإنتاج'!C98="","","عدة مواد - راجع صفحة الطبخات")</f>
        <v/>
      </c>
      <c r="F1098" t="str">
        <f>IF('سجل الإنتاج'!C98="","",IF('سجل الإنتاج'!D98="","",'سجل الإنتاج'!D98))</f>
        <v/>
      </c>
      <c r="G1098" t="str">
        <f>IF($B1098&lt;&gt;"",SUMPRODUCT(($B$2:$B1098&lt;&gt;"")*1),"")</f>
        <v/>
      </c>
    </row>
    <row r="1099" spans="1:7">
      <c r="A1099" s="23" t="str">
        <f>IF('سجل الإنتاج'!C99="","",'سجل الإنتاج'!B99)</f>
        <v/>
      </c>
      <c r="B1099" t="str">
        <f>IF('سجل الإنتاج'!C99="","","إنتاج طبخة")</f>
        <v/>
      </c>
      <c r="C1099" t="str">
        <f>IF('سجل الإنتاج'!C99="","",'سجل الإنتاج'!C99)</f>
        <v/>
      </c>
      <c r="D1099" t="str">
        <f>IF('سجل الإنتاج'!C99="","","عدة مواد - راجع صفحة الطبخات")</f>
        <v/>
      </c>
      <c r="F1099" t="str">
        <f>IF('سجل الإنتاج'!C99="","",IF('سجل الإنتاج'!D99="","",'سجل الإنتاج'!D99))</f>
        <v/>
      </c>
      <c r="G1099" t="str">
        <f>IF($B1099&lt;&gt;"",SUMPRODUCT(($B$2:$B1099&lt;&gt;"")*1),"")</f>
        <v/>
      </c>
    </row>
    <row r="1100" spans="1:7">
      <c r="A1100" s="23" t="str">
        <f>IF('سجل الإنتاج'!C100="","",'سجل الإنتاج'!B100)</f>
        <v/>
      </c>
      <c r="B1100" t="str">
        <f>IF('سجل الإنتاج'!C100="","","إنتاج طبخة")</f>
        <v/>
      </c>
      <c r="C1100" t="str">
        <f>IF('سجل الإنتاج'!C100="","",'سجل الإنتاج'!C100)</f>
        <v/>
      </c>
      <c r="D1100" t="str">
        <f>IF('سجل الإنتاج'!C100="","","عدة مواد - راجع صفحة الطبخات")</f>
        <v/>
      </c>
      <c r="F1100" t="str">
        <f>IF('سجل الإنتاج'!C100="","",IF('سجل الإنتاج'!D100="","",'سجل الإنتاج'!D100))</f>
        <v/>
      </c>
      <c r="G1100" t="str">
        <f>IF($B1100&lt;&gt;"",SUMPRODUCT(($B$2:$B1100&lt;&gt;"")*1),"")</f>
        <v/>
      </c>
    </row>
    <row r="1101" spans="1:7">
      <c r="A1101" s="23" t="str">
        <f>IF('سجل الإنتاج'!C101="","",'سجل الإنتاج'!B101)</f>
        <v/>
      </c>
      <c r="B1101" t="str">
        <f>IF('سجل الإنتاج'!C101="","","إنتاج طبخة")</f>
        <v/>
      </c>
      <c r="C1101" t="str">
        <f>IF('سجل الإنتاج'!C101="","",'سجل الإنتاج'!C101)</f>
        <v/>
      </c>
      <c r="D1101" t="str">
        <f>IF('سجل الإنتاج'!C101="","","عدة مواد - راجع صفحة الطبخات")</f>
        <v/>
      </c>
      <c r="F1101" t="str">
        <f>IF('سجل الإنتاج'!C101="","",IF('سجل الإنتاج'!D101="","",'سجل الإنتاج'!D101))</f>
        <v/>
      </c>
      <c r="G1101" t="str">
        <f>IF($B1101&lt;&gt;"",SUMPRODUCT(($B$2:$B1101&lt;&gt;"")*1),"")</f>
        <v/>
      </c>
    </row>
    <row r="1102" spans="1:7">
      <c r="A1102" s="23" t="str">
        <f>IF('سجل الإنتاج'!C102="","",'سجل الإنتاج'!B102)</f>
        <v/>
      </c>
      <c r="B1102" t="str">
        <f>IF('سجل الإنتاج'!C102="","","إنتاج طبخة")</f>
        <v/>
      </c>
      <c r="C1102" t="str">
        <f>IF('سجل الإنتاج'!C102="","",'سجل الإنتاج'!C102)</f>
        <v/>
      </c>
      <c r="D1102" t="str">
        <f>IF('سجل الإنتاج'!C102="","","عدة مواد - راجع صفحة الطبخات")</f>
        <v/>
      </c>
      <c r="F1102" t="str">
        <f>IF('سجل الإنتاج'!C102="","",IF('سجل الإنتاج'!D102="","",'سجل الإنتاج'!D102))</f>
        <v/>
      </c>
      <c r="G1102" t="str">
        <f>IF($B1102&lt;&gt;"",SUMPRODUCT(($B$2:$B1102&lt;&gt;"")*1),"")</f>
        <v/>
      </c>
    </row>
    <row r="1103" spans="1:7">
      <c r="A1103" s="23" t="str">
        <f>IF('سجل الإنتاج'!C103="","",'سجل الإنتاج'!B103)</f>
        <v/>
      </c>
      <c r="B1103" t="str">
        <f>IF('سجل الإنتاج'!C103="","","إنتاج طبخة")</f>
        <v/>
      </c>
      <c r="C1103" t="str">
        <f>IF('سجل الإنتاج'!C103="","",'سجل الإنتاج'!C103)</f>
        <v/>
      </c>
      <c r="D1103" t="str">
        <f>IF('سجل الإنتاج'!C103="","","عدة مواد - راجع صفحة الطبخات")</f>
        <v/>
      </c>
      <c r="F1103" t="str">
        <f>IF('سجل الإنتاج'!C103="","",IF('سجل الإنتاج'!D103="","",'سجل الإنتاج'!D103))</f>
        <v/>
      </c>
      <c r="G1103" t="str">
        <f>IF($B1103&lt;&gt;"",SUMPRODUCT(($B$2:$B1103&lt;&gt;"")*1),"")</f>
        <v/>
      </c>
    </row>
    <row r="1104" spans="1:7">
      <c r="A1104" s="23" t="str">
        <f>IF('سجل الإنتاج'!C104="","",'سجل الإنتاج'!B104)</f>
        <v/>
      </c>
      <c r="B1104" t="str">
        <f>IF('سجل الإنتاج'!C104="","","إنتاج طبخة")</f>
        <v/>
      </c>
      <c r="C1104" t="str">
        <f>IF('سجل الإنتاج'!C104="","",'سجل الإنتاج'!C104)</f>
        <v/>
      </c>
      <c r="D1104" t="str">
        <f>IF('سجل الإنتاج'!C104="","","عدة مواد - راجع صفحة الطبخات")</f>
        <v/>
      </c>
      <c r="F1104" t="str">
        <f>IF('سجل الإنتاج'!C104="","",IF('سجل الإنتاج'!D104="","",'سجل الإنتاج'!D104))</f>
        <v/>
      </c>
      <c r="G1104" t="str">
        <f>IF($B1104&lt;&gt;"",SUMPRODUCT(($B$2:$B1104&lt;&gt;"")*1),"")</f>
        <v/>
      </c>
    </row>
    <row r="1105" spans="1:7">
      <c r="A1105" s="23" t="str">
        <f>IF('سجل الإنتاج'!C105="","",'سجل الإنتاج'!B105)</f>
        <v/>
      </c>
      <c r="B1105" t="str">
        <f>IF('سجل الإنتاج'!C105="","","إنتاج طبخة")</f>
        <v/>
      </c>
      <c r="C1105" t="str">
        <f>IF('سجل الإنتاج'!C105="","",'سجل الإنتاج'!C105)</f>
        <v/>
      </c>
      <c r="D1105" t="str">
        <f>IF('سجل الإنتاج'!C105="","","عدة مواد - راجع صفحة الطبخات")</f>
        <v/>
      </c>
      <c r="F1105" t="str">
        <f>IF('سجل الإنتاج'!C105="","",IF('سجل الإنتاج'!D105="","",'سجل الإنتاج'!D105))</f>
        <v/>
      </c>
      <c r="G1105" t="str">
        <f>IF($B1105&lt;&gt;"",SUMPRODUCT(($B$2:$B1105&lt;&gt;"")*1),"")</f>
        <v/>
      </c>
    </row>
    <row r="1106" spans="1:7">
      <c r="A1106" s="23" t="str">
        <f>IF('سجل الإنتاج'!C106="","",'سجل الإنتاج'!B106)</f>
        <v/>
      </c>
      <c r="B1106" t="str">
        <f>IF('سجل الإنتاج'!C106="","","إنتاج طبخة")</f>
        <v/>
      </c>
      <c r="C1106" t="str">
        <f>IF('سجل الإنتاج'!C106="","",'سجل الإنتاج'!C106)</f>
        <v/>
      </c>
      <c r="D1106" t="str">
        <f>IF('سجل الإنتاج'!C106="","","عدة مواد - راجع صفحة الطبخات")</f>
        <v/>
      </c>
      <c r="F1106" t="str">
        <f>IF('سجل الإنتاج'!C106="","",IF('سجل الإنتاج'!D106="","",'سجل الإنتاج'!D106))</f>
        <v/>
      </c>
      <c r="G1106" t="str">
        <f>IF($B1106&lt;&gt;"",SUMPRODUCT(($B$2:$B1106&lt;&gt;"")*1),"")</f>
        <v/>
      </c>
    </row>
    <row r="1107" spans="1:7">
      <c r="A1107" s="23" t="str">
        <f>IF('سجل الإنتاج'!C107="","",'سجل الإنتاج'!B107)</f>
        <v/>
      </c>
      <c r="B1107" t="str">
        <f>IF('سجل الإنتاج'!C107="","","إنتاج طبخة")</f>
        <v/>
      </c>
      <c r="C1107" t="str">
        <f>IF('سجل الإنتاج'!C107="","",'سجل الإنتاج'!C107)</f>
        <v/>
      </c>
      <c r="D1107" t="str">
        <f>IF('سجل الإنتاج'!C107="","","عدة مواد - راجع صفحة الطبخات")</f>
        <v/>
      </c>
      <c r="F1107" t="str">
        <f>IF('سجل الإنتاج'!C107="","",IF('سجل الإنتاج'!D107="","",'سجل الإنتاج'!D107))</f>
        <v/>
      </c>
      <c r="G1107" t="str">
        <f>IF($B1107&lt;&gt;"",SUMPRODUCT(($B$2:$B1107&lt;&gt;"")*1),"")</f>
        <v/>
      </c>
    </row>
    <row r="1108" spans="1:7">
      <c r="A1108" s="23" t="str">
        <f>IF('سجل الإنتاج'!C108="","",'سجل الإنتاج'!B108)</f>
        <v/>
      </c>
      <c r="B1108" t="str">
        <f>IF('سجل الإنتاج'!C108="","","إنتاج طبخة")</f>
        <v/>
      </c>
      <c r="C1108" t="str">
        <f>IF('سجل الإنتاج'!C108="","",'سجل الإنتاج'!C108)</f>
        <v/>
      </c>
      <c r="D1108" t="str">
        <f>IF('سجل الإنتاج'!C108="","","عدة مواد - راجع صفحة الطبخات")</f>
        <v/>
      </c>
      <c r="F1108" t="str">
        <f>IF('سجل الإنتاج'!C108="","",IF('سجل الإنتاج'!D108="","",'سجل الإنتاج'!D108))</f>
        <v/>
      </c>
      <c r="G1108" t="str">
        <f>IF($B1108&lt;&gt;"",SUMPRODUCT(($B$2:$B1108&lt;&gt;"")*1),"")</f>
        <v/>
      </c>
    </row>
    <row r="1109" spans="1:7">
      <c r="A1109" s="23" t="str">
        <f>IF('سجل الإنتاج'!C109="","",'سجل الإنتاج'!B109)</f>
        <v/>
      </c>
      <c r="B1109" t="str">
        <f>IF('سجل الإنتاج'!C109="","","إنتاج طبخة")</f>
        <v/>
      </c>
      <c r="C1109" t="str">
        <f>IF('سجل الإنتاج'!C109="","",'سجل الإنتاج'!C109)</f>
        <v/>
      </c>
      <c r="D1109" t="str">
        <f>IF('سجل الإنتاج'!C109="","","عدة مواد - راجع صفحة الطبخات")</f>
        <v/>
      </c>
      <c r="F1109" t="str">
        <f>IF('سجل الإنتاج'!C109="","",IF('سجل الإنتاج'!D109="","",'سجل الإنتاج'!D109))</f>
        <v/>
      </c>
      <c r="G1109" t="str">
        <f>IF($B1109&lt;&gt;"",SUMPRODUCT(($B$2:$B1109&lt;&gt;"")*1),"")</f>
        <v/>
      </c>
    </row>
    <row r="1110" spans="1:7">
      <c r="A1110" s="23" t="str">
        <f>IF('سجل الإنتاج'!C110="","",'سجل الإنتاج'!B110)</f>
        <v/>
      </c>
      <c r="B1110" t="str">
        <f>IF('سجل الإنتاج'!C110="","","إنتاج طبخة")</f>
        <v/>
      </c>
      <c r="C1110" t="str">
        <f>IF('سجل الإنتاج'!C110="","",'سجل الإنتاج'!C110)</f>
        <v/>
      </c>
      <c r="D1110" t="str">
        <f>IF('سجل الإنتاج'!C110="","","عدة مواد - راجع صفحة الطبخات")</f>
        <v/>
      </c>
      <c r="F1110" t="str">
        <f>IF('سجل الإنتاج'!C110="","",IF('سجل الإنتاج'!D110="","",'سجل الإنتاج'!D110))</f>
        <v/>
      </c>
      <c r="G1110" t="str">
        <f>IF($B1110&lt;&gt;"",SUMPRODUCT(($B$2:$B1110&lt;&gt;"")*1),"")</f>
        <v/>
      </c>
    </row>
    <row r="1111" spans="1:7">
      <c r="A1111" s="23" t="str">
        <f>IF('سجل الإنتاج'!C111="","",'سجل الإنتاج'!B111)</f>
        <v/>
      </c>
      <c r="B1111" t="str">
        <f>IF('سجل الإنتاج'!C111="","","إنتاج طبخة")</f>
        <v/>
      </c>
      <c r="C1111" t="str">
        <f>IF('سجل الإنتاج'!C111="","",'سجل الإنتاج'!C111)</f>
        <v/>
      </c>
      <c r="D1111" t="str">
        <f>IF('سجل الإنتاج'!C111="","","عدة مواد - راجع صفحة الطبخات")</f>
        <v/>
      </c>
      <c r="F1111" t="str">
        <f>IF('سجل الإنتاج'!C111="","",IF('سجل الإنتاج'!D111="","",'سجل الإنتاج'!D111))</f>
        <v/>
      </c>
      <c r="G1111" t="str">
        <f>IF($B1111&lt;&gt;"",SUMPRODUCT(($B$2:$B1111&lt;&gt;"")*1),"")</f>
        <v/>
      </c>
    </row>
    <row r="1112" spans="1:7">
      <c r="A1112" s="23" t="str">
        <f>IF('سجل الإنتاج'!C112="","",'سجل الإنتاج'!B112)</f>
        <v/>
      </c>
      <c r="B1112" t="str">
        <f>IF('سجل الإنتاج'!C112="","","إنتاج طبخة")</f>
        <v/>
      </c>
      <c r="C1112" t="str">
        <f>IF('سجل الإنتاج'!C112="","",'سجل الإنتاج'!C112)</f>
        <v/>
      </c>
      <c r="D1112" t="str">
        <f>IF('سجل الإنتاج'!C112="","","عدة مواد - راجع صفحة الطبخات")</f>
        <v/>
      </c>
      <c r="F1112" t="str">
        <f>IF('سجل الإنتاج'!C112="","",IF('سجل الإنتاج'!D112="","",'سجل الإنتاج'!D112))</f>
        <v/>
      </c>
      <c r="G1112" t="str">
        <f>IF($B1112&lt;&gt;"",SUMPRODUCT(($B$2:$B1112&lt;&gt;"")*1),"")</f>
        <v/>
      </c>
    </row>
    <row r="1113" spans="1:7">
      <c r="A1113" s="23" t="str">
        <f>IF('سجل الإنتاج'!C113="","",'سجل الإنتاج'!B113)</f>
        <v/>
      </c>
      <c r="B1113" t="str">
        <f>IF('سجل الإنتاج'!C113="","","إنتاج طبخة")</f>
        <v/>
      </c>
      <c r="C1113" t="str">
        <f>IF('سجل الإنتاج'!C113="","",'سجل الإنتاج'!C113)</f>
        <v/>
      </c>
      <c r="D1113" t="str">
        <f>IF('سجل الإنتاج'!C113="","","عدة مواد - راجع صفحة الطبخات")</f>
        <v/>
      </c>
      <c r="F1113" t="str">
        <f>IF('سجل الإنتاج'!C113="","",IF('سجل الإنتاج'!D113="","",'سجل الإنتاج'!D113))</f>
        <v/>
      </c>
      <c r="G1113" t="str">
        <f>IF($B1113&lt;&gt;"",SUMPRODUCT(($B$2:$B1113&lt;&gt;"")*1),"")</f>
        <v/>
      </c>
    </row>
    <row r="1114" spans="1:7">
      <c r="A1114" s="23" t="str">
        <f>IF('سجل الإنتاج'!C114="","",'سجل الإنتاج'!B114)</f>
        <v/>
      </c>
      <c r="B1114" t="str">
        <f>IF('سجل الإنتاج'!C114="","","إنتاج طبخة")</f>
        <v/>
      </c>
      <c r="C1114" t="str">
        <f>IF('سجل الإنتاج'!C114="","",'سجل الإنتاج'!C114)</f>
        <v/>
      </c>
      <c r="D1114" t="str">
        <f>IF('سجل الإنتاج'!C114="","","عدة مواد - راجع صفحة الطبخات")</f>
        <v/>
      </c>
      <c r="F1114" t="str">
        <f>IF('سجل الإنتاج'!C114="","",IF('سجل الإنتاج'!D114="","",'سجل الإنتاج'!D114))</f>
        <v/>
      </c>
      <c r="G1114" t="str">
        <f>IF($B1114&lt;&gt;"",SUMPRODUCT(($B$2:$B1114&lt;&gt;"")*1),"")</f>
        <v/>
      </c>
    </row>
    <row r="1115" spans="1:7">
      <c r="A1115" s="23" t="str">
        <f>IF('سجل الإنتاج'!C115="","",'سجل الإنتاج'!B115)</f>
        <v/>
      </c>
      <c r="B1115" t="str">
        <f>IF('سجل الإنتاج'!C115="","","إنتاج طبخة")</f>
        <v/>
      </c>
      <c r="C1115" t="str">
        <f>IF('سجل الإنتاج'!C115="","",'سجل الإنتاج'!C115)</f>
        <v/>
      </c>
      <c r="D1115" t="str">
        <f>IF('سجل الإنتاج'!C115="","","عدة مواد - راجع صفحة الطبخات")</f>
        <v/>
      </c>
      <c r="F1115" t="str">
        <f>IF('سجل الإنتاج'!C115="","",IF('سجل الإنتاج'!D115="","",'سجل الإنتاج'!D115))</f>
        <v/>
      </c>
      <c r="G1115" t="str">
        <f>IF($B1115&lt;&gt;"",SUMPRODUCT(($B$2:$B1115&lt;&gt;"")*1),"")</f>
        <v/>
      </c>
    </row>
    <row r="1116" spans="1:7">
      <c r="A1116" s="23" t="str">
        <f>IF('سجل الإنتاج'!C116="","",'سجل الإنتاج'!B116)</f>
        <v/>
      </c>
      <c r="B1116" t="str">
        <f>IF('سجل الإنتاج'!C116="","","إنتاج طبخة")</f>
        <v/>
      </c>
      <c r="C1116" t="str">
        <f>IF('سجل الإنتاج'!C116="","",'سجل الإنتاج'!C116)</f>
        <v/>
      </c>
      <c r="D1116" t="str">
        <f>IF('سجل الإنتاج'!C116="","","عدة مواد - راجع صفحة الطبخات")</f>
        <v/>
      </c>
      <c r="F1116" t="str">
        <f>IF('سجل الإنتاج'!C116="","",IF('سجل الإنتاج'!D116="","",'سجل الإنتاج'!D116))</f>
        <v/>
      </c>
      <c r="G1116" t="str">
        <f>IF($B1116&lt;&gt;"",SUMPRODUCT(($B$2:$B1116&lt;&gt;"")*1),"")</f>
        <v/>
      </c>
    </row>
    <row r="1117" spans="1:7">
      <c r="A1117" s="23" t="str">
        <f>IF('سجل الإنتاج'!C117="","",'سجل الإنتاج'!B117)</f>
        <v/>
      </c>
      <c r="B1117" t="str">
        <f>IF('سجل الإنتاج'!C117="","","إنتاج طبخة")</f>
        <v/>
      </c>
      <c r="C1117" t="str">
        <f>IF('سجل الإنتاج'!C117="","",'سجل الإنتاج'!C117)</f>
        <v/>
      </c>
      <c r="D1117" t="str">
        <f>IF('سجل الإنتاج'!C117="","","عدة مواد - راجع صفحة الطبخات")</f>
        <v/>
      </c>
      <c r="F1117" t="str">
        <f>IF('سجل الإنتاج'!C117="","",IF('سجل الإنتاج'!D117="","",'سجل الإنتاج'!D117))</f>
        <v/>
      </c>
      <c r="G1117" t="str">
        <f>IF($B1117&lt;&gt;"",SUMPRODUCT(($B$2:$B1117&lt;&gt;"")*1),"")</f>
        <v/>
      </c>
    </row>
    <row r="1118" spans="1:7">
      <c r="A1118" s="23" t="str">
        <f>IF('سجل الإنتاج'!C118="","",'سجل الإنتاج'!B118)</f>
        <v/>
      </c>
      <c r="B1118" t="str">
        <f>IF('سجل الإنتاج'!C118="","","إنتاج طبخة")</f>
        <v/>
      </c>
      <c r="C1118" t="str">
        <f>IF('سجل الإنتاج'!C118="","",'سجل الإنتاج'!C118)</f>
        <v/>
      </c>
      <c r="D1118" t="str">
        <f>IF('سجل الإنتاج'!C118="","","عدة مواد - راجع صفحة الطبخات")</f>
        <v/>
      </c>
      <c r="F1118" t="str">
        <f>IF('سجل الإنتاج'!C118="","",IF('سجل الإنتاج'!D118="","",'سجل الإنتاج'!D118))</f>
        <v/>
      </c>
      <c r="G1118" t="str">
        <f>IF($B1118&lt;&gt;"",SUMPRODUCT(($B$2:$B1118&lt;&gt;"")*1),"")</f>
        <v/>
      </c>
    </row>
    <row r="1119" spans="1:7">
      <c r="A1119" s="23" t="str">
        <f>IF('سجل الإنتاج'!C119="","",'سجل الإنتاج'!B119)</f>
        <v/>
      </c>
      <c r="B1119" t="str">
        <f>IF('سجل الإنتاج'!C119="","","إنتاج طبخة")</f>
        <v/>
      </c>
      <c r="C1119" t="str">
        <f>IF('سجل الإنتاج'!C119="","",'سجل الإنتاج'!C119)</f>
        <v/>
      </c>
      <c r="D1119" t="str">
        <f>IF('سجل الإنتاج'!C119="","","عدة مواد - راجع صفحة الطبخات")</f>
        <v/>
      </c>
      <c r="F1119" t="str">
        <f>IF('سجل الإنتاج'!C119="","",IF('سجل الإنتاج'!D119="","",'سجل الإنتاج'!D119))</f>
        <v/>
      </c>
      <c r="G1119" t="str">
        <f>IF($B1119&lt;&gt;"",SUMPRODUCT(($B$2:$B1119&lt;&gt;"")*1),"")</f>
        <v/>
      </c>
    </row>
    <row r="1120" spans="1:7">
      <c r="A1120" s="23" t="str">
        <f>IF('سجل الإنتاج'!C120="","",'سجل الإنتاج'!B120)</f>
        <v/>
      </c>
      <c r="B1120" t="str">
        <f>IF('سجل الإنتاج'!C120="","","إنتاج طبخة")</f>
        <v/>
      </c>
      <c r="C1120" t="str">
        <f>IF('سجل الإنتاج'!C120="","",'سجل الإنتاج'!C120)</f>
        <v/>
      </c>
      <c r="D1120" t="str">
        <f>IF('سجل الإنتاج'!C120="","","عدة مواد - راجع صفحة الطبخات")</f>
        <v/>
      </c>
      <c r="F1120" t="str">
        <f>IF('سجل الإنتاج'!C120="","",IF('سجل الإنتاج'!D120="","",'سجل الإنتاج'!D120))</f>
        <v/>
      </c>
      <c r="G1120" t="str">
        <f>IF($B1120&lt;&gt;"",SUMPRODUCT(($B$2:$B1120&lt;&gt;"")*1),"")</f>
        <v/>
      </c>
    </row>
    <row r="1121" spans="1:7">
      <c r="A1121" s="23" t="str">
        <f>IF('سجل الإنتاج'!C121="","",'سجل الإنتاج'!B121)</f>
        <v/>
      </c>
      <c r="B1121" t="str">
        <f>IF('سجل الإنتاج'!C121="","","إنتاج طبخة")</f>
        <v/>
      </c>
      <c r="C1121" t="str">
        <f>IF('سجل الإنتاج'!C121="","",'سجل الإنتاج'!C121)</f>
        <v/>
      </c>
      <c r="D1121" t="str">
        <f>IF('سجل الإنتاج'!C121="","","عدة مواد - راجع صفحة الطبخات")</f>
        <v/>
      </c>
      <c r="F1121" t="str">
        <f>IF('سجل الإنتاج'!C121="","",IF('سجل الإنتاج'!D121="","",'سجل الإنتاج'!D121))</f>
        <v/>
      </c>
      <c r="G1121" t="str">
        <f>IF($B1121&lt;&gt;"",SUMPRODUCT(($B$2:$B1121&lt;&gt;"")*1),"")</f>
        <v/>
      </c>
    </row>
    <row r="1122" spans="1:7">
      <c r="A1122" s="23" t="str">
        <f>IF('سجل الإنتاج'!C122="","",'سجل الإنتاج'!B122)</f>
        <v/>
      </c>
      <c r="B1122" t="str">
        <f>IF('سجل الإنتاج'!C122="","","إنتاج طبخة")</f>
        <v/>
      </c>
      <c r="C1122" t="str">
        <f>IF('سجل الإنتاج'!C122="","",'سجل الإنتاج'!C122)</f>
        <v/>
      </c>
      <c r="D1122" t="str">
        <f>IF('سجل الإنتاج'!C122="","","عدة مواد - راجع صفحة الطبخات")</f>
        <v/>
      </c>
      <c r="F1122" t="str">
        <f>IF('سجل الإنتاج'!C122="","",IF('سجل الإنتاج'!D122="","",'سجل الإنتاج'!D122))</f>
        <v/>
      </c>
      <c r="G1122" t="str">
        <f>IF($B1122&lt;&gt;"",SUMPRODUCT(($B$2:$B1122&lt;&gt;"")*1),"")</f>
        <v/>
      </c>
    </row>
    <row r="1123" spans="1:7">
      <c r="A1123" s="23" t="str">
        <f>IF('سجل الإنتاج'!C123="","",'سجل الإنتاج'!B123)</f>
        <v/>
      </c>
      <c r="B1123" t="str">
        <f>IF('سجل الإنتاج'!C123="","","إنتاج طبخة")</f>
        <v/>
      </c>
      <c r="C1123" t="str">
        <f>IF('سجل الإنتاج'!C123="","",'سجل الإنتاج'!C123)</f>
        <v/>
      </c>
      <c r="D1123" t="str">
        <f>IF('سجل الإنتاج'!C123="","","عدة مواد - راجع صفحة الطبخات")</f>
        <v/>
      </c>
      <c r="F1123" t="str">
        <f>IF('سجل الإنتاج'!C123="","",IF('سجل الإنتاج'!D123="","",'سجل الإنتاج'!D123))</f>
        <v/>
      </c>
      <c r="G1123" t="str">
        <f>IF($B1123&lt;&gt;"",SUMPRODUCT(($B$2:$B1123&lt;&gt;"")*1),"")</f>
        <v/>
      </c>
    </row>
    <row r="1124" spans="1:7">
      <c r="A1124" s="23" t="str">
        <f>IF('سجل الإنتاج'!C124="","",'سجل الإنتاج'!B124)</f>
        <v/>
      </c>
      <c r="B1124" t="str">
        <f>IF('سجل الإنتاج'!C124="","","إنتاج طبخة")</f>
        <v/>
      </c>
      <c r="C1124" t="str">
        <f>IF('سجل الإنتاج'!C124="","",'سجل الإنتاج'!C124)</f>
        <v/>
      </c>
      <c r="D1124" t="str">
        <f>IF('سجل الإنتاج'!C124="","","عدة مواد - راجع صفحة الطبخات")</f>
        <v/>
      </c>
      <c r="F1124" t="str">
        <f>IF('سجل الإنتاج'!C124="","",IF('سجل الإنتاج'!D124="","",'سجل الإنتاج'!D124))</f>
        <v/>
      </c>
      <c r="G1124" t="str">
        <f>IF($B1124&lt;&gt;"",SUMPRODUCT(($B$2:$B1124&lt;&gt;"")*1),"")</f>
        <v/>
      </c>
    </row>
    <row r="1125" spans="1:7">
      <c r="A1125" s="23" t="str">
        <f>IF('سجل الإنتاج'!C125="","",'سجل الإنتاج'!B125)</f>
        <v/>
      </c>
      <c r="B1125" t="str">
        <f>IF('سجل الإنتاج'!C125="","","إنتاج طبخة")</f>
        <v/>
      </c>
      <c r="C1125" t="str">
        <f>IF('سجل الإنتاج'!C125="","",'سجل الإنتاج'!C125)</f>
        <v/>
      </c>
      <c r="D1125" t="str">
        <f>IF('سجل الإنتاج'!C125="","","عدة مواد - راجع صفحة الطبخات")</f>
        <v/>
      </c>
      <c r="F1125" t="str">
        <f>IF('سجل الإنتاج'!C125="","",IF('سجل الإنتاج'!D125="","",'سجل الإنتاج'!D125))</f>
        <v/>
      </c>
      <c r="G1125" t="str">
        <f>IF($B1125&lt;&gt;"",SUMPRODUCT(($B$2:$B1125&lt;&gt;"")*1),"")</f>
        <v/>
      </c>
    </row>
    <row r="1126" spans="1:7">
      <c r="A1126" s="23" t="str">
        <f>IF('سجل الإنتاج'!C126="","",'سجل الإنتاج'!B126)</f>
        <v/>
      </c>
      <c r="B1126" t="str">
        <f>IF('سجل الإنتاج'!C126="","","إنتاج طبخة")</f>
        <v/>
      </c>
      <c r="C1126" t="str">
        <f>IF('سجل الإنتاج'!C126="","",'سجل الإنتاج'!C126)</f>
        <v/>
      </c>
      <c r="D1126" t="str">
        <f>IF('سجل الإنتاج'!C126="","","عدة مواد - راجع صفحة الطبخات")</f>
        <v/>
      </c>
      <c r="F1126" t="str">
        <f>IF('سجل الإنتاج'!C126="","",IF('سجل الإنتاج'!D126="","",'سجل الإنتاج'!D126))</f>
        <v/>
      </c>
      <c r="G1126" t="str">
        <f>IF($B1126&lt;&gt;"",SUMPRODUCT(($B$2:$B1126&lt;&gt;"")*1),"")</f>
        <v/>
      </c>
    </row>
    <row r="1127" spans="1:7">
      <c r="A1127" s="23" t="str">
        <f>IF('سجل الإنتاج'!C127="","",'سجل الإنتاج'!B127)</f>
        <v/>
      </c>
      <c r="B1127" t="str">
        <f>IF('سجل الإنتاج'!C127="","","إنتاج طبخة")</f>
        <v/>
      </c>
      <c r="C1127" t="str">
        <f>IF('سجل الإنتاج'!C127="","",'سجل الإنتاج'!C127)</f>
        <v/>
      </c>
      <c r="D1127" t="str">
        <f>IF('سجل الإنتاج'!C127="","","عدة مواد - راجع صفحة الطبخات")</f>
        <v/>
      </c>
      <c r="F1127" t="str">
        <f>IF('سجل الإنتاج'!C127="","",IF('سجل الإنتاج'!D127="","",'سجل الإنتاج'!D127))</f>
        <v/>
      </c>
      <c r="G1127" t="str">
        <f>IF($B1127&lt;&gt;"",SUMPRODUCT(($B$2:$B1127&lt;&gt;"")*1),"")</f>
        <v/>
      </c>
    </row>
    <row r="1128" spans="1:7">
      <c r="A1128" s="23" t="str">
        <f>IF('سجل الإنتاج'!C128="","",'سجل الإنتاج'!B128)</f>
        <v/>
      </c>
      <c r="B1128" t="str">
        <f>IF('سجل الإنتاج'!C128="","","إنتاج طبخة")</f>
        <v/>
      </c>
      <c r="C1128" t="str">
        <f>IF('سجل الإنتاج'!C128="","",'سجل الإنتاج'!C128)</f>
        <v/>
      </c>
      <c r="D1128" t="str">
        <f>IF('سجل الإنتاج'!C128="","","عدة مواد - راجع صفحة الطبخات")</f>
        <v/>
      </c>
      <c r="F1128" t="str">
        <f>IF('سجل الإنتاج'!C128="","",IF('سجل الإنتاج'!D128="","",'سجل الإنتاج'!D128))</f>
        <v/>
      </c>
      <c r="G1128" t="str">
        <f>IF($B1128&lt;&gt;"",SUMPRODUCT(($B$2:$B1128&lt;&gt;"")*1),"")</f>
        <v/>
      </c>
    </row>
    <row r="1129" spans="1:7">
      <c r="A1129" s="23" t="str">
        <f>IF('سجل الإنتاج'!C129="","",'سجل الإنتاج'!B129)</f>
        <v/>
      </c>
      <c r="B1129" t="str">
        <f>IF('سجل الإنتاج'!C129="","","إنتاج طبخة")</f>
        <v/>
      </c>
      <c r="C1129" t="str">
        <f>IF('سجل الإنتاج'!C129="","",'سجل الإنتاج'!C129)</f>
        <v/>
      </c>
      <c r="D1129" t="str">
        <f>IF('سجل الإنتاج'!C129="","","عدة مواد - راجع صفحة الطبخات")</f>
        <v/>
      </c>
      <c r="F1129" t="str">
        <f>IF('سجل الإنتاج'!C129="","",IF('سجل الإنتاج'!D129="","",'سجل الإنتاج'!D129))</f>
        <v/>
      </c>
      <c r="G1129" t="str">
        <f>IF($B1129&lt;&gt;"",SUMPRODUCT(($B$2:$B1129&lt;&gt;"")*1),"")</f>
        <v/>
      </c>
    </row>
    <row r="1130" spans="1:7">
      <c r="A1130" s="23" t="str">
        <f>IF('سجل الإنتاج'!C130="","",'سجل الإنتاج'!B130)</f>
        <v/>
      </c>
      <c r="B1130" t="str">
        <f>IF('سجل الإنتاج'!C130="","","إنتاج طبخة")</f>
        <v/>
      </c>
      <c r="C1130" t="str">
        <f>IF('سجل الإنتاج'!C130="","",'سجل الإنتاج'!C130)</f>
        <v/>
      </c>
      <c r="D1130" t="str">
        <f>IF('سجل الإنتاج'!C130="","","عدة مواد - راجع صفحة الطبخات")</f>
        <v/>
      </c>
      <c r="F1130" t="str">
        <f>IF('سجل الإنتاج'!C130="","",IF('سجل الإنتاج'!D130="","",'سجل الإنتاج'!D130))</f>
        <v/>
      </c>
      <c r="G1130" t="str">
        <f>IF($B1130&lt;&gt;"",SUMPRODUCT(($B$2:$B1130&lt;&gt;"")*1),"")</f>
        <v/>
      </c>
    </row>
    <row r="1131" spans="1:7">
      <c r="A1131" s="23" t="str">
        <f>IF('سجل الإنتاج'!C131="","",'سجل الإنتاج'!B131)</f>
        <v/>
      </c>
      <c r="B1131" t="str">
        <f>IF('سجل الإنتاج'!C131="","","إنتاج طبخة")</f>
        <v/>
      </c>
      <c r="C1131" t="str">
        <f>IF('سجل الإنتاج'!C131="","",'سجل الإنتاج'!C131)</f>
        <v/>
      </c>
      <c r="D1131" t="str">
        <f>IF('سجل الإنتاج'!C131="","","عدة مواد - راجع صفحة الطبخات")</f>
        <v/>
      </c>
      <c r="F1131" t="str">
        <f>IF('سجل الإنتاج'!C131="","",IF('سجل الإنتاج'!D131="","",'سجل الإنتاج'!D131))</f>
        <v/>
      </c>
      <c r="G1131" t="str">
        <f>IF($B1131&lt;&gt;"",SUMPRODUCT(($B$2:$B1131&lt;&gt;"")*1),"")</f>
        <v/>
      </c>
    </row>
    <row r="1132" spans="1:7">
      <c r="A1132" s="23" t="str">
        <f>IF('سجل الإنتاج'!C132="","",'سجل الإنتاج'!B132)</f>
        <v/>
      </c>
      <c r="B1132" t="str">
        <f>IF('سجل الإنتاج'!C132="","","إنتاج طبخة")</f>
        <v/>
      </c>
      <c r="C1132" t="str">
        <f>IF('سجل الإنتاج'!C132="","",'سجل الإنتاج'!C132)</f>
        <v/>
      </c>
      <c r="D1132" t="str">
        <f>IF('سجل الإنتاج'!C132="","","عدة مواد - راجع صفحة الطبخات")</f>
        <v/>
      </c>
      <c r="F1132" t="str">
        <f>IF('سجل الإنتاج'!C132="","",IF('سجل الإنتاج'!D132="","",'سجل الإنتاج'!D132))</f>
        <v/>
      </c>
      <c r="G1132" t="str">
        <f>IF($B1132&lt;&gt;"",SUMPRODUCT(($B$2:$B1132&lt;&gt;"")*1),"")</f>
        <v/>
      </c>
    </row>
    <row r="1133" spans="1:7">
      <c r="A1133" s="23" t="str">
        <f>IF('سجل الإنتاج'!C133="","",'سجل الإنتاج'!B133)</f>
        <v/>
      </c>
      <c r="B1133" t="str">
        <f>IF('سجل الإنتاج'!C133="","","إنتاج طبخة")</f>
        <v/>
      </c>
      <c r="C1133" t="str">
        <f>IF('سجل الإنتاج'!C133="","",'سجل الإنتاج'!C133)</f>
        <v/>
      </c>
      <c r="D1133" t="str">
        <f>IF('سجل الإنتاج'!C133="","","عدة مواد - راجع صفحة الطبخات")</f>
        <v/>
      </c>
      <c r="F1133" t="str">
        <f>IF('سجل الإنتاج'!C133="","",IF('سجل الإنتاج'!D133="","",'سجل الإنتاج'!D133))</f>
        <v/>
      </c>
      <c r="G1133" t="str">
        <f>IF($B1133&lt;&gt;"",SUMPRODUCT(($B$2:$B1133&lt;&gt;"")*1),"")</f>
        <v/>
      </c>
    </row>
    <row r="1134" spans="1:7">
      <c r="A1134" s="23" t="str">
        <f>IF('سجل الإنتاج'!C134="","",'سجل الإنتاج'!B134)</f>
        <v/>
      </c>
      <c r="B1134" t="str">
        <f>IF('سجل الإنتاج'!C134="","","إنتاج طبخة")</f>
        <v/>
      </c>
      <c r="C1134" t="str">
        <f>IF('سجل الإنتاج'!C134="","",'سجل الإنتاج'!C134)</f>
        <v/>
      </c>
      <c r="D1134" t="str">
        <f>IF('سجل الإنتاج'!C134="","","عدة مواد - راجع صفحة الطبخات")</f>
        <v/>
      </c>
      <c r="F1134" t="str">
        <f>IF('سجل الإنتاج'!C134="","",IF('سجل الإنتاج'!D134="","",'سجل الإنتاج'!D134))</f>
        <v/>
      </c>
      <c r="G1134" t="str">
        <f>IF($B1134&lt;&gt;"",SUMPRODUCT(($B$2:$B1134&lt;&gt;"")*1),"")</f>
        <v/>
      </c>
    </row>
    <row r="1135" spans="1:7">
      <c r="A1135" s="23" t="str">
        <f>IF('سجل الإنتاج'!C135="","",'سجل الإنتاج'!B135)</f>
        <v/>
      </c>
      <c r="B1135" t="str">
        <f>IF('سجل الإنتاج'!C135="","","إنتاج طبخة")</f>
        <v/>
      </c>
      <c r="C1135" t="str">
        <f>IF('سجل الإنتاج'!C135="","",'سجل الإنتاج'!C135)</f>
        <v/>
      </c>
      <c r="D1135" t="str">
        <f>IF('سجل الإنتاج'!C135="","","عدة مواد - راجع صفحة الطبخات")</f>
        <v/>
      </c>
      <c r="F1135" t="str">
        <f>IF('سجل الإنتاج'!C135="","",IF('سجل الإنتاج'!D135="","",'سجل الإنتاج'!D135))</f>
        <v/>
      </c>
      <c r="G1135" t="str">
        <f>IF($B1135&lt;&gt;"",SUMPRODUCT(($B$2:$B1135&lt;&gt;"")*1),"")</f>
        <v/>
      </c>
    </row>
    <row r="1136" spans="1:7">
      <c r="A1136" s="23" t="str">
        <f>IF('سجل الإنتاج'!C136="","",'سجل الإنتاج'!B136)</f>
        <v/>
      </c>
      <c r="B1136" t="str">
        <f>IF('سجل الإنتاج'!C136="","","إنتاج طبخة")</f>
        <v/>
      </c>
      <c r="C1136" t="str">
        <f>IF('سجل الإنتاج'!C136="","",'سجل الإنتاج'!C136)</f>
        <v/>
      </c>
      <c r="D1136" t="str">
        <f>IF('سجل الإنتاج'!C136="","","عدة مواد - راجع صفحة الطبخات")</f>
        <v/>
      </c>
      <c r="F1136" t="str">
        <f>IF('سجل الإنتاج'!C136="","",IF('سجل الإنتاج'!D136="","",'سجل الإنتاج'!D136))</f>
        <v/>
      </c>
      <c r="G1136" t="str">
        <f>IF($B1136&lt;&gt;"",SUMPRODUCT(($B$2:$B1136&lt;&gt;"")*1),"")</f>
        <v/>
      </c>
    </row>
    <row r="1137" spans="1:7">
      <c r="A1137" s="23" t="str">
        <f>IF('سجل الإنتاج'!C137="","",'سجل الإنتاج'!B137)</f>
        <v/>
      </c>
      <c r="B1137" t="str">
        <f>IF('سجل الإنتاج'!C137="","","إنتاج طبخة")</f>
        <v/>
      </c>
      <c r="C1137" t="str">
        <f>IF('سجل الإنتاج'!C137="","",'سجل الإنتاج'!C137)</f>
        <v/>
      </c>
      <c r="D1137" t="str">
        <f>IF('سجل الإنتاج'!C137="","","عدة مواد - راجع صفحة الطبخات")</f>
        <v/>
      </c>
      <c r="F1137" t="str">
        <f>IF('سجل الإنتاج'!C137="","",IF('سجل الإنتاج'!D137="","",'سجل الإنتاج'!D137))</f>
        <v/>
      </c>
      <c r="G1137" t="str">
        <f>IF($B1137&lt;&gt;"",SUMPRODUCT(($B$2:$B1137&lt;&gt;"")*1),"")</f>
        <v/>
      </c>
    </row>
    <row r="1138" spans="1:7">
      <c r="A1138" s="23" t="str">
        <f>IF('سجل الإنتاج'!C138="","",'سجل الإنتاج'!B138)</f>
        <v/>
      </c>
      <c r="B1138" t="str">
        <f>IF('سجل الإنتاج'!C138="","","إنتاج طبخة")</f>
        <v/>
      </c>
      <c r="C1138" t="str">
        <f>IF('سجل الإنتاج'!C138="","",'سجل الإنتاج'!C138)</f>
        <v/>
      </c>
      <c r="D1138" t="str">
        <f>IF('سجل الإنتاج'!C138="","","عدة مواد - راجع صفحة الطبخات")</f>
        <v/>
      </c>
      <c r="F1138" t="str">
        <f>IF('سجل الإنتاج'!C138="","",IF('سجل الإنتاج'!D138="","",'سجل الإنتاج'!D138))</f>
        <v/>
      </c>
      <c r="G1138" t="str">
        <f>IF($B1138&lt;&gt;"",SUMPRODUCT(($B$2:$B1138&lt;&gt;"")*1),"")</f>
        <v/>
      </c>
    </row>
    <row r="1139" spans="1:7">
      <c r="A1139" s="23" t="str">
        <f>IF('سجل الإنتاج'!C139="","",'سجل الإنتاج'!B139)</f>
        <v/>
      </c>
      <c r="B1139" t="str">
        <f>IF('سجل الإنتاج'!C139="","","إنتاج طبخة")</f>
        <v/>
      </c>
      <c r="C1139" t="str">
        <f>IF('سجل الإنتاج'!C139="","",'سجل الإنتاج'!C139)</f>
        <v/>
      </c>
      <c r="D1139" t="str">
        <f>IF('سجل الإنتاج'!C139="","","عدة مواد - راجع صفحة الطبخات")</f>
        <v/>
      </c>
      <c r="F1139" t="str">
        <f>IF('سجل الإنتاج'!C139="","",IF('سجل الإنتاج'!D139="","",'سجل الإنتاج'!D139))</f>
        <v/>
      </c>
      <c r="G1139" t="str">
        <f>IF($B1139&lt;&gt;"",SUMPRODUCT(($B$2:$B1139&lt;&gt;"")*1),"")</f>
        <v/>
      </c>
    </row>
    <row r="1140" spans="1:7">
      <c r="A1140" s="23" t="str">
        <f>IF('سجل الإنتاج'!C140="","",'سجل الإنتاج'!B140)</f>
        <v/>
      </c>
      <c r="B1140" t="str">
        <f>IF('سجل الإنتاج'!C140="","","إنتاج طبخة")</f>
        <v/>
      </c>
      <c r="C1140" t="str">
        <f>IF('سجل الإنتاج'!C140="","",'سجل الإنتاج'!C140)</f>
        <v/>
      </c>
      <c r="D1140" t="str">
        <f>IF('سجل الإنتاج'!C140="","","عدة مواد - راجع صفحة الطبخات")</f>
        <v/>
      </c>
      <c r="F1140" t="str">
        <f>IF('سجل الإنتاج'!C140="","",IF('سجل الإنتاج'!D140="","",'سجل الإنتاج'!D140))</f>
        <v/>
      </c>
      <c r="G1140" t="str">
        <f>IF($B1140&lt;&gt;"",SUMPRODUCT(($B$2:$B1140&lt;&gt;"")*1),"")</f>
        <v/>
      </c>
    </row>
    <row r="1141" spans="1:7">
      <c r="A1141" s="23" t="str">
        <f>IF('سجل الإنتاج'!C141="","",'سجل الإنتاج'!B141)</f>
        <v/>
      </c>
      <c r="B1141" t="str">
        <f>IF('سجل الإنتاج'!C141="","","إنتاج طبخة")</f>
        <v/>
      </c>
      <c r="C1141" t="str">
        <f>IF('سجل الإنتاج'!C141="","",'سجل الإنتاج'!C141)</f>
        <v/>
      </c>
      <c r="D1141" t="str">
        <f>IF('سجل الإنتاج'!C141="","","عدة مواد - راجع صفحة الطبخات")</f>
        <v/>
      </c>
      <c r="F1141" t="str">
        <f>IF('سجل الإنتاج'!C141="","",IF('سجل الإنتاج'!D141="","",'سجل الإنتاج'!D141))</f>
        <v/>
      </c>
      <c r="G1141" t="str">
        <f>IF($B1141&lt;&gt;"",SUMPRODUCT(($B$2:$B1141&lt;&gt;"")*1),"")</f>
        <v/>
      </c>
    </row>
    <row r="1142" spans="1:7">
      <c r="A1142" s="23" t="str">
        <f>IF('سجل الإنتاج'!C142="","",'سجل الإنتاج'!B142)</f>
        <v/>
      </c>
      <c r="B1142" t="str">
        <f>IF('سجل الإنتاج'!C142="","","إنتاج طبخة")</f>
        <v/>
      </c>
      <c r="C1142" t="str">
        <f>IF('سجل الإنتاج'!C142="","",'سجل الإنتاج'!C142)</f>
        <v/>
      </c>
      <c r="D1142" t="str">
        <f>IF('سجل الإنتاج'!C142="","","عدة مواد - راجع صفحة الطبخات")</f>
        <v/>
      </c>
      <c r="F1142" t="str">
        <f>IF('سجل الإنتاج'!C142="","",IF('سجل الإنتاج'!D142="","",'سجل الإنتاج'!D142))</f>
        <v/>
      </c>
      <c r="G1142" t="str">
        <f>IF($B1142&lt;&gt;"",SUMPRODUCT(($B$2:$B1142&lt;&gt;"")*1),"")</f>
        <v/>
      </c>
    </row>
    <row r="1143" spans="1:7">
      <c r="A1143" s="23" t="str">
        <f>IF('سجل الإنتاج'!C143="","",'سجل الإنتاج'!B143)</f>
        <v/>
      </c>
      <c r="B1143" t="str">
        <f>IF('سجل الإنتاج'!C143="","","إنتاج طبخة")</f>
        <v/>
      </c>
      <c r="C1143" t="str">
        <f>IF('سجل الإنتاج'!C143="","",'سجل الإنتاج'!C143)</f>
        <v/>
      </c>
      <c r="D1143" t="str">
        <f>IF('سجل الإنتاج'!C143="","","عدة مواد - راجع صفحة الطبخات")</f>
        <v/>
      </c>
      <c r="F1143" t="str">
        <f>IF('سجل الإنتاج'!C143="","",IF('سجل الإنتاج'!D143="","",'سجل الإنتاج'!D143))</f>
        <v/>
      </c>
      <c r="G1143" t="str">
        <f>IF($B1143&lt;&gt;"",SUMPRODUCT(($B$2:$B1143&lt;&gt;"")*1),"")</f>
        <v/>
      </c>
    </row>
    <row r="1144" spans="1:7">
      <c r="A1144" s="23" t="str">
        <f>IF('سجل الإنتاج'!C144="","",'سجل الإنتاج'!B144)</f>
        <v/>
      </c>
      <c r="B1144" t="str">
        <f>IF('سجل الإنتاج'!C144="","","إنتاج طبخة")</f>
        <v/>
      </c>
      <c r="C1144" t="str">
        <f>IF('سجل الإنتاج'!C144="","",'سجل الإنتاج'!C144)</f>
        <v/>
      </c>
      <c r="D1144" t="str">
        <f>IF('سجل الإنتاج'!C144="","","عدة مواد - راجع صفحة الطبخات")</f>
        <v/>
      </c>
      <c r="F1144" t="str">
        <f>IF('سجل الإنتاج'!C144="","",IF('سجل الإنتاج'!D144="","",'سجل الإنتاج'!D144))</f>
        <v/>
      </c>
      <c r="G1144" t="str">
        <f>IF($B1144&lt;&gt;"",SUMPRODUCT(($B$2:$B1144&lt;&gt;"")*1),"")</f>
        <v/>
      </c>
    </row>
    <row r="1145" spans="1:7">
      <c r="A1145" s="23" t="str">
        <f>IF('سجل الإنتاج'!C145="","",'سجل الإنتاج'!B145)</f>
        <v/>
      </c>
      <c r="B1145" t="str">
        <f>IF('سجل الإنتاج'!C145="","","إنتاج طبخة")</f>
        <v/>
      </c>
      <c r="C1145" t="str">
        <f>IF('سجل الإنتاج'!C145="","",'سجل الإنتاج'!C145)</f>
        <v/>
      </c>
      <c r="D1145" t="str">
        <f>IF('سجل الإنتاج'!C145="","","عدة مواد - راجع صفحة الطبخات")</f>
        <v/>
      </c>
      <c r="F1145" t="str">
        <f>IF('سجل الإنتاج'!C145="","",IF('سجل الإنتاج'!D145="","",'سجل الإنتاج'!D145))</f>
        <v/>
      </c>
      <c r="G1145" t="str">
        <f>IF($B1145&lt;&gt;"",SUMPRODUCT(($B$2:$B1145&lt;&gt;"")*1),"")</f>
        <v/>
      </c>
    </row>
    <row r="1146" spans="1:7">
      <c r="A1146" s="23" t="str">
        <f>IF('سجل الإنتاج'!C146="","",'سجل الإنتاج'!B146)</f>
        <v/>
      </c>
      <c r="B1146" t="str">
        <f>IF('سجل الإنتاج'!C146="","","إنتاج طبخة")</f>
        <v/>
      </c>
      <c r="C1146" t="str">
        <f>IF('سجل الإنتاج'!C146="","",'سجل الإنتاج'!C146)</f>
        <v/>
      </c>
      <c r="D1146" t="str">
        <f>IF('سجل الإنتاج'!C146="","","عدة مواد - راجع صفحة الطبخات")</f>
        <v/>
      </c>
      <c r="F1146" t="str">
        <f>IF('سجل الإنتاج'!C146="","",IF('سجل الإنتاج'!D146="","",'سجل الإنتاج'!D146))</f>
        <v/>
      </c>
      <c r="G1146" t="str">
        <f>IF($B1146&lt;&gt;"",SUMPRODUCT(($B$2:$B1146&lt;&gt;"")*1),"")</f>
        <v/>
      </c>
    </row>
    <row r="1147" spans="1:7">
      <c r="A1147" s="23" t="str">
        <f>IF('سجل الإنتاج'!C147="","",'سجل الإنتاج'!B147)</f>
        <v/>
      </c>
      <c r="B1147" t="str">
        <f>IF('سجل الإنتاج'!C147="","","إنتاج طبخة")</f>
        <v/>
      </c>
      <c r="C1147" t="str">
        <f>IF('سجل الإنتاج'!C147="","",'سجل الإنتاج'!C147)</f>
        <v/>
      </c>
      <c r="D1147" t="str">
        <f>IF('سجل الإنتاج'!C147="","","عدة مواد - راجع صفحة الطبخات")</f>
        <v/>
      </c>
      <c r="F1147" t="str">
        <f>IF('سجل الإنتاج'!C147="","",IF('سجل الإنتاج'!D147="","",'سجل الإنتاج'!D147))</f>
        <v/>
      </c>
      <c r="G1147" t="str">
        <f>IF($B1147&lt;&gt;"",SUMPRODUCT(($B$2:$B1147&lt;&gt;"")*1),"")</f>
        <v/>
      </c>
    </row>
    <row r="1148" spans="1:7">
      <c r="A1148" s="23" t="str">
        <f>IF('سجل الإنتاج'!C148="","",'سجل الإنتاج'!B148)</f>
        <v/>
      </c>
      <c r="B1148" t="str">
        <f>IF('سجل الإنتاج'!C148="","","إنتاج طبخة")</f>
        <v/>
      </c>
      <c r="C1148" t="str">
        <f>IF('سجل الإنتاج'!C148="","",'سجل الإنتاج'!C148)</f>
        <v/>
      </c>
      <c r="D1148" t="str">
        <f>IF('سجل الإنتاج'!C148="","","عدة مواد - راجع صفحة الطبخات")</f>
        <v/>
      </c>
      <c r="F1148" t="str">
        <f>IF('سجل الإنتاج'!C148="","",IF('سجل الإنتاج'!D148="","",'سجل الإنتاج'!D148))</f>
        <v/>
      </c>
      <c r="G1148" t="str">
        <f>IF($B1148&lt;&gt;"",SUMPRODUCT(($B$2:$B1148&lt;&gt;"")*1),"")</f>
        <v/>
      </c>
    </row>
    <row r="1149" spans="1:7">
      <c r="A1149" s="23" t="str">
        <f>IF('سجل الإنتاج'!C149="","",'سجل الإنتاج'!B149)</f>
        <v/>
      </c>
      <c r="B1149" t="str">
        <f>IF('سجل الإنتاج'!C149="","","إنتاج طبخة")</f>
        <v/>
      </c>
      <c r="C1149" t="str">
        <f>IF('سجل الإنتاج'!C149="","",'سجل الإنتاج'!C149)</f>
        <v/>
      </c>
      <c r="D1149" t="str">
        <f>IF('سجل الإنتاج'!C149="","","عدة مواد - راجع صفحة الطبخات")</f>
        <v/>
      </c>
      <c r="F1149" t="str">
        <f>IF('سجل الإنتاج'!C149="","",IF('سجل الإنتاج'!D149="","",'سجل الإنتاج'!D149))</f>
        <v/>
      </c>
      <c r="G1149" t="str">
        <f>IF($B1149&lt;&gt;"",SUMPRODUCT(($B$2:$B1149&lt;&gt;"")*1),"")</f>
        <v/>
      </c>
    </row>
    <row r="1150" spans="1:7">
      <c r="A1150" s="23" t="str">
        <f>IF('سجل الإنتاج'!C150="","",'سجل الإنتاج'!B150)</f>
        <v/>
      </c>
      <c r="B1150" t="str">
        <f>IF('سجل الإنتاج'!C150="","","إنتاج طبخة")</f>
        <v/>
      </c>
      <c r="C1150" t="str">
        <f>IF('سجل الإنتاج'!C150="","",'سجل الإنتاج'!C150)</f>
        <v/>
      </c>
      <c r="D1150" t="str">
        <f>IF('سجل الإنتاج'!C150="","","عدة مواد - راجع صفحة الطبخات")</f>
        <v/>
      </c>
      <c r="F1150" t="str">
        <f>IF('سجل الإنتاج'!C150="","",IF('سجل الإنتاج'!D150="","",'سجل الإنتاج'!D150))</f>
        <v/>
      </c>
      <c r="G1150" t="str">
        <f>IF($B1150&lt;&gt;"",SUMPRODUCT(($B$2:$B1150&lt;&gt;"")*1),"")</f>
        <v/>
      </c>
    </row>
    <row r="1151" spans="1:7">
      <c r="A1151" s="23" t="str">
        <f>IF('سجل الإنتاج'!C151="","",'سجل الإنتاج'!B151)</f>
        <v/>
      </c>
      <c r="B1151" t="str">
        <f>IF('سجل الإنتاج'!C151="","","إنتاج طبخة")</f>
        <v/>
      </c>
      <c r="C1151" t="str">
        <f>IF('سجل الإنتاج'!C151="","",'سجل الإنتاج'!C151)</f>
        <v/>
      </c>
      <c r="D1151" t="str">
        <f>IF('سجل الإنتاج'!C151="","","عدة مواد - راجع صفحة الطبخات")</f>
        <v/>
      </c>
      <c r="F1151" t="str">
        <f>IF('سجل الإنتاج'!C151="","",IF('سجل الإنتاج'!D151="","",'سجل الإنتاج'!D151))</f>
        <v/>
      </c>
      <c r="G1151" t="str">
        <f>IF($B1151&lt;&gt;"",SUMPRODUCT(($B$2:$B1151&lt;&gt;"")*1),"")</f>
        <v/>
      </c>
    </row>
    <row r="1152" spans="1:7">
      <c r="A1152" s="23" t="str">
        <f>IF('سجل الإنتاج'!C152="","",'سجل الإنتاج'!B152)</f>
        <v/>
      </c>
      <c r="B1152" t="str">
        <f>IF('سجل الإنتاج'!C152="","","إنتاج طبخة")</f>
        <v/>
      </c>
      <c r="C1152" t="str">
        <f>IF('سجل الإنتاج'!C152="","",'سجل الإنتاج'!C152)</f>
        <v/>
      </c>
      <c r="D1152" t="str">
        <f>IF('سجل الإنتاج'!C152="","","عدة مواد - راجع صفحة الطبخات")</f>
        <v/>
      </c>
      <c r="F1152" t="str">
        <f>IF('سجل الإنتاج'!C152="","",IF('سجل الإنتاج'!D152="","",'سجل الإنتاج'!D152))</f>
        <v/>
      </c>
      <c r="G1152" t="str">
        <f>IF($B1152&lt;&gt;"",SUMPRODUCT(($B$2:$B1152&lt;&gt;"")*1),"")</f>
        <v/>
      </c>
    </row>
    <row r="1153" spans="1:7">
      <c r="A1153" s="23" t="str">
        <f>IF('سجل الإنتاج'!C153="","",'سجل الإنتاج'!B153)</f>
        <v/>
      </c>
      <c r="B1153" t="str">
        <f>IF('سجل الإنتاج'!C153="","","إنتاج طبخة")</f>
        <v/>
      </c>
      <c r="C1153" t="str">
        <f>IF('سجل الإنتاج'!C153="","",'سجل الإنتاج'!C153)</f>
        <v/>
      </c>
      <c r="D1153" t="str">
        <f>IF('سجل الإنتاج'!C153="","","عدة مواد - راجع صفحة الطبخات")</f>
        <v/>
      </c>
      <c r="F1153" t="str">
        <f>IF('سجل الإنتاج'!C153="","",IF('سجل الإنتاج'!D153="","",'سجل الإنتاج'!D153))</f>
        <v/>
      </c>
      <c r="G1153" t="str">
        <f>IF($B1153&lt;&gt;"",SUMPRODUCT(($B$2:$B1153&lt;&gt;"")*1),"")</f>
        <v/>
      </c>
    </row>
    <row r="1154" spans="1:7">
      <c r="A1154" s="23" t="str">
        <f>IF('سجل الإنتاج'!C154="","",'سجل الإنتاج'!B154)</f>
        <v/>
      </c>
      <c r="B1154" t="str">
        <f>IF('سجل الإنتاج'!C154="","","إنتاج طبخة")</f>
        <v/>
      </c>
      <c r="C1154" t="str">
        <f>IF('سجل الإنتاج'!C154="","",'سجل الإنتاج'!C154)</f>
        <v/>
      </c>
      <c r="D1154" t="str">
        <f>IF('سجل الإنتاج'!C154="","","عدة مواد - راجع صفحة الطبخات")</f>
        <v/>
      </c>
      <c r="F1154" t="str">
        <f>IF('سجل الإنتاج'!C154="","",IF('سجل الإنتاج'!D154="","",'سجل الإنتاج'!D154))</f>
        <v/>
      </c>
      <c r="G1154" t="str">
        <f>IF($B1154&lt;&gt;"",SUMPRODUCT(($B$2:$B1154&lt;&gt;"")*1),"")</f>
        <v/>
      </c>
    </row>
    <row r="1155" spans="1:7">
      <c r="A1155" s="23" t="str">
        <f>IF('سجل الإنتاج'!C155="","",'سجل الإنتاج'!B155)</f>
        <v/>
      </c>
      <c r="B1155" t="str">
        <f>IF('سجل الإنتاج'!C155="","","إنتاج طبخة")</f>
        <v/>
      </c>
      <c r="C1155" t="str">
        <f>IF('سجل الإنتاج'!C155="","",'سجل الإنتاج'!C155)</f>
        <v/>
      </c>
      <c r="D1155" t="str">
        <f>IF('سجل الإنتاج'!C155="","","عدة مواد - راجع صفحة الطبخات")</f>
        <v/>
      </c>
      <c r="F1155" t="str">
        <f>IF('سجل الإنتاج'!C155="","",IF('سجل الإنتاج'!D155="","",'سجل الإنتاج'!D155))</f>
        <v/>
      </c>
      <c r="G1155" t="str">
        <f>IF($B1155&lt;&gt;"",SUMPRODUCT(($B$2:$B1155&lt;&gt;"")*1),"")</f>
        <v/>
      </c>
    </row>
    <row r="1156" spans="1:7">
      <c r="A1156" s="23" t="str">
        <f>IF('سجل الإنتاج'!C156="","",'سجل الإنتاج'!B156)</f>
        <v/>
      </c>
      <c r="B1156" t="str">
        <f>IF('سجل الإنتاج'!C156="","","إنتاج طبخة")</f>
        <v/>
      </c>
      <c r="C1156" t="str">
        <f>IF('سجل الإنتاج'!C156="","",'سجل الإنتاج'!C156)</f>
        <v/>
      </c>
      <c r="D1156" t="str">
        <f>IF('سجل الإنتاج'!C156="","","عدة مواد - راجع صفحة الطبخات")</f>
        <v/>
      </c>
      <c r="F1156" t="str">
        <f>IF('سجل الإنتاج'!C156="","",IF('سجل الإنتاج'!D156="","",'سجل الإنتاج'!D156))</f>
        <v/>
      </c>
      <c r="G1156" t="str">
        <f>IF($B1156&lt;&gt;"",SUMPRODUCT(($B$2:$B1156&lt;&gt;"")*1),"")</f>
        <v/>
      </c>
    </row>
    <row r="1157" spans="1:7">
      <c r="A1157" s="23" t="str">
        <f>IF('سجل الإنتاج'!C157="","",'سجل الإنتاج'!B157)</f>
        <v/>
      </c>
      <c r="B1157" t="str">
        <f>IF('سجل الإنتاج'!C157="","","إنتاج طبخة")</f>
        <v/>
      </c>
      <c r="C1157" t="str">
        <f>IF('سجل الإنتاج'!C157="","",'سجل الإنتاج'!C157)</f>
        <v/>
      </c>
      <c r="D1157" t="str">
        <f>IF('سجل الإنتاج'!C157="","","عدة مواد - راجع صفحة الطبخات")</f>
        <v/>
      </c>
      <c r="F1157" t="str">
        <f>IF('سجل الإنتاج'!C157="","",IF('سجل الإنتاج'!D157="","",'سجل الإنتاج'!D157))</f>
        <v/>
      </c>
      <c r="G1157" t="str">
        <f>IF($B1157&lt;&gt;"",SUMPRODUCT(($B$2:$B1157&lt;&gt;"")*1),"")</f>
        <v/>
      </c>
    </row>
    <row r="1158" spans="1:7">
      <c r="A1158" s="23" t="str">
        <f>IF('سجل الإنتاج'!C158="","",'سجل الإنتاج'!B158)</f>
        <v/>
      </c>
      <c r="B1158" t="str">
        <f>IF('سجل الإنتاج'!C158="","","إنتاج طبخة")</f>
        <v/>
      </c>
      <c r="C1158" t="str">
        <f>IF('سجل الإنتاج'!C158="","",'سجل الإنتاج'!C158)</f>
        <v/>
      </c>
      <c r="D1158" t="str">
        <f>IF('سجل الإنتاج'!C158="","","عدة مواد - راجع صفحة الطبخات")</f>
        <v/>
      </c>
      <c r="F1158" t="str">
        <f>IF('سجل الإنتاج'!C158="","",IF('سجل الإنتاج'!D158="","",'سجل الإنتاج'!D158))</f>
        <v/>
      </c>
      <c r="G1158" t="str">
        <f>IF($B1158&lt;&gt;"",SUMPRODUCT(($B$2:$B1158&lt;&gt;"")*1),"")</f>
        <v/>
      </c>
    </row>
    <row r="1159" spans="1:7">
      <c r="A1159" s="23" t="str">
        <f>IF('سجل الإنتاج'!C159="","",'سجل الإنتاج'!B159)</f>
        <v/>
      </c>
      <c r="B1159" t="str">
        <f>IF('سجل الإنتاج'!C159="","","إنتاج طبخة")</f>
        <v/>
      </c>
      <c r="C1159" t="str">
        <f>IF('سجل الإنتاج'!C159="","",'سجل الإنتاج'!C159)</f>
        <v/>
      </c>
      <c r="D1159" t="str">
        <f>IF('سجل الإنتاج'!C159="","","عدة مواد - راجع صفحة الطبخات")</f>
        <v/>
      </c>
      <c r="F1159" t="str">
        <f>IF('سجل الإنتاج'!C159="","",IF('سجل الإنتاج'!D159="","",'سجل الإنتاج'!D159))</f>
        <v/>
      </c>
      <c r="G1159" t="str">
        <f>IF($B1159&lt;&gt;"",SUMPRODUCT(($B$2:$B1159&lt;&gt;"")*1),"")</f>
        <v/>
      </c>
    </row>
    <row r="1160" spans="1:7">
      <c r="A1160" s="23" t="str">
        <f>IF('سجل الإنتاج'!C160="","",'سجل الإنتاج'!B160)</f>
        <v/>
      </c>
      <c r="B1160" t="str">
        <f>IF('سجل الإنتاج'!C160="","","إنتاج طبخة")</f>
        <v/>
      </c>
      <c r="C1160" t="str">
        <f>IF('سجل الإنتاج'!C160="","",'سجل الإنتاج'!C160)</f>
        <v/>
      </c>
      <c r="D1160" t="str">
        <f>IF('سجل الإنتاج'!C160="","","عدة مواد - راجع صفحة الطبخات")</f>
        <v/>
      </c>
      <c r="F1160" t="str">
        <f>IF('سجل الإنتاج'!C160="","",IF('سجل الإنتاج'!D160="","",'سجل الإنتاج'!D160))</f>
        <v/>
      </c>
      <c r="G1160" t="str">
        <f>IF($B1160&lt;&gt;"",SUMPRODUCT(($B$2:$B1160&lt;&gt;"")*1),"")</f>
        <v/>
      </c>
    </row>
    <row r="1161" spans="1:7">
      <c r="A1161" s="23" t="str">
        <f>IF('سجل الإنتاج'!C161="","",'سجل الإنتاج'!B161)</f>
        <v/>
      </c>
      <c r="B1161" t="str">
        <f>IF('سجل الإنتاج'!C161="","","إنتاج طبخة")</f>
        <v/>
      </c>
      <c r="C1161" t="str">
        <f>IF('سجل الإنتاج'!C161="","",'سجل الإنتاج'!C161)</f>
        <v/>
      </c>
      <c r="D1161" t="str">
        <f>IF('سجل الإنتاج'!C161="","","عدة مواد - راجع صفحة الطبخات")</f>
        <v/>
      </c>
      <c r="F1161" t="str">
        <f>IF('سجل الإنتاج'!C161="","",IF('سجل الإنتاج'!D161="","",'سجل الإنتاج'!D161))</f>
        <v/>
      </c>
      <c r="G1161" t="str">
        <f>IF($B1161&lt;&gt;"",SUMPRODUCT(($B$2:$B1161&lt;&gt;"")*1),"")</f>
        <v/>
      </c>
    </row>
    <row r="1162" spans="1:7">
      <c r="A1162" s="23" t="str">
        <f>IF('سجل الإنتاج'!C162="","",'سجل الإنتاج'!B162)</f>
        <v/>
      </c>
      <c r="B1162" t="str">
        <f>IF('سجل الإنتاج'!C162="","","إنتاج طبخة")</f>
        <v/>
      </c>
      <c r="C1162" t="str">
        <f>IF('سجل الإنتاج'!C162="","",'سجل الإنتاج'!C162)</f>
        <v/>
      </c>
      <c r="D1162" t="str">
        <f>IF('سجل الإنتاج'!C162="","","عدة مواد - راجع صفحة الطبخات")</f>
        <v/>
      </c>
      <c r="F1162" t="str">
        <f>IF('سجل الإنتاج'!C162="","",IF('سجل الإنتاج'!D162="","",'سجل الإنتاج'!D162))</f>
        <v/>
      </c>
      <c r="G1162" t="str">
        <f>IF($B1162&lt;&gt;"",SUMPRODUCT(($B$2:$B1162&lt;&gt;"")*1),"")</f>
        <v/>
      </c>
    </row>
    <row r="1163" spans="1:7">
      <c r="A1163" s="23" t="str">
        <f>IF('سجل الإنتاج'!C163="","",'سجل الإنتاج'!B163)</f>
        <v/>
      </c>
      <c r="B1163" t="str">
        <f>IF('سجل الإنتاج'!C163="","","إنتاج طبخة")</f>
        <v/>
      </c>
      <c r="C1163" t="str">
        <f>IF('سجل الإنتاج'!C163="","",'سجل الإنتاج'!C163)</f>
        <v/>
      </c>
      <c r="D1163" t="str">
        <f>IF('سجل الإنتاج'!C163="","","عدة مواد - راجع صفحة الطبخات")</f>
        <v/>
      </c>
      <c r="F1163" t="str">
        <f>IF('سجل الإنتاج'!C163="","",IF('سجل الإنتاج'!D163="","",'سجل الإنتاج'!D163))</f>
        <v/>
      </c>
      <c r="G1163" t="str">
        <f>IF($B1163&lt;&gt;"",SUMPRODUCT(($B$2:$B1163&lt;&gt;"")*1),"")</f>
        <v/>
      </c>
    </row>
    <row r="1164" spans="1:7">
      <c r="A1164" s="23" t="str">
        <f>IF('سجل الإنتاج'!C164="","",'سجل الإنتاج'!B164)</f>
        <v/>
      </c>
      <c r="B1164" t="str">
        <f>IF('سجل الإنتاج'!C164="","","إنتاج طبخة")</f>
        <v/>
      </c>
      <c r="C1164" t="str">
        <f>IF('سجل الإنتاج'!C164="","",'سجل الإنتاج'!C164)</f>
        <v/>
      </c>
      <c r="D1164" t="str">
        <f>IF('سجل الإنتاج'!C164="","","عدة مواد - راجع صفحة الطبخات")</f>
        <v/>
      </c>
      <c r="F1164" t="str">
        <f>IF('سجل الإنتاج'!C164="","",IF('سجل الإنتاج'!D164="","",'سجل الإنتاج'!D164))</f>
        <v/>
      </c>
      <c r="G1164" t="str">
        <f>IF($B1164&lt;&gt;"",SUMPRODUCT(($B$2:$B1164&lt;&gt;"")*1),"")</f>
        <v/>
      </c>
    </row>
    <row r="1165" spans="1:7">
      <c r="A1165" s="23" t="str">
        <f>IF('سجل الإنتاج'!C165="","",'سجل الإنتاج'!B165)</f>
        <v/>
      </c>
      <c r="B1165" t="str">
        <f>IF('سجل الإنتاج'!C165="","","إنتاج طبخة")</f>
        <v/>
      </c>
      <c r="C1165" t="str">
        <f>IF('سجل الإنتاج'!C165="","",'سجل الإنتاج'!C165)</f>
        <v/>
      </c>
      <c r="D1165" t="str">
        <f>IF('سجل الإنتاج'!C165="","","عدة مواد - راجع صفحة الطبخات")</f>
        <v/>
      </c>
      <c r="F1165" t="str">
        <f>IF('سجل الإنتاج'!C165="","",IF('سجل الإنتاج'!D165="","",'سجل الإنتاج'!D165))</f>
        <v/>
      </c>
      <c r="G1165" t="str">
        <f>IF($B1165&lt;&gt;"",SUMPRODUCT(($B$2:$B1165&lt;&gt;"")*1),"")</f>
        <v/>
      </c>
    </row>
    <row r="1166" spans="1:7">
      <c r="A1166" s="23" t="str">
        <f>IF('سجل الإنتاج'!C166="","",'سجل الإنتاج'!B166)</f>
        <v/>
      </c>
      <c r="B1166" t="str">
        <f>IF('سجل الإنتاج'!C166="","","إنتاج طبخة")</f>
        <v/>
      </c>
      <c r="C1166" t="str">
        <f>IF('سجل الإنتاج'!C166="","",'سجل الإنتاج'!C166)</f>
        <v/>
      </c>
      <c r="D1166" t="str">
        <f>IF('سجل الإنتاج'!C166="","","عدة مواد - راجع صفحة الطبخات")</f>
        <v/>
      </c>
      <c r="F1166" t="str">
        <f>IF('سجل الإنتاج'!C166="","",IF('سجل الإنتاج'!D166="","",'سجل الإنتاج'!D166))</f>
        <v/>
      </c>
      <c r="G1166" t="str">
        <f>IF($B1166&lt;&gt;"",SUMPRODUCT(($B$2:$B1166&lt;&gt;"")*1),"")</f>
        <v/>
      </c>
    </row>
    <row r="1167" spans="1:7">
      <c r="A1167" s="23" t="str">
        <f>IF('سجل الإنتاج'!C167="","",'سجل الإنتاج'!B167)</f>
        <v/>
      </c>
      <c r="B1167" t="str">
        <f>IF('سجل الإنتاج'!C167="","","إنتاج طبخة")</f>
        <v/>
      </c>
      <c r="C1167" t="str">
        <f>IF('سجل الإنتاج'!C167="","",'سجل الإنتاج'!C167)</f>
        <v/>
      </c>
      <c r="D1167" t="str">
        <f>IF('سجل الإنتاج'!C167="","","عدة مواد - راجع صفحة الطبخات")</f>
        <v/>
      </c>
      <c r="F1167" t="str">
        <f>IF('سجل الإنتاج'!C167="","",IF('سجل الإنتاج'!D167="","",'سجل الإنتاج'!D167))</f>
        <v/>
      </c>
      <c r="G1167" t="str">
        <f>IF($B1167&lt;&gt;"",SUMPRODUCT(($B$2:$B1167&lt;&gt;"")*1),"")</f>
        <v/>
      </c>
    </row>
    <row r="1168" spans="1:7">
      <c r="A1168" s="23" t="str">
        <f>IF('سجل الإنتاج'!C168="","",'سجل الإنتاج'!B168)</f>
        <v/>
      </c>
      <c r="B1168" t="str">
        <f>IF('سجل الإنتاج'!C168="","","إنتاج طبخة")</f>
        <v/>
      </c>
      <c r="C1168" t="str">
        <f>IF('سجل الإنتاج'!C168="","",'سجل الإنتاج'!C168)</f>
        <v/>
      </c>
      <c r="D1168" t="str">
        <f>IF('سجل الإنتاج'!C168="","","عدة مواد - راجع صفحة الطبخات")</f>
        <v/>
      </c>
      <c r="F1168" t="str">
        <f>IF('سجل الإنتاج'!C168="","",IF('سجل الإنتاج'!D168="","",'سجل الإنتاج'!D168))</f>
        <v/>
      </c>
      <c r="G1168" t="str">
        <f>IF($B1168&lt;&gt;"",SUMPRODUCT(($B$2:$B1168&lt;&gt;"")*1),"")</f>
        <v/>
      </c>
    </row>
    <row r="1169" spans="1:7">
      <c r="A1169" s="23" t="str">
        <f>IF('سجل الإنتاج'!C169="","",'سجل الإنتاج'!B169)</f>
        <v/>
      </c>
      <c r="B1169" t="str">
        <f>IF('سجل الإنتاج'!C169="","","إنتاج طبخة")</f>
        <v/>
      </c>
      <c r="C1169" t="str">
        <f>IF('سجل الإنتاج'!C169="","",'سجل الإنتاج'!C169)</f>
        <v/>
      </c>
      <c r="D1169" t="str">
        <f>IF('سجل الإنتاج'!C169="","","عدة مواد - راجع صفحة الطبخات")</f>
        <v/>
      </c>
      <c r="F1169" t="str">
        <f>IF('سجل الإنتاج'!C169="","",IF('سجل الإنتاج'!D169="","",'سجل الإنتاج'!D169))</f>
        <v/>
      </c>
      <c r="G1169" t="str">
        <f>IF($B1169&lt;&gt;"",SUMPRODUCT(($B$2:$B1169&lt;&gt;"")*1),"")</f>
        <v/>
      </c>
    </row>
    <row r="1170" spans="1:7">
      <c r="A1170" s="23" t="str">
        <f>IF('سجل الإنتاج'!C170="","",'سجل الإنتاج'!B170)</f>
        <v/>
      </c>
      <c r="B1170" t="str">
        <f>IF('سجل الإنتاج'!C170="","","إنتاج طبخة")</f>
        <v/>
      </c>
      <c r="C1170" t="str">
        <f>IF('سجل الإنتاج'!C170="","",'سجل الإنتاج'!C170)</f>
        <v/>
      </c>
      <c r="D1170" t="str">
        <f>IF('سجل الإنتاج'!C170="","","عدة مواد - راجع صفحة الطبخات")</f>
        <v/>
      </c>
      <c r="F1170" t="str">
        <f>IF('سجل الإنتاج'!C170="","",IF('سجل الإنتاج'!D170="","",'سجل الإنتاج'!D170))</f>
        <v/>
      </c>
      <c r="G1170" t="str">
        <f>IF($B1170&lt;&gt;"",SUMPRODUCT(($B$2:$B1170&lt;&gt;"")*1),"")</f>
        <v/>
      </c>
    </row>
    <row r="1171" spans="1:7">
      <c r="A1171" s="23" t="str">
        <f>IF('سجل الإنتاج'!C171="","",'سجل الإنتاج'!B171)</f>
        <v/>
      </c>
      <c r="B1171" t="str">
        <f>IF('سجل الإنتاج'!C171="","","إنتاج طبخة")</f>
        <v/>
      </c>
      <c r="C1171" t="str">
        <f>IF('سجل الإنتاج'!C171="","",'سجل الإنتاج'!C171)</f>
        <v/>
      </c>
      <c r="D1171" t="str">
        <f>IF('سجل الإنتاج'!C171="","","عدة مواد - راجع صفحة الطبخات")</f>
        <v/>
      </c>
      <c r="F1171" t="str">
        <f>IF('سجل الإنتاج'!C171="","",IF('سجل الإنتاج'!D171="","",'سجل الإنتاج'!D171))</f>
        <v/>
      </c>
      <c r="G1171" t="str">
        <f>IF($B1171&lt;&gt;"",SUMPRODUCT(($B$2:$B1171&lt;&gt;"")*1),"")</f>
        <v/>
      </c>
    </row>
    <row r="1172" spans="1:7">
      <c r="A1172" s="23" t="str">
        <f>IF('سجل الإنتاج'!C172="","",'سجل الإنتاج'!B172)</f>
        <v/>
      </c>
      <c r="B1172" t="str">
        <f>IF('سجل الإنتاج'!C172="","","إنتاج طبخة")</f>
        <v/>
      </c>
      <c r="C1172" t="str">
        <f>IF('سجل الإنتاج'!C172="","",'سجل الإنتاج'!C172)</f>
        <v/>
      </c>
      <c r="D1172" t="str">
        <f>IF('سجل الإنتاج'!C172="","","عدة مواد - راجع صفحة الطبخات")</f>
        <v/>
      </c>
      <c r="F1172" t="str">
        <f>IF('سجل الإنتاج'!C172="","",IF('سجل الإنتاج'!D172="","",'سجل الإنتاج'!D172))</f>
        <v/>
      </c>
      <c r="G1172" t="str">
        <f>IF($B1172&lt;&gt;"",SUMPRODUCT(($B$2:$B1172&lt;&gt;"")*1),"")</f>
        <v/>
      </c>
    </row>
    <row r="1173" spans="1:7">
      <c r="A1173" s="23" t="str">
        <f>IF('سجل الإنتاج'!C173="","",'سجل الإنتاج'!B173)</f>
        <v/>
      </c>
      <c r="B1173" t="str">
        <f>IF('سجل الإنتاج'!C173="","","إنتاج طبخة")</f>
        <v/>
      </c>
      <c r="C1173" t="str">
        <f>IF('سجل الإنتاج'!C173="","",'سجل الإنتاج'!C173)</f>
        <v/>
      </c>
      <c r="D1173" t="str">
        <f>IF('سجل الإنتاج'!C173="","","عدة مواد - راجع صفحة الطبخات")</f>
        <v/>
      </c>
      <c r="F1173" t="str">
        <f>IF('سجل الإنتاج'!C173="","",IF('سجل الإنتاج'!D173="","",'سجل الإنتاج'!D173))</f>
        <v/>
      </c>
      <c r="G1173" t="str">
        <f>IF($B1173&lt;&gt;"",SUMPRODUCT(($B$2:$B1173&lt;&gt;"")*1),"")</f>
        <v/>
      </c>
    </row>
    <row r="1174" spans="1:7">
      <c r="A1174" s="23" t="str">
        <f>IF('سجل الإنتاج'!C174="","",'سجل الإنتاج'!B174)</f>
        <v/>
      </c>
      <c r="B1174" t="str">
        <f>IF('سجل الإنتاج'!C174="","","إنتاج طبخة")</f>
        <v/>
      </c>
      <c r="C1174" t="str">
        <f>IF('سجل الإنتاج'!C174="","",'سجل الإنتاج'!C174)</f>
        <v/>
      </c>
      <c r="D1174" t="str">
        <f>IF('سجل الإنتاج'!C174="","","عدة مواد - راجع صفحة الطبخات")</f>
        <v/>
      </c>
      <c r="F1174" t="str">
        <f>IF('سجل الإنتاج'!C174="","",IF('سجل الإنتاج'!D174="","",'سجل الإنتاج'!D174))</f>
        <v/>
      </c>
      <c r="G1174" t="str">
        <f>IF($B1174&lt;&gt;"",SUMPRODUCT(($B$2:$B1174&lt;&gt;"")*1),"")</f>
        <v/>
      </c>
    </row>
    <row r="1175" spans="1:7">
      <c r="A1175" s="23" t="str">
        <f>IF('سجل الإنتاج'!C175="","",'سجل الإنتاج'!B175)</f>
        <v/>
      </c>
      <c r="B1175" t="str">
        <f>IF('سجل الإنتاج'!C175="","","إنتاج طبخة")</f>
        <v/>
      </c>
      <c r="C1175" t="str">
        <f>IF('سجل الإنتاج'!C175="","",'سجل الإنتاج'!C175)</f>
        <v/>
      </c>
      <c r="D1175" t="str">
        <f>IF('سجل الإنتاج'!C175="","","عدة مواد - راجع صفحة الطبخات")</f>
        <v/>
      </c>
      <c r="F1175" t="str">
        <f>IF('سجل الإنتاج'!C175="","",IF('سجل الإنتاج'!D175="","",'سجل الإنتاج'!D175))</f>
        <v/>
      </c>
      <c r="G1175" t="str">
        <f>IF($B1175&lt;&gt;"",SUMPRODUCT(($B$2:$B1175&lt;&gt;"")*1),"")</f>
        <v/>
      </c>
    </row>
    <row r="1176" spans="1:7">
      <c r="A1176" s="23" t="str">
        <f>IF('سجل الإنتاج'!C176="","",'سجل الإنتاج'!B176)</f>
        <v/>
      </c>
      <c r="B1176" t="str">
        <f>IF('سجل الإنتاج'!C176="","","إنتاج طبخة")</f>
        <v/>
      </c>
      <c r="C1176" t="str">
        <f>IF('سجل الإنتاج'!C176="","",'سجل الإنتاج'!C176)</f>
        <v/>
      </c>
      <c r="D1176" t="str">
        <f>IF('سجل الإنتاج'!C176="","","عدة مواد - راجع صفحة الطبخات")</f>
        <v/>
      </c>
      <c r="F1176" t="str">
        <f>IF('سجل الإنتاج'!C176="","",IF('سجل الإنتاج'!D176="","",'سجل الإنتاج'!D176))</f>
        <v/>
      </c>
      <c r="G1176" t="str">
        <f>IF($B1176&lt;&gt;"",SUMPRODUCT(($B$2:$B1176&lt;&gt;"")*1),"")</f>
        <v/>
      </c>
    </row>
    <row r="1177" spans="1:7">
      <c r="A1177" s="23" t="str">
        <f>IF('سجل الإنتاج'!C177="","",'سجل الإنتاج'!B177)</f>
        <v/>
      </c>
      <c r="B1177" t="str">
        <f>IF('سجل الإنتاج'!C177="","","إنتاج طبخة")</f>
        <v/>
      </c>
      <c r="C1177" t="str">
        <f>IF('سجل الإنتاج'!C177="","",'سجل الإنتاج'!C177)</f>
        <v/>
      </c>
      <c r="D1177" t="str">
        <f>IF('سجل الإنتاج'!C177="","","عدة مواد - راجع صفحة الطبخات")</f>
        <v/>
      </c>
      <c r="F1177" t="str">
        <f>IF('سجل الإنتاج'!C177="","",IF('سجل الإنتاج'!D177="","",'سجل الإنتاج'!D177))</f>
        <v/>
      </c>
      <c r="G1177" t="str">
        <f>IF($B1177&lt;&gt;"",SUMPRODUCT(($B$2:$B1177&lt;&gt;"")*1),"")</f>
        <v/>
      </c>
    </row>
    <row r="1178" spans="1:7">
      <c r="A1178" s="23" t="str">
        <f>IF('سجل الإنتاج'!C178="","",'سجل الإنتاج'!B178)</f>
        <v/>
      </c>
      <c r="B1178" t="str">
        <f>IF('سجل الإنتاج'!C178="","","إنتاج طبخة")</f>
        <v/>
      </c>
      <c r="C1178" t="str">
        <f>IF('سجل الإنتاج'!C178="","",'سجل الإنتاج'!C178)</f>
        <v/>
      </c>
      <c r="D1178" t="str">
        <f>IF('سجل الإنتاج'!C178="","","عدة مواد - راجع صفحة الطبخات")</f>
        <v/>
      </c>
      <c r="F1178" t="str">
        <f>IF('سجل الإنتاج'!C178="","",IF('سجل الإنتاج'!D178="","",'سجل الإنتاج'!D178))</f>
        <v/>
      </c>
      <c r="G1178" t="str">
        <f>IF($B1178&lt;&gt;"",SUMPRODUCT(($B$2:$B1178&lt;&gt;"")*1),"")</f>
        <v/>
      </c>
    </row>
    <row r="1179" spans="1:7">
      <c r="A1179" s="23" t="str">
        <f>IF('سجل الإنتاج'!C179="","",'سجل الإنتاج'!B179)</f>
        <v/>
      </c>
      <c r="B1179" t="str">
        <f>IF('سجل الإنتاج'!C179="","","إنتاج طبخة")</f>
        <v/>
      </c>
      <c r="C1179" t="str">
        <f>IF('سجل الإنتاج'!C179="","",'سجل الإنتاج'!C179)</f>
        <v/>
      </c>
      <c r="D1179" t="str">
        <f>IF('سجل الإنتاج'!C179="","","عدة مواد - راجع صفحة الطبخات")</f>
        <v/>
      </c>
      <c r="F1179" t="str">
        <f>IF('سجل الإنتاج'!C179="","",IF('سجل الإنتاج'!D179="","",'سجل الإنتاج'!D179))</f>
        <v/>
      </c>
      <c r="G1179" t="str">
        <f>IF($B1179&lt;&gt;"",SUMPRODUCT(($B$2:$B1179&lt;&gt;"")*1),"")</f>
        <v/>
      </c>
    </row>
    <row r="1180" spans="1:7">
      <c r="A1180" s="23" t="str">
        <f>IF('سجل الإنتاج'!C180="","",'سجل الإنتاج'!B180)</f>
        <v/>
      </c>
      <c r="B1180" t="str">
        <f>IF('سجل الإنتاج'!C180="","","إنتاج طبخة")</f>
        <v/>
      </c>
      <c r="C1180" t="str">
        <f>IF('سجل الإنتاج'!C180="","",'سجل الإنتاج'!C180)</f>
        <v/>
      </c>
      <c r="D1180" t="str">
        <f>IF('سجل الإنتاج'!C180="","","عدة مواد - راجع صفحة الطبخات")</f>
        <v/>
      </c>
      <c r="F1180" t="str">
        <f>IF('سجل الإنتاج'!C180="","",IF('سجل الإنتاج'!D180="","",'سجل الإنتاج'!D180))</f>
        <v/>
      </c>
      <c r="G1180" t="str">
        <f>IF($B1180&lt;&gt;"",SUMPRODUCT(($B$2:$B1180&lt;&gt;"")*1),"")</f>
        <v/>
      </c>
    </row>
    <row r="1181" spans="1:7">
      <c r="A1181" s="23" t="str">
        <f>IF('سجل الإنتاج'!C181="","",'سجل الإنتاج'!B181)</f>
        <v/>
      </c>
      <c r="B1181" t="str">
        <f>IF('سجل الإنتاج'!C181="","","إنتاج طبخة")</f>
        <v/>
      </c>
      <c r="C1181" t="str">
        <f>IF('سجل الإنتاج'!C181="","",'سجل الإنتاج'!C181)</f>
        <v/>
      </c>
      <c r="D1181" t="str">
        <f>IF('سجل الإنتاج'!C181="","","عدة مواد - راجع صفحة الطبخات")</f>
        <v/>
      </c>
      <c r="F1181" t="str">
        <f>IF('سجل الإنتاج'!C181="","",IF('سجل الإنتاج'!D181="","",'سجل الإنتاج'!D181))</f>
        <v/>
      </c>
      <c r="G1181" t="str">
        <f>IF($B1181&lt;&gt;"",SUMPRODUCT(($B$2:$B1181&lt;&gt;"")*1),"")</f>
        <v/>
      </c>
    </row>
    <row r="1182" spans="1:7">
      <c r="A1182" s="23" t="str">
        <f>IF('سجل الإنتاج'!C182="","",'سجل الإنتاج'!B182)</f>
        <v/>
      </c>
      <c r="B1182" t="str">
        <f>IF('سجل الإنتاج'!C182="","","إنتاج طبخة")</f>
        <v/>
      </c>
      <c r="C1182" t="str">
        <f>IF('سجل الإنتاج'!C182="","",'سجل الإنتاج'!C182)</f>
        <v/>
      </c>
      <c r="D1182" t="str">
        <f>IF('سجل الإنتاج'!C182="","","عدة مواد - راجع صفحة الطبخات")</f>
        <v/>
      </c>
      <c r="F1182" t="str">
        <f>IF('سجل الإنتاج'!C182="","",IF('سجل الإنتاج'!D182="","",'سجل الإنتاج'!D182))</f>
        <v/>
      </c>
      <c r="G1182" t="str">
        <f>IF($B1182&lt;&gt;"",SUMPRODUCT(($B$2:$B1182&lt;&gt;"")*1),"")</f>
        <v/>
      </c>
    </row>
    <row r="1183" spans="1:7">
      <c r="A1183" s="23" t="str">
        <f>IF('سجل الإنتاج'!C183="","",'سجل الإنتاج'!B183)</f>
        <v/>
      </c>
      <c r="B1183" t="str">
        <f>IF('سجل الإنتاج'!C183="","","إنتاج طبخة")</f>
        <v/>
      </c>
      <c r="C1183" t="str">
        <f>IF('سجل الإنتاج'!C183="","",'سجل الإنتاج'!C183)</f>
        <v/>
      </c>
      <c r="D1183" t="str">
        <f>IF('سجل الإنتاج'!C183="","","عدة مواد - راجع صفحة الطبخات")</f>
        <v/>
      </c>
      <c r="F1183" t="str">
        <f>IF('سجل الإنتاج'!C183="","",IF('سجل الإنتاج'!D183="","",'سجل الإنتاج'!D183))</f>
        <v/>
      </c>
      <c r="G1183" t="str">
        <f>IF($B1183&lt;&gt;"",SUMPRODUCT(($B$2:$B1183&lt;&gt;"")*1),"")</f>
        <v/>
      </c>
    </row>
    <row r="1184" spans="1:7">
      <c r="A1184" s="23" t="str">
        <f>IF('سجل الإنتاج'!C184="","",'سجل الإنتاج'!B184)</f>
        <v/>
      </c>
      <c r="B1184" t="str">
        <f>IF('سجل الإنتاج'!C184="","","إنتاج طبخة")</f>
        <v/>
      </c>
      <c r="C1184" t="str">
        <f>IF('سجل الإنتاج'!C184="","",'سجل الإنتاج'!C184)</f>
        <v/>
      </c>
      <c r="D1184" t="str">
        <f>IF('سجل الإنتاج'!C184="","","عدة مواد - راجع صفحة الطبخات")</f>
        <v/>
      </c>
      <c r="F1184" t="str">
        <f>IF('سجل الإنتاج'!C184="","",IF('سجل الإنتاج'!D184="","",'سجل الإنتاج'!D184))</f>
        <v/>
      </c>
      <c r="G1184" t="str">
        <f>IF($B1184&lt;&gt;"",SUMPRODUCT(($B$2:$B1184&lt;&gt;"")*1),"")</f>
        <v/>
      </c>
    </row>
    <row r="1185" spans="1:7">
      <c r="A1185" s="23" t="str">
        <f>IF('سجل الإنتاج'!C185="","",'سجل الإنتاج'!B185)</f>
        <v/>
      </c>
      <c r="B1185" t="str">
        <f>IF('سجل الإنتاج'!C185="","","إنتاج طبخة")</f>
        <v/>
      </c>
      <c r="C1185" t="str">
        <f>IF('سجل الإنتاج'!C185="","",'سجل الإنتاج'!C185)</f>
        <v/>
      </c>
      <c r="D1185" t="str">
        <f>IF('سجل الإنتاج'!C185="","","عدة مواد - راجع صفحة الطبخات")</f>
        <v/>
      </c>
      <c r="F1185" t="str">
        <f>IF('سجل الإنتاج'!C185="","",IF('سجل الإنتاج'!D185="","",'سجل الإنتاج'!D185))</f>
        <v/>
      </c>
      <c r="G1185" t="str">
        <f>IF($B1185&lt;&gt;"",SUMPRODUCT(($B$2:$B1185&lt;&gt;"")*1),"")</f>
        <v/>
      </c>
    </row>
    <row r="1186" spans="1:7">
      <c r="A1186" s="23" t="str">
        <f>IF('سجل الإنتاج'!C186="","",'سجل الإنتاج'!B186)</f>
        <v/>
      </c>
      <c r="B1186" t="str">
        <f>IF('سجل الإنتاج'!C186="","","إنتاج طبخة")</f>
        <v/>
      </c>
      <c r="C1186" t="str">
        <f>IF('سجل الإنتاج'!C186="","",'سجل الإنتاج'!C186)</f>
        <v/>
      </c>
      <c r="D1186" t="str">
        <f>IF('سجل الإنتاج'!C186="","","عدة مواد - راجع صفحة الطبخات")</f>
        <v/>
      </c>
      <c r="F1186" t="str">
        <f>IF('سجل الإنتاج'!C186="","",IF('سجل الإنتاج'!D186="","",'سجل الإنتاج'!D186))</f>
        <v/>
      </c>
      <c r="G1186" t="str">
        <f>IF($B1186&lt;&gt;"",SUMPRODUCT(($B$2:$B1186&lt;&gt;"")*1),"")</f>
        <v/>
      </c>
    </row>
    <row r="1187" spans="1:7">
      <c r="A1187" s="23" t="str">
        <f>IF('سجل الإنتاج'!C187="","",'سجل الإنتاج'!B187)</f>
        <v/>
      </c>
      <c r="B1187" t="str">
        <f>IF('سجل الإنتاج'!C187="","","إنتاج طبخة")</f>
        <v/>
      </c>
      <c r="C1187" t="str">
        <f>IF('سجل الإنتاج'!C187="","",'سجل الإنتاج'!C187)</f>
        <v/>
      </c>
      <c r="D1187" t="str">
        <f>IF('سجل الإنتاج'!C187="","","عدة مواد - راجع صفحة الطبخات")</f>
        <v/>
      </c>
      <c r="F1187" t="str">
        <f>IF('سجل الإنتاج'!C187="","",IF('سجل الإنتاج'!D187="","",'سجل الإنتاج'!D187))</f>
        <v/>
      </c>
      <c r="G1187" t="str">
        <f>IF($B1187&lt;&gt;"",SUMPRODUCT(($B$2:$B1187&lt;&gt;"")*1),"")</f>
        <v/>
      </c>
    </row>
    <row r="1188" spans="1:7">
      <c r="A1188" s="23" t="str">
        <f>IF('سجل الإنتاج'!C188="","",'سجل الإنتاج'!B188)</f>
        <v/>
      </c>
      <c r="B1188" t="str">
        <f>IF('سجل الإنتاج'!C188="","","إنتاج طبخة")</f>
        <v/>
      </c>
      <c r="C1188" t="str">
        <f>IF('سجل الإنتاج'!C188="","",'سجل الإنتاج'!C188)</f>
        <v/>
      </c>
      <c r="D1188" t="str">
        <f>IF('سجل الإنتاج'!C188="","","عدة مواد - راجع صفحة الطبخات")</f>
        <v/>
      </c>
      <c r="F1188" t="str">
        <f>IF('سجل الإنتاج'!C188="","",IF('سجل الإنتاج'!D188="","",'سجل الإنتاج'!D188))</f>
        <v/>
      </c>
      <c r="G1188" t="str">
        <f>IF($B1188&lt;&gt;"",SUMPRODUCT(($B$2:$B1188&lt;&gt;"")*1),"")</f>
        <v/>
      </c>
    </row>
    <row r="1189" spans="1:7">
      <c r="A1189" s="23" t="str">
        <f>IF('سجل الإنتاج'!C189="","",'سجل الإنتاج'!B189)</f>
        <v/>
      </c>
      <c r="B1189" t="str">
        <f>IF('سجل الإنتاج'!C189="","","إنتاج طبخة")</f>
        <v/>
      </c>
      <c r="C1189" t="str">
        <f>IF('سجل الإنتاج'!C189="","",'سجل الإنتاج'!C189)</f>
        <v/>
      </c>
      <c r="D1189" t="str">
        <f>IF('سجل الإنتاج'!C189="","","عدة مواد - راجع صفحة الطبخات")</f>
        <v/>
      </c>
      <c r="F1189" t="str">
        <f>IF('سجل الإنتاج'!C189="","",IF('سجل الإنتاج'!D189="","",'سجل الإنتاج'!D189))</f>
        <v/>
      </c>
      <c r="G1189" t="str">
        <f>IF($B1189&lt;&gt;"",SUMPRODUCT(($B$2:$B1189&lt;&gt;"")*1),"")</f>
        <v/>
      </c>
    </row>
    <row r="1190" spans="1:7">
      <c r="A1190" s="23" t="str">
        <f>IF('سجل الإنتاج'!C190="","",'سجل الإنتاج'!B190)</f>
        <v/>
      </c>
      <c r="B1190" t="str">
        <f>IF('سجل الإنتاج'!C190="","","إنتاج طبخة")</f>
        <v/>
      </c>
      <c r="C1190" t="str">
        <f>IF('سجل الإنتاج'!C190="","",'سجل الإنتاج'!C190)</f>
        <v/>
      </c>
      <c r="D1190" t="str">
        <f>IF('سجل الإنتاج'!C190="","","عدة مواد - راجع صفحة الطبخات")</f>
        <v/>
      </c>
      <c r="F1190" t="str">
        <f>IF('سجل الإنتاج'!C190="","",IF('سجل الإنتاج'!D190="","",'سجل الإنتاج'!D190))</f>
        <v/>
      </c>
      <c r="G1190" t="str">
        <f>IF($B1190&lt;&gt;"",SUMPRODUCT(($B$2:$B1190&lt;&gt;"")*1),"")</f>
        <v/>
      </c>
    </row>
    <row r="1191" spans="1:7">
      <c r="A1191" s="23" t="str">
        <f>IF('سجل الإنتاج'!C191="","",'سجل الإنتاج'!B191)</f>
        <v/>
      </c>
      <c r="B1191" t="str">
        <f>IF('سجل الإنتاج'!C191="","","إنتاج طبخة")</f>
        <v/>
      </c>
      <c r="C1191" t="str">
        <f>IF('سجل الإنتاج'!C191="","",'سجل الإنتاج'!C191)</f>
        <v/>
      </c>
      <c r="D1191" t="str">
        <f>IF('سجل الإنتاج'!C191="","","عدة مواد - راجع صفحة الطبخات")</f>
        <v/>
      </c>
      <c r="F1191" t="str">
        <f>IF('سجل الإنتاج'!C191="","",IF('سجل الإنتاج'!D191="","",'سجل الإنتاج'!D191))</f>
        <v/>
      </c>
      <c r="G1191" t="str">
        <f>IF($B1191&lt;&gt;"",SUMPRODUCT(($B$2:$B1191&lt;&gt;"")*1),"")</f>
        <v/>
      </c>
    </row>
    <row r="1192" spans="1:7">
      <c r="A1192" s="23" t="str">
        <f>IF('سجل الإنتاج'!C192="","",'سجل الإنتاج'!B192)</f>
        <v/>
      </c>
      <c r="B1192" t="str">
        <f>IF('سجل الإنتاج'!C192="","","إنتاج طبخة")</f>
        <v/>
      </c>
      <c r="C1192" t="str">
        <f>IF('سجل الإنتاج'!C192="","",'سجل الإنتاج'!C192)</f>
        <v/>
      </c>
      <c r="D1192" t="str">
        <f>IF('سجل الإنتاج'!C192="","","عدة مواد - راجع صفحة الطبخات")</f>
        <v/>
      </c>
      <c r="F1192" t="str">
        <f>IF('سجل الإنتاج'!C192="","",IF('سجل الإنتاج'!D192="","",'سجل الإنتاج'!D192))</f>
        <v/>
      </c>
      <c r="G1192" t="str">
        <f>IF($B1192&lt;&gt;"",SUMPRODUCT(($B$2:$B1192&lt;&gt;"")*1),"")</f>
        <v/>
      </c>
    </row>
    <row r="1193" spans="1:7">
      <c r="A1193" s="23" t="str">
        <f>IF('سجل الإنتاج'!C193="","",'سجل الإنتاج'!B193)</f>
        <v/>
      </c>
      <c r="B1193" t="str">
        <f>IF('سجل الإنتاج'!C193="","","إنتاج طبخة")</f>
        <v/>
      </c>
      <c r="C1193" t="str">
        <f>IF('سجل الإنتاج'!C193="","",'سجل الإنتاج'!C193)</f>
        <v/>
      </c>
      <c r="D1193" t="str">
        <f>IF('سجل الإنتاج'!C193="","","عدة مواد - راجع صفحة الطبخات")</f>
        <v/>
      </c>
      <c r="F1193" t="str">
        <f>IF('سجل الإنتاج'!C193="","",IF('سجل الإنتاج'!D193="","",'سجل الإنتاج'!D193))</f>
        <v/>
      </c>
      <c r="G1193" t="str">
        <f>IF($B1193&lt;&gt;"",SUMPRODUCT(($B$2:$B1193&lt;&gt;"")*1),"")</f>
        <v/>
      </c>
    </row>
    <row r="1194" spans="1:7">
      <c r="A1194" s="23" t="str">
        <f>IF('سجل الإنتاج'!C194="","",'سجل الإنتاج'!B194)</f>
        <v/>
      </c>
      <c r="B1194" t="str">
        <f>IF('سجل الإنتاج'!C194="","","إنتاج طبخة")</f>
        <v/>
      </c>
      <c r="C1194" t="str">
        <f>IF('سجل الإنتاج'!C194="","",'سجل الإنتاج'!C194)</f>
        <v/>
      </c>
      <c r="D1194" t="str">
        <f>IF('سجل الإنتاج'!C194="","","عدة مواد - راجع صفحة الطبخات")</f>
        <v/>
      </c>
      <c r="F1194" t="str">
        <f>IF('سجل الإنتاج'!C194="","",IF('سجل الإنتاج'!D194="","",'سجل الإنتاج'!D194))</f>
        <v/>
      </c>
      <c r="G1194" t="str">
        <f>IF($B1194&lt;&gt;"",SUMPRODUCT(($B$2:$B1194&lt;&gt;"")*1),"")</f>
        <v/>
      </c>
    </row>
    <row r="1195" spans="1:7">
      <c r="A1195" s="23" t="str">
        <f>IF('سجل الإنتاج'!C195="","",'سجل الإنتاج'!B195)</f>
        <v/>
      </c>
      <c r="B1195" t="str">
        <f>IF('سجل الإنتاج'!C195="","","إنتاج طبخة")</f>
        <v/>
      </c>
      <c r="C1195" t="str">
        <f>IF('سجل الإنتاج'!C195="","",'سجل الإنتاج'!C195)</f>
        <v/>
      </c>
      <c r="D1195" t="str">
        <f>IF('سجل الإنتاج'!C195="","","عدة مواد - راجع صفحة الطبخات")</f>
        <v/>
      </c>
      <c r="F1195" t="str">
        <f>IF('سجل الإنتاج'!C195="","",IF('سجل الإنتاج'!D195="","",'سجل الإنتاج'!D195))</f>
        <v/>
      </c>
      <c r="G1195" t="str">
        <f>IF($B1195&lt;&gt;"",SUMPRODUCT(($B$2:$B1195&lt;&gt;"")*1),"")</f>
        <v/>
      </c>
    </row>
    <row r="1196" spans="1:7">
      <c r="A1196" s="23" t="str">
        <f>IF('سجل الإنتاج'!C196="","",'سجل الإنتاج'!B196)</f>
        <v/>
      </c>
      <c r="B1196" t="str">
        <f>IF('سجل الإنتاج'!C196="","","إنتاج طبخة")</f>
        <v/>
      </c>
      <c r="C1196" t="str">
        <f>IF('سجل الإنتاج'!C196="","",'سجل الإنتاج'!C196)</f>
        <v/>
      </c>
      <c r="D1196" t="str">
        <f>IF('سجل الإنتاج'!C196="","","عدة مواد - راجع صفحة الطبخات")</f>
        <v/>
      </c>
      <c r="F1196" t="str">
        <f>IF('سجل الإنتاج'!C196="","",IF('سجل الإنتاج'!D196="","",'سجل الإنتاج'!D196))</f>
        <v/>
      </c>
      <c r="G1196" t="str">
        <f>IF($B1196&lt;&gt;"",SUMPRODUCT(($B$2:$B1196&lt;&gt;"")*1),"")</f>
        <v/>
      </c>
    </row>
    <row r="1197" spans="1:7">
      <c r="A1197" s="23" t="str">
        <f>IF('سجل الإنتاج'!C197="","",'سجل الإنتاج'!B197)</f>
        <v/>
      </c>
      <c r="B1197" t="str">
        <f>IF('سجل الإنتاج'!C197="","","إنتاج طبخة")</f>
        <v/>
      </c>
      <c r="C1197" t="str">
        <f>IF('سجل الإنتاج'!C197="","",'سجل الإنتاج'!C197)</f>
        <v/>
      </c>
      <c r="D1197" t="str">
        <f>IF('سجل الإنتاج'!C197="","","عدة مواد - راجع صفحة الطبخات")</f>
        <v/>
      </c>
      <c r="F1197" t="str">
        <f>IF('سجل الإنتاج'!C197="","",IF('سجل الإنتاج'!D197="","",'سجل الإنتاج'!D197))</f>
        <v/>
      </c>
      <c r="G1197" t="str">
        <f>IF($B1197&lt;&gt;"",SUMPRODUCT(($B$2:$B1197&lt;&gt;"")*1),"")</f>
        <v/>
      </c>
    </row>
    <row r="1198" spans="1:7">
      <c r="A1198" s="23" t="str">
        <f>IF('سجل الإنتاج'!C198="","",'سجل الإنتاج'!B198)</f>
        <v/>
      </c>
      <c r="B1198" t="str">
        <f>IF('سجل الإنتاج'!C198="","","إنتاج طبخة")</f>
        <v/>
      </c>
      <c r="C1198" t="str">
        <f>IF('سجل الإنتاج'!C198="","",'سجل الإنتاج'!C198)</f>
        <v/>
      </c>
      <c r="D1198" t="str">
        <f>IF('سجل الإنتاج'!C198="","","عدة مواد - راجع صفحة الطبخات")</f>
        <v/>
      </c>
      <c r="F1198" t="str">
        <f>IF('سجل الإنتاج'!C198="","",IF('سجل الإنتاج'!D198="","",'سجل الإنتاج'!D198))</f>
        <v/>
      </c>
      <c r="G1198" t="str">
        <f>IF($B1198&lt;&gt;"",SUMPRODUCT(($B$2:$B1198&lt;&gt;"")*1),"")</f>
        <v/>
      </c>
    </row>
    <row r="1199" spans="1:7">
      <c r="A1199" s="23" t="str">
        <f>IF('سجل الإنتاج'!C199="","",'سجل الإنتاج'!B199)</f>
        <v/>
      </c>
      <c r="B1199" t="str">
        <f>IF('سجل الإنتاج'!C199="","","إنتاج طبخة")</f>
        <v/>
      </c>
      <c r="C1199" t="str">
        <f>IF('سجل الإنتاج'!C199="","",'سجل الإنتاج'!C199)</f>
        <v/>
      </c>
      <c r="D1199" t="str">
        <f>IF('سجل الإنتاج'!C199="","","عدة مواد - راجع صفحة الطبخات")</f>
        <v/>
      </c>
      <c r="F1199" t="str">
        <f>IF('سجل الإنتاج'!C199="","",IF('سجل الإنتاج'!D199="","",'سجل الإنتاج'!D199))</f>
        <v/>
      </c>
      <c r="G1199" t="str">
        <f>IF($B1199&lt;&gt;"",SUMPRODUCT(($B$2:$B1199&lt;&gt;"")*1),"")</f>
        <v/>
      </c>
    </row>
    <row r="1200" spans="1:7">
      <c r="A1200" s="23" t="str">
        <f>IF('سجل الإنتاج'!C200="","",'سجل الإنتاج'!B200)</f>
        <v/>
      </c>
      <c r="B1200" t="str">
        <f>IF('سجل الإنتاج'!C200="","","إنتاج طبخة")</f>
        <v/>
      </c>
      <c r="C1200" t="str">
        <f>IF('سجل الإنتاج'!C200="","",'سجل الإنتاج'!C200)</f>
        <v/>
      </c>
      <c r="D1200" t="str">
        <f>IF('سجل الإنتاج'!C200="","","عدة مواد - راجع صفحة الطبخات")</f>
        <v/>
      </c>
      <c r="F1200" t="str">
        <f>IF('سجل الإنتاج'!C200="","",IF('سجل الإنتاج'!D200="","",'سجل الإنتاج'!D200))</f>
        <v/>
      </c>
      <c r="G1200" t="str">
        <f>IF($B1200&lt;&gt;"",SUMPRODUCT(($B$2:$B1200&lt;&gt;"")*1),"")</f>
        <v/>
      </c>
    </row>
    <row r="1201" spans="1:7">
      <c r="A1201" s="23" t="str">
        <f>IF('سجل الإنتاج'!C201="","",'سجل الإنتاج'!B201)</f>
        <v/>
      </c>
      <c r="B1201" t="str">
        <f>IF('سجل الإنتاج'!C201="","","إنتاج طبخة")</f>
        <v/>
      </c>
      <c r="C1201" t="str">
        <f>IF('سجل الإنتاج'!C201="","",'سجل الإنتاج'!C201)</f>
        <v/>
      </c>
      <c r="D1201" t="str">
        <f>IF('سجل الإنتاج'!C201="","","عدة مواد - راجع صفحة الطبخات")</f>
        <v/>
      </c>
      <c r="F1201" t="str">
        <f>IF('سجل الإنتاج'!C201="","",IF('سجل الإنتاج'!D201="","",'سجل الإنتاج'!D201))</f>
        <v/>
      </c>
      <c r="G1201" t="str">
        <f>IF($B1201&lt;&gt;"",SUMPRODUCT(($B$2:$B1201&lt;&gt;"")*1),"")</f>
        <v/>
      </c>
    </row>
    <row r="1202" spans="1:7">
      <c r="A1202" s="23" t="str">
        <f>IF('سجل الإنتاج'!C202="","",'سجل الإنتاج'!B202)</f>
        <v/>
      </c>
      <c r="B1202" t="str">
        <f>IF('سجل الإنتاج'!C202="","","إنتاج طبخة")</f>
        <v/>
      </c>
      <c r="C1202" t="str">
        <f>IF('سجل الإنتاج'!C202="","",'سجل الإنتاج'!C202)</f>
        <v/>
      </c>
      <c r="D1202" t="str">
        <f>IF('سجل الإنتاج'!C202="","","عدة مواد - راجع صفحة الطبخات")</f>
        <v/>
      </c>
      <c r="F1202" t="str">
        <f>IF('سجل الإنتاج'!C202="","",IF('سجل الإنتاج'!D202="","",'سجل الإنتاج'!D202))</f>
        <v/>
      </c>
      <c r="G1202" t="str">
        <f>IF($B1202&lt;&gt;"",SUMPRODUCT(($B$2:$B1202&lt;&gt;"")*1),"")</f>
        <v/>
      </c>
    </row>
    <row r="1203" spans="1:7">
      <c r="A1203" s="23" t="str">
        <f>IF('سجل الإنتاج'!C203="","",'سجل الإنتاج'!B203)</f>
        <v/>
      </c>
      <c r="B1203" t="str">
        <f>IF('سجل الإنتاج'!C203="","","إنتاج طبخة")</f>
        <v/>
      </c>
      <c r="C1203" t="str">
        <f>IF('سجل الإنتاج'!C203="","",'سجل الإنتاج'!C203)</f>
        <v/>
      </c>
      <c r="D1203" t="str">
        <f>IF('سجل الإنتاج'!C203="","","عدة مواد - راجع صفحة الطبخات")</f>
        <v/>
      </c>
      <c r="F1203" t="str">
        <f>IF('سجل الإنتاج'!C203="","",IF('سجل الإنتاج'!D203="","",'سجل الإنتاج'!D203))</f>
        <v/>
      </c>
      <c r="G1203" t="str">
        <f>IF($B1203&lt;&gt;"",SUMPRODUCT(($B$2:$B1203&lt;&gt;"")*1),"")</f>
        <v/>
      </c>
    </row>
    <row r="1204" spans="1:7">
      <c r="A1204" s="23" t="str">
        <f>IF('سجل الإنتاج'!C204="","",'سجل الإنتاج'!B204)</f>
        <v/>
      </c>
      <c r="B1204" t="str">
        <f>IF('سجل الإنتاج'!C204="","","إنتاج طبخة")</f>
        <v/>
      </c>
      <c r="C1204" t="str">
        <f>IF('سجل الإنتاج'!C204="","",'سجل الإنتاج'!C204)</f>
        <v/>
      </c>
      <c r="D1204" t="str">
        <f>IF('سجل الإنتاج'!C204="","","عدة مواد - راجع صفحة الطبخات")</f>
        <v/>
      </c>
      <c r="F1204" t="str">
        <f>IF('سجل الإنتاج'!C204="","",IF('سجل الإنتاج'!D204="","",'سجل الإنتاج'!D204))</f>
        <v/>
      </c>
      <c r="G1204" t="str">
        <f>IF($B1204&lt;&gt;"",SUMPRODUCT(($B$2:$B1204&lt;&gt;"")*1),"")</f>
        <v/>
      </c>
    </row>
    <row r="1205" spans="1:7">
      <c r="A1205" s="23" t="str">
        <f>IF('سجل الإنتاج'!C205="","",'سجل الإنتاج'!B205)</f>
        <v/>
      </c>
      <c r="B1205" t="str">
        <f>IF('سجل الإنتاج'!C205="","","إنتاج طبخة")</f>
        <v/>
      </c>
      <c r="C1205" t="str">
        <f>IF('سجل الإنتاج'!C205="","",'سجل الإنتاج'!C205)</f>
        <v/>
      </c>
      <c r="D1205" t="str">
        <f>IF('سجل الإنتاج'!C205="","","عدة مواد - راجع صفحة الطبخات")</f>
        <v/>
      </c>
      <c r="F1205" t="str">
        <f>IF('سجل الإنتاج'!C205="","",IF('سجل الإنتاج'!D205="","",'سجل الإنتاج'!D205))</f>
        <v/>
      </c>
      <c r="G1205" t="str">
        <f>IF($B1205&lt;&gt;"",SUMPRODUCT(($B$2:$B1205&lt;&gt;"")*1),"")</f>
        <v/>
      </c>
    </row>
    <row r="1206" spans="1:7">
      <c r="A1206" s="23" t="str">
        <f>IF('سجل الإنتاج'!C206="","",'سجل الإنتاج'!B206)</f>
        <v/>
      </c>
      <c r="B1206" t="str">
        <f>IF('سجل الإنتاج'!C206="","","إنتاج طبخة")</f>
        <v/>
      </c>
      <c r="C1206" t="str">
        <f>IF('سجل الإنتاج'!C206="","",'سجل الإنتاج'!C206)</f>
        <v/>
      </c>
      <c r="D1206" t="str">
        <f>IF('سجل الإنتاج'!C206="","","عدة مواد - راجع صفحة الطبخات")</f>
        <v/>
      </c>
      <c r="F1206" t="str">
        <f>IF('سجل الإنتاج'!C206="","",IF('سجل الإنتاج'!D206="","",'سجل الإنتاج'!D206))</f>
        <v/>
      </c>
      <c r="G1206" t="str">
        <f>IF($B1206&lt;&gt;"",SUMPRODUCT(($B$2:$B1206&lt;&gt;"")*1),"")</f>
        <v/>
      </c>
    </row>
    <row r="1207" spans="1:7">
      <c r="A1207" s="23" t="str">
        <f>IF('سجل الإنتاج'!C207="","",'سجل الإنتاج'!B207)</f>
        <v/>
      </c>
      <c r="B1207" t="str">
        <f>IF('سجل الإنتاج'!C207="","","إنتاج طبخة")</f>
        <v/>
      </c>
      <c r="C1207" t="str">
        <f>IF('سجل الإنتاج'!C207="","",'سجل الإنتاج'!C207)</f>
        <v/>
      </c>
      <c r="D1207" t="str">
        <f>IF('سجل الإنتاج'!C207="","","عدة مواد - راجع صفحة الطبخات")</f>
        <v/>
      </c>
      <c r="F1207" t="str">
        <f>IF('سجل الإنتاج'!C207="","",IF('سجل الإنتاج'!D207="","",'سجل الإنتاج'!D207))</f>
        <v/>
      </c>
      <c r="G1207" t="str">
        <f>IF($B1207&lt;&gt;"",SUMPRODUCT(($B$2:$B1207&lt;&gt;"")*1),"")</f>
        <v/>
      </c>
    </row>
    <row r="1208" spans="1:7">
      <c r="A1208" s="23" t="str">
        <f>IF('سجل الإنتاج'!C208="","",'سجل الإنتاج'!B208)</f>
        <v/>
      </c>
      <c r="B1208" t="str">
        <f>IF('سجل الإنتاج'!C208="","","إنتاج طبخة")</f>
        <v/>
      </c>
      <c r="C1208" t="str">
        <f>IF('سجل الإنتاج'!C208="","",'سجل الإنتاج'!C208)</f>
        <v/>
      </c>
      <c r="D1208" t="str">
        <f>IF('سجل الإنتاج'!C208="","","عدة مواد - راجع صفحة الطبخات")</f>
        <v/>
      </c>
      <c r="F1208" t="str">
        <f>IF('سجل الإنتاج'!C208="","",IF('سجل الإنتاج'!D208="","",'سجل الإنتاج'!D208))</f>
        <v/>
      </c>
      <c r="G1208" t="str">
        <f>IF($B1208&lt;&gt;"",SUMPRODUCT(($B$2:$B1208&lt;&gt;"")*1),"")</f>
        <v/>
      </c>
    </row>
    <row r="1209" spans="1:7">
      <c r="A1209" s="23" t="str">
        <f>IF('سجل الإنتاج'!C209="","",'سجل الإنتاج'!B209)</f>
        <v/>
      </c>
      <c r="B1209" t="str">
        <f>IF('سجل الإنتاج'!C209="","","إنتاج طبخة")</f>
        <v/>
      </c>
      <c r="C1209" t="str">
        <f>IF('سجل الإنتاج'!C209="","",'سجل الإنتاج'!C209)</f>
        <v/>
      </c>
      <c r="D1209" t="str">
        <f>IF('سجل الإنتاج'!C209="","","عدة مواد - راجع صفحة الطبخات")</f>
        <v/>
      </c>
      <c r="F1209" t="str">
        <f>IF('سجل الإنتاج'!C209="","",IF('سجل الإنتاج'!D209="","",'سجل الإنتاج'!D209))</f>
        <v/>
      </c>
      <c r="G1209" t="str">
        <f>IF($B1209&lt;&gt;"",SUMPRODUCT(($B$2:$B1209&lt;&gt;"")*1),"")</f>
        <v/>
      </c>
    </row>
    <row r="1210" spans="1:7">
      <c r="A1210" s="23" t="str">
        <f>IF('سجل الإنتاج'!C210="","",'سجل الإنتاج'!B210)</f>
        <v/>
      </c>
      <c r="B1210" t="str">
        <f>IF('سجل الإنتاج'!C210="","","إنتاج طبخة")</f>
        <v/>
      </c>
      <c r="C1210" t="str">
        <f>IF('سجل الإنتاج'!C210="","",'سجل الإنتاج'!C210)</f>
        <v/>
      </c>
      <c r="D1210" t="str">
        <f>IF('سجل الإنتاج'!C210="","","عدة مواد - راجع صفحة الطبخات")</f>
        <v/>
      </c>
      <c r="F1210" t="str">
        <f>IF('سجل الإنتاج'!C210="","",IF('سجل الإنتاج'!D210="","",'سجل الإنتاج'!D210))</f>
        <v/>
      </c>
      <c r="G1210" t="str">
        <f>IF($B1210&lt;&gt;"",SUMPRODUCT(($B$2:$B1210&lt;&gt;"")*1),"")</f>
        <v/>
      </c>
    </row>
    <row r="1211" spans="1:7">
      <c r="A1211" s="23" t="str">
        <f>IF('سجل الإنتاج'!C211="","",'سجل الإنتاج'!B211)</f>
        <v/>
      </c>
      <c r="B1211" t="str">
        <f>IF('سجل الإنتاج'!C211="","","إنتاج طبخة")</f>
        <v/>
      </c>
      <c r="C1211" t="str">
        <f>IF('سجل الإنتاج'!C211="","",'سجل الإنتاج'!C211)</f>
        <v/>
      </c>
      <c r="D1211" t="str">
        <f>IF('سجل الإنتاج'!C211="","","عدة مواد - راجع صفحة الطبخات")</f>
        <v/>
      </c>
      <c r="F1211" t="str">
        <f>IF('سجل الإنتاج'!C211="","",IF('سجل الإنتاج'!D211="","",'سجل الإنتاج'!D211))</f>
        <v/>
      </c>
      <c r="G1211" t="str">
        <f>IF($B1211&lt;&gt;"",SUMPRODUCT(($B$2:$B1211&lt;&gt;"")*1),"")</f>
        <v/>
      </c>
    </row>
    <row r="1212" spans="1:7">
      <c r="A1212" s="23" t="str">
        <f>IF('سجل الإنتاج'!C212="","",'سجل الإنتاج'!B212)</f>
        <v/>
      </c>
      <c r="B1212" t="str">
        <f>IF('سجل الإنتاج'!C212="","","إنتاج طبخة")</f>
        <v/>
      </c>
      <c r="C1212" t="str">
        <f>IF('سجل الإنتاج'!C212="","",'سجل الإنتاج'!C212)</f>
        <v/>
      </c>
      <c r="D1212" t="str">
        <f>IF('سجل الإنتاج'!C212="","","عدة مواد - راجع صفحة الطبخات")</f>
        <v/>
      </c>
      <c r="F1212" t="str">
        <f>IF('سجل الإنتاج'!C212="","",IF('سجل الإنتاج'!D212="","",'سجل الإنتاج'!D212))</f>
        <v/>
      </c>
      <c r="G1212" t="str">
        <f>IF($B1212&lt;&gt;"",SUMPRODUCT(($B$2:$B1212&lt;&gt;"")*1),"")</f>
        <v/>
      </c>
    </row>
    <row r="1213" spans="1:7">
      <c r="A1213" s="23" t="str">
        <f>IF('سجل الإنتاج'!C213="","",'سجل الإنتاج'!B213)</f>
        <v/>
      </c>
      <c r="B1213" t="str">
        <f>IF('سجل الإنتاج'!C213="","","إنتاج طبخة")</f>
        <v/>
      </c>
      <c r="C1213" t="str">
        <f>IF('سجل الإنتاج'!C213="","",'سجل الإنتاج'!C213)</f>
        <v/>
      </c>
      <c r="D1213" t="str">
        <f>IF('سجل الإنتاج'!C213="","","عدة مواد - راجع صفحة الطبخات")</f>
        <v/>
      </c>
      <c r="F1213" t="str">
        <f>IF('سجل الإنتاج'!C213="","",IF('سجل الإنتاج'!D213="","",'سجل الإنتاج'!D213))</f>
        <v/>
      </c>
      <c r="G1213" t="str">
        <f>IF($B1213&lt;&gt;"",SUMPRODUCT(($B$2:$B1213&lt;&gt;"")*1),"")</f>
        <v/>
      </c>
    </row>
    <row r="1214" spans="1:7">
      <c r="A1214" s="23" t="str">
        <f>IF('سجل الإنتاج'!C214="","",'سجل الإنتاج'!B214)</f>
        <v/>
      </c>
      <c r="B1214" t="str">
        <f>IF('سجل الإنتاج'!C214="","","إنتاج طبخة")</f>
        <v/>
      </c>
      <c r="C1214" t="str">
        <f>IF('سجل الإنتاج'!C214="","",'سجل الإنتاج'!C214)</f>
        <v/>
      </c>
      <c r="D1214" t="str">
        <f>IF('سجل الإنتاج'!C214="","","عدة مواد - راجع صفحة الطبخات")</f>
        <v/>
      </c>
      <c r="F1214" t="str">
        <f>IF('سجل الإنتاج'!C214="","",IF('سجل الإنتاج'!D214="","",'سجل الإنتاج'!D214))</f>
        <v/>
      </c>
      <c r="G1214" t="str">
        <f>IF($B1214&lt;&gt;"",SUMPRODUCT(($B$2:$B1214&lt;&gt;"")*1),"")</f>
        <v/>
      </c>
    </row>
    <row r="1215" spans="1:7">
      <c r="A1215" s="23" t="str">
        <f>IF('سجل الإنتاج'!C215="","",'سجل الإنتاج'!B215)</f>
        <v/>
      </c>
      <c r="B1215" t="str">
        <f>IF('سجل الإنتاج'!C215="","","إنتاج طبخة")</f>
        <v/>
      </c>
      <c r="C1215" t="str">
        <f>IF('سجل الإنتاج'!C215="","",'سجل الإنتاج'!C215)</f>
        <v/>
      </c>
      <c r="D1215" t="str">
        <f>IF('سجل الإنتاج'!C215="","","عدة مواد - راجع صفحة الطبخات")</f>
        <v/>
      </c>
      <c r="F1215" t="str">
        <f>IF('سجل الإنتاج'!C215="","",IF('سجل الإنتاج'!D215="","",'سجل الإنتاج'!D215))</f>
        <v/>
      </c>
      <c r="G1215" t="str">
        <f>IF($B1215&lt;&gt;"",SUMPRODUCT(($B$2:$B1215&lt;&gt;"")*1),"")</f>
        <v/>
      </c>
    </row>
    <row r="1216" spans="1:7">
      <c r="A1216" s="23" t="str">
        <f>IF('سجل الإنتاج'!C216="","",'سجل الإنتاج'!B216)</f>
        <v/>
      </c>
      <c r="B1216" t="str">
        <f>IF('سجل الإنتاج'!C216="","","إنتاج طبخة")</f>
        <v/>
      </c>
      <c r="C1216" t="str">
        <f>IF('سجل الإنتاج'!C216="","",'سجل الإنتاج'!C216)</f>
        <v/>
      </c>
      <c r="D1216" t="str">
        <f>IF('سجل الإنتاج'!C216="","","عدة مواد - راجع صفحة الطبخات")</f>
        <v/>
      </c>
      <c r="F1216" t="str">
        <f>IF('سجل الإنتاج'!C216="","",IF('سجل الإنتاج'!D216="","",'سجل الإنتاج'!D216))</f>
        <v/>
      </c>
      <c r="G1216" t="str">
        <f>IF($B1216&lt;&gt;"",SUMPRODUCT(($B$2:$B1216&lt;&gt;"")*1),"")</f>
        <v/>
      </c>
    </row>
    <row r="1217" spans="1:7">
      <c r="A1217" s="23" t="str">
        <f>IF('سجل الإنتاج'!C217="","",'سجل الإنتاج'!B217)</f>
        <v/>
      </c>
      <c r="B1217" t="str">
        <f>IF('سجل الإنتاج'!C217="","","إنتاج طبخة")</f>
        <v/>
      </c>
      <c r="C1217" t="str">
        <f>IF('سجل الإنتاج'!C217="","",'سجل الإنتاج'!C217)</f>
        <v/>
      </c>
      <c r="D1217" t="str">
        <f>IF('سجل الإنتاج'!C217="","","عدة مواد - راجع صفحة الطبخات")</f>
        <v/>
      </c>
      <c r="F1217" t="str">
        <f>IF('سجل الإنتاج'!C217="","",IF('سجل الإنتاج'!D217="","",'سجل الإنتاج'!D217))</f>
        <v/>
      </c>
      <c r="G1217" t="str">
        <f>IF($B1217&lt;&gt;"",SUMPRODUCT(($B$2:$B1217&lt;&gt;"")*1),"")</f>
        <v/>
      </c>
    </row>
    <row r="1218" spans="1:7">
      <c r="A1218" s="23" t="str">
        <f>IF('سجل الإنتاج'!C218="","",'سجل الإنتاج'!B218)</f>
        <v/>
      </c>
      <c r="B1218" t="str">
        <f>IF('سجل الإنتاج'!C218="","","إنتاج طبخة")</f>
        <v/>
      </c>
      <c r="C1218" t="str">
        <f>IF('سجل الإنتاج'!C218="","",'سجل الإنتاج'!C218)</f>
        <v/>
      </c>
      <c r="D1218" t="str">
        <f>IF('سجل الإنتاج'!C218="","","عدة مواد - راجع صفحة الطبخات")</f>
        <v/>
      </c>
      <c r="F1218" t="str">
        <f>IF('سجل الإنتاج'!C218="","",IF('سجل الإنتاج'!D218="","",'سجل الإنتاج'!D218))</f>
        <v/>
      </c>
      <c r="G1218" t="str">
        <f>IF($B1218&lt;&gt;"",SUMPRODUCT(($B$2:$B1218&lt;&gt;"")*1),"")</f>
        <v/>
      </c>
    </row>
    <row r="1219" spans="1:7">
      <c r="A1219" s="23" t="str">
        <f>IF('سجل الإنتاج'!C219="","",'سجل الإنتاج'!B219)</f>
        <v/>
      </c>
      <c r="B1219" t="str">
        <f>IF('سجل الإنتاج'!C219="","","إنتاج طبخة")</f>
        <v/>
      </c>
      <c r="C1219" t="str">
        <f>IF('سجل الإنتاج'!C219="","",'سجل الإنتاج'!C219)</f>
        <v/>
      </c>
      <c r="D1219" t="str">
        <f>IF('سجل الإنتاج'!C219="","","عدة مواد - راجع صفحة الطبخات")</f>
        <v/>
      </c>
      <c r="F1219" t="str">
        <f>IF('سجل الإنتاج'!C219="","",IF('سجل الإنتاج'!D219="","",'سجل الإنتاج'!D219))</f>
        <v/>
      </c>
      <c r="G1219" t="str">
        <f>IF($B1219&lt;&gt;"",SUMPRODUCT(($B$2:$B1219&lt;&gt;"")*1),"")</f>
        <v/>
      </c>
    </row>
    <row r="1220" spans="1:7">
      <c r="A1220" s="23" t="str">
        <f>IF('سجل الإنتاج'!C220="","",'سجل الإنتاج'!B220)</f>
        <v/>
      </c>
      <c r="B1220" t="str">
        <f>IF('سجل الإنتاج'!C220="","","إنتاج طبخة")</f>
        <v/>
      </c>
      <c r="C1220" t="str">
        <f>IF('سجل الإنتاج'!C220="","",'سجل الإنتاج'!C220)</f>
        <v/>
      </c>
      <c r="D1220" t="str">
        <f>IF('سجل الإنتاج'!C220="","","عدة مواد - راجع صفحة الطبخات")</f>
        <v/>
      </c>
      <c r="F1220" t="str">
        <f>IF('سجل الإنتاج'!C220="","",IF('سجل الإنتاج'!D220="","",'سجل الإنتاج'!D220))</f>
        <v/>
      </c>
      <c r="G1220" t="str">
        <f>IF($B1220&lt;&gt;"",SUMPRODUCT(($B$2:$B1220&lt;&gt;"")*1),"")</f>
        <v/>
      </c>
    </row>
    <row r="1221" spans="1:7">
      <c r="A1221" s="23" t="str">
        <f>IF('سجل الإنتاج'!C221="","",'سجل الإنتاج'!B221)</f>
        <v/>
      </c>
      <c r="B1221" t="str">
        <f>IF('سجل الإنتاج'!C221="","","إنتاج طبخة")</f>
        <v/>
      </c>
      <c r="C1221" t="str">
        <f>IF('سجل الإنتاج'!C221="","",'سجل الإنتاج'!C221)</f>
        <v/>
      </c>
      <c r="D1221" t="str">
        <f>IF('سجل الإنتاج'!C221="","","عدة مواد - راجع صفحة الطبخات")</f>
        <v/>
      </c>
      <c r="F1221" t="str">
        <f>IF('سجل الإنتاج'!C221="","",IF('سجل الإنتاج'!D221="","",'سجل الإنتاج'!D221))</f>
        <v/>
      </c>
      <c r="G1221" t="str">
        <f>IF($B1221&lt;&gt;"",SUMPRODUCT(($B$2:$B1221&lt;&gt;"")*1),"")</f>
        <v/>
      </c>
    </row>
    <row r="1222" spans="1:7">
      <c r="A1222" s="23" t="str">
        <f>IF('سجل الإنتاج'!C222="","",'سجل الإنتاج'!B222)</f>
        <v/>
      </c>
      <c r="B1222" t="str">
        <f>IF('سجل الإنتاج'!C222="","","إنتاج طبخة")</f>
        <v/>
      </c>
      <c r="C1222" t="str">
        <f>IF('سجل الإنتاج'!C222="","",'سجل الإنتاج'!C222)</f>
        <v/>
      </c>
      <c r="D1222" t="str">
        <f>IF('سجل الإنتاج'!C222="","","عدة مواد - راجع صفحة الطبخات")</f>
        <v/>
      </c>
      <c r="F1222" t="str">
        <f>IF('سجل الإنتاج'!C222="","",IF('سجل الإنتاج'!D222="","",'سجل الإنتاج'!D222))</f>
        <v/>
      </c>
      <c r="G1222" t="str">
        <f>IF($B1222&lt;&gt;"",SUMPRODUCT(($B$2:$B1222&lt;&gt;"")*1),"")</f>
        <v/>
      </c>
    </row>
    <row r="1223" spans="1:7">
      <c r="A1223" s="23" t="str">
        <f>IF('سجل الإنتاج'!C223="","",'سجل الإنتاج'!B223)</f>
        <v/>
      </c>
      <c r="B1223" t="str">
        <f>IF('سجل الإنتاج'!C223="","","إنتاج طبخة")</f>
        <v/>
      </c>
      <c r="C1223" t="str">
        <f>IF('سجل الإنتاج'!C223="","",'سجل الإنتاج'!C223)</f>
        <v/>
      </c>
      <c r="D1223" t="str">
        <f>IF('سجل الإنتاج'!C223="","","عدة مواد - راجع صفحة الطبخات")</f>
        <v/>
      </c>
      <c r="F1223" t="str">
        <f>IF('سجل الإنتاج'!C223="","",IF('سجل الإنتاج'!D223="","",'سجل الإنتاج'!D223))</f>
        <v/>
      </c>
      <c r="G1223" t="str">
        <f>IF($B1223&lt;&gt;"",SUMPRODUCT(($B$2:$B1223&lt;&gt;"")*1),"")</f>
        <v/>
      </c>
    </row>
    <row r="1224" spans="1:7">
      <c r="A1224" s="23" t="str">
        <f>IF('سجل الإنتاج'!C224="","",'سجل الإنتاج'!B224)</f>
        <v/>
      </c>
      <c r="B1224" t="str">
        <f>IF('سجل الإنتاج'!C224="","","إنتاج طبخة")</f>
        <v/>
      </c>
      <c r="C1224" t="str">
        <f>IF('سجل الإنتاج'!C224="","",'سجل الإنتاج'!C224)</f>
        <v/>
      </c>
      <c r="D1224" t="str">
        <f>IF('سجل الإنتاج'!C224="","","عدة مواد - راجع صفحة الطبخات")</f>
        <v/>
      </c>
      <c r="F1224" t="str">
        <f>IF('سجل الإنتاج'!C224="","",IF('سجل الإنتاج'!D224="","",'سجل الإنتاج'!D224))</f>
        <v/>
      </c>
      <c r="G1224" t="str">
        <f>IF($B1224&lt;&gt;"",SUMPRODUCT(($B$2:$B1224&lt;&gt;"")*1),"")</f>
        <v/>
      </c>
    </row>
    <row r="1225" spans="1:7">
      <c r="A1225" s="23" t="str">
        <f>IF('سجل الإنتاج'!C225="","",'سجل الإنتاج'!B225)</f>
        <v/>
      </c>
      <c r="B1225" t="str">
        <f>IF('سجل الإنتاج'!C225="","","إنتاج طبخة")</f>
        <v/>
      </c>
      <c r="C1225" t="str">
        <f>IF('سجل الإنتاج'!C225="","",'سجل الإنتاج'!C225)</f>
        <v/>
      </c>
      <c r="D1225" t="str">
        <f>IF('سجل الإنتاج'!C225="","","عدة مواد - راجع صفحة الطبخات")</f>
        <v/>
      </c>
      <c r="F1225" t="str">
        <f>IF('سجل الإنتاج'!C225="","",IF('سجل الإنتاج'!D225="","",'سجل الإنتاج'!D225))</f>
        <v/>
      </c>
      <c r="G1225" t="str">
        <f>IF($B1225&lt;&gt;"",SUMPRODUCT(($B$2:$B1225&lt;&gt;"")*1),"")</f>
        <v/>
      </c>
    </row>
    <row r="1226" spans="1:7">
      <c r="A1226" s="23" t="str">
        <f>IF('سجل الإنتاج'!C226="","",'سجل الإنتاج'!B226)</f>
        <v/>
      </c>
      <c r="B1226" t="str">
        <f>IF('سجل الإنتاج'!C226="","","إنتاج طبخة")</f>
        <v/>
      </c>
      <c r="C1226" t="str">
        <f>IF('سجل الإنتاج'!C226="","",'سجل الإنتاج'!C226)</f>
        <v/>
      </c>
      <c r="D1226" t="str">
        <f>IF('سجل الإنتاج'!C226="","","عدة مواد - راجع صفحة الطبخات")</f>
        <v/>
      </c>
      <c r="F1226" t="str">
        <f>IF('سجل الإنتاج'!C226="","",IF('سجل الإنتاج'!D226="","",'سجل الإنتاج'!D226))</f>
        <v/>
      </c>
      <c r="G1226" t="str">
        <f>IF($B1226&lt;&gt;"",SUMPRODUCT(($B$2:$B1226&lt;&gt;"")*1),"")</f>
        <v/>
      </c>
    </row>
    <row r="1227" spans="1:7">
      <c r="A1227" s="23" t="str">
        <f>IF('سجل الإنتاج'!C227="","",'سجل الإنتاج'!B227)</f>
        <v/>
      </c>
      <c r="B1227" t="str">
        <f>IF('سجل الإنتاج'!C227="","","إنتاج طبخة")</f>
        <v/>
      </c>
      <c r="C1227" t="str">
        <f>IF('سجل الإنتاج'!C227="","",'سجل الإنتاج'!C227)</f>
        <v/>
      </c>
      <c r="D1227" t="str">
        <f>IF('سجل الإنتاج'!C227="","","عدة مواد - راجع صفحة الطبخات")</f>
        <v/>
      </c>
      <c r="F1227" t="str">
        <f>IF('سجل الإنتاج'!C227="","",IF('سجل الإنتاج'!D227="","",'سجل الإنتاج'!D227))</f>
        <v/>
      </c>
      <c r="G1227" t="str">
        <f>IF($B1227&lt;&gt;"",SUMPRODUCT(($B$2:$B1227&lt;&gt;"")*1),"")</f>
        <v/>
      </c>
    </row>
    <row r="1228" spans="1:7">
      <c r="A1228" s="23" t="str">
        <f>IF('سجل الإنتاج'!C228="","",'سجل الإنتاج'!B228)</f>
        <v/>
      </c>
      <c r="B1228" t="str">
        <f>IF('سجل الإنتاج'!C228="","","إنتاج طبخة")</f>
        <v/>
      </c>
      <c r="C1228" t="str">
        <f>IF('سجل الإنتاج'!C228="","",'سجل الإنتاج'!C228)</f>
        <v/>
      </c>
      <c r="D1228" t="str">
        <f>IF('سجل الإنتاج'!C228="","","عدة مواد - راجع صفحة الطبخات")</f>
        <v/>
      </c>
      <c r="F1228" t="str">
        <f>IF('سجل الإنتاج'!C228="","",IF('سجل الإنتاج'!D228="","",'سجل الإنتاج'!D228))</f>
        <v/>
      </c>
      <c r="G1228" t="str">
        <f>IF($B1228&lt;&gt;"",SUMPRODUCT(($B$2:$B1228&lt;&gt;"")*1),"")</f>
        <v/>
      </c>
    </row>
    <row r="1229" spans="1:7">
      <c r="A1229" s="23" t="str">
        <f>IF('سجل الإنتاج'!C229="","",'سجل الإنتاج'!B229)</f>
        <v/>
      </c>
      <c r="B1229" t="str">
        <f>IF('سجل الإنتاج'!C229="","","إنتاج طبخة")</f>
        <v/>
      </c>
      <c r="C1229" t="str">
        <f>IF('سجل الإنتاج'!C229="","",'سجل الإنتاج'!C229)</f>
        <v/>
      </c>
      <c r="D1229" t="str">
        <f>IF('سجل الإنتاج'!C229="","","عدة مواد - راجع صفحة الطبخات")</f>
        <v/>
      </c>
      <c r="F1229" t="str">
        <f>IF('سجل الإنتاج'!C229="","",IF('سجل الإنتاج'!D229="","",'سجل الإنتاج'!D229))</f>
        <v/>
      </c>
      <c r="G1229" t="str">
        <f>IF($B1229&lt;&gt;"",SUMPRODUCT(($B$2:$B1229&lt;&gt;"")*1),"")</f>
        <v/>
      </c>
    </row>
    <row r="1230" spans="1:7">
      <c r="A1230" s="23" t="str">
        <f>IF('سجل الإنتاج'!C230="","",'سجل الإنتاج'!B230)</f>
        <v/>
      </c>
      <c r="B1230" t="str">
        <f>IF('سجل الإنتاج'!C230="","","إنتاج طبخة")</f>
        <v/>
      </c>
      <c r="C1230" t="str">
        <f>IF('سجل الإنتاج'!C230="","",'سجل الإنتاج'!C230)</f>
        <v/>
      </c>
      <c r="D1230" t="str">
        <f>IF('سجل الإنتاج'!C230="","","عدة مواد - راجع صفحة الطبخات")</f>
        <v/>
      </c>
      <c r="F1230" t="str">
        <f>IF('سجل الإنتاج'!C230="","",IF('سجل الإنتاج'!D230="","",'سجل الإنتاج'!D230))</f>
        <v/>
      </c>
      <c r="G1230" t="str">
        <f>IF($B1230&lt;&gt;"",SUMPRODUCT(($B$2:$B1230&lt;&gt;"")*1),"")</f>
        <v/>
      </c>
    </row>
    <row r="1231" spans="1:7">
      <c r="A1231" s="23" t="str">
        <f>IF('سجل الإنتاج'!C231="","",'سجل الإنتاج'!B231)</f>
        <v/>
      </c>
      <c r="B1231" t="str">
        <f>IF('سجل الإنتاج'!C231="","","إنتاج طبخة")</f>
        <v/>
      </c>
      <c r="C1231" t="str">
        <f>IF('سجل الإنتاج'!C231="","",'سجل الإنتاج'!C231)</f>
        <v/>
      </c>
      <c r="D1231" t="str">
        <f>IF('سجل الإنتاج'!C231="","","عدة مواد - راجع صفحة الطبخات")</f>
        <v/>
      </c>
      <c r="F1231" t="str">
        <f>IF('سجل الإنتاج'!C231="","",IF('سجل الإنتاج'!D231="","",'سجل الإنتاج'!D231))</f>
        <v/>
      </c>
      <c r="G1231" t="str">
        <f>IF($B1231&lt;&gt;"",SUMPRODUCT(($B$2:$B1231&lt;&gt;"")*1),"")</f>
        <v/>
      </c>
    </row>
    <row r="1232" spans="1:7">
      <c r="A1232" s="23" t="str">
        <f>IF('سجل الإنتاج'!C232="","",'سجل الإنتاج'!B232)</f>
        <v/>
      </c>
      <c r="B1232" t="str">
        <f>IF('سجل الإنتاج'!C232="","","إنتاج طبخة")</f>
        <v/>
      </c>
      <c r="C1232" t="str">
        <f>IF('سجل الإنتاج'!C232="","",'سجل الإنتاج'!C232)</f>
        <v/>
      </c>
      <c r="D1232" t="str">
        <f>IF('سجل الإنتاج'!C232="","","عدة مواد - راجع صفحة الطبخات")</f>
        <v/>
      </c>
      <c r="F1232" t="str">
        <f>IF('سجل الإنتاج'!C232="","",IF('سجل الإنتاج'!D232="","",'سجل الإنتاج'!D232))</f>
        <v/>
      </c>
      <c r="G1232" t="str">
        <f>IF($B1232&lt;&gt;"",SUMPRODUCT(($B$2:$B1232&lt;&gt;"")*1),"")</f>
        <v/>
      </c>
    </row>
    <row r="1233" spans="1:7">
      <c r="A1233" s="23" t="str">
        <f>IF('سجل الإنتاج'!C233="","",'سجل الإنتاج'!B233)</f>
        <v/>
      </c>
      <c r="B1233" t="str">
        <f>IF('سجل الإنتاج'!C233="","","إنتاج طبخة")</f>
        <v/>
      </c>
      <c r="C1233" t="str">
        <f>IF('سجل الإنتاج'!C233="","",'سجل الإنتاج'!C233)</f>
        <v/>
      </c>
      <c r="D1233" t="str">
        <f>IF('سجل الإنتاج'!C233="","","عدة مواد - راجع صفحة الطبخات")</f>
        <v/>
      </c>
      <c r="F1233" t="str">
        <f>IF('سجل الإنتاج'!C233="","",IF('سجل الإنتاج'!D233="","",'سجل الإنتاج'!D233))</f>
        <v/>
      </c>
      <c r="G1233" t="str">
        <f>IF($B1233&lt;&gt;"",SUMPRODUCT(($B$2:$B1233&lt;&gt;"")*1),"")</f>
        <v/>
      </c>
    </row>
    <row r="1234" spans="1:7">
      <c r="A1234" s="23" t="str">
        <f>IF('سجل الإنتاج'!C234="","",'سجل الإنتاج'!B234)</f>
        <v/>
      </c>
      <c r="B1234" t="str">
        <f>IF('سجل الإنتاج'!C234="","","إنتاج طبخة")</f>
        <v/>
      </c>
      <c r="C1234" t="str">
        <f>IF('سجل الإنتاج'!C234="","",'سجل الإنتاج'!C234)</f>
        <v/>
      </c>
      <c r="D1234" t="str">
        <f>IF('سجل الإنتاج'!C234="","","عدة مواد - راجع صفحة الطبخات")</f>
        <v/>
      </c>
      <c r="F1234" t="str">
        <f>IF('سجل الإنتاج'!C234="","",IF('سجل الإنتاج'!D234="","",'سجل الإنتاج'!D234))</f>
        <v/>
      </c>
      <c r="G1234" t="str">
        <f>IF($B1234&lt;&gt;"",SUMPRODUCT(($B$2:$B1234&lt;&gt;"")*1),"")</f>
        <v/>
      </c>
    </row>
    <row r="1235" spans="1:7">
      <c r="A1235" s="23" t="str">
        <f>IF('سجل الإنتاج'!C235="","",'سجل الإنتاج'!B235)</f>
        <v/>
      </c>
      <c r="B1235" t="str">
        <f>IF('سجل الإنتاج'!C235="","","إنتاج طبخة")</f>
        <v/>
      </c>
      <c r="C1235" t="str">
        <f>IF('سجل الإنتاج'!C235="","",'سجل الإنتاج'!C235)</f>
        <v/>
      </c>
      <c r="D1235" t="str">
        <f>IF('سجل الإنتاج'!C235="","","عدة مواد - راجع صفحة الطبخات")</f>
        <v/>
      </c>
      <c r="F1235" t="str">
        <f>IF('سجل الإنتاج'!C235="","",IF('سجل الإنتاج'!D235="","",'سجل الإنتاج'!D235))</f>
        <v/>
      </c>
      <c r="G1235" t="str">
        <f>IF($B1235&lt;&gt;"",SUMPRODUCT(($B$2:$B1235&lt;&gt;"")*1),"")</f>
        <v/>
      </c>
    </row>
    <row r="1236" spans="1:7">
      <c r="A1236" s="23" t="str">
        <f>IF('سجل الإنتاج'!C236="","",'سجل الإنتاج'!B236)</f>
        <v/>
      </c>
      <c r="B1236" t="str">
        <f>IF('سجل الإنتاج'!C236="","","إنتاج طبخة")</f>
        <v/>
      </c>
      <c r="C1236" t="str">
        <f>IF('سجل الإنتاج'!C236="","",'سجل الإنتاج'!C236)</f>
        <v/>
      </c>
      <c r="D1236" t="str">
        <f>IF('سجل الإنتاج'!C236="","","عدة مواد - راجع صفحة الطبخات")</f>
        <v/>
      </c>
      <c r="F1236" t="str">
        <f>IF('سجل الإنتاج'!C236="","",IF('سجل الإنتاج'!D236="","",'سجل الإنتاج'!D236))</f>
        <v/>
      </c>
      <c r="G1236" t="str">
        <f>IF($B1236&lt;&gt;"",SUMPRODUCT(($B$2:$B1236&lt;&gt;"")*1),"")</f>
        <v/>
      </c>
    </row>
    <row r="1237" spans="1:7">
      <c r="A1237" s="23" t="str">
        <f>IF('سجل الإنتاج'!C237="","",'سجل الإنتاج'!B237)</f>
        <v/>
      </c>
      <c r="B1237" t="str">
        <f>IF('سجل الإنتاج'!C237="","","إنتاج طبخة")</f>
        <v/>
      </c>
      <c r="C1237" t="str">
        <f>IF('سجل الإنتاج'!C237="","",'سجل الإنتاج'!C237)</f>
        <v/>
      </c>
      <c r="D1237" t="str">
        <f>IF('سجل الإنتاج'!C237="","","عدة مواد - راجع صفحة الطبخات")</f>
        <v/>
      </c>
      <c r="F1237" t="str">
        <f>IF('سجل الإنتاج'!C237="","",IF('سجل الإنتاج'!D237="","",'سجل الإنتاج'!D237))</f>
        <v/>
      </c>
      <c r="G1237" t="str">
        <f>IF($B1237&lt;&gt;"",SUMPRODUCT(($B$2:$B1237&lt;&gt;"")*1),"")</f>
        <v/>
      </c>
    </row>
    <row r="1238" spans="1:7">
      <c r="A1238" s="23" t="str">
        <f>IF('سجل الإنتاج'!C238="","",'سجل الإنتاج'!B238)</f>
        <v/>
      </c>
      <c r="B1238" t="str">
        <f>IF('سجل الإنتاج'!C238="","","إنتاج طبخة")</f>
        <v/>
      </c>
      <c r="C1238" t="str">
        <f>IF('سجل الإنتاج'!C238="","",'سجل الإنتاج'!C238)</f>
        <v/>
      </c>
      <c r="D1238" t="str">
        <f>IF('سجل الإنتاج'!C238="","","عدة مواد - راجع صفحة الطبخات")</f>
        <v/>
      </c>
      <c r="F1238" t="str">
        <f>IF('سجل الإنتاج'!C238="","",IF('سجل الإنتاج'!D238="","",'سجل الإنتاج'!D238))</f>
        <v/>
      </c>
      <c r="G1238" t="str">
        <f>IF($B1238&lt;&gt;"",SUMPRODUCT(($B$2:$B1238&lt;&gt;"")*1),"")</f>
        <v/>
      </c>
    </row>
    <row r="1239" spans="1:7">
      <c r="A1239" s="23" t="str">
        <f>IF('سجل الإنتاج'!C239="","",'سجل الإنتاج'!B239)</f>
        <v/>
      </c>
      <c r="B1239" t="str">
        <f>IF('سجل الإنتاج'!C239="","","إنتاج طبخة")</f>
        <v/>
      </c>
      <c r="C1239" t="str">
        <f>IF('سجل الإنتاج'!C239="","",'سجل الإنتاج'!C239)</f>
        <v/>
      </c>
      <c r="D1239" t="str">
        <f>IF('سجل الإنتاج'!C239="","","عدة مواد - راجع صفحة الطبخات")</f>
        <v/>
      </c>
      <c r="F1239" t="str">
        <f>IF('سجل الإنتاج'!C239="","",IF('سجل الإنتاج'!D239="","",'سجل الإنتاج'!D239))</f>
        <v/>
      </c>
      <c r="G1239" t="str">
        <f>IF($B1239&lt;&gt;"",SUMPRODUCT(($B$2:$B1239&lt;&gt;"")*1),"")</f>
        <v/>
      </c>
    </row>
    <row r="1240" spans="1:7">
      <c r="A1240" s="23" t="str">
        <f>IF('سجل الإنتاج'!C240="","",'سجل الإنتاج'!B240)</f>
        <v/>
      </c>
      <c r="B1240" t="str">
        <f>IF('سجل الإنتاج'!C240="","","إنتاج طبخة")</f>
        <v/>
      </c>
      <c r="C1240" t="str">
        <f>IF('سجل الإنتاج'!C240="","",'سجل الإنتاج'!C240)</f>
        <v/>
      </c>
      <c r="D1240" t="str">
        <f>IF('سجل الإنتاج'!C240="","","عدة مواد - راجع صفحة الطبخات")</f>
        <v/>
      </c>
      <c r="F1240" t="str">
        <f>IF('سجل الإنتاج'!C240="","",IF('سجل الإنتاج'!D240="","",'سجل الإنتاج'!D240))</f>
        <v/>
      </c>
      <c r="G1240" t="str">
        <f>IF($B1240&lt;&gt;"",SUMPRODUCT(($B$2:$B1240&lt;&gt;"")*1),"")</f>
        <v/>
      </c>
    </row>
    <row r="1241" spans="1:7">
      <c r="A1241" s="23" t="str">
        <f>IF('سجل الإنتاج'!C241="","",'سجل الإنتاج'!B241)</f>
        <v/>
      </c>
      <c r="B1241" t="str">
        <f>IF('سجل الإنتاج'!C241="","","إنتاج طبخة")</f>
        <v/>
      </c>
      <c r="C1241" t="str">
        <f>IF('سجل الإنتاج'!C241="","",'سجل الإنتاج'!C241)</f>
        <v/>
      </c>
      <c r="D1241" t="str">
        <f>IF('سجل الإنتاج'!C241="","","عدة مواد - راجع صفحة الطبخات")</f>
        <v/>
      </c>
      <c r="F1241" t="str">
        <f>IF('سجل الإنتاج'!C241="","",IF('سجل الإنتاج'!D241="","",'سجل الإنتاج'!D241))</f>
        <v/>
      </c>
      <c r="G1241" t="str">
        <f>IF($B1241&lt;&gt;"",SUMPRODUCT(($B$2:$B1241&lt;&gt;"")*1),"")</f>
        <v/>
      </c>
    </row>
    <row r="1242" spans="1:7">
      <c r="A1242" s="23" t="str">
        <f>IF('سجل الإنتاج'!C242="","",'سجل الإنتاج'!B242)</f>
        <v/>
      </c>
      <c r="B1242" t="str">
        <f>IF('سجل الإنتاج'!C242="","","إنتاج طبخة")</f>
        <v/>
      </c>
      <c r="C1242" t="str">
        <f>IF('سجل الإنتاج'!C242="","",'سجل الإنتاج'!C242)</f>
        <v/>
      </c>
      <c r="D1242" t="str">
        <f>IF('سجل الإنتاج'!C242="","","عدة مواد - راجع صفحة الطبخات")</f>
        <v/>
      </c>
      <c r="F1242" t="str">
        <f>IF('سجل الإنتاج'!C242="","",IF('سجل الإنتاج'!D242="","",'سجل الإنتاج'!D242))</f>
        <v/>
      </c>
      <c r="G1242" t="str">
        <f>IF($B1242&lt;&gt;"",SUMPRODUCT(($B$2:$B1242&lt;&gt;"")*1),"")</f>
        <v/>
      </c>
    </row>
    <row r="1243" spans="1:7">
      <c r="A1243" s="23" t="str">
        <f>IF('سجل الإنتاج'!C243="","",'سجل الإنتاج'!B243)</f>
        <v/>
      </c>
      <c r="B1243" t="str">
        <f>IF('سجل الإنتاج'!C243="","","إنتاج طبخة")</f>
        <v/>
      </c>
      <c r="C1243" t="str">
        <f>IF('سجل الإنتاج'!C243="","",'سجل الإنتاج'!C243)</f>
        <v/>
      </c>
      <c r="D1243" t="str">
        <f>IF('سجل الإنتاج'!C243="","","عدة مواد - راجع صفحة الطبخات")</f>
        <v/>
      </c>
      <c r="F1243" t="str">
        <f>IF('سجل الإنتاج'!C243="","",IF('سجل الإنتاج'!D243="","",'سجل الإنتاج'!D243))</f>
        <v/>
      </c>
      <c r="G1243" t="str">
        <f>IF($B1243&lt;&gt;"",SUMPRODUCT(($B$2:$B1243&lt;&gt;"")*1),"")</f>
        <v/>
      </c>
    </row>
    <row r="1244" spans="1:7">
      <c r="A1244" s="23" t="str">
        <f>IF('سجل الإنتاج'!C244="","",'سجل الإنتاج'!B244)</f>
        <v/>
      </c>
      <c r="B1244" t="str">
        <f>IF('سجل الإنتاج'!C244="","","إنتاج طبخة")</f>
        <v/>
      </c>
      <c r="C1244" t="str">
        <f>IF('سجل الإنتاج'!C244="","",'سجل الإنتاج'!C244)</f>
        <v/>
      </c>
      <c r="D1244" t="str">
        <f>IF('سجل الإنتاج'!C244="","","عدة مواد - راجع صفحة الطبخات")</f>
        <v/>
      </c>
      <c r="F1244" t="str">
        <f>IF('سجل الإنتاج'!C244="","",IF('سجل الإنتاج'!D244="","",'سجل الإنتاج'!D244))</f>
        <v/>
      </c>
      <c r="G1244" t="str">
        <f>IF($B1244&lt;&gt;"",SUMPRODUCT(($B$2:$B1244&lt;&gt;"")*1),"")</f>
        <v/>
      </c>
    </row>
    <row r="1245" spans="1:7">
      <c r="A1245" s="23" t="str">
        <f>IF('سجل الإنتاج'!C245="","",'سجل الإنتاج'!B245)</f>
        <v/>
      </c>
      <c r="B1245" t="str">
        <f>IF('سجل الإنتاج'!C245="","","إنتاج طبخة")</f>
        <v/>
      </c>
      <c r="C1245" t="str">
        <f>IF('سجل الإنتاج'!C245="","",'سجل الإنتاج'!C245)</f>
        <v/>
      </c>
      <c r="D1245" t="str">
        <f>IF('سجل الإنتاج'!C245="","","عدة مواد - راجع صفحة الطبخات")</f>
        <v/>
      </c>
      <c r="F1245" t="str">
        <f>IF('سجل الإنتاج'!C245="","",IF('سجل الإنتاج'!D245="","",'سجل الإنتاج'!D245))</f>
        <v/>
      </c>
      <c r="G1245" t="str">
        <f>IF($B1245&lt;&gt;"",SUMPRODUCT(($B$2:$B1245&lt;&gt;"")*1),"")</f>
        <v/>
      </c>
    </row>
    <row r="1246" spans="1:7">
      <c r="A1246" s="23" t="str">
        <f>IF('سجل الإنتاج'!C246="","",'سجل الإنتاج'!B246)</f>
        <v/>
      </c>
      <c r="B1246" t="str">
        <f>IF('سجل الإنتاج'!C246="","","إنتاج طبخة")</f>
        <v/>
      </c>
      <c r="C1246" t="str">
        <f>IF('سجل الإنتاج'!C246="","",'سجل الإنتاج'!C246)</f>
        <v/>
      </c>
      <c r="D1246" t="str">
        <f>IF('سجل الإنتاج'!C246="","","عدة مواد - راجع صفحة الطبخات")</f>
        <v/>
      </c>
      <c r="F1246" t="str">
        <f>IF('سجل الإنتاج'!C246="","",IF('سجل الإنتاج'!D246="","",'سجل الإنتاج'!D246))</f>
        <v/>
      </c>
      <c r="G1246" t="str">
        <f>IF($B1246&lt;&gt;"",SUMPRODUCT(($B$2:$B1246&lt;&gt;"")*1),"")</f>
        <v/>
      </c>
    </row>
    <row r="1247" spans="1:7">
      <c r="A1247" s="23" t="str">
        <f>IF('سجل الإنتاج'!C247="","",'سجل الإنتاج'!B247)</f>
        <v/>
      </c>
      <c r="B1247" t="str">
        <f>IF('سجل الإنتاج'!C247="","","إنتاج طبخة")</f>
        <v/>
      </c>
      <c r="C1247" t="str">
        <f>IF('سجل الإنتاج'!C247="","",'سجل الإنتاج'!C247)</f>
        <v/>
      </c>
      <c r="D1247" t="str">
        <f>IF('سجل الإنتاج'!C247="","","عدة مواد - راجع صفحة الطبخات")</f>
        <v/>
      </c>
      <c r="F1247" t="str">
        <f>IF('سجل الإنتاج'!C247="","",IF('سجل الإنتاج'!D247="","",'سجل الإنتاج'!D247))</f>
        <v/>
      </c>
      <c r="G1247" t="str">
        <f>IF($B1247&lt;&gt;"",SUMPRODUCT(($B$2:$B1247&lt;&gt;"")*1),"")</f>
        <v/>
      </c>
    </row>
    <row r="1248" spans="1:7">
      <c r="A1248" s="23" t="str">
        <f>IF('سجل الإنتاج'!C248="","",'سجل الإنتاج'!B248)</f>
        <v/>
      </c>
      <c r="B1248" t="str">
        <f>IF('سجل الإنتاج'!C248="","","إنتاج طبخة")</f>
        <v/>
      </c>
      <c r="C1248" t="str">
        <f>IF('سجل الإنتاج'!C248="","",'سجل الإنتاج'!C248)</f>
        <v/>
      </c>
      <c r="D1248" t="str">
        <f>IF('سجل الإنتاج'!C248="","","عدة مواد - راجع صفحة الطبخات")</f>
        <v/>
      </c>
      <c r="F1248" t="str">
        <f>IF('سجل الإنتاج'!C248="","",IF('سجل الإنتاج'!D248="","",'سجل الإنتاج'!D248))</f>
        <v/>
      </c>
      <c r="G1248" t="str">
        <f>IF($B1248&lt;&gt;"",SUMPRODUCT(($B$2:$B1248&lt;&gt;"")*1),"")</f>
        <v/>
      </c>
    </row>
    <row r="1249" spans="1:7">
      <c r="A1249" s="23" t="str">
        <f>IF('سجل الإنتاج'!C249="","",'سجل الإنتاج'!B249)</f>
        <v/>
      </c>
      <c r="B1249" t="str">
        <f>IF('سجل الإنتاج'!C249="","","إنتاج طبخة")</f>
        <v/>
      </c>
      <c r="C1249" t="str">
        <f>IF('سجل الإنتاج'!C249="","",'سجل الإنتاج'!C249)</f>
        <v/>
      </c>
      <c r="D1249" t="str">
        <f>IF('سجل الإنتاج'!C249="","","عدة مواد - راجع صفحة الطبخات")</f>
        <v/>
      </c>
      <c r="F1249" t="str">
        <f>IF('سجل الإنتاج'!C249="","",IF('سجل الإنتاج'!D249="","",'سجل الإنتاج'!D249))</f>
        <v/>
      </c>
      <c r="G1249" t="str">
        <f>IF($B1249&lt;&gt;"",SUMPRODUCT(($B$2:$B1249&lt;&gt;"")*1),"")</f>
        <v/>
      </c>
    </row>
    <row r="1250" spans="1:7">
      <c r="A1250" s="23" t="str">
        <f>IF('سجل الإنتاج'!C250="","",'سجل الإنتاج'!B250)</f>
        <v/>
      </c>
      <c r="B1250" t="str">
        <f>IF('سجل الإنتاج'!C250="","","إنتاج طبخة")</f>
        <v/>
      </c>
      <c r="C1250" t="str">
        <f>IF('سجل الإنتاج'!C250="","",'سجل الإنتاج'!C250)</f>
        <v/>
      </c>
      <c r="D1250" t="str">
        <f>IF('سجل الإنتاج'!C250="","","عدة مواد - راجع صفحة الطبخات")</f>
        <v/>
      </c>
      <c r="F1250" t="str">
        <f>IF('سجل الإنتاج'!C250="","",IF('سجل الإنتاج'!D250="","",'سجل الإنتاج'!D250))</f>
        <v/>
      </c>
      <c r="G1250" t="str">
        <f>IF($B1250&lt;&gt;"",SUMPRODUCT(($B$2:$B1250&lt;&gt;"")*1),"")</f>
        <v/>
      </c>
    </row>
    <row r="1251" spans="1:7">
      <c r="A1251" s="23" t="str">
        <f>IF('سجل الإنتاج'!C251="","",'سجل الإنتاج'!B251)</f>
        <v/>
      </c>
      <c r="B1251" t="str">
        <f>IF('سجل الإنتاج'!C251="","","إنتاج طبخة")</f>
        <v/>
      </c>
      <c r="C1251" t="str">
        <f>IF('سجل الإنتاج'!C251="","",'سجل الإنتاج'!C251)</f>
        <v/>
      </c>
      <c r="D1251" t="str">
        <f>IF('سجل الإنتاج'!C251="","","عدة مواد - راجع صفحة الطبخات")</f>
        <v/>
      </c>
      <c r="F1251" t="str">
        <f>IF('سجل الإنتاج'!C251="","",IF('سجل الإنتاج'!D251="","",'سجل الإنتاج'!D251))</f>
        <v/>
      </c>
      <c r="G1251" t="str">
        <f>IF($B1251&lt;&gt;"",SUMPRODUCT(($B$2:$B1251&lt;&gt;"")*1),"")</f>
        <v/>
      </c>
    </row>
    <row r="1252" spans="1:7">
      <c r="A1252" s="23" t="str">
        <f>IF('سجل الإنتاج'!C252="","",'سجل الإنتاج'!B252)</f>
        <v/>
      </c>
      <c r="B1252" t="str">
        <f>IF('سجل الإنتاج'!C252="","","إنتاج طبخة")</f>
        <v/>
      </c>
      <c r="C1252" t="str">
        <f>IF('سجل الإنتاج'!C252="","",'سجل الإنتاج'!C252)</f>
        <v/>
      </c>
      <c r="D1252" t="str">
        <f>IF('سجل الإنتاج'!C252="","","عدة مواد - راجع صفحة الطبخات")</f>
        <v/>
      </c>
      <c r="F1252" t="str">
        <f>IF('سجل الإنتاج'!C252="","",IF('سجل الإنتاج'!D252="","",'سجل الإنتاج'!D252))</f>
        <v/>
      </c>
      <c r="G1252" t="str">
        <f>IF($B1252&lt;&gt;"",SUMPRODUCT(($B$2:$B1252&lt;&gt;"")*1),"")</f>
        <v/>
      </c>
    </row>
    <row r="1253" spans="1:7">
      <c r="A1253" s="23" t="str">
        <f>IF('سجل الإنتاج'!C253="","",'سجل الإنتاج'!B253)</f>
        <v/>
      </c>
      <c r="B1253" t="str">
        <f>IF('سجل الإنتاج'!C253="","","إنتاج طبخة")</f>
        <v/>
      </c>
      <c r="C1253" t="str">
        <f>IF('سجل الإنتاج'!C253="","",'سجل الإنتاج'!C253)</f>
        <v/>
      </c>
      <c r="D1253" t="str">
        <f>IF('سجل الإنتاج'!C253="","","عدة مواد - راجع صفحة الطبخات")</f>
        <v/>
      </c>
      <c r="F1253" t="str">
        <f>IF('سجل الإنتاج'!C253="","",IF('سجل الإنتاج'!D253="","",'سجل الإنتاج'!D253))</f>
        <v/>
      </c>
      <c r="G1253" t="str">
        <f>IF($B1253&lt;&gt;"",SUMPRODUCT(($B$2:$B1253&lt;&gt;"")*1),"")</f>
        <v/>
      </c>
    </row>
    <row r="1254" spans="1:7">
      <c r="A1254" s="23" t="str">
        <f>IF('سجل الإنتاج'!C254="","",'سجل الإنتاج'!B254)</f>
        <v/>
      </c>
      <c r="B1254" t="str">
        <f>IF('سجل الإنتاج'!C254="","","إنتاج طبخة")</f>
        <v/>
      </c>
      <c r="C1254" t="str">
        <f>IF('سجل الإنتاج'!C254="","",'سجل الإنتاج'!C254)</f>
        <v/>
      </c>
      <c r="D1254" t="str">
        <f>IF('سجل الإنتاج'!C254="","","عدة مواد - راجع صفحة الطبخات")</f>
        <v/>
      </c>
      <c r="F1254" t="str">
        <f>IF('سجل الإنتاج'!C254="","",IF('سجل الإنتاج'!D254="","",'سجل الإنتاج'!D254))</f>
        <v/>
      </c>
      <c r="G1254" t="str">
        <f>IF($B1254&lt;&gt;"",SUMPRODUCT(($B$2:$B1254&lt;&gt;"")*1),"")</f>
        <v/>
      </c>
    </row>
    <row r="1255" spans="1:7">
      <c r="A1255" s="23" t="str">
        <f>IF('سجل الإنتاج'!C255="","",'سجل الإنتاج'!B255)</f>
        <v/>
      </c>
      <c r="B1255" t="str">
        <f>IF('سجل الإنتاج'!C255="","","إنتاج طبخة")</f>
        <v/>
      </c>
      <c r="C1255" t="str">
        <f>IF('سجل الإنتاج'!C255="","",'سجل الإنتاج'!C255)</f>
        <v/>
      </c>
      <c r="D1255" t="str">
        <f>IF('سجل الإنتاج'!C255="","","عدة مواد - راجع صفحة الطبخات")</f>
        <v/>
      </c>
      <c r="F1255" t="str">
        <f>IF('سجل الإنتاج'!C255="","",IF('سجل الإنتاج'!D255="","",'سجل الإنتاج'!D255))</f>
        <v/>
      </c>
      <c r="G1255" t="str">
        <f>IF($B1255&lt;&gt;"",SUMPRODUCT(($B$2:$B1255&lt;&gt;"")*1),"")</f>
        <v/>
      </c>
    </row>
    <row r="1256" spans="1:7">
      <c r="A1256" s="23" t="str">
        <f>IF('سجل الإنتاج'!C256="","",'سجل الإنتاج'!B256)</f>
        <v/>
      </c>
      <c r="B1256" t="str">
        <f>IF('سجل الإنتاج'!C256="","","إنتاج طبخة")</f>
        <v/>
      </c>
      <c r="C1256" t="str">
        <f>IF('سجل الإنتاج'!C256="","",'سجل الإنتاج'!C256)</f>
        <v/>
      </c>
      <c r="D1256" t="str">
        <f>IF('سجل الإنتاج'!C256="","","عدة مواد - راجع صفحة الطبخات")</f>
        <v/>
      </c>
      <c r="F1256" t="str">
        <f>IF('سجل الإنتاج'!C256="","",IF('سجل الإنتاج'!D256="","",'سجل الإنتاج'!D256))</f>
        <v/>
      </c>
      <c r="G1256" t="str">
        <f>IF($B1256&lt;&gt;"",SUMPRODUCT(($B$2:$B1256&lt;&gt;"")*1),"")</f>
        <v/>
      </c>
    </row>
    <row r="1257" spans="1:7">
      <c r="A1257" s="23" t="str">
        <f>IF('سجل الإنتاج'!C257="","",'سجل الإنتاج'!B257)</f>
        <v/>
      </c>
      <c r="B1257" t="str">
        <f>IF('سجل الإنتاج'!C257="","","إنتاج طبخة")</f>
        <v/>
      </c>
      <c r="C1257" t="str">
        <f>IF('سجل الإنتاج'!C257="","",'سجل الإنتاج'!C257)</f>
        <v/>
      </c>
      <c r="D1257" t="str">
        <f>IF('سجل الإنتاج'!C257="","","عدة مواد - راجع صفحة الطبخات")</f>
        <v/>
      </c>
      <c r="F1257" t="str">
        <f>IF('سجل الإنتاج'!C257="","",IF('سجل الإنتاج'!D257="","",'سجل الإنتاج'!D257))</f>
        <v/>
      </c>
      <c r="G1257" t="str">
        <f>IF($B1257&lt;&gt;"",SUMPRODUCT(($B$2:$B1257&lt;&gt;"")*1),"")</f>
        <v/>
      </c>
    </row>
    <row r="1258" spans="1:7">
      <c r="A1258" s="23" t="str">
        <f>IF('سجل الإنتاج'!C258="","",'سجل الإنتاج'!B258)</f>
        <v/>
      </c>
      <c r="B1258" t="str">
        <f>IF('سجل الإنتاج'!C258="","","إنتاج طبخة")</f>
        <v/>
      </c>
      <c r="C1258" t="str">
        <f>IF('سجل الإنتاج'!C258="","",'سجل الإنتاج'!C258)</f>
        <v/>
      </c>
      <c r="D1258" t="str">
        <f>IF('سجل الإنتاج'!C258="","","عدة مواد - راجع صفحة الطبخات")</f>
        <v/>
      </c>
      <c r="F1258" t="str">
        <f>IF('سجل الإنتاج'!C258="","",IF('سجل الإنتاج'!D258="","",'سجل الإنتاج'!D258))</f>
        <v/>
      </c>
      <c r="G1258" t="str">
        <f>IF($B1258&lt;&gt;"",SUMPRODUCT(($B$2:$B1258&lt;&gt;"")*1),"")</f>
        <v/>
      </c>
    </row>
    <row r="1259" spans="1:7">
      <c r="A1259" s="23" t="str">
        <f>IF('سجل الإنتاج'!C259="","",'سجل الإنتاج'!B259)</f>
        <v/>
      </c>
      <c r="B1259" t="str">
        <f>IF('سجل الإنتاج'!C259="","","إنتاج طبخة")</f>
        <v/>
      </c>
      <c r="C1259" t="str">
        <f>IF('سجل الإنتاج'!C259="","",'سجل الإنتاج'!C259)</f>
        <v/>
      </c>
      <c r="D1259" t="str">
        <f>IF('سجل الإنتاج'!C259="","","عدة مواد - راجع صفحة الطبخات")</f>
        <v/>
      </c>
      <c r="F1259" t="str">
        <f>IF('سجل الإنتاج'!C259="","",IF('سجل الإنتاج'!D259="","",'سجل الإنتاج'!D259))</f>
        <v/>
      </c>
      <c r="G1259" t="str">
        <f>IF($B1259&lt;&gt;"",SUMPRODUCT(($B$2:$B1259&lt;&gt;"")*1),"")</f>
        <v/>
      </c>
    </row>
    <row r="1260" spans="1:7">
      <c r="A1260" s="23" t="str">
        <f>IF('سجل الإنتاج'!C260="","",'سجل الإنتاج'!B260)</f>
        <v/>
      </c>
      <c r="B1260" t="str">
        <f>IF('سجل الإنتاج'!C260="","","إنتاج طبخة")</f>
        <v/>
      </c>
      <c r="C1260" t="str">
        <f>IF('سجل الإنتاج'!C260="","",'سجل الإنتاج'!C260)</f>
        <v/>
      </c>
      <c r="D1260" t="str">
        <f>IF('سجل الإنتاج'!C260="","","عدة مواد - راجع صفحة الطبخات")</f>
        <v/>
      </c>
      <c r="F1260" t="str">
        <f>IF('سجل الإنتاج'!C260="","",IF('سجل الإنتاج'!D260="","",'سجل الإنتاج'!D260))</f>
        <v/>
      </c>
      <c r="G1260" t="str">
        <f>IF($B1260&lt;&gt;"",SUMPRODUCT(($B$2:$B1260&lt;&gt;"")*1),"")</f>
        <v/>
      </c>
    </row>
    <row r="1261" spans="1:7">
      <c r="A1261" s="23" t="str">
        <f>IF('سجل الإنتاج'!C261="","",'سجل الإنتاج'!B261)</f>
        <v/>
      </c>
      <c r="B1261" t="str">
        <f>IF('سجل الإنتاج'!C261="","","إنتاج طبخة")</f>
        <v/>
      </c>
      <c r="C1261" t="str">
        <f>IF('سجل الإنتاج'!C261="","",'سجل الإنتاج'!C261)</f>
        <v/>
      </c>
      <c r="D1261" t="str">
        <f>IF('سجل الإنتاج'!C261="","","عدة مواد - راجع صفحة الطبخات")</f>
        <v/>
      </c>
      <c r="F1261" t="str">
        <f>IF('سجل الإنتاج'!C261="","",IF('سجل الإنتاج'!D261="","",'سجل الإنتاج'!D261))</f>
        <v/>
      </c>
      <c r="G1261" t="str">
        <f>IF($B1261&lt;&gt;"",SUMPRODUCT(($B$2:$B1261&lt;&gt;"")*1),"")</f>
        <v/>
      </c>
    </row>
    <row r="1262" spans="1:7">
      <c r="A1262" s="23" t="str">
        <f>IF('سجل الإنتاج'!C262="","",'سجل الإنتاج'!B262)</f>
        <v/>
      </c>
      <c r="B1262" t="str">
        <f>IF('سجل الإنتاج'!C262="","","إنتاج طبخة")</f>
        <v/>
      </c>
      <c r="C1262" t="str">
        <f>IF('سجل الإنتاج'!C262="","",'سجل الإنتاج'!C262)</f>
        <v/>
      </c>
      <c r="D1262" t="str">
        <f>IF('سجل الإنتاج'!C262="","","عدة مواد - راجع صفحة الطبخات")</f>
        <v/>
      </c>
      <c r="F1262" t="str">
        <f>IF('سجل الإنتاج'!C262="","",IF('سجل الإنتاج'!D262="","",'سجل الإنتاج'!D262))</f>
        <v/>
      </c>
      <c r="G1262" t="str">
        <f>IF($B1262&lt;&gt;"",SUMPRODUCT(($B$2:$B1262&lt;&gt;"")*1),"")</f>
        <v/>
      </c>
    </row>
    <row r="1263" spans="1:7">
      <c r="A1263" s="23" t="str">
        <f>IF('سجل الإنتاج'!C263="","",'سجل الإنتاج'!B263)</f>
        <v/>
      </c>
      <c r="B1263" t="str">
        <f>IF('سجل الإنتاج'!C263="","","إنتاج طبخة")</f>
        <v/>
      </c>
      <c r="C1263" t="str">
        <f>IF('سجل الإنتاج'!C263="","",'سجل الإنتاج'!C263)</f>
        <v/>
      </c>
      <c r="D1263" t="str">
        <f>IF('سجل الإنتاج'!C263="","","عدة مواد - راجع صفحة الطبخات")</f>
        <v/>
      </c>
      <c r="F1263" t="str">
        <f>IF('سجل الإنتاج'!C263="","",IF('سجل الإنتاج'!D263="","",'سجل الإنتاج'!D263))</f>
        <v/>
      </c>
      <c r="G1263" t="str">
        <f>IF($B1263&lt;&gt;"",SUMPRODUCT(($B$2:$B1263&lt;&gt;"")*1),"")</f>
        <v/>
      </c>
    </row>
    <row r="1264" spans="1:7">
      <c r="A1264" s="23" t="str">
        <f>IF('سجل الإنتاج'!C264="","",'سجل الإنتاج'!B264)</f>
        <v/>
      </c>
      <c r="B1264" t="str">
        <f>IF('سجل الإنتاج'!C264="","","إنتاج طبخة")</f>
        <v/>
      </c>
      <c r="C1264" t="str">
        <f>IF('سجل الإنتاج'!C264="","",'سجل الإنتاج'!C264)</f>
        <v/>
      </c>
      <c r="D1264" t="str">
        <f>IF('سجل الإنتاج'!C264="","","عدة مواد - راجع صفحة الطبخات")</f>
        <v/>
      </c>
      <c r="F1264" t="str">
        <f>IF('سجل الإنتاج'!C264="","",IF('سجل الإنتاج'!D264="","",'سجل الإنتاج'!D264))</f>
        <v/>
      </c>
      <c r="G1264" t="str">
        <f>IF($B1264&lt;&gt;"",SUMPRODUCT(($B$2:$B1264&lt;&gt;"")*1),"")</f>
        <v/>
      </c>
    </row>
    <row r="1265" spans="1:7">
      <c r="A1265" s="23" t="str">
        <f>IF('سجل الإنتاج'!C265="","",'سجل الإنتاج'!B265)</f>
        <v/>
      </c>
      <c r="B1265" t="str">
        <f>IF('سجل الإنتاج'!C265="","","إنتاج طبخة")</f>
        <v/>
      </c>
      <c r="C1265" t="str">
        <f>IF('سجل الإنتاج'!C265="","",'سجل الإنتاج'!C265)</f>
        <v/>
      </c>
      <c r="D1265" t="str">
        <f>IF('سجل الإنتاج'!C265="","","عدة مواد - راجع صفحة الطبخات")</f>
        <v/>
      </c>
      <c r="F1265" t="str">
        <f>IF('سجل الإنتاج'!C265="","",IF('سجل الإنتاج'!D265="","",'سجل الإنتاج'!D265))</f>
        <v/>
      </c>
      <c r="G1265" t="str">
        <f>IF($B1265&lt;&gt;"",SUMPRODUCT(($B$2:$B1265&lt;&gt;"")*1),"")</f>
        <v/>
      </c>
    </row>
    <row r="1266" spans="1:7">
      <c r="A1266" s="23" t="str">
        <f>IF('سجل الإنتاج'!C266="","",'سجل الإنتاج'!B266)</f>
        <v/>
      </c>
      <c r="B1266" t="str">
        <f>IF('سجل الإنتاج'!C266="","","إنتاج طبخة")</f>
        <v/>
      </c>
      <c r="C1266" t="str">
        <f>IF('سجل الإنتاج'!C266="","",'سجل الإنتاج'!C266)</f>
        <v/>
      </c>
      <c r="D1266" t="str">
        <f>IF('سجل الإنتاج'!C266="","","عدة مواد - راجع صفحة الطبخات")</f>
        <v/>
      </c>
      <c r="F1266" t="str">
        <f>IF('سجل الإنتاج'!C266="","",IF('سجل الإنتاج'!D266="","",'سجل الإنتاج'!D266))</f>
        <v/>
      </c>
      <c r="G1266" t="str">
        <f>IF($B1266&lt;&gt;"",SUMPRODUCT(($B$2:$B1266&lt;&gt;"")*1),"")</f>
        <v/>
      </c>
    </row>
    <row r="1267" spans="1:7">
      <c r="A1267" s="23" t="str">
        <f>IF('سجل الإنتاج'!C267="","",'سجل الإنتاج'!B267)</f>
        <v/>
      </c>
      <c r="B1267" t="str">
        <f>IF('سجل الإنتاج'!C267="","","إنتاج طبخة")</f>
        <v/>
      </c>
      <c r="C1267" t="str">
        <f>IF('سجل الإنتاج'!C267="","",'سجل الإنتاج'!C267)</f>
        <v/>
      </c>
      <c r="D1267" t="str">
        <f>IF('سجل الإنتاج'!C267="","","عدة مواد - راجع صفحة الطبخات")</f>
        <v/>
      </c>
      <c r="F1267" t="str">
        <f>IF('سجل الإنتاج'!C267="","",IF('سجل الإنتاج'!D267="","",'سجل الإنتاج'!D267))</f>
        <v/>
      </c>
      <c r="G1267" t="str">
        <f>IF($B1267&lt;&gt;"",SUMPRODUCT(($B$2:$B1267&lt;&gt;"")*1),"")</f>
        <v/>
      </c>
    </row>
    <row r="1268" spans="1:7">
      <c r="A1268" s="23" t="str">
        <f>IF('سجل الإنتاج'!C268="","",'سجل الإنتاج'!B268)</f>
        <v/>
      </c>
      <c r="B1268" t="str">
        <f>IF('سجل الإنتاج'!C268="","","إنتاج طبخة")</f>
        <v/>
      </c>
      <c r="C1268" t="str">
        <f>IF('سجل الإنتاج'!C268="","",'سجل الإنتاج'!C268)</f>
        <v/>
      </c>
      <c r="D1268" t="str">
        <f>IF('سجل الإنتاج'!C268="","","عدة مواد - راجع صفحة الطبخات")</f>
        <v/>
      </c>
      <c r="F1268" t="str">
        <f>IF('سجل الإنتاج'!C268="","",IF('سجل الإنتاج'!D268="","",'سجل الإنتاج'!D268))</f>
        <v/>
      </c>
      <c r="G1268" t="str">
        <f>IF($B1268&lt;&gt;"",SUMPRODUCT(($B$2:$B1268&lt;&gt;"")*1),"")</f>
        <v/>
      </c>
    </row>
    <row r="1269" spans="1:7">
      <c r="A1269" s="23" t="str">
        <f>IF('سجل الإنتاج'!C269="","",'سجل الإنتاج'!B269)</f>
        <v/>
      </c>
      <c r="B1269" t="str">
        <f>IF('سجل الإنتاج'!C269="","","إنتاج طبخة")</f>
        <v/>
      </c>
      <c r="C1269" t="str">
        <f>IF('سجل الإنتاج'!C269="","",'سجل الإنتاج'!C269)</f>
        <v/>
      </c>
      <c r="D1269" t="str">
        <f>IF('سجل الإنتاج'!C269="","","عدة مواد - راجع صفحة الطبخات")</f>
        <v/>
      </c>
      <c r="F1269" t="str">
        <f>IF('سجل الإنتاج'!C269="","",IF('سجل الإنتاج'!D269="","",'سجل الإنتاج'!D269))</f>
        <v/>
      </c>
      <c r="G1269" t="str">
        <f>IF($B1269&lt;&gt;"",SUMPRODUCT(($B$2:$B1269&lt;&gt;"")*1),"")</f>
        <v/>
      </c>
    </row>
    <row r="1270" spans="1:7">
      <c r="A1270" s="23" t="str">
        <f>IF('سجل الإنتاج'!C270="","",'سجل الإنتاج'!B270)</f>
        <v/>
      </c>
      <c r="B1270" t="str">
        <f>IF('سجل الإنتاج'!C270="","","إنتاج طبخة")</f>
        <v/>
      </c>
      <c r="C1270" t="str">
        <f>IF('سجل الإنتاج'!C270="","",'سجل الإنتاج'!C270)</f>
        <v/>
      </c>
      <c r="D1270" t="str">
        <f>IF('سجل الإنتاج'!C270="","","عدة مواد - راجع صفحة الطبخات")</f>
        <v/>
      </c>
      <c r="F1270" t="str">
        <f>IF('سجل الإنتاج'!C270="","",IF('سجل الإنتاج'!D270="","",'سجل الإنتاج'!D270))</f>
        <v/>
      </c>
      <c r="G1270" t="str">
        <f>IF($B1270&lt;&gt;"",SUMPRODUCT(($B$2:$B1270&lt;&gt;"")*1),"")</f>
        <v/>
      </c>
    </row>
    <row r="1271" spans="1:7">
      <c r="A1271" s="23" t="str">
        <f>IF('سجل الإنتاج'!C271="","",'سجل الإنتاج'!B271)</f>
        <v/>
      </c>
      <c r="B1271" t="str">
        <f>IF('سجل الإنتاج'!C271="","","إنتاج طبخة")</f>
        <v/>
      </c>
      <c r="C1271" t="str">
        <f>IF('سجل الإنتاج'!C271="","",'سجل الإنتاج'!C271)</f>
        <v/>
      </c>
      <c r="D1271" t="str">
        <f>IF('سجل الإنتاج'!C271="","","عدة مواد - راجع صفحة الطبخات")</f>
        <v/>
      </c>
      <c r="F1271" t="str">
        <f>IF('سجل الإنتاج'!C271="","",IF('سجل الإنتاج'!D271="","",'سجل الإنتاج'!D271))</f>
        <v/>
      </c>
      <c r="G1271" t="str">
        <f>IF($B1271&lt;&gt;"",SUMPRODUCT(($B$2:$B1271&lt;&gt;"")*1),"")</f>
        <v/>
      </c>
    </row>
    <row r="1272" spans="1:7">
      <c r="A1272" s="23" t="str">
        <f>IF('سجل الإنتاج'!C272="","",'سجل الإنتاج'!B272)</f>
        <v/>
      </c>
      <c r="B1272" t="str">
        <f>IF('سجل الإنتاج'!C272="","","إنتاج طبخة")</f>
        <v/>
      </c>
      <c r="C1272" t="str">
        <f>IF('سجل الإنتاج'!C272="","",'سجل الإنتاج'!C272)</f>
        <v/>
      </c>
      <c r="D1272" t="str">
        <f>IF('سجل الإنتاج'!C272="","","عدة مواد - راجع صفحة الطبخات")</f>
        <v/>
      </c>
      <c r="F1272" t="str">
        <f>IF('سجل الإنتاج'!C272="","",IF('سجل الإنتاج'!D272="","",'سجل الإنتاج'!D272))</f>
        <v/>
      </c>
      <c r="G1272" t="str">
        <f>IF($B1272&lt;&gt;"",SUMPRODUCT(($B$2:$B1272&lt;&gt;"")*1),"")</f>
        <v/>
      </c>
    </row>
    <row r="1273" spans="1:7">
      <c r="A1273" s="23" t="str">
        <f>IF('سجل الإنتاج'!C273="","",'سجل الإنتاج'!B273)</f>
        <v/>
      </c>
      <c r="B1273" t="str">
        <f>IF('سجل الإنتاج'!C273="","","إنتاج طبخة")</f>
        <v/>
      </c>
      <c r="C1273" t="str">
        <f>IF('سجل الإنتاج'!C273="","",'سجل الإنتاج'!C273)</f>
        <v/>
      </c>
      <c r="D1273" t="str">
        <f>IF('سجل الإنتاج'!C273="","","عدة مواد - راجع صفحة الطبخات")</f>
        <v/>
      </c>
      <c r="F1273" t="str">
        <f>IF('سجل الإنتاج'!C273="","",IF('سجل الإنتاج'!D273="","",'سجل الإنتاج'!D273))</f>
        <v/>
      </c>
      <c r="G1273" t="str">
        <f>IF($B1273&lt;&gt;"",SUMPRODUCT(($B$2:$B1273&lt;&gt;"")*1),"")</f>
        <v/>
      </c>
    </row>
    <row r="1274" spans="1:7">
      <c r="A1274" s="23" t="str">
        <f>IF('سجل الإنتاج'!C274="","",'سجل الإنتاج'!B274)</f>
        <v/>
      </c>
      <c r="B1274" t="str">
        <f>IF('سجل الإنتاج'!C274="","","إنتاج طبخة")</f>
        <v/>
      </c>
      <c r="C1274" t="str">
        <f>IF('سجل الإنتاج'!C274="","",'سجل الإنتاج'!C274)</f>
        <v/>
      </c>
      <c r="D1274" t="str">
        <f>IF('سجل الإنتاج'!C274="","","عدة مواد - راجع صفحة الطبخات")</f>
        <v/>
      </c>
      <c r="F1274" t="str">
        <f>IF('سجل الإنتاج'!C274="","",IF('سجل الإنتاج'!D274="","",'سجل الإنتاج'!D274))</f>
        <v/>
      </c>
      <c r="G1274" t="str">
        <f>IF($B1274&lt;&gt;"",SUMPRODUCT(($B$2:$B1274&lt;&gt;"")*1),"")</f>
        <v/>
      </c>
    </row>
    <row r="1275" spans="1:7">
      <c r="A1275" s="23" t="str">
        <f>IF('سجل الإنتاج'!C275="","",'سجل الإنتاج'!B275)</f>
        <v/>
      </c>
      <c r="B1275" t="str">
        <f>IF('سجل الإنتاج'!C275="","","إنتاج طبخة")</f>
        <v/>
      </c>
      <c r="C1275" t="str">
        <f>IF('سجل الإنتاج'!C275="","",'سجل الإنتاج'!C275)</f>
        <v/>
      </c>
      <c r="D1275" t="str">
        <f>IF('سجل الإنتاج'!C275="","","عدة مواد - راجع صفحة الطبخات")</f>
        <v/>
      </c>
      <c r="F1275" t="str">
        <f>IF('سجل الإنتاج'!C275="","",IF('سجل الإنتاج'!D275="","",'سجل الإنتاج'!D275))</f>
        <v/>
      </c>
      <c r="G1275" t="str">
        <f>IF($B1275&lt;&gt;"",SUMPRODUCT(($B$2:$B1275&lt;&gt;"")*1),"")</f>
        <v/>
      </c>
    </row>
    <row r="1276" spans="1:7">
      <c r="A1276" s="23" t="str">
        <f>IF('سجل الإنتاج'!C276="","",'سجل الإنتاج'!B276)</f>
        <v/>
      </c>
      <c r="B1276" t="str">
        <f>IF('سجل الإنتاج'!C276="","","إنتاج طبخة")</f>
        <v/>
      </c>
      <c r="C1276" t="str">
        <f>IF('سجل الإنتاج'!C276="","",'سجل الإنتاج'!C276)</f>
        <v/>
      </c>
      <c r="D1276" t="str">
        <f>IF('سجل الإنتاج'!C276="","","عدة مواد - راجع صفحة الطبخات")</f>
        <v/>
      </c>
      <c r="F1276" t="str">
        <f>IF('سجل الإنتاج'!C276="","",IF('سجل الإنتاج'!D276="","",'سجل الإنتاج'!D276))</f>
        <v/>
      </c>
      <c r="G1276" t="str">
        <f>IF($B1276&lt;&gt;"",SUMPRODUCT(($B$2:$B1276&lt;&gt;"")*1),"")</f>
        <v/>
      </c>
    </row>
    <row r="1277" spans="1:7">
      <c r="A1277" s="23" t="str">
        <f>IF('سجل الإنتاج'!C277="","",'سجل الإنتاج'!B277)</f>
        <v/>
      </c>
      <c r="B1277" t="str">
        <f>IF('سجل الإنتاج'!C277="","","إنتاج طبخة")</f>
        <v/>
      </c>
      <c r="C1277" t="str">
        <f>IF('سجل الإنتاج'!C277="","",'سجل الإنتاج'!C277)</f>
        <v/>
      </c>
      <c r="D1277" t="str">
        <f>IF('سجل الإنتاج'!C277="","","عدة مواد - راجع صفحة الطبخات")</f>
        <v/>
      </c>
      <c r="F1277" t="str">
        <f>IF('سجل الإنتاج'!C277="","",IF('سجل الإنتاج'!D277="","",'سجل الإنتاج'!D277))</f>
        <v/>
      </c>
      <c r="G1277" t="str">
        <f>IF($B1277&lt;&gt;"",SUMPRODUCT(($B$2:$B1277&lt;&gt;"")*1),"")</f>
        <v/>
      </c>
    </row>
    <row r="1278" spans="1:7">
      <c r="A1278" s="23" t="str">
        <f>IF('سجل الإنتاج'!C278="","",'سجل الإنتاج'!B278)</f>
        <v/>
      </c>
      <c r="B1278" t="str">
        <f>IF('سجل الإنتاج'!C278="","","إنتاج طبخة")</f>
        <v/>
      </c>
      <c r="C1278" t="str">
        <f>IF('سجل الإنتاج'!C278="","",'سجل الإنتاج'!C278)</f>
        <v/>
      </c>
      <c r="D1278" t="str">
        <f>IF('سجل الإنتاج'!C278="","","عدة مواد - راجع صفحة الطبخات")</f>
        <v/>
      </c>
      <c r="F1278" t="str">
        <f>IF('سجل الإنتاج'!C278="","",IF('سجل الإنتاج'!D278="","",'سجل الإنتاج'!D278))</f>
        <v/>
      </c>
      <c r="G1278" t="str">
        <f>IF($B1278&lt;&gt;"",SUMPRODUCT(($B$2:$B1278&lt;&gt;"")*1),"")</f>
        <v/>
      </c>
    </row>
    <row r="1279" spans="1:7">
      <c r="A1279" s="23" t="str">
        <f>IF('سجل الإنتاج'!C279="","",'سجل الإنتاج'!B279)</f>
        <v/>
      </c>
      <c r="B1279" t="str">
        <f>IF('سجل الإنتاج'!C279="","","إنتاج طبخة")</f>
        <v/>
      </c>
      <c r="C1279" t="str">
        <f>IF('سجل الإنتاج'!C279="","",'سجل الإنتاج'!C279)</f>
        <v/>
      </c>
      <c r="D1279" t="str">
        <f>IF('سجل الإنتاج'!C279="","","عدة مواد - راجع صفحة الطبخات")</f>
        <v/>
      </c>
      <c r="F1279" t="str">
        <f>IF('سجل الإنتاج'!C279="","",IF('سجل الإنتاج'!D279="","",'سجل الإنتاج'!D279))</f>
        <v/>
      </c>
      <c r="G1279" t="str">
        <f>IF($B1279&lt;&gt;"",SUMPRODUCT(($B$2:$B1279&lt;&gt;"")*1),"")</f>
        <v/>
      </c>
    </row>
    <row r="1280" spans="1:7">
      <c r="A1280" s="23" t="str">
        <f>IF('سجل الإنتاج'!C280="","",'سجل الإنتاج'!B280)</f>
        <v/>
      </c>
      <c r="B1280" t="str">
        <f>IF('سجل الإنتاج'!C280="","","إنتاج طبخة")</f>
        <v/>
      </c>
      <c r="C1280" t="str">
        <f>IF('سجل الإنتاج'!C280="","",'سجل الإنتاج'!C280)</f>
        <v/>
      </c>
      <c r="D1280" t="str">
        <f>IF('سجل الإنتاج'!C280="","","عدة مواد - راجع صفحة الطبخات")</f>
        <v/>
      </c>
      <c r="F1280" t="str">
        <f>IF('سجل الإنتاج'!C280="","",IF('سجل الإنتاج'!D280="","",'سجل الإنتاج'!D280))</f>
        <v/>
      </c>
      <c r="G1280" t="str">
        <f>IF($B1280&lt;&gt;"",SUMPRODUCT(($B$2:$B1280&lt;&gt;"")*1),"")</f>
        <v/>
      </c>
    </row>
    <row r="1281" spans="1:7">
      <c r="A1281" s="23" t="str">
        <f>IF('سجل الإنتاج'!C281="","",'سجل الإنتاج'!B281)</f>
        <v/>
      </c>
      <c r="B1281" t="str">
        <f>IF('سجل الإنتاج'!C281="","","إنتاج طبخة")</f>
        <v/>
      </c>
      <c r="C1281" t="str">
        <f>IF('سجل الإنتاج'!C281="","",'سجل الإنتاج'!C281)</f>
        <v/>
      </c>
      <c r="D1281" t="str">
        <f>IF('سجل الإنتاج'!C281="","","عدة مواد - راجع صفحة الطبخات")</f>
        <v/>
      </c>
      <c r="F1281" t="str">
        <f>IF('سجل الإنتاج'!C281="","",IF('سجل الإنتاج'!D281="","",'سجل الإنتاج'!D281))</f>
        <v/>
      </c>
      <c r="G1281" t="str">
        <f>IF($B1281&lt;&gt;"",SUMPRODUCT(($B$2:$B1281&lt;&gt;"")*1),"")</f>
        <v/>
      </c>
    </row>
    <row r="1282" spans="1:7">
      <c r="A1282" s="23" t="str">
        <f>IF('سجل الإنتاج'!C282="","",'سجل الإنتاج'!B282)</f>
        <v/>
      </c>
      <c r="B1282" t="str">
        <f>IF('سجل الإنتاج'!C282="","","إنتاج طبخة")</f>
        <v/>
      </c>
      <c r="C1282" t="str">
        <f>IF('سجل الإنتاج'!C282="","",'سجل الإنتاج'!C282)</f>
        <v/>
      </c>
      <c r="D1282" t="str">
        <f>IF('سجل الإنتاج'!C282="","","عدة مواد - راجع صفحة الطبخات")</f>
        <v/>
      </c>
      <c r="F1282" t="str">
        <f>IF('سجل الإنتاج'!C282="","",IF('سجل الإنتاج'!D282="","",'سجل الإنتاج'!D282))</f>
        <v/>
      </c>
      <c r="G1282" t="str">
        <f>IF($B1282&lt;&gt;"",SUMPRODUCT(($B$2:$B1282&lt;&gt;"")*1),"")</f>
        <v/>
      </c>
    </row>
    <row r="1283" spans="1:7">
      <c r="A1283" s="23" t="str">
        <f>IF('سجل الإنتاج'!C283="","",'سجل الإنتاج'!B283)</f>
        <v/>
      </c>
      <c r="B1283" t="str">
        <f>IF('سجل الإنتاج'!C283="","","إنتاج طبخة")</f>
        <v/>
      </c>
      <c r="C1283" t="str">
        <f>IF('سجل الإنتاج'!C283="","",'سجل الإنتاج'!C283)</f>
        <v/>
      </c>
      <c r="D1283" t="str">
        <f>IF('سجل الإنتاج'!C283="","","عدة مواد - راجع صفحة الطبخات")</f>
        <v/>
      </c>
      <c r="F1283" t="str">
        <f>IF('سجل الإنتاج'!C283="","",IF('سجل الإنتاج'!D283="","",'سجل الإنتاج'!D283))</f>
        <v/>
      </c>
      <c r="G1283" t="str">
        <f>IF($B1283&lt;&gt;"",SUMPRODUCT(($B$2:$B1283&lt;&gt;"")*1),"")</f>
        <v/>
      </c>
    </row>
    <row r="1284" spans="1:7">
      <c r="A1284" s="23" t="str">
        <f>IF('سجل الإنتاج'!C284="","",'سجل الإنتاج'!B284)</f>
        <v/>
      </c>
      <c r="B1284" t="str">
        <f>IF('سجل الإنتاج'!C284="","","إنتاج طبخة")</f>
        <v/>
      </c>
      <c r="C1284" t="str">
        <f>IF('سجل الإنتاج'!C284="","",'سجل الإنتاج'!C284)</f>
        <v/>
      </c>
      <c r="D1284" t="str">
        <f>IF('سجل الإنتاج'!C284="","","عدة مواد - راجع صفحة الطبخات")</f>
        <v/>
      </c>
      <c r="F1284" t="str">
        <f>IF('سجل الإنتاج'!C284="","",IF('سجل الإنتاج'!D284="","",'سجل الإنتاج'!D284))</f>
        <v/>
      </c>
      <c r="G1284" t="str">
        <f>IF($B1284&lt;&gt;"",SUMPRODUCT(($B$2:$B1284&lt;&gt;"")*1),"")</f>
        <v/>
      </c>
    </row>
    <row r="1285" spans="1:7">
      <c r="A1285" s="23" t="str">
        <f>IF('سجل الإنتاج'!C285="","",'سجل الإنتاج'!B285)</f>
        <v/>
      </c>
      <c r="B1285" t="str">
        <f>IF('سجل الإنتاج'!C285="","","إنتاج طبخة")</f>
        <v/>
      </c>
      <c r="C1285" t="str">
        <f>IF('سجل الإنتاج'!C285="","",'سجل الإنتاج'!C285)</f>
        <v/>
      </c>
      <c r="D1285" t="str">
        <f>IF('سجل الإنتاج'!C285="","","عدة مواد - راجع صفحة الطبخات")</f>
        <v/>
      </c>
      <c r="F1285" t="str">
        <f>IF('سجل الإنتاج'!C285="","",IF('سجل الإنتاج'!D285="","",'سجل الإنتاج'!D285))</f>
        <v/>
      </c>
      <c r="G1285" t="str">
        <f>IF($B1285&lt;&gt;"",SUMPRODUCT(($B$2:$B1285&lt;&gt;"")*1),"")</f>
        <v/>
      </c>
    </row>
    <row r="1286" spans="1:7">
      <c r="A1286" s="23" t="str">
        <f>IF('سجل الإنتاج'!C286="","",'سجل الإنتاج'!B286)</f>
        <v/>
      </c>
      <c r="B1286" t="str">
        <f>IF('سجل الإنتاج'!C286="","","إنتاج طبخة")</f>
        <v/>
      </c>
      <c r="C1286" t="str">
        <f>IF('سجل الإنتاج'!C286="","",'سجل الإنتاج'!C286)</f>
        <v/>
      </c>
      <c r="D1286" t="str">
        <f>IF('سجل الإنتاج'!C286="","","عدة مواد - راجع صفحة الطبخات")</f>
        <v/>
      </c>
      <c r="F1286" t="str">
        <f>IF('سجل الإنتاج'!C286="","",IF('سجل الإنتاج'!D286="","",'سجل الإنتاج'!D286))</f>
        <v/>
      </c>
      <c r="G1286" t="str">
        <f>IF($B1286&lt;&gt;"",SUMPRODUCT(($B$2:$B1286&lt;&gt;"")*1),"")</f>
        <v/>
      </c>
    </row>
    <row r="1287" spans="1:7">
      <c r="A1287" s="23" t="str">
        <f>IF('سجل الإنتاج'!C287="","",'سجل الإنتاج'!B287)</f>
        <v/>
      </c>
      <c r="B1287" t="str">
        <f>IF('سجل الإنتاج'!C287="","","إنتاج طبخة")</f>
        <v/>
      </c>
      <c r="C1287" t="str">
        <f>IF('سجل الإنتاج'!C287="","",'سجل الإنتاج'!C287)</f>
        <v/>
      </c>
      <c r="D1287" t="str">
        <f>IF('سجل الإنتاج'!C287="","","عدة مواد - راجع صفحة الطبخات")</f>
        <v/>
      </c>
      <c r="F1287" t="str">
        <f>IF('سجل الإنتاج'!C287="","",IF('سجل الإنتاج'!D287="","",'سجل الإنتاج'!D287))</f>
        <v/>
      </c>
      <c r="G1287" t="str">
        <f>IF($B1287&lt;&gt;"",SUMPRODUCT(($B$2:$B1287&lt;&gt;"")*1),"")</f>
        <v/>
      </c>
    </row>
    <row r="1288" spans="1:7">
      <c r="A1288" s="23" t="str">
        <f>IF('سجل الإنتاج'!C288="","",'سجل الإنتاج'!B288)</f>
        <v/>
      </c>
      <c r="B1288" t="str">
        <f>IF('سجل الإنتاج'!C288="","","إنتاج طبخة")</f>
        <v/>
      </c>
      <c r="C1288" t="str">
        <f>IF('سجل الإنتاج'!C288="","",'سجل الإنتاج'!C288)</f>
        <v/>
      </c>
      <c r="D1288" t="str">
        <f>IF('سجل الإنتاج'!C288="","","عدة مواد - راجع صفحة الطبخات")</f>
        <v/>
      </c>
      <c r="F1288" t="str">
        <f>IF('سجل الإنتاج'!C288="","",IF('سجل الإنتاج'!D288="","",'سجل الإنتاج'!D288))</f>
        <v/>
      </c>
      <c r="G1288" t="str">
        <f>IF($B1288&lt;&gt;"",SUMPRODUCT(($B$2:$B1288&lt;&gt;"")*1),"")</f>
        <v/>
      </c>
    </row>
    <row r="1289" spans="1:7">
      <c r="A1289" s="23" t="str">
        <f>IF('سجل الإنتاج'!C289="","",'سجل الإنتاج'!B289)</f>
        <v/>
      </c>
      <c r="B1289" t="str">
        <f>IF('سجل الإنتاج'!C289="","","إنتاج طبخة")</f>
        <v/>
      </c>
      <c r="C1289" t="str">
        <f>IF('سجل الإنتاج'!C289="","",'سجل الإنتاج'!C289)</f>
        <v/>
      </c>
      <c r="D1289" t="str">
        <f>IF('سجل الإنتاج'!C289="","","عدة مواد - راجع صفحة الطبخات")</f>
        <v/>
      </c>
      <c r="F1289" t="str">
        <f>IF('سجل الإنتاج'!C289="","",IF('سجل الإنتاج'!D289="","",'سجل الإنتاج'!D289))</f>
        <v/>
      </c>
      <c r="G1289" t="str">
        <f>IF($B1289&lt;&gt;"",SUMPRODUCT(($B$2:$B1289&lt;&gt;"")*1),"")</f>
        <v/>
      </c>
    </row>
    <row r="1290" spans="1:7">
      <c r="A1290" s="23" t="str">
        <f>IF('سجل الإنتاج'!C290="","",'سجل الإنتاج'!B290)</f>
        <v/>
      </c>
      <c r="B1290" t="str">
        <f>IF('سجل الإنتاج'!C290="","","إنتاج طبخة")</f>
        <v/>
      </c>
      <c r="C1290" t="str">
        <f>IF('سجل الإنتاج'!C290="","",'سجل الإنتاج'!C290)</f>
        <v/>
      </c>
      <c r="D1290" t="str">
        <f>IF('سجل الإنتاج'!C290="","","عدة مواد - راجع صفحة الطبخات")</f>
        <v/>
      </c>
      <c r="F1290" t="str">
        <f>IF('سجل الإنتاج'!C290="","",IF('سجل الإنتاج'!D290="","",'سجل الإنتاج'!D290))</f>
        <v/>
      </c>
      <c r="G1290" t="str">
        <f>IF($B1290&lt;&gt;"",SUMPRODUCT(($B$2:$B1290&lt;&gt;"")*1),"")</f>
        <v/>
      </c>
    </row>
    <row r="1291" spans="1:7">
      <c r="A1291" s="23" t="str">
        <f>IF('سجل الإنتاج'!C291="","",'سجل الإنتاج'!B291)</f>
        <v/>
      </c>
      <c r="B1291" t="str">
        <f>IF('سجل الإنتاج'!C291="","","إنتاج طبخة")</f>
        <v/>
      </c>
      <c r="C1291" t="str">
        <f>IF('سجل الإنتاج'!C291="","",'سجل الإنتاج'!C291)</f>
        <v/>
      </c>
      <c r="D1291" t="str">
        <f>IF('سجل الإنتاج'!C291="","","عدة مواد - راجع صفحة الطبخات")</f>
        <v/>
      </c>
      <c r="F1291" t="str">
        <f>IF('سجل الإنتاج'!C291="","",IF('سجل الإنتاج'!D291="","",'سجل الإنتاج'!D291))</f>
        <v/>
      </c>
      <c r="G1291" t="str">
        <f>IF($B1291&lt;&gt;"",SUMPRODUCT(($B$2:$B1291&lt;&gt;"")*1),"")</f>
        <v/>
      </c>
    </row>
    <row r="1292" spans="1:7">
      <c r="A1292" s="23" t="str">
        <f>IF('سجل الإنتاج'!C292="","",'سجل الإنتاج'!B292)</f>
        <v/>
      </c>
      <c r="B1292" t="str">
        <f>IF('سجل الإنتاج'!C292="","","إنتاج طبخة")</f>
        <v/>
      </c>
      <c r="C1292" t="str">
        <f>IF('سجل الإنتاج'!C292="","",'سجل الإنتاج'!C292)</f>
        <v/>
      </c>
      <c r="D1292" t="str">
        <f>IF('سجل الإنتاج'!C292="","","عدة مواد - راجع صفحة الطبخات")</f>
        <v/>
      </c>
      <c r="F1292" t="str">
        <f>IF('سجل الإنتاج'!C292="","",IF('سجل الإنتاج'!D292="","",'سجل الإنتاج'!D292))</f>
        <v/>
      </c>
      <c r="G1292" t="str">
        <f>IF($B1292&lt;&gt;"",SUMPRODUCT(($B$2:$B1292&lt;&gt;"")*1),"")</f>
        <v/>
      </c>
    </row>
    <row r="1293" spans="1:7">
      <c r="A1293" s="23" t="str">
        <f>IF('سجل الإنتاج'!C293="","",'سجل الإنتاج'!B293)</f>
        <v/>
      </c>
      <c r="B1293" t="str">
        <f>IF('سجل الإنتاج'!C293="","","إنتاج طبخة")</f>
        <v/>
      </c>
      <c r="C1293" t="str">
        <f>IF('سجل الإنتاج'!C293="","",'سجل الإنتاج'!C293)</f>
        <v/>
      </c>
      <c r="D1293" t="str">
        <f>IF('سجل الإنتاج'!C293="","","عدة مواد - راجع صفحة الطبخات")</f>
        <v/>
      </c>
      <c r="F1293" t="str">
        <f>IF('سجل الإنتاج'!C293="","",IF('سجل الإنتاج'!D293="","",'سجل الإنتاج'!D293))</f>
        <v/>
      </c>
      <c r="G1293" t="str">
        <f>IF($B1293&lt;&gt;"",SUMPRODUCT(($B$2:$B1293&lt;&gt;"")*1),"")</f>
        <v/>
      </c>
    </row>
    <row r="1294" spans="1:7">
      <c r="A1294" s="23" t="str">
        <f>IF('سجل الإنتاج'!C294="","",'سجل الإنتاج'!B294)</f>
        <v/>
      </c>
      <c r="B1294" t="str">
        <f>IF('سجل الإنتاج'!C294="","","إنتاج طبخة")</f>
        <v/>
      </c>
      <c r="C1294" t="str">
        <f>IF('سجل الإنتاج'!C294="","",'سجل الإنتاج'!C294)</f>
        <v/>
      </c>
      <c r="D1294" t="str">
        <f>IF('سجل الإنتاج'!C294="","","عدة مواد - راجع صفحة الطبخات")</f>
        <v/>
      </c>
      <c r="F1294" t="str">
        <f>IF('سجل الإنتاج'!C294="","",IF('سجل الإنتاج'!D294="","",'سجل الإنتاج'!D294))</f>
        <v/>
      </c>
      <c r="G1294" t="str">
        <f>IF($B1294&lt;&gt;"",SUMPRODUCT(($B$2:$B1294&lt;&gt;"")*1),"")</f>
        <v/>
      </c>
    </row>
    <row r="1295" spans="1:7">
      <c r="A1295" s="23" t="str">
        <f>IF('سجل الإنتاج'!C295="","",'سجل الإنتاج'!B295)</f>
        <v/>
      </c>
      <c r="B1295" t="str">
        <f>IF('سجل الإنتاج'!C295="","","إنتاج طبخة")</f>
        <v/>
      </c>
      <c r="C1295" t="str">
        <f>IF('سجل الإنتاج'!C295="","",'سجل الإنتاج'!C295)</f>
        <v/>
      </c>
      <c r="D1295" t="str">
        <f>IF('سجل الإنتاج'!C295="","","عدة مواد - راجع صفحة الطبخات")</f>
        <v/>
      </c>
      <c r="F1295" t="str">
        <f>IF('سجل الإنتاج'!C295="","",IF('سجل الإنتاج'!D295="","",'سجل الإنتاج'!D295))</f>
        <v/>
      </c>
      <c r="G1295" t="str">
        <f>IF($B1295&lt;&gt;"",SUMPRODUCT(($B$2:$B1295&lt;&gt;"")*1),"")</f>
        <v/>
      </c>
    </row>
    <row r="1296" spans="1:7">
      <c r="A1296" s="23" t="str">
        <f>IF('سجل الإنتاج'!C296="","",'سجل الإنتاج'!B296)</f>
        <v/>
      </c>
      <c r="B1296" t="str">
        <f>IF('سجل الإنتاج'!C296="","","إنتاج طبخة")</f>
        <v/>
      </c>
      <c r="C1296" t="str">
        <f>IF('سجل الإنتاج'!C296="","",'سجل الإنتاج'!C296)</f>
        <v/>
      </c>
      <c r="D1296" t="str">
        <f>IF('سجل الإنتاج'!C296="","","عدة مواد - راجع صفحة الطبخات")</f>
        <v/>
      </c>
      <c r="F1296" t="str">
        <f>IF('سجل الإنتاج'!C296="","",IF('سجل الإنتاج'!D296="","",'سجل الإنتاج'!D296))</f>
        <v/>
      </c>
      <c r="G1296" t="str">
        <f>IF($B1296&lt;&gt;"",SUMPRODUCT(($B$2:$B1296&lt;&gt;"")*1),"")</f>
        <v/>
      </c>
    </row>
    <row r="1297" spans="1:7">
      <c r="A1297" s="23" t="str">
        <f>IF('سجل الإنتاج'!C297="","",'سجل الإنتاج'!B297)</f>
        <v/>
      </c>
      <c r="B1297" t="str">
        <f>IF('سجل الإنتاج'!C297="","","إنتاج طبخة")</f>
        <v/>
      </c>
      <c r="C1297" t="str">
        <f>IF('سجل الإنتاج'!C297="","",'سجل الإنتاج'!C297)</f>
        <v/>
      </c>
      <c r="D1297" t="str">
        <f>IF('سجل الإنتاج'!C297="","","عدة مواد - راجع صفحة الطبخات")</f>
        <v/>
      </c>
      <c r="F1297" t="str">
        <f>IF('سجل الإنتاج'!C297="","",IF('سجل الإنتاج'!D297="","",'سجل الإنتاج'!D297))</f>
        <v/>
      </c>
      <c r="G1297" t="str">
        <f>IF($B1297&lt;&gt;"",SUMPRODUCT(($B$2:$B1297&lt;&gt;"")*1),"")</f>
        <v/>
      </c>
    </row>
    <row r="1298" spans="1:7">
      <c r="A1298" s="23" t="str">
        <f>IF('سجل الإنتاج'!C298="","",'سجل الإنتاج'!B298)</f>
        <v/>
      </c>
      <c r="B1298" t="str">
        <f>IF('سجل الإنتاج'!C298="","","إنتاج طبخة")</f>
        <v/>
      </c>
      <c r="C1298" t="str">
        <f>IF('سجل الإنتاج'!C298="","",'سجل الإنتاج'!C298)</f>
        <v/>
      </c>
      <c r="D1298" t="str">
        <f>IF('سجل الإنتاج'!C298="","","عدة مواد - راجع صفحة الطبخات")</f>
        <v/>
      </c>
      <c r="F1298" t="str">
        <f>IF('سجل الإنتاج'!C298="","",IF('سجل الإنتاج'!D298="","",'سجل الإنتاج'!D298))</f>
        <v/>
      </c>
      <c r="G1298" t="str">
        <f>IF($B1298&lt;&gt;"",SUMPRODUCT(($B$2:$B1298&lt;&gt;"")*1),"")</f>
        <v/>
      </c>
    </row>
    <row r="1299" spans="1:7">
      <c r="A1299" s="23" t="str">
        <f>IF('سجل الإنتاج'!C299="","",'سجل الإنتاج'!B299)</f>
        <v/>
      </c>
      <c r="B1299" t="str">
        <f>IF('سجل الإنتاج'!C299="","","إنتاج طبخة")</f>
        <v/>
      </c>
      <c r="C1299" t="str">
        <f>IF('سجل الإنتاج'!C299="","",'سجل الإنتاج'!C299)</f>
        <v/>
      </c>
      <c r="D1299" t="str">
        <f>IF('سجل الإنتاج'!C299="","","عدة مواد - راجع صفحة الطبخات")</f>
        <v/>
      </c>
      <c r="F1299" t="str">
        <f>IF('سجل الإنتاج'!C299="","",IF('سجل الإنتاج'!D299="","",'سجل الإنتاج'!D299))</f>
        <v/>
      </c>
      <c r="G1299" t="str">
        <f>IF($B1299&lt;&gt;"",SUMPRODUCT(($B$2:$B1299&lt;&gt;"")*1),"")</f>
        <v/>
      </c>
    </row>
    <row r="1300" spans="1:7">
      <c r="A1300" s="23" t="str">
        <f>IF('سجل الإنتاج'!C300="","",'سجل الإنتاج'!B300)</f>
        <v/>
      </c>
      <c r="B1300" t="str">
        <f>IF('سجل الإنتاج'!C300="","","إنتاج طبخة")</f>
        <v/>
      </c>
      <c r="C1300" t="str">
        <f>IF('سجل الإنتاج'!C300="","",'سجل الإنتاج'!C300)</f>
        <v/>
      </c>
      <c r="D1300" t="str">
        <f>IF('سجل الإنتاج'!C300="","","عدة مواد - راجع صفحة الطبخات")</f>
        <v/>
      </c>
      <c r="F1300" t="str">
        <f>IF('سجل الإنتاج'!C300="","",IF('سجل الإنتاج'!D300="","",'سجل الإنتاج'!D300))</f>
        <v/>
      </c>
      <c r="G1300" t="str">
        <f>IF($B1300&lt;&gt;"",SUMPRODUCT(($B$2:$B1300&lt;&gt;"")*1),"")</f>
        <v/>
      </c>
    </row>
    <row r="1301" spans="1:7">
      <c r="A1301" s="23" t="str">
        <f>IF('سجل الإنتاج'!C301="","",'سجل الإنتاج'!B301)</f>
        <v/>
      </c>
      <c r="B1301" t="str">
        <f>IF('سجل الإنتاج'!C301="","","إنتاج طبخة")</f>
        <v/>
      </c>
      <c r="C1301" t="str">
        <f>IF('سجل الإنتاج'!C301="","",'سجل الإنتاج'!C301)</f>
        <v/>
      </c>
      <c r="D1301" t="str">
        <f>IF('سجل الإنتاج'!C301="","","عدة مواد - راجع صفحة الطبخات")</f>
        <v/>
      </c>
      <c r="F1301" t="str">
        <f>IF('سجل الإنتاج'!C301="","",IF('سجل الإنتاج'!D301="","",'سجل الإنتاج'!D301))</f>
        <v/>
      </c>
      <c r="G1301" t="str">
        <f>IF($B1301&lt;&gt;"",SUMPRODUCT(($B$2:$B1301&lt;&gt;"")*1),"")</f>
        <v/>
      </c>
    </row>
    <row r="1302" spans="1:7">
      <c r="A1302" s="23" t="str">
        <f>IF('سجل الإنتاج'!C302="","",'سجل الإنتاج'!B302)</f>
        <v/>
      </c>
      <c r="B1302" t="str">
        <f>IF('سجل الإنتاج'!C302="","","إنتاج طبخة")</f>
        <v/>
      </c>
      <c r="C1302" t="str">
        <f>IF('سجل الإنتاج'!C302="","",'سجل الإنتاج'!C302)</f>
        <v/>
      </c>
      <c r="D1302" t="str">
        <f>IF('سجل الإنتاج'!C302="","","عدة مواد - راجع صفحة الطبخات")</f>
        <v/>
      </c>
      <c r="F1302" t="str">
        <f>IF('سجل الإنتاج'!C302="","",IF('سجل الإنتاج'!D302="","",'سجل الإنتاج'!D302))</f>
        <v/>
      </c>
      <c r="G1302" t="str">
        <f>IF($B1302&lt;&gt;"",SUMPRODUCT(($B$2:$B1302&lt;&gt;"")*1),"")</f>
        <v/>
      </c>
    </row>
    <row r="1303" spans="1:7">
      <c r="A1303" s="23" t="str">
        <f>IF('سجل الإنتاج'!C303="","",'سجل الإنتاج'!B303)</f>
        <v/>
      </c>
      <c r="B1303" t="str">
        <f>IF('سجل الإنتاج'!C303="","","إنتاج طبخة")</f>
        <v/>
      </c>
      <c r="C1303" t="str">
        <f>IF('سجل الإنتاج'!C303="","",'سجل الإنتاج'!C303)</f>
        <v/>
      </c>
      <c r="D1303" t="str">
        <f>IF('سجل الإنتاج'!C303="","","عدة مواد - راجع صفحة الطبخات")</f>
        <v/>
      </c>
      <c r="F1303" t="str">
        <f>IF('سجل الإنتاج'!C303="","",IF('سجل الإنتاج'!D303="","",'سجل الإنتاج'!D303))</f>
        <v/>
      </c>
      <c r="G1303" t="str">
        <f>IF($B1303&lt;&gt;"",SUMPRODUCT(($B$2:$B1303&lt;&gt;"")*1),"")</f>
        <v/>
      </c>
    </row>
    <row r="1304" spans="1:7">
      <c r="A1304" s="23" t="str">
        <f>IF('سجل الإنتاج'!C304="","",'سجل الإنتاج'!B304)</f>
        <v/>
      </c>
      <c r="B1304" t="str">
        <f>IF('سجل الإنتاج'!C304="","","إنتاج طبخة")</f>
        <v/>
      </c>
      <c r="C1304" t="str">
        <f>IF('سجل الإنتاج'!C304="","",'سجل الإنتاج'!C304)</f>
        <v/>
      </c>
      <c r="D1304" t="str">
        <f>IF('سجل الإنتاج'!C304="","","عدة مواد - راجع صفحة الطبخات")</f>
        <v/>
      </c>
      <c r="F1304" t="str">
        <f>IF('سجل الإنتاج'!C304="","",IF('سجل الإنتاج'!D304="","",'سجل الإنتاج'!D304))</f>
        <v/>
      </c>
      <c r="G1304" t="str">
        <f>IF($B1304&lt;&gt;"",SUMPRODUCT(($B$2:$B1304&lt;&gt;"")*1),"")</f>
        <v/>
      </c>
    </row>
    <row r="1305" spans="1:7">
      <c r="A1305" s="23" t="str">
        <f>IF('سجل الإنتاج'!C305="","",'سجل الإنتاج'!B305)</f>
        <v/>
      </c>
      <c r="B1305" t="str">
        <f>IF('سجل الإنتاج'!C305="","","إنتاج طبخة")</f>
        <v/>
      </c>
      <c r="C1305" t="str">
        <f>IF('سجل الإنتاج'!C305="","",'سجل الإنتاج'!C305)</f>
        <v/>
      </c>
      <c r="D1305" t="str">
        <f>IF('سجل الإنتاج'!C305="","","عدة مواد - راجع صفحة الطبخات")</f>
        <v/>
      </c>
      <c r="F1305" t="str">
        <f>IF('سجل الإنتاج'!C305="","",IF('سجل الإنتاج'!D305="","",'سجل الإنتاج'!D305))</f>
        <v/>
      </c>
      <c r="G1305" t="str">
        <f>IF($B1305&lt;&gt;"",SUMPRODUCT(($B$2:$B1305&lt;&gt;"")*1),"")</f>
        <v/>
      </c>
    </row>
    <row r="1306" spans="1:7">
      <c r="A1306" s="23" t="str">
        <f>IF('سجل الإنتاج'!C306="","",'سجل الإنتاج'!B306)</f>
        <v/>
      </c>
      <c r="B1306" t="str">
        <f>IF('سجل الإنتاج'!C306="","","إنتاج طبخة")</f>
        <v/>
      </c>
      <c r="C1306" t="str">
        <f>IF('سجل الإنتاج'!C306="","",'سجل الإنتاج'!C306)</f>
        <v/>
      </c>
      <c r="D1306" t="str">
        <f>IF('سجل الإنتاج'!C306="","","عدة مواد - راجع صفحة الطبخات")</f>
        <v/>
      </c>
      <c r="F1306" t="str">
        <f>IF('سجل الإنتاج'!C306="","",IF('سجل الإنتاج'!D306="","",'سجل الإنتاج'!D306))</f>
        <v/>
      </c>
      <c r="G1306" t="str">
        <f>IF($B1306&lt;&gt;"",SUMPRODUCT(($B$2:$B1306&lt;&gt;"")*1),"")</f>
        <v/>
      </c>
    </row>
    <row r="1307" spans="1:7">
      <c r="A1307" s="23" t="str">
        <f>IF('سجل الإنتاج'!C307="","",'سجل الإنتاج'!B307)</f>
        <v/>
      </c>
      <c r="B1307" t="str">
        <f>IF('سجل الإنتاج'!C307="","","إنتاج طبخة")</f>
        <v/>
      </c>
      <c r="C1307" t="str">
        <f>IF('سجل الإنتاج'!C307="","",'سجل الإنتاج'!C307)</f>
        <v/>
      </c>
      <c r="D1307" t="str">
        <f>IF('سجل الإنتاج'!C307="","","عدة مواد - راجع صفحة الطبخات")</f>
        <v/>
      </c>
      <c r="F1307" t="str">
        <f>IF('سجل الإنتاج'!C307="","",IF('سجل الإنتاج'!D307="","",'سجل الإنتاج'!D307))</f>
        <v/>
      </c>
      <c r="G1307" t="str">
        <f>IF($B1307&lt;&gt;"",SUMPRODUCT(($B$2:$B1307&lt;&gt;"")*1),"")</f>
        <v/>
      </c>
    </row>
    <row r="1308" spans="1:7">
      <c r="A1308" s="23" t="str">
        <f>IF('سجل الإنتاج'!C308="","",'سجل الإنتاج'!B308)</f>
        <v/>
      </c>
      <c r="B1308" t="str">
        <f>IF('سجل الإنتاج'!C308="","","إنتاج طبخة")</f>
        <v/>
      </c>
      <c r="C1308" t="str">
        <f>IF('سجل الإنتاج'!C308="","",'سجل الإنتاج'!C308)</f>
        <v/>
      </c>
      <c r="D1308" t="str">
        <f>IF('سجل الإنتاج'!C308="","","عدة مواد - راجع صفحة الطبخات")</f>
        <v/>
      </c>
      <c r="F1308" t="str">
        <f>IF('سجل الإنتاج'!C308="","",IF('سجل الإنتاج'!D308="","",'سجل الإنتاج'!D308))</f>
        <v/>
      </c>
      <c r="G1308" t="str">
        <f>IF($B1308&lt;&gt;"",SUMPRODUCT(($B$2:$B1308&lt;&gt;"")*1),"")</f>
        <v/>
      </c>
    </row>
    <row r="1309" spans="1:7">
      <c r="A1309" s="23" t="str">
        <f>IF('سجل الإنتاج'!C309="","",'سجل الإنتاج'!B309)</f>
        <v/>
      </c>
      <c r="B1309" t="str">
        <f>IF('سجل الإنتاج'!C309="","","إنتاج طبخة")</f>
        <v/>
      </c>
      <c r="C1309" t="str">
        <f>IF('سجل الإنتاج'!C309="","",'سجل الإنتاج'!C309)</f>
        <v/>
      </c>
      <c r="D1309" t="str">
        <f>IF('سجل الإنتاج'!C309="","","عدة مواد - راجع صفحة الطبخات")</f>
        <v/>
      </c>
      <c r="F1309" t="str">
        <f>IF('سجل الإنتاج'!C309="","",IF('سجل الإنتاج'!D309="","",'سجل الإنتاج'!D309))</f>
        <v/>
      </c>
      <c r="G1309" t="str">
        <f>IF($B1309&lt;&gt;"",SUMPRODUCT(($B$2:$B1309&lt;&gt;"")*1),"")</f>
        <v/>
      </c>
    </row>
    <row r="1310" spans="1:7">
      <c r="A1310" s="23" t="str">
        <f>IF('سجل الإنتاج'!C310="","",'سجل الإنتاج'!B310)</f>
        <v/>
      </c>
      <c r="B1310" t="str">
        <f>IF('سجل الإنتاج'!C310="","","إنتاج طبخة")</f>
        <v/>
      </c>
      <c r="C1310" t="str">
        <f>IF('سجل الإنتاج'!C310="","",'سجل الإنتاج'!C310)</f>
        <v/>
      </c>
      <c r="D1310" t="str">
        <f>IF('سجل الإنتاج'!C310="","","عدة مواد - راجع صفحة الطبخات")</f>
        <v/>
      </c>
      <c r="F1310" t="str">
        <f>IF('سجل الإنتاج'!C310="","",IF('سجل الإنتاج'!D310="","",'سجل الإنتاج'!D310))</f>
        <v/>
      </c>
      <c r="G1310" t="str">
        <f>IF($B1310&lt;&gt;"",SUMPRODUCT(($B$2:$B1310&lt;&gt;"")*1),"")</f>
        <v/>
      </c>
    </row>
    <row r="1311" spans="1:7">
      <c r="A1311" s="23" t="str">
        <f>IF('سجل الإنتاج'!C311="","",'سجل الإنتاج'!B311)</f>
        <v/>
      </c>
      <c r="B1311" t="str">
        <f>IF('سجل الإنتاج'!C311="","","إنتاج طبخة")</f>
        <v/>
      </c>
      <c r="C1311" t="str">
        <f>IF('سجل الإنتاج'!C311="","",'سجل الإنتاج'!C311)</f>
        <v/>
      </c>
      <c r="D1311" t="str">
        <f>IF('سجل الإنتاج'!C311="","","عدة مواد - راجع صفحة الطبخات")</f>
        <v/>
      </c>
      <c r="F1311" t="str">
        <f>IF('سجل الإنتاج'!C311="","",IF('سجل الإنتاج'!D311="","",'سجل الإنتاج'!D311))</f>
        <v/>
      </c>
      <c r="G1311" t="str">
        <f>IF($B1311&lt;&gt;"",SUMPRODUCT(($B$2:$B1311&lt;&gt;"")*1),"")</f>
        <v/>
      </c>
    </row>
    <row r="1312" spans="1:7">
      <c r="A1312" s="23" t="str">
        <f>IF('سجل الإنتاج'!C312="","",'سجل الإنتاج'!B312)</f>
        <v/>
      </c>
      <c r="B1312" t="str">
        <f>IF('سجل الإنتاج'!C312="","","إنتاج طبخة")</f>
        <v/>
      </c>
      <c r="C1312" t="str">
        <f>IF('سجل الإنتاج'!C312="","",'سجل الإنتاج'!C312)</f>
        <v/>
      </c>
      <c r="D1312" t="str">
        <f>IF('سجل الإنتاج'!C312="","","عدة مواد - راجع صفحة الطبخات")</f>
        <v/>
      </c>
      <c r="F1312" t="str">
        <f>IF('سجل الإنتاج'!C312="","",IF('سجل الإنتاج'!D312="","",'سجل الإنتاج'!D312))</f>
        <v/>
      </c>
      <c r="G1312" t="str">
        <f>IF($B1312&lt;&gt;"",SUMPRODUCT(($B$2:$B1312&lt;&gt;"")*1),"")</f>
        <v/>
      </c>
    </row>
    <row r="1313" spans="1:7">
      <c r="A1313" s="23" t="str">
        <f>IF('سجل الإنتاج'!C313="","",'سجل الإنتاج'!B313)</f>
        <v/>
      </c>
      <c r="B1313" t="str">
        <f>IF('سجل الإنتاج'!C313="","","إنتاج طبخة")</f>
        <v/>
      </c>
      <c r="C1313" t="str">
        <f>IF('سجل الإنتاج'!C313="","",'سجل الإنتاج'!C313)</f>
        <v/>
      </c>
      <c r="D1313" t="str">
        <f>IF('سجل الإنتاج'!C313="","","عدة مواد - راجع صفحة الطبخات")</f>
        <v/>
      </c>
      <c r="F1313" t="str">
        <f>IF('سجل الإنتاج'!C313="","",IF('سجل الإنتاج'!D313="","",'سجل الإنتاج'!D313))</f>
        <v/>
      </c>
      <c r="G1313" t="str">
        <f>IF($B1313&lt;&gt;"",SUMPRODUCT(($B$2:$B1313&lt;&gt;"")*1),"")</f>
        <v/>
      </c>
    </row>
    <row r="1314" spans="1:7">
      <c r="A1314" s="23" t="str">
        <f>IF('سجل الإنتاج'!C314="","",'سجل الإنتاج'!B314)</f>
        <v/>
      </c>
      <c r="B1314" t="str">
        <f>IF('سجل الإنتاج'!C314="","","إنتاج طبخة")</f>
        <v/>
      </c>
      <c r="C1314" t="str">
        <f>IF('سجل الإنتاج'!C314="","",'سجل الإنتاج'!C314)</f>
        <v/>
      </c>
      <c r="D1314" t="str">
        <f>IF('سجل الإنتاج'!C314="","","عدة مواد - راجع صفحة الطبخات")</f>
        <v/>
      </c>
      <c r="F1314" t="str">
        <f>IF('سجل الإنتاج'!C314="","",IF('سجل الإنتاج'!D314="","",'سجل الإنتاج'!D314))</f>
        <v/>
      </c>
      <c r="G1314" t="str">
        <f>IF($B1314&lt;&gt;"",SUMPRODUCT(($B$2:$B1314&lt;&gt;"")*1),"")</f>
        <v/>
      </c>
    </row>
    <row r="1315" spans="1:7">
      <c r="A1315" s="23" t="str">
        <f>IF('سجل الإنتاج'!C315="","",'سجل الإنتاج'!B315)</f>
        <v/>
      </c>
      <c r="B1315" t="str">
        <f>IF('سجل الإنتاج'!C315="","","إنتاج طبخة")</f>
        <v/>
      </c>
      <c r="C1315" t="str">
        <f>IF('سجل الإنتاج'!C315="","",'سجل الإنتاج'!C315)</f>
        <v/>
      </c>
      <c r="D1315" t="str">
        <f>IF('سجل الإنتاج'!C315="","","عدة مواد - راجع صفحة الطبخات")</f>
        <v/>
      </c>
      <c r="F1315" t="str">
        <f>IF('سجل الإنتاج'!C315="","",IF('سجل الإنتاج'!D315="","",'سجل الإنتاج'!D315))</f>
        <v/>
      </c>
      <c r="G1315" t="str">
        <f>IF($B1315&lt;&gt;"",SUMPRODUCT(($B$2:$B1315&lt;&gt;"")*1),"")</f>
        <v/>
      </c>
    </row>
    <row r="1316" spans="1:7">
      <c r="A1316" s="23" t="str">
        <f>IF('سجل الإنتاج'!C316="","",'سجل الإنتاج'!B316)</f>
        <v/>
      </c>
      <c r="B1316" t="str">
        <f>IF('سجل الإنتاج'!C316="","","إنتاج طبخة")</f>
        <v/>
      </c>
      <c r="C1316" t="str">
        <f>IF('سجل الإنتاج'!C316="","",'سجل الإنتاج'!C316)</f>
        <v/>
      </c>
      <c r="D1316" t="str">
        <f>IF('سجل الإنتاج'!C316="","","عدة مواد - راجع صفحة الطبخات")</f>
        <v/>
      </c>
      <c r="F1316" t="str">
        <f>IF('سجل الإنتاج'!C316="","",IF('سجل الإنتاج'!D316="","",'سجل الإنتاج'!D316))</f>
        <v/>
      </c>
      <c r="G1316" t="str">
        <f>IF($B1316&lt;&gt;"",SUMPRODUCT(($B$2:$B1316&lt;&gt;"")*1),"")</f>
        <v/>
      </c>
    </row>
    <row r="1317" spans="1:7">
      <c r="A1317" s="23" t="str">
        <f>IF('سجل الإنتاج'!C317="","",'سجل الإنتاج'!B317)</f>
        <v/>
      </c>
      <c r="B1317" t="str">
        <f>IF('سجل الإنتاج'!C317="","","إنتاج طبخة")</f>
        <v/>
      </c>
      <c r="C1317" t="str">
        <f>IF('سجل الإنتاج'!C317="","",'سجل الإنتاج'!C317)</f>
        <v/>
      </c>
      <c r="D1317" t="str">
        <f>IF('سجل الإنتاج'!C317="","","عدة مواد - راجع صفحة الطبخات")</f>
        <v/>
      </c>
      <c r="F1317" t="str">
        <f>IF('سجل الإنتاج'!C317="","",IF('سجل الإنتاج'!D317="","",'سجل الإنتاج'!D317))</f>
        <v/>
      </c>
      <c r="G1317" t="str">
        <f>IF($B1317&lt;&gt;"",SUMPRODUCT(($B$2:$B1317&lt;&gt;"")*1),"")</f>
        <v/>
      </c>
    </row>
    <row r="1318" spans="1:7">
      <c r="A1318" s="23" t="str">
        <f>IF('سجل الإنتاج'!C318="","",'سجل الإنتاج'!B318)</f>
        <v/>
      </c>
      <c r="B1318" t="str">
        <f>IF('سجل الإنتاج'!C318="","","إنتاج طبخة")</f>
        <v/>
      </c>
      <c r="C1318" t="str">
        <f>IF('سجل الإنتاج'!C318="","",'سجل الإنتاج'!C318)</f>
        <v/>
      </c>
      <c r="D1318" t="str">
        <f>IF('سجل الإنتاج'!C318="","","عدة مواد - راجع صفحة الطبخات")</f>
        <v/>
      </c>
      <c r="F1318" t="str">
        <f>IF('سجل الإنتاج'!C318="","",IF('سجل الإنتاج'!D318="","",'سجل الإنتاج'!D318))</f>
        <v/>
      </c>
      <c r="G1318" t="str">
        <f>IF($B1318&lt;&gt;"",SUMPRODUCT(($B$2:$B1318&lt;&gt;"")*1),"")</f>
        <v/>
      </c>
    </row>
    <row r="1319" spans="1:7">
      <c r="A1319" s="23" t="str">
        <f>IF('سجل الإنتاج'!C319="","",'سجل الإنتاج'!B319)</f>
        <v/>
      </c>
      <c r="B1319" t="str">
        <f>IF('سجل الإنتاج'!C319="","","إنتاج طبخة")</f>
        <v/>
      </c>
      <c r="C1319" t="str">
        <f>IF('سجل الإنتاج'!C319="","",'سجل الإنتاج'!C319)</f>
        <v/>
      </c>
      <c r="D1319" t="str">
        <f>IF('سجل الإنتاج'!C319="","","عدة مواد - راجع صفحة الطبخات")</f>
        <v/>
      </c>
      <c r="F1319" t="str">
        <f>IF('سجل الإنتاج'!C319="","",IF('سجل الإنتاج'!D319="","",'سجل الإنتاج'!D319))</f>
        <v/>
      </c>
      <c r="G1319" t="str">
        <f>IF($B1319&lt;&gt;"",SUMPRODUCT(($B$2:$B1319&lt;&gt;"")*1),"")</f>
        <v/>
      </c>
    </row>
    <row r="1320" spans="1:7">
      <c r="A1320" s="23" t="str">
        <f>IF('سجل الإنتاج'!C320="","",'سجل الإنتاج'!B320)</f>
        <v/>
      </c>
      <c r="B1320" t="str">
        <f>IF('سجل الإنتاج'!C320="","","إنتاج طبخة")</f>
        <v/>
      </c>
      <c r="C1320" t="str">
        <f>IF('سجل الإنتاج'!C320="","",'سجل الإنتاج'!C320)</f>
        <v/>
      </c>
      <c r="D1320" t="str">
        <f>IF('سجل الإنتاج'!C320="","","عدة مواد - راجع صفحة الطبخات")</f>
        <v/>
      </c>
      <c r="F1320" t="str">
        <f>IF('سجل الإنتاج'!C320="","",IF('سجل الإنتاج'!D320="","",'سجل الإنتاج'!D320))</f>
        <v/>
      </c>
      <c r="G1320" t="str">
        <f>IF($B1320&lt;&gt;"",SUMPRODUCT(($B$2:$B1320&lt;&gt;"")*1),"")</f>
        <v/>
      </c>
    </row>
    <row r="1321" spans="1:7">
      <c r="A1321" s="23" t="str">
        <f>IF('سجل الإنتاج'!C321="","",'سجل الإنتاج'!B321)</f>
        <v/>
      </c>
      <c r="B1321" t="str">
        <f>IF('سجل الإنتاج'!C321="","","إنتاج طبخة")</f>
        <v/>
      </c>
      <c r="C1321" t="str">
        <f>IF('سجل الإنتاج'!C321="","",'سجل الإنتاج'!C321)</f>
        <v/>
      </c>
      <c r="D1321" t="str">
        <f>IF('سجل الإنتاج'!C321="","","عدة مواد - راجع صفحة الطبخات")</f>
        <v/>
      </c>
      <c r="F1321" t="str">
        <f>IF('سجل الإنتاج'!C321="","",IF('سجل الإنتاج'!D321="","",'سجل الإنتاج'!D321))</f>
        <v/>
      </c>
      <c r="G1321" t="str">
        <f>IF($B1321&lt;&gt;"",SUMPRODUCT(($B$2:$B1321&lt;&gt;"")*1),"")</f>
        <v/>
      </c>
    </row>
    <row r="1322" spans="1:7">
      <c r="A1322" s="23" t="str">
        <f>IF('سجل الإنتاج'!C322="","",'سجل الإنتاج'!B322)</f>
        <v/>
      </c>
      <c r="B1322" t="str">
        <f>IF('سجل الإنتاج'!C322="","","إنتاج طبخة")</f>
        <v/>
      </c>
      <c r="C1322" t="str">
        <f>IF('سجل الإنتاج'!C322="","",'سجل الإنتاج'!C322)</f>
        <v/>
      </c>
      <c r="D1322" t="str">
        <f>IF('سجل الإنتاج'!C322="","","عدة مواد - راجع صفحة الطبخات")</f>
        <v/>
      </c>
      <c r="F1322" t="str">
        <f>IF('سجل الإنتاج'!C322="","",IF('سجل الإنتاج'!D322="","",'سجل الإنتاج'!D322))</f>
        <v/>
      </c>
      <c r="G1322" t="str">
        <f>IF($B1322&lt;&gt;"",SUMPRODUCT(($B$2:$B1322&lt;&gt;"")*1),"")</f>
        <v/>
      </c>
    </row>
    <row r="1323" spans="1:7">
      <c r="A1323" s="23" t="str">
        <f>IF('سجل الإنتاج'!C323="","",'سجل الإنتاج'!B323)</f>
        <v/>
      </c>
      <c r="B1323" t="str">
        <f>IF('سجل الإنتاج'!C323="","","إنتاج طبخة")</f>
        <v/>
      </c>
      <c r="C1323" t="str">
        <f>IF('سجل الإنتاج'!C323="","",'سجل الإنتاج'!C323)</f>
        <v/>
      </c>
      <c r="D1323" t="str">
        <f>IF('سجل الإنتاج'!C323="","","عدة مواد - راجع صفحة الطبخات")</f>
        <v/>
      </c>
      <c r="F1323" t="str">
        <f>IF('سجل الإنتاج'!C323="","",IF('سجل الإنتاج'!D323="","",'سجل الإنتاج'!D323))</f>
        <v/>
      </c>
      <c r="G1323" t="str">
        <f>IF($B1323&lt;&gt;"",SUMPRODUCT(($B$2:$B1323&lt;&gt;"")*1),"")</f>
        <v/>
      </c>
    </row>
    <row r="1324" spans="1:7">
      <c r="A1324" s="23" t="str">
        <f>IF('سجل الإنتاج'!C324="","",'سجل الإنتاج'!B324)</f>
        <v/>
      </c>
      <c r="B1324" t="str">
        <f>IF('سجل الإنتاج'!C324="","","إنتاج طبخة")</f>
        <v/>
      </c>
      <c r="C1324" t="str">
        <f>IF('سجل الإنتاج'!C324="","",'سجل الإنتاج'!C324)</f>
        <v/>
      </c>
      <c r="D1324" t="str">
        <f>IF('سجل الإنتاج'!C324="","","عدة مواد - راجع صفحة الطبخات")</f>
        <v/>
      </c>
      <c r="F1324" t="str">
        <f>IF('سجل الإنتاج'!C324="","",IF('سجل الإنتاج'!D324="","",'سجل الإنتاج'!D324))</f>
        <v/>
      </c>
      <c r="G1324" t="str">
        <f>IF($B1324&lt;&gt;"",SUMPRODUCT(($B$2:$B1324&lt;&gt;"")*1),"")</f>
        <v/>
      </c>
    </row>
    <row r="1325" spans="1:7">
      <c r="A1325" s="23" t="str">
        <f>IF('سجل الإنتاج'!C325="","",'سجل الإنتاج'!B325)</f>
        <v/>
      </c>
      <c r="B1325" t="str">
        <f>IF('سجل الإنتاج'!C325="","","إنتاج طبخة")</f>
        <v/>
      </c>
      <c r="C1325" t="str">
        <f>IF('سجل الإنتاج'!C325="","",'سجل الإنتاج'!C325)</f>
        <v/>
      </c>
      <c r="D1325" t="str">
        <f>IF('سجل الإنتاج'!C325="","","عدة مواد - راجع صفحة الطبخات")</f>
        <v/>
      </c>
      <c r="F1325" t="str">
        <f>IF('سجل الإنتاج'!C325="","",IF('سجل الإنتاج'!D325="","",'سجل الإنتاج'!D325))</f>
        <v/>
      </c>
      <c r="G1325" t="str">
        <f>IF($B1325&lt;&gt;"",SUMPRODUCT(($B$2:$B1325&lt;&gt;"")*1),"")</f>
        <v/>
      </c>
    </row>
    <row r="1326" spans="1:7">
      <c r="A1326" s="23" t="str">
        <f>IF('سجل الإنتاج'!C326="","",'سجل الإنتاج'!B326)</f>
        <v/>
      </c>
      <c r="B1326" t="str">
        <f>IF('سجل الإنتاج'!C326="","","إنتاج طبخة")</f>
        <v/>
      </c>
      <c r="C1326" t="str">
        <f>IF('سجل الإنتاج'!C326="","",'سجل الإنتاج'!C326)</f>
        <v/>
      </c>
      <c r="D1326" t="str">
        <f>IF('سجل الإنتاج'!C326="","","عدة مواد - راجع صفحة الطبخات")</f>
        <v/>
      </c>
      <c r="F1326" t="str">
        <f>IF('سجل الإنتاج'!C326="","",IF('سجل الإنتاج'!D326="","",'سجل الإنتاج'!D326))</f>
        <v/>
      </c>
      <c r="G1326" t="str">
        <f>IF($B1326&lt;&gt;"",SUMPRODUCT(($B$2:$B1326&lt;&gt;"")*1),"")</f>
        <v/>
      </c>
    </row>
    <row r="1327" spans="1:7">
      <c r="A1327" s="23" t="str">
        <f>IF('سجل الإنتاج'!C327="","",'سجل الإنتاج'!B327)</f>
        <v/>
      </c>
      <c r="B1327" t="str">
        <f>IF('سجل الإنتاج'!C327="","","إنتاج طبخة")</f>
        <v/>
      </c>
      <c r="C1327" t="str">
        <f>IF('سجل الإنتاج'!C327="","",'سجل الإنتاج'!C327)</f>
        <v/>
      </c>
      <c r="D1327" t="str">
        <f>IF('سجل الإنتاج'!C327="","","عدة مواد - راجع صفحة الطبخات")</f>
        <v/>
      </c>
      <c r="F1327" t="str">
        <f>IF('سجل الإنتاج'!C327="","",IF('سجل الإنتاج'!D327="","",'سجل الإنتاج'!D327))</f>
        <v/>
      </c>
      <c r="G1327" t="str">
        <f>IF($B1327&lt;&gt;"",SUMPRODUCT(($B$2:$B1327&lt;&gt;"")*1),"")</f>
        <v/>
      </c>
    </row>
    <row r="1328" spans="1:7">
      <c r="A1328" s="23" t="str">
        <f>IF('سجل الإنتاج'!C328="","",'سجل الإنتاج'!B328)</f>
        <v/>
      </c>
      <c r="B1328" t="str">
        <f>IF('سجل الإنتاج'!C328="","","إنتاج طبخة")</f>
        <v/>
      </c>
      <c r="C1328" t="str">
        <f>IF('سجل الإنتاج'!C328="","",'سجل الإنتاج'!C328)</f>
        <v/>
      </c>
      <c r="D1328" t="str">
        <f>IF('سجل الإنتاج'!C328="","","عدة مواد - راجع صفحة الطبخات")</f>
        <v/>
      </c>
      <c r="F1328" t="str">
        <f>IF('سجل الإنتاج'!C328="","",IF('سجل الإنتاج'!D328="","",'سجل الإنتاج'!D328))</f>
        <v/>
      </c>
      <c r="G1328" t="str">
        <f>IF($B1328&lt;&gt;"",SUMPRODUCT(($B$2:$B1328&lt;&gt;"")*1),"")</f>
        <v/>
      </c>
    </row>
    <row r="1329" spans="1:7">
      <c r="A1329" s="23" t="str">
        <f>IF('سجل الإنتاج'!C329="","",'سجل الإنتاج'!B329)</f>
        <v/>
      </c>
      <c r="B1329" t="str">
        <f>IF('سجل الإنتاج'!C329="","","إنتاج طبخة")</f>
        <v/>
      </c>
      <c r="C1329" t="str">
        <f>IF('سجل الإنتاج'!C329="","",'سجل الإنتاج'!C329)</f>
        <v/>
      </c>
      <c r="D1329" t="str">
        <f>IF('سجل الإنتاج'!C329="","","عدة مواد - راجع صفحة الطبخات")</f>
        <v/>
      </c>
      <c r="F1329" t="str">
        <f>IF('سجل الإنتاج'!C329="","",IF('سجل الإنتاج'!D329="","",'سجل الإنتاج'!D329))</f>
        <v/>
      </c>
      <c r="G1329" t="str">
        <f>IF($B1329&lt;&gt;"",SUMPRODUCT(($B$2:$B1329&lt;&gt;"")*1),"")</f>
        <v/>
      </c>
    </row>
    <row r="1330" spans="1:7">
      <c r="A1330" s="23" t="str">
        <f>IF('سجل الإنتاج'!C330="","",'سجل الإنتاج'!B330)</f>
        <v/>
      </c>
      <c r="B1330" t="str">
        <f>IF('سجل الإنتاج'!C330="","","إنتاج طبخة")</f>
        <v/>
      </c>
      <c r="C1330" t="str">
        <f>IF('سجل الإنتاج'!C330="","",'سجل الإنتاج'!C330)</f>
        <v/>
      </c>
      <c r="D1330" t="str">
        <f>IF('سجل الإنتاج'!C330="","","عدة مواد - راجع صفحة الطبخات")</f>
        <v/>
      </c>
      <c r="F1330" t="str">
        <f>IF('سجل الإنتاج'!C330="","",IF('سجل الإنتاج'!D330="","",'سجل الإنتاج'!D330))</f>
        <v/>
      </c>
      <c r="G1330" t="str">
        <f>IF($B1330&lt;&gt;"",SUMPRODUCT(($B$2:$B1330&lt;&gt;"")*1),"")</f>
        <v/>
      </c>
    </row>
    <row r="1331" spans="1:7">
      <c r="A1331" s="23" t="str">
        <f>IF('سجل الإنتاج'!C331="","",'سجل الإنتاج'!B331)</f>
        <v/>
      </c>
      <c r="B1331" t="str">
        <f>IF('سجل الإنتاج'!C331="","","إنتاج طبخة")</f>
        <v/>
      </c>
      <c r="C1331" t="str">
        <f>IF('سجل الإنتاج'!C331="","",'سجل الإنتاج'!C331)</f>
        <v/>
      </c>
      <c r="D1331" t="str">
        <f>IF('سجل الإنتاج'!C331="","","عدة مواد - راجع صفحة الطبخات")</f>
        <v/>
      </c>
      <c r="F1331" t="str">
        <f>IF('سجل الإنتاج'!C331="","",IF('سجل الإنتاج'!D331="","",'سجل الإنتاج'!D331))</f>
        <v/>
      </c>
      <c r="G1331" t="str">
        <f>IF($B1331&lt;&gt;"",SUMPRODUCT(($B$2:$B1331&lt;&gt;"")*1),"")</f>
        <v/>
      </c>
    </row>
    <row r="1332" spans="1:7">
      <c r="A1332" s="23" t="str">
        <f>IF('سجل الإنتاج'!C332="","",'سجل الإنتاج'!B332)</f>
        <v/>
      </c>
      <c r="B1332" t="str">
        <f>IF('سجل الإنتاج'!C332="","","إنتاج طبخة")</f>
        <v/>
      </c>
      <c r="C1332" t="str">
        <f>IF('سجل الإنتاج'!C332="","",'سجل الإنتاج'!C332)</f>
        <v/>
      </c>
      <c r="D1332" t="str">
        <f>IF('سجل الإنتاج'!C332="","","عدة مواد - راجع صفحة الطبخات")</f>
        <v/>
      </c>
      <c r="F1332" t="str">
        <f>IF('سجل الإنتاج'!C332="","",IF('سجل الإنتاج'!D332="","",'سجل الإنتاج'!D332))</f>
        <v/>
      </c>
      <c r="G1332" t="str">
        <f>IF($B1332&lt;&gt;"",SUMPRODUCT(($B$2:$B1332&lt;&gt;"")*1),"")</f>
        <v/>
      </c>
    </row>
    <row r="1333" spans="1:7">
      <c r="A1333" s="23" t="str">
        <f>IF('سجل الإنتاج'!C333="","",'سجل الإنتاج'!B333)</f>
        <v/>
      </c>
      <c r="B1333" t="str">
        <f>IF('سجل الإنتاج'!C333="","","إنتاج طبخة")</f>
        <v/>
      </c>
      <c r="C1333" t="str">
        <f>IF('سجل الإنتاج'!C333="","",'سجل الإنتاج'!C333)</f>
        <v/>
      </c>
      <c r="D1333" t="str">
        <f>IF('سجل الإنتاج'!C333="","","عدة مواد - راجع صفحة الطبخات")</f>
        <v/>
      </c>
      <c r="F1333" t="str">
        <f>IF('سجل الإنتاج'!C333="","",IF('سجل الإنتاج'!D333="","",'سجل الإنتاج'!D333))</f>
        <v/>
      </c>
      <c r="G1333" t="str">
        <f>IF($B1333&lt;&gt;"",SUMPRODUCT(($B$2:$B1333&lt;&gt;"")*1),"")</f>
        <v/>
      </c>
    </row>
    <row r="1334" spans="1:7">
      <c r="A1334" s="23" t="str">
        <f>IF('سجل الإنتاج'!C334="","",'سجل الإنتاج'!B334)</f>
        <v/>
      </c>
      <c r="B1334" t="str">
        <f>IF('سجل الإنتاج'!C334="","","إنتاج طبخة")</f>
        <v/>
      </c>
      <c r="C1334" t="str">
        <f>IF('سجل الإنتاج'!C334="","",'سجل الإنتاج'!C334)</f>
        <v/>
      </c>
      <c r="D1334" t="str">
        <f>IF('سجل الإنتاج'!C334="","","عدة مواد - راجع صفحة الطبخات")</f>
        <v/>
      </c>
      <c r="F1334" t="str">
        <f>IF('سجل الإنتاج'!C334="","",IF('سجل الإنتاج'!D334="","",'سجل الإنتاج'!D334))</f>
        <v/>
      </c>
      <c r="G1334" t="str">
        <f>IF($B1334&lt;&gt;"",SUMPRODUCT(($B$2:$B1334&lt;&gt;"")*1),"")</f>
        <v/>
      </c>
    </row>
    <row r="1335" spans="1:7">
      <c r="A1335" s="23" t="str">
        <f>IF('سجل الإنتاج'!C335="","",'سجل الإنتاج'!B335)</f>
        <v/>
      </c>
      <c r="B1335" t="str">
        <f>IF('سجل الإنتاج'!C335="","","إنتاج طبخة")</f>
        <v/>
      </c>
      <c r="C1335" t="str">
        <f>IF('سجل الإنتاج'!C335="","",'سجل الإنتاج'!C335)</f>
        <v/>
      </c>
      <c r="D1335" t="str">
        <f>IF('سجل الإنتاج'!C335="","","عدة مواد - راجع صفحة الطبخات")</f>
        <v/>
      </c>
      <c r="F1335" t="str">
        <f>IF('سجل الإنتاج'!C335="","",IF('سجل الإنتاج'!D335="","",'سجل الإنتاج'!D335))</f>
        <v/>
      </c>
      <c r="G1335" t="str">
        <f>IF($B1335&lt;&gt;"",SUMPRODUCT(($B$2:$B1335&lt;&gt;"")*1),"")</f>
        <v/>
      </c>
    </row>
    <row r="1336" spans="1:7">
      <c r="A1336" s="23" t="str">
        <f>IF('سجل الإنتاج'!C336="","",'سجل الإنتاج'!B336)</f>
        <v/>
      </c>
      <c r="B1336" t="str">
        <f>IF('سجل الإنتاج'!C336="","","إنتاج طبخة")</f>
        <v/>
      </c>
      <c r="C1336" t="str">
        <f>IF('سجل الإنتاج'!C336="","",'سجل الإنتاج'!C336)</f>
        <v/>
      </c>
      <c r="D1336" t="str">
        <f>IF('سجل الإنتاج'!C336="","","عدة مواد - راجع صفحة الطبخات")</f>
        <v/>
      </c>
      <c r="F1336" t="str">
        <f>IF('سجل الإنتاج'!C336="","",IF('سجل الإنتاج'!D336="","",'سجل الإنتاج'!D336))</f>
        <v/>
      </c>
      <c r="G1336" t="str">
        <f>IF($B1336&lt;&gt;"",SUMPRODUCT(($B$2:$B1336&lt;&gt;"")*1),"")</f>
        <v/>
      </c>
    </row>
    <row r="1337" spans="1:7">
      <c r="A1337" s="23" t="str">
        <f>IF('سجل الإنتاج'!C337="","",'سجل الإنتاج'!B337)</f>
        <v/>
      </c>
      <c r="B1337" t="str">
        <f>IF('سجل الإنتاج'!C337="","","إنتاج طبخة")</f>
        <v/>
      </c>
      <c r="C1337" t="str">
        <f>IF('سجل الإنتاج'!C337="","",'سجل الإنتاج'!C337)</f>
        <v/>
      </c>
      <c r="D1337" t="str">
        <f>IF('سجل الإنتاج'!C337="","","عدة مواد - راجع صفحة الطبخات")</f>
        <v/>
      </c>
      <c r="F1337" t="str">
        <f>IF('سجل الإنتاج'!C337="","",IF('سجل الإنتاج'!D337="","",'سجل الإنتاج'!D337))</f>
        <v/>
      </c>
      <c r="G1337" t="str">
        <f>IF($B1337&lt;&gt;"",SUMPRODUCT(($B$2:$B1337&lt;&gt;"")*1),"")</f>
        <v/>
      </c>
    </row>
    <row r="1338" spans="1:7">
      <c r="A1338" s="23" t="str">
        <f>IF('سجل الإنتاج'!C338="","",'سجل الإنتاج'!B338)</f>
        <v/>
      </c>
      <c r="B1338" t="str">
        <f>IF('سجل الإنتاج'!C338="","","إنتاج طبخة")</f>
        <v/>
      </c>
      <c r="C1338" t="str">
        <f>IF('سجل الإنتاج'!C338="","",'سجل الإنتاج'!C338)</f>
        <v/>
      </c>
      <c r="D1338" t="str">
        <f>IF('سجل الإنتاج'!C338="","","عدة مواد - راجع صفحة الطبخات")</f>
        <v/>
      </c>
      <c r="F1338" t="str">
        <f>IF('سجل الإنتاج'!C338="","",IF('سجل الإنتاج'!D338="","",'سجل الإنتاج'!D338))</f>
        <v/>
      </c>
      <c r="G1338" t="str">
        <f>IF($B1338&lt;&gt;"",SUMPRODUCT(($B$2:$B1338&lt;&gt;"")*1),"")</f>
        <v/>
      </c>
    </row>
    <row r="1339" spans="1:7">
      <c r="A1339" s="23" t="str">
        <f>IF('سجل الإنتاج'!C339="","",'سجل الإنتاج'!B339)</f>
        <v/>
      </c>
      <c r="B1339" t="str">
        <f>IF('سجل الإنتاج'!C339="","","إنتاج طبخة")</f>
        <v/>
      </c>
      <c r="C1339" t="str">
        <f>IF('سجل الإنتاج'!C339="","",'سجل الإنتاج'!C339)</f>
        <v/>
      </c>
      <c r="D1339" t="str">
        <f>IF('سجل الإنتاج'!C339="","","عدة مواد - راجع صفحة الطبخات")</f>
        <v/>
      </c>
      <c r="F1339" t="str">
        <f>IF('سجل الإنتاج'!C339="","",IF('سجل الإنتاج'!D339="","",'سجل الإنتاج'!D339))</f>
        <v/>
      </c>
      <c r="G1339" t="str">
        <f>IF($B1339&lt;&gt;"",SUMPRODUCT(($B$2:$B1339&lt;&gt;"")*1),"")</f>
        <v/>
      </c>
    </row>
    <row r="1340" spans="1:7">
      <c r="A1340" s="23" t="str">
        <f>IF('سجل الإنتاج'!C340="","",'سجل الإنتاج'!B340)</f>
        <v/>
      </c>
      <c r="B1340" t="str">
        <f>IF('سجل الإنتاج'!C340="","","إنتاج طبخة")</f>
        <v/>
      </c>
      <c r="C1340" t="str">
        <f>IF('سجل الإنتاج'!C340="","",'سجل الإنتاج'!C340)</f>
        <v/>
      </c>
      <c r="D1340" t="str">
        <f>IF('سجل الإنتاج'!C340="","","عدة مواد - راجع صفحة الطبخات")</f>
        <v/>
      </c>
      <c r="F1340" t="str">
        <f>IF('سجل الإنتاج'!C340="","",IF('سجل الإنتاج'!D340="","",'سجل الإنتاج'!D340))</f>
        <v/>
      </c>
      <c r="G1340" t="str">
        <f>IF($B1340&lt;&gt;"",SUMPRODUCT(($B$2:$B1340&lt;&gt;"")*1),"")</f>
        <v/>
      </c>
    </row>
    <row r="1341" spans="1:7">
      <c r="A1341" s="23" t="str">
        <f>IF('سجل الإنتاج'!C341="","",'سجل الإنتاج'!B341)</f>
        <v/>
      </c>
      <c r="B1341" t="str">
        <f>IF('سجل الإنتاج'!C341="","","إنتاج طبخة")</f>
        <v/>
      </c>
      <c r="C1341" t="str">
        <f>IF('سجل الإنتاج'!C341="","",'سجل الإنتاج'!C341)</f>
        <v/>
      </c>
      <c r="D1341" t="str">
        <f>IF('سجل الإنتاج'!C341="","","عدة مواد - راجع صفحة الطبخات")</f>
        <v/>
      </c>
      <c r="F1341" t="str">
        <f>IF('سجل الإنتاج'!C341="","",IF('سجل الإنتاج'!D341="","",'سجل الإنتاج'!D341))</f>
        <v/>
      </c>
      <c r="G1341" t="str">
        <f>IF($B1341&lt;&gt;"",SUMPRODUCT(($B$2:$B1341&lt;&gt;"")*1),"")</f>
        <v/>
      </c>
    </row>
    <row r="1342" spans="1:7">
      <c r="A1342" s="23" t="str">
        <f>IF('سجل الإنتاج'!C342="","",'سجل الإنتاج'!B342)</f>
        <v/>
      </c>
      <c r="B1342" t="str">
        <f>IF('سجل الإنتاج'!C342="","","إنتاج طبخة")</f>
        <v/>
      </c>
      <c r="C1342" t="str">
        <f>IF('سجل الإنتاج'!C342="","",'سجل الإنتاج'!C342)</f>
        <v/>
      </c>
      <c r="D1342" t="str">
        <f>IF('سجل الإنتاج'!C342="","","عدة مواد - راجع صفحة الطبخات")</f>
        <v/>
      </c>
      <c r="F1342" t="str">
        <f>IF('سجل الإنتاج'!C342="","",IF('سجل الإنتاج'!D342="","",'سجل الإنتاج'!D342))</f>
        <v/>
      </c>
      <c r="G1342" t="str">
        <f>IF($B1342&lt;&gt;"",SUMPRODUCT(($B$2:$B1342&lt;&gt;"")*1),"")</f>
        <v/>
      </c>
    </row>
    <row r="1343" spans="1:7">
      <c r="A1343" s="23" t="str">
        <f>IF('سجل الإنتاج'!C343="","",'سجل الإنتاج'!B343)</f>
        <v/>
      </c>
      <c r="B1343" t="str">
        <f>IF('سجل الإنتاج'!C343="","","إنتاج طبخة")</f>
        <v/>
      </c>
      <c r="C1343" t="str">
        <f>IF('سجل الإنتاج'!C343="","",'سجل الإنتاج'!C343)</f>
        <v/>
      </c>
      <c r="D1343" t="str">
        <f>IF('سجل الإنتاج'!C343="","","عدة مواد - راجع صفحة الطبخات")</f>
        <v/>
      </c>
      <c r="F1343" t="str">
        <f>IF('سجل الإنتاج'!C343="","",IF('سجل الإنتاج'!D343="","",'سجل الإنتاج'!D343))</f>
        <v/>
      </c>
      <c r="G1343" t="str">
        <f>IF($B1343&lt;&gt;"",SUMPRODUCT(($B$2:$B1343&lt;&gt;"")*1),"")</f>
        <v/>
      </c>
    </row>
    <row r="1344" spans="1:7">
      <c r="A1344" s="23" t="str">
        <f>IF('سجل الإنتاج'!C344="","",'سجل الإنتاج'!B344)</f>
        <v/>
      </c>
      <c r="B1344" t="str">
        <f>IF('سجل الإنتاج'!C344="","","إنتاج طبخة")</f>
        <v/>
      </c>
      <c r="C1344" t="str">
        <f>IF('سجل الإنتاج'!C344="","",'سجل الإنتاج'!C344)</f>
        <v/>
      </c>
      <c r="D1344" t="str">
        <f>IF('سجل الإنتاج'!C344="","","عدة مواد - راجع صفحة الطبخات")</f>
        <v/>
      </c>
      <c r="F1344" t="str">
        <f>IF('سجل الإنتاج'!C344="","",IF('سجل الإنتاج'!D344="","",'سجل الإنتاج'!D344))</f>
        <v/>
      </c>
      <c r="G1344" t="str">
        <f>IF($B1344&lt;&gt;"",SUMPRODUCT(($B$2:$B1344&lt;&gt;"")*1),"")</f>
        <v/>
      </c>
    </row>
    <row r="1345" spans="1:7">
      <c r="A1345" s="23" t="str">
        <f>IF('سجل الإنتاج'!C345="","",'سجل الإنتاج'!B345)</f>
        <v/>
      </c>
      <c r="B1345" t="str">
        <f>IF('سجل الإنتاج'!C345="","","إنتاج طبخة")</f>
        <v/>
      </c>
      <c r="C1345" t="str">
        <f>IF('سجل الإنتاج'!C345="","",'سجل الإنتاج'!C345)</f>
        <v/>
      </c>
      <c r="D1345" t="str">
        <f>IF('سجل الإنتاج'!C345="","","عدة مواد - راجع صفحة الطبخات")</f>
        <v/>
      </c>
      <c r="F1345" t="str">
        <f>IF('سجل الإنتاج'!C345="","",IF('سجل الإنتاج'!D345="","",'سجل الإنتاج'!D345))</f>
        <v/>
      </c>
      <c r="G1345" t="str">
        <f>IF($B1345&lt;&gt;"",SUMPRODUCT(($B$2:$B1345&lt;&gt;"")*1),"")</f>
        <v/>
      </c>
    </row>
    <row r="1346" spans="1:7">
      <c r="A1346" s="23" t="str">
        <f>IF('سجل الإنتاج'!C346="","",'سجل الإنتاج'!B346)</f>
        <v/>
      </c>
      <c r="B1346" t="str">
        <f>IF('سجل الإنتاج'!C346="","","إنتاج طبخة")</f>
        <v/>
      </c>
      <c r="C1346" t="str">
        <f>IF('سجل الإنتاج'!C346="","",'سجل الإنتاج'!C346)</f>
        <v/>
      </c>
      <c r="D1346" t="str">
        <f>IF('سجل الإنتاج'!C346="","","عدة مواد - راجع صفحة الطبخات")</f>
        <v/>
      </c>
      <c r="F1346" t="str">
        <f>IF('سجل الإنتاج'!C346="","",IF('سجل الإنتاج'!D346="","",'سجل الإنتاج'!D346))</f>
        <v/>
      </c>
      <c r="G1346" t="str">
        <f>IF($B1346&lt;&gt;"",SUMPRODUCT(($B$2:$B1346&lt;&gt;"")*1),"")</f>
        <v/>
      </c>
    </row>
    <row r="1347" spans="1:7">
      <c r="A1347" s="23" t="str">
        <f>IF('سجل الإنتاج'!C347="","",'سجل الإنتاج'!B347)</f>
        <v/>
      </c>
      <c r="B1347" t="str">
        <f>IF('سجل الإنتاج'!C347="","","إنتاج طبخة")</f>
        <v/>
      </c>
      <c r="C1347" t="str">
        <f>IF('سجل الإنتاج'!C347="","",'سجل الإنتاج'!C347)</f>
        <v/>
      </c>
      <c r="D1347" t="str">
        <f>IF('سجل الإنتاج'!C347="","","عدة مواد - راجع صفحة الطبخات")</f>
        <v/>
      </c>
      <c r="F1347" t="str">
        <f>IF('سجل الإنتاج'!C347="","",IF('سجل الإنتاج'!D347="","",'سجل الإنتاج'!D347))</f>
        <v/>
      </c>
      <c r="G1347" t="str">
        <f>IF($B1347&lt;&gt;"",SUMPRODUCT(($B$2:$B1347&lt;&gt;"")*1),"")</f>
        <v/>
      </c>
    </row>
    <row r="1348" spans="1:7">
      <c r="A1348" s="23" t="str">
        <f>IF('سجل الإنتاج'!C348="","",'سجل الإنتاج'!B348)</f>
        <v/>
      </c>
      <c r="B1348" t="str">
        <f>IF('سجل الإنتاج'!C348="","","إنتاج طبخة")</f>
        <v/>
      </c>
      <c r="C1348" t="str">
        <f>IF('سجل الإنتاج'!C348="","",'سجل الإنتاج'!C348)</f>
        <v/>
      </c>
      <c r="D1348" t="str">
        <f>IF('سجل الإنتاج'!C348="","","عدة مواد - راجع صفحة الطبخات")</f>
        <v/>
      </c>
      <c r="F1348" t="str">
        <f>IF('سجل الإنتاج'!C348="","",IF('سجل الإنتاج'!D348="","",'سجل الإنتاج'!D348))</f>
        <v/>
      </c>
      <c r="G1348" t="str">
        <f>IF($B1348&lt;&gt;"",SUMPRODUCT(($B$2:$B1348&lt;&gt;"")*1),"")</f>
        <v/>
      </c>
    </row>
    <row r="1349" spans="1:7">
      <c r="A1349" s="23" t="str">
        <f>IF('سجل الإنتاج'!C349="","",'سجل الإنتاج'!B349)</f>
        <v/>
      </c>
      <c r="B1349" t="str">
        <f>IF('سجل الإنتاج'!C349="","","إنتاج طبخة")</f>
        <v/>
      </c>
      <c r="C1349" t="str">
        <f>IF('سجل الإنتاج'!C349="","",'سجل الإنتاج'!C349)</f>
        <v/>
      </c>
      <c r="D1349" t="str">
        <f>IF('سجل الإنتاج'!C349="","","عدة مواد - راجع صفحة الطبخات")</f>
        <v/>
      </c>
      <c r="F1349" t="str">
        <f>IF('سجل الإنتاج'!C349="","",IF('سجل الإنتاج'!D349="","",'سجل الإنتاج'!D349))</f>
        <v/>
      </c>
      <c r="G1349" t="str">
        <f>IF($B1349&lt;&gt;"",SUMPRODUCT(($B$2:$B1349&lt;&gt;"")*1),"")</f>
        <v/>
      </c>
    </row>
    <row r="1350" spans="1:7">
      <c r="A1350" s="23" t="str">
        <f>IF('سجل الإنتاج'!C350="","",'سجل الإنتاج'!B350)</f>
        <v/>
      </c>
      <c r="B1350" t="str">
        <f>IF('سجل الإنتاج'!C350="","","إنتاج طبخة")</f>
        <v/>
      </c>
      <c r="C1350" t="str">
        <f>IF('سجل الإنتاج'!C350="","",'سجل الإنتاج'!C350)</f>
        <v/>
      </c>
      <c r="D1350" t="str">
        <f>IF('سجل الإنتاج'!C350="","","عدة مواد - راجع صفحة الطبخات")</f>
        <v/>
      </c>
      <c r="F1350" t="str">
        <f>IF('سجل الإنتاج'!C350="","",IF('سجل الإنتاج'!D350="","",'سجل الإنتاج'!D350))</f>
        <v/>
      </c>
      <c r="G1350" t="str">
        <f>IF($B1350&lt;&gt;"",SUMPRODUCT(($B$2:$B1350&lt;&gt;"")*1),"")</f>
        <v/>
      </c>
    </row>
    <row r="1351" spans="1:7">
      <c r="A1351" s="23" t="str">
        <f>IF('سجل الإنتاج'!C351="","",'سجل الإنتاج'!B351)</f>
        <v/>
      </c>
      <c r="B1351" t="str">
        <f>IF('سجل الإنتاج'!C351="","","إنتاج طبخة")</f>
        <v/>
      </c>
      <c r="C1351" t="str">
        <f>IF('سجل الإنتاج'!C351="","",'سجل الإنتاج'!C351)</f>
        <v/>
      </c>
      <c r="D1351" t="str">
        <f>IF('سجل الإنتاج'!C351="","","عدة مواد - راجع صفحة الطبخات")</f>
        <v/>
      </c>
      <c r="F1351" t="str">
        <f>IF('سجل الإنتاج'!C351="","",IF('سجل الإنتاج'!D351="","",'سجل الإنتاج'!D351))</f>
        <v/>
      </c>
      <c r="G1351" t="str">
        <f>IF($B1351&lt;&gt;"",SUMPRODUCT(($B$2:$B1351&lt;&gt;"")*1),"")</f>
        <v/>
      </c>
    </row>
    <row r="1352" spans="1:7">
      <c r="A1352" s="23" t="str">
        <f>IF('سجل الإنتاج'!C352="","",'سجل الإنتاج'!B352)</f>
        <v/>
      </c>
      <c r="B1352" t="str">
        <f>IF('سجل الإنتاج'!C352="","","إنتاج طبخة")</f>
        <v/>
      </c>
      <c r="C1352" t="str">
        <f>IF('سجل الإنتاج'!C352="","",'سجل الإنتاج'!C352)</f>
        <v/>
      </c>
      <c r="D1352" t="str">
        <f>IF('سجل الإنتاج'!C352="","","عدة مواد - راجع صفحة الطبخات")</f>
        <v/>
      </c>
      <c r="F1352" t="str">
        <f>IF('سجل الإنتاج'!C352="","",IF('سجل الإنتاج'!D352="","",'سجل الإنتاج'!D352))</f>
        <v/>
      </c>
      <c r="G1352" t="str">
        <f>IF($B1352&lt;&gt;"",SUMPRODUCT(($B$2:$B1352&lt;&gt;"")*1),"")</f>
        <v/>
      </c>
    </row>
    <row r="1353" spans="1:7">
      <c r="A1353" s="23" t="str">
        <f>IF('سجل الإنتاج'!C353="","",'سجل الإنتاج'!B353)</f>
        <v/>
      </c>
      <c r="B1353" t="str">
        <f>IF('سجل الإنتاج'!C353="","","إنتاج طبخة")</f>
        <v/>
      </c>
      <c r="C1353" t="str">
        <f>IF('سجل الإنتاج'!C353="","",'سجل الإنتاج'!C353)</f>
        <v/>
      </c>
      <c r="D1353" t="str">
        <f>IF('سجل الإنتاج'!C353="","","عدة مواد - راجع صفحة الطبخات")</f>
        <v/>
      </c>
      <c r="F1353" t="str">
        <f>IF('سجل الإنتاج'!C353="","",IF('سجل الإنتاج'!D353="","",'سجل الإنتاج'!D353))</f>
        <v/>
      </c>
      <c r="G1353" t="str">
        <f>IF($B1353&lt;&gt;"",SUMPRODUCT(($B$2:$B1353&lt;&gt;"")*1),"")</f>
        <v/>
      </c>
    </row>
    <row r="1354" spans="1:7">
      <c r="A1354" s="23" t="str">
        <f>IF('سجل الإنتاج'!C354="","",'سجل الإنتاج'!B354)</f>
        <v/>
      </c>
      <c r="B1354" t="str">
        <f>IF('سجل الإنتاج'!C354="","","إنتاج طبخة")</f>
        <v/>
      </c>
      <c r="C1354" t="str">
        <f>IF('سجل الإنتاج'!C354="","",'سجل الإنتاج'!C354)</f>
        <v/>
      </c>
      <c r="D1354" t="str">
        <f>IF('سجل الإنتاج'!C354="","","عدة مواد - راجع صفحة الطبخات")</f>
        <v/>
      </c>
      <c r="F1354" t="str">
        <f>IF('سجل الإنتاج'!C354="","",IF('سجل الإنتاج'!D354="","",'سجل الإنتاج'!D354))</f>
        <v/>
      </c>
      <c r="G1354" t="str">
        <f>IF($B1354&lt;&gt;"",SUMPRODUCT(($B$2:$B1354&lt;&gt;"")*1),"")</f>
        <v/>
      </c>
    </row>
    <row r="1355" spans="1:7">
      <c r="A1355" s="23" t="str">
        <f>IF('سجل الإنتاج'!C355="","",'سجل الإنتاج'!B355)</f>
        <v/>
      </c>
      <c r="B1355" t="str">
        <f>IF('سجل الإنتاج'!C355="","","إنتاج طبخة")</f>
        <v/>
      </c>
      <c r="C1355" t="str">
        <f>IF('سجل الإنتاج'!C355="","",'سجل الإنتاج'!C355)</f>
        <v/>
      </c>
      <c r="D1355" t="str">
        <f>IF('سجل الإنتاج'!C355="","","عدة مواد - راجع صفحة الطبخات")</f>
        <v/>
      </c>
      <c r="F1355" t="str">
        <f>IF('سجل الإنتاج'!C355="","",IF('سجل الإنتاج'!D355="","",'سجل الإنتاج'!D355))</f>
        <v/>
      </c>
      <c r="G1355" t="str">
        <f>IF($B1355&lt;&gt;"",SUMPRODUCT(($B$2:$B1355&lt;&gt;"")*1),"")</f>
        <v/>
      </c>
    </row>
    <row r="1356" spans="1:7">
      <c r="A1356" s="23" t="str">
        <f>IF('سجل الإنتاج'!C356="","",'سجل الإنتاج'!B356)</f>
        <v/>
      </c>
      <c r="B1356" t="str">
        <f>IF('سجل الإنتاج'!C356="","","إنتاج طبخة")</f>
        <v/>
      </c>
      <c r="C1356" t="str">
        <f>IF('سجل الإنتاج'!C356="","",'سجل الإنتاج'!C356)</f>
        <v/>
      </c>
      <c r="D1356" t="str">
        <f>IF('سجل الإنتاج'!C356="","","عدة مواد - راجع صفحة الطبخات")</f>
        <v/>
      </c>
      <c r="F1356" t="str">
        <f>IF('سجل الإنتاج'!C356="","",IF('سجل الإنتاج'!D356="","",'سجل الإنتاج'!D356))</f>
        <v/>
      </c>
      <c r="G1356" t="str">
        <f>IF($B1356&lt;&gt;"",SUMPRODUCT(($B$2:$B1356&lt;&gt;"")*1),"")</f>
        <v/>
      </c>
    </row>
    <row r="1357" spans="1:7">
      <c r="A1357" s="23" t="str">
        <f>IF('سجل الإنتاج'!C357="","",'سجل الإنتاج'!B357)</f>
        <v/>
      </c>
      <c r="B1357" t="str">
        <f>IF('سجل الإنتاج'!C357="","","إنتاج طبخة")</f>
        <v/>
      </c>
      <c r="C1357" t="str">
        <f>IF('سجل الإنتاج'!C357="","",'سجل الإنتاج'!C357)</f>
        <v/>
      </c>
      <c r="D1357" t="str">
        <f>IF('سجل الإنتاج'!C357="","","عدة مواد - راجع صفحة الطبخات")</f>
        <v/>
      </c>
      <c r="F1357" t="str">
        <f>IF('سجل الإنتاج'!C357="","",IF('سجل الإنتاج'!D357="","",'سجل الإنتاج'!D357))</f>
        <v/>
      </c>
      <c r="G1357" t="str">
        <f>IF($B1357&lt;&gt;"",SUMPRODUCT(($B$2:$B1357&lt;&gt;"")*1),"")</f>
        <v/>
      </c>
    </row>
    <row r="1358" spans="1:7">
      <c r="A1358" s="23" t="str">
        <f>IF('سجل الإنتاج'!C358="","",'سجل الإنتاج'!B358)</f>
        <v/>
      </c>
      <c r="B1358" t="str">
        <f>IF('سجل الإنتاج'!C358="","","إنتاج طبخة")</f>
        <v/>
      </c>
      <c r="C1358" t="str">
        <f>IF('سجل الإنتاج'!C358="","",'سجل الإنتاج'!C358)</f>
        <v/>
      </c>
      <c r="D1358" t="str">
        <f>IF('سجل الإنتاج'!C358="","","عدة مواد - راجع صفحة الطبخات")</f>
        <v/>
      </c>
      <c r="F1358" t="str">
        <f>IF('سجل الإنتاج'!C358="","",IF('سجل الإنتاج'!D358="","",'سجل الإنتاج'!D358))</f>
        <v/>
      </c>
      <c r="G1358" t="str">
        <f>IF($B1358&lt;&gt;"",SUMPRODUCT(($B$2:$B1358&lt;&gt;"")*1),"")</f>
        <v/>
      </c>
    </row>
    <row r="1359" spans="1:7">
      <c r="A1359" s="23" t="str">
        <f>IF('سجل الإنتاج'!C359="","",'سجل الإنتاج'!B359)</f>
        <v/>
      </c>
      <c r="B1359" t="str">
        <f>IF('سجل الإنتاج'!C359="","","إنتاج طبخة")</f>
        <v/>
      </c>
      <c r="C1359" t="str">
        <f>IF('سجل الإنتاج'!C359="","",'سجل الإنتاج'!C359)</f>
        <v/>
      </c>
      <c r="D1359" t="str">
        <f>IF('سجل الإنتاج'!C359="","","عدة مواد - راجع صفحة الطبخات")</f>
        <v/>
      </c>
      <c r="F1359" t="str">
        <f>IF('سجل الإنتاج'!C359="","",IF('سجل الإنتاج'!D359="","",'سجل الإنتاج'!D359))</f>
        <v/>
      </c>
      <c r="G1359" t="str">
        <f>IF($B1359&lt;&gt;"",SUMPRODUCT(($B$2:$B1359&lt;&gt;"")*1),"")</f>
        <v/>
      </c>
    </row>
    <row r="1360" spans="1:7">
      <c r="A1360" s="23" t="str">
        <f>IF('سجل الإنتاج'!C360="","",'سجل الإنتاج'!B360)</f>
        <v/>
      </c>
      <c r="B1360" t="str">
        <f>IF('سجل الإنتاج'!C360="","","إنتاج طبخة")</f>
        <v/>
      </c>
      <c r="C1360" t="str">
        <f>IF('سجل الإنتاج'!C360="","",'سجل الإنتاج'!C360)</f>
        <v/>
      </c>
      <c r="D1360" t="str">
        <f>IF('سجل الإنتاج'!C360="","","عدة مواد - راجع صفحة الطبخات")</f>
        <v/>
      </c>
      <c r="F1360" t="str">
        <f>IF('سجل الإنتاج'!C360="","",IF('سجل الإنتاج'!D360="","",'سجل الإنتاج'!D360))</f>
        <v/>
      </c>
      <c r="G1360" t="str">
        <f>IF($B1360&lt;&gt;"",SUMPRODUCT(($B$2:$B1360&lt;&gt;"")*1),"")</f>
        <v/>
      </c>
    </row>
    <row r="1361" spans="1:7">
      <c r="A1361" s="23" t="str">
        <f>IF('سجل الإنتاج'!C361="","",'سجل الإنتاج'!B361)</f>
        <v/>
      </c>
      <c r="B1361" t="str">
        <f>IF('سجل الإنتاج'!C361="","","إنتاج طبخة")</f>
        <v/>
      </c>
      <c r="C1361" t="str">
        <f>IF('سجل الإنتاج'!C361="","",'سجل الإنتاج'!C361)</f>
        <v/>
      </c>
      <c r="D1361" t="str">
        <f>IF('سجل الإنتاج'!C361="","","عدة مواد - راجع صفحة الطبخات")</f>
        <v/>
      </c>
      <c r="F1361" t="str">
        <f>IF('سجل الإنتاج'!C361="","",IF('سجل الإنتاج'!D361="","",'سجل الإنتاج'!D361))</f>
        <v/>
      </c>
      <c r="G1361" t="str">
        <f>IF($B1361&lt;&gt;"",SUMPRODUCT(($B$2:$B1361&lt;&gt;"")*1),"")</f>
        <v/>
      </c>
    </row>
    <row r="1362" spans="1:7">
      <c r="A1362" s="23" t="str">
        <f>IF('سجل الإنتاج'!C362="","",'سجل الإنتاج'!B362)</f>
        <v/>
      </c>
      <c r="B1362" t="str">
        <f>IF('سجل الإنتاج'!C362="","","إنتاج طبخة")</f>
        <v/>
      </c>
      <c r="C1362" t="str">
        <f>IF('سجل الإنتاج'!C362="","",'سجل الإنتاج'!C362)</f>
        <v/>
      </c>
      <c r="D1362" t="str">
        <f>IF('سجل الإنتاج'!C362="","","عدة مواد - راجع صفحة الطبخات")</f>
        <v/>
      </c>
      <c r="F1362" t="str">
        <f>IF('سجل الإنتاج'!C362="","",IF('سجل الإنتاج'!D362="","",'سجل الإنتاج'!D362))</f>
        <v/>
      </c>
      <c r="G1362" t="str">
        <f>IF($B1362&lt;&gt;"",SUMPRODUCT(($B$2:$B1362&lt;&gt;"")*1),"")</f>
        <v/>
      </c>
    </row>
    <row r="1363" spans="1:7">
      <c r="A1363" s="23" t="str">
        <f>IF('سجل الإنتاج'!C363="","",'سجل الإنتاج'!B363)</f>
        <v/>
      </c>
      <c r="B1363" t="str">
        <f>IF('سجل الإنتاج'!C363="","","إنتاج طبخة")</f>
        <v/>
      </c>
      <c r="C1363" t="str">
        <f>IF('سجل الإنتاج'!C363="","",'سجل الإنتاج'!C363)</f>
        <v/>
      </c>
      <c r="D1363" t="str">
        <f>IF('سجل الإنتاج'!C363="","","عدة مواد - راجع صفحة الطبخات")</f>
        <v/>
      </c>
      <c r="F1363" t="str">
        <f>IF('سجل الإنتاج'!C363="","",IF('سجل الإنتاج'!D363="","",'سجل الإنتاج'!D363))</f>
        <v/>
      </c>
      <c r="G1363" t="str">
        <f>IF($B1363&lt;&gt;"",SUMPRODUCT(($B$2:$B1363&lt;&gt;"")*1),"")</f>
        <v/>
      </c>
    </row>
    <row r="1364" spans="1:7">
      <c r="A1364" s="23" t="str">
        <f>IF('سجل الإنتاج'!C364="","",'سجل الإنتاج'!B364)</f>
        <v/>
      </c>
      <c r="B1364" t="str">
        <f>IF('سجل الإنتاج'!C364="","","إنتاج طبخة")</f>
        <v/>
      </c>
      <c r="C1364" t="str">
        <f>IF('سجل الإنتاج'!C364="","",'سجل الإنتاج'!C364)</f>
        <v/>
      </c>
      <c r="D1364" t="str">
        <f>IF('سجل الإنتاج'!C364="","","عدة مواد - راجع صفحة الطبخات")</f>
        <v/>
      </c>
      <c r="F1364" t="str">
        <f>IF('سجل الإنتاج'!C364="","",IF('سجل الإنتاج'!D364="","",'سجل الإنتاج'!D364))</f>
        <v/>
      </c>
      <c r="G1364" t="str">
        <f>IF($B1364&lt;&gt;"",SUMPRODUCT(($B$2:$B1364&lt;&gt;"")*1),"")</f>
        <v/>
      </c>
    </row>
    <row r="1365" spans="1:7">
      <c r="A1365" s="23" t="str">
        <f>IF('سجل الإنتاج'!C365="","",'سجل الإنتاج'!B365)</f>
        <v/>
      </c>
      <c r="B1365" t="str">
        <f>IF('سجل الإنتاج'!C365="","","إنتاج طبخة")</f>
        <v/>
      </c>
      <c r="C1365" t="str">
        <f>IF('سجل الإنتاج'!C365="","",'سجل الإنتاج'!C365)</f>
        <v/>
      </c>
      <c r="D1365" t="str">
        <f>IF('سجل الإنتاج'!C365="","","عدة مواد - راجع صفحة الطبخات")</f>
        <v/>
      </c>
      <c r="F1365" t="str">
        <f>IF('سجل الإنتاج'!C365="","",IF('سجل الإنتاج'!D365="","",'سجل الإنتاج'!D365))</f>
        <v/>
      </c>
      <c r="G1365" t="str">
        <f>IF($B1365&lt;&gt;"",SUMPRODUCT(($B$2:$B1365&lt;&gt;"")*1),"")</f>
        <v/>
      </c>
    </row>
    <row r="1366" spans="1:7">
      <c r="A1366" s="23" t="str">
        <f>IF('سجل الإنتاج'!C366="","",'سجل الإنتاج'!B366)</f>
        <v/>
      </c>
      <c r="B1366" t="str">
        <f>IF('سجل الإنتاج'!C366="","","إنتاج طبخة")</f>
        <v/>
      </c>
      <c r="C1366" t="str">
        <f>IF('سجل الإنتاج'!C366="","",'سجل الإنتاج'!C366)</f>
        <v/>
      </c>
      <c r="D1366" t="str">
        <f>IF('سجل الإنتاج'!C366="","","عدة مواد - راجع صفحة الطبخات")</f>
        <v/>
      </c>
      <c r="F1366" t="str">
        <f>IF('سجل الإنتاج'!C366="","",IF('سجل الإنتاج'!D366="","",'سجل الإنتاج'!D366))</f>
        <v/>
      </c>
      <c r="G1366" t="str">
        <f>IF($B1366&lt;&gt;"",SUMPRODUCT(($B$2:$B1366&lt;&gt;"")*1),"")</f>
        <v/>
      </c>
    </row>
    <row r="1367" spans="1:7">
      <c r="A1367" s="23" t="str">
        <f>IF('سجل الإنتاج'!C367="","",'سجل الإنتاج'!B367)</f>
        <v/>
      </c>
      <c r="B1367" t="str">
        <f>IF('سجل الإنتاج'!C367="","","إنتاج طبخة")</f>
        <v/>
      </c>
      <c r="C1367" t="str">
        <f>IF('سجل الإنتاج'!C367="","",'سجل الإنتاج'!C367)</f>
        <v/>
      </c>
      <c r="D1367" t="str">
        <f>IF('سجل الإنتاج'!C367="","","عدة مواد - راجع صفحة الطبخات")</f>
        <v/>
      </c>
      <c r="F1367" t="str">
        <f>IF('سجل الإنتاج'!C367="","",IF('سجل الإنتاج'!D367="","",'سجل الإنتاج'!D367))</f>
        <v/>
      </c>
      <c r="G1367" t="str">
        <f>IF($B1367&lt;&gt;"",SUMPRODUCT(($B$2:$B1367&lt;&gt;"")*1),"")</f>
        <v/>
      </c>
    </row>
    <row r="1368" spans="1:7">
      <c r="A1368" s="23" t="str">
        <f>IF('سجل الإنتاج'!C368="","",'سجل الإنتاج'!B368)</f>
        <v/>
      </c>
      <c r="B1368" t="str">
        <f>IF('سجل الإنتاج'!C368="","","إنتاج طبخة")</f>
        <v/>
      </c>
      <c r="C1368" t="str">
        <f>IF('سجل الإنتاج'!C368="","",'سجل الإنتاج'!C368)</f>
        <v/>
      </c>
      <c r="D1368" t="str">
        <f>IF('سجل الإنتاج'!C368="","","عدة مواد - راجع صفحة الطبخات")</f>
        <v/>
      </c>
      <c r="F1368" t="str">
        <f>IF('سجل الإنتاج'!C368="","",IF('سجل الإنتاج'!D368="","",'سجل الإنتاج'!D368))</f>
        <v/>
      </c>
      <c r="G1368" t="str">
        <f>IF($B1368&lt;&gt;"",SUMPRODUCT(($B$2:$B1368&lt;&gt;"")*1),"")</f>
        <v/>
      </c>
    </row>
    <row r="1369" spans="1:7">
      <c r="A1369" s="23" t="str">
        <f>IF('سجل الإنتاج'!C369="","",'سجل الإنتاج'!B369)</f>
        <v/>
      </c>
      <c r="B1369" t="str">
        <f>IF('سجل الإنتاج'!C369="","","إنتاج طبخة")</f>
        <v/>
      </c>
      <c r="C1369" t="str">
        <f>IF('سجل الإنتاج'!C369="","",'سجل الإنتاج'!C369)</f>
        <v/>
      </c>
      <c r="D1369" t="str">
        <f>IF('سجل الإنتاج'!C369="","","عدة مواد - راجع صفحة الطبخات")</f>
        <v/>
      </c>
      <c r="F1369" t="str">
        <f>IF('سجل الإنتاج'!C369="","",IF('سجل الإنتاج'!D369="","",'سجل الإنتاج'!D369))</f>
        <v/>
      </c>
      <c r="G1369" t="str">
        <f>IF($B1369&lt;&gt;"",SUMPRODUCT(($B$2:$B1369&lt;&gt;"")*1),"")</f>
        <v/>
      </c>
    </row>
    <row r="1370" spans="1:7">
      <c r="A1370" s="23" t="str">
        <f>IF('سجل الإنتاج'!C370="","",'سجل الإنتاج'!B370)</f>
        <v/>
      </c>
      <c r="B1370" t="str">
        <f>IF('سجل الإنتاج'!C370="","","إنتاج طبخة")</f>
        <v/>
      </c>
      <c r="C1370" t="str">
        <f>IF('سجل الإنتاج'!C370="","",'سجل الإنتاج'!C370)</f>
        <v/>
      </c>
      <c r="D1370" t="str">
        <f>IF('سجل الإنتاج'!C370="","","عدة مواد - راجع صفحة الطبخات")</f>
        <v/>
      </c>
      <c r="F1370" t="str">
        <f>IF('سجل الإنتاج'!C370="","",IF('سجل الإنتاج'!D370="","",'سجل الإنتاج'!D370))</f>
        <v/>
      </c>
      <c r="G1370" t="str">
        <f>IF($B1370&lt;&gt;"",SUMPRODUCT(($B$2:$B1370&lt;&gt;"")*1),"")</f>
        <v/>
      </c>
    </row>
    <row r="1371" spans="1:7">
      <c r="A1371" s="23" t="str">
        <f>IF('سجل الإنتاج'!C371="","",'سجل الإنتاج'!B371)</f>
        <v/>
      </c>
      <c r="B1371" t="str">
        <f>IF('سجل الإنتاج'!C371="","","إنتاج طبخة")</f>
        <v/>
      </c>
      <c r="C1371" t="str">
        <f>IF('سجل الإنتاج'!C371="","",'سجل الإنتاج'!C371)</f>
        <v/>
      </c>
      <c r="D1371" t="str">
        <f>IF('سجل الإنتاج'!C371="","","عدة مواد - راجع صفحة الطبخات")</f>
        <v/>
      </c>
      <c r="F1371" t="str">
        <f>IF('سجل الإنتاج'!C371="","",IF('سجل الإنتاج'!D371="","",'سجل الإنتاج'!D371))</f>
        <v/>
      </c>
      <c r="G1371" t="str">
        <f>IF($B1371&lt;&gt;"",SUMPRODUCT(($B$2:$B1371&lt;&gt;"")*1),"")</f>
        <v/>
      </c>
    </row>
    <row r="1372" spans="1:7">
      <c r="A1372" s="23" t="str">
        <f>IF('سجل الإنتاج'!C372="","",'سجل الإنتاج'!B372)</f>
        <v/>
      </c>
      <c r="B1372" t="str">
        <f>IF('سجل الإنتاج'!C372="","","إنتاج طبخة")</f>
        <v/>
      </c>
      <c r="C1372" t="str">
        <f>IF('سجل الإنتاج'!C372="","",'سجل الإنتاج'!C372)</f>
        <v/>
      </c>
      <c r="D1372" t="str">
        <f>IF('سجل الإنتاج'!C372="","","عدة مواد - راجع صفحة الطبخات")</f>
        <v/>
      </c>
      <c r="F1372" t="str">
        <f>IF('سجل الإنتاج'!C372="","",IF('سجل الإنتاج'!D372="","",'سجل الإنتاج'!D372))</f>
        <v/>
      </c>
      <c r="G1372" t="str">
        <f>IF($B1372&lt;&gt;"",SUMPRODUCT(($B$2:$B1372&lt;&gt;"")*1),"")</f>
        <v/>
      </c>
    </row>
    <row r="1373" spans="1:7">
      <c r="A1373" s="23" t="str">
        <f>IF('سجل الإنتاج'!C373="","",'سجل الإنتاج'!B373)</f>
        <v/>
      </c>
      <c r="B1373" t="str">
        <f>IF('سجل الإنتاج'!C373="","","إنتاج طبخة")</f>
        <v/>
      </c>
      <c r="C1373" t="str">
        <f>IF('سجل الإنتاج'!C373="","",'سجل الإنتاج'!C373)</f>
        <v/>
      </c>
      <c r="D1373" t="str">
        <f>IF('سجل الإنتاج'!C373="","","عدة مواد - راجع صفحة الطبخات")</f>
        <v/>
      </c>
      <c r="F1373" t="str">
        <f>IF('سجل الإنتاج'!C373="","",IF('سجل الإنتاج'!D373="","",'سجل الإنتاج'!D373))</f>
        <v/>
      </c>
      <c r="G1373" t="str">
        <f>IF($B1373&lt;&gt;"",SUMPRODUCT(($B$2:$B1373&lt;&gt;"")*1),"")</f>
        <v/>
      </c>
    </row>
    <row r="1374" spans="1:7">
      <c r="A1374" s="23" t="str">
        <f>IF('سجل الإنتاج'!C374="","",'سجل الإنتاج'!B374)</f>
        <v/>
      </c>
      <c r="B1374" t="str">
        <f>IF('سجل الإنتاج'!C374="","","إنتاج طبخة")</f>
        <v/>
      </c>
      <c r="C1374" t="str">
        <f>IF('سجل الإنتاج'!C374="","",'سجل الإنتاج'!C374)</f>
        <v/>
      </c>
      <c r="D1374" t="str">
        <f>IF('سجل الإنتاج'!C374="","","عدة مواد - راجع صفحة الطبخات")</f>
        <v/>
      </c>
      <c r="F1374" t="str">
        <f>IF('سجل الإنتاج'!C374="","",IF('سجل الإنتاج'!D374="","",'سجل الإنتاج'!D374))</f>
        <v/>
      </c>
      <c r="G1374" t="str">
        <f>IF($B1374&lt;&gt;"",SUMPRODUCT(($B$2:$B1374&lt;&gt;"")*1),"")</f>
        <v/>
      </c>
    </row>
    <row r="1375" spans="1:7">
      <c r="A1375" s="23" t="str">
        <f>IF('سجل الإنتاج'!C375="","",'سجل الإنتاج'!B375)</f>
        <v/>
      </c>
      <c r="B1375" t="str">
        <f>IF('سجل الإنتاج'!C375="","","إنتاج طبخة")</f>
        <v/>
      </c>
      <c r="C1375" t="str">
        <f>IF('سجل الإنتاج'!C375="","",'سجل الإنتاج'!C375)</f>
        <v/>
      </c>
      <c r="D1375" t="str">
        <f>IF('سجل الإنتاج'!C375="","","عدة مواد - راجع صفحة الطبخات")</f>
        <v/>
      </c>
      <c r="F1375" t="str">
        <f>IF('سجل الإنتاج'!C375="","",IF('سجل الإنتاج'!D375="","",'سجل الإنتاج'!D375))</f>
        <v/>
      </c>
      <c r="G1375" t="str">
        <f>IF($B1375&lt;&gt;"",SUMPRODUCT(($B$2:$B1375&lt;&gt;"")*1),"")</f>
        <v/>
      </c>
    </row>
    <row r="1376" spans="1:7">
      <c r="A1376" s="23" t="str">
        <f>IF('سجل الإنتاج'!C376="","",'سجل الإنتاج'!B376)</f>
        <v/>
      </c>
      <c r="B1376" t="str">
        <f>IF('سجل الإنتاج'!C376="","","إنتاج طبخة")</f>
        <v/>
      </c>
      <c r="C1376" t="str">
        <f>IF('سجل الإنتاج'!C376="","",'سجل الإنتاج'!C376)</f>
        <v/>
      </c>
      <c r="D1376" t="str">
        <f>IF('سجل الإنتاج'!C376="","","عدة مواد - راجع صفحة الطبخات")</f>
        <v/>
      </c>
      <c r="F1376" t="str">
        <f>IF('سجل الإنتاج'!C376="","",IF('سجل الإنتاج'!D376="","",'سجل الإنتاج'!D376))</f>
        <v/>
      </c>
      <c r="G1376" t="str">
        <f>IF($B1376&lt;&gt;"",SUMPRODUCT(($B$2:$B1376&lt;&gt;"")*1),"")</f>
        <v/>
      </c>
    </row>
    <row r="1377" spans="1:7">
      <c r="A1377" s="23" t="str">
        <f>IF('سجل الإنتاج'!C377="","",'سجل الإنتاج'!B377)</f>
        <v/>
      </c>
      <c r="B1377" t="str">
        <f>IF('سجل الإنتاج'!C377="","","إنتاج طبخة")</f>
        <v/>
      </c>
      <c r="C1377" t="str">
        <f>IF('سجل الإنتاج'!C377="","",'سجل الإنتاج'!C377)</f>
        <v/>
      </c>
      <c r="D1377" t="str">
        <f>IF('سجل الإنتاج'!C377="","","عدة مواد - راجع صفحة الطبخات")</f>
        <v/>
      </c>
      <c r="F1377" t="str">
        <f>IF('سجل الإنتاج'!C377="","",IF('سجل الإنتاج'!D377="","",'سجل الإنتاج'!D377))</f>
        <v/>
      </c>
      <c r="G1377" t="str">
        <f>IF($B1377&lt;&gt;"",SUMPRODUCT(($B$2:$B1377&lt;&gt;"")*1),"")</f>
        <v/>
      </c>
    </row>
    <row r="1378" spans="1:7">
      <c r="A1378" s="23" t="str">
        <f>IF('سجل الإنتاج'!C378="","",'سجل الإنتاج'!B378)</f>
        <v/>
      </c>
      <c r="B1378" t="str">
        <f>IF('سجل الإنتاج'!C378="","","إنتاج طبخة")</f>
        <v/>
      </c>
      <c r="C1378" t="str">
        <f>IF('سجل الإنتاج'!C378="","",'سجل الإنتاج'!C378)</f>
        <v/>
      </c>
      <c r="D1378" t="str">
        <f>IF('سجل الإنتاج'!C378="","","عدة مواد - راجع صفحة الطبخات")</f>
        <v/>
      </c>
      <c r="F1378" t="str">
        <f>IF('سجل الإنتاج'!C378="","",IF('سجل الإنتاج'!D378="","",'سجل الإنتاج'!D378))</f>
        <v/>
      </c>
      <c r="G1378" t="str">
        <f>IF($B1378&lt;&gt;"",SUMPRODUCT(($B$2:$B1378&lt;&gt;"")*1),"")</f>
        <v/>
      </c>
    </row>
    <row r="1379" spans="1:7">
      <c r="A1379" s="23" t="str">
        <f>IF('سجل الإنتاج'!C379="","",'سجل الإنتاج'!B379)</f>
        <v/>
      </c>
      <c r="B1379" t="str">
        <f>IF('سجل الإنتاج'!C379="","","إنتاج طبخة")</f>
        <v/>
      </c>
      <c r="C1379" t="str">
        <f>IF('سجل الإنتاج'!C379="","",'سجل الإنتاج'!C379)</f>
        <v/>
      </c>
      <c r="D1379" t="str">
        <f>IF('سجل الإنتاج'!C379="","","عدة مواد - راجع صفحة الطبخات")</f>
        <v/>
      </c>
      <c r="F1379" t="str">
        <f>IF('سجل الإنتاج'!C379="","",IF('سجل الإنتاج'!D379="","",'سجل الإنتاج'!D379))</f>
        <v/>
      </c>
      <c r="G1379" t="str">
        <f>IF($B1379&lt;&gt;"",SUMPRODUCT(($B$2:$B1379&lt;&gt;"")*1),"")</f>
        <v/>
      </c>
    </row>
    <row r="1380" spans="1:7">
      <c r="A1380" s="23" t="str">
        <f>IF('سجل الإنتاج'!C380="","",'سجل الإنتاج'!B380)</f>
        <v/>
      </c>
      <c r="B1380" t="str">
        <f>IF('سجل الإنتاج'!C380="","","إنتاج طبخة")</f>
        <v/>
      </c>
      <c r="C1380" t="str">
        <f>IF('سجل الإنتاج'!C380="","",'سجل الإنتاج'!C380)</f>
        <v/>
      </c>
      <c r="D1380" t="str">
        <f>IF('سجل الإنتاج'!C380="","","عدة مواد - راجع صفحة الطبخات")</f>
        <v/>
      </c>
      <c r="F1380" t="str">
        <f>IF('سجل الإنتاج'!C380="","",IF('سجل الإنتاج'!D380="","",'سجل الإنتاج'!D380))</f>
        <v/>
      </c>
      <c r="G1380" t="str">
        <f>IF($B1380&lt;&gt;"",SUMPRODUCT(($B$2:$B1380&lt;&gt;"")*1),"")</f>
        <v/>
      </c>
    </row>
    <row r="1381" spans="1:7">
      <c r="A1381" s="23" t="str">
        <f>IF('سجل الإنتاج'!C381="","",'سجل الإنتاج'!B381)</f>
        <v/>
      </c>
      <c r="B1381" t="str">
        <f>IF('سجل الإنتاج'!C381="","","إنتاج طبخة")</f>
        <v/>
      </c>
      <c r="C1381" t="str">
        <f>IF('سجل الإنتاج'!C381="","",'سجل الإنتاج'!C381)</f>
        <v/>
      </c>
      <c r="D1381" t="str">
        <f>IF('سجل الإنتاج'!C381="","","عدة مواد - راجع صفحة الطبخات")</f>
        <v/>
      </c>
      <c r="F1381" t="str">
        <f>IF('سجل الإنتاج'!C381="","",IF('سجل الإنتاج'!D381="","",'سجل الإنتاج'!D381))</f>
        <v/>
      </c>
      <c r="G1381" t="str">
        <f>IF($B1381&lt;&gt;"",SUMPRODUCT(($B$2:$B1381&lt;&gt;"")*1),"")</f>
        <v/>
      </c>
    </row>
    <row r="1382" spans="1:7">
      <c r="A1382" s="23" t="str">
        <f>IF('سجل الإنتاج'!C382="","",'سجل الإنتاج'!B382)</f>
        <v/>
      </c>
      <c r="B1382" t="str">
        <f>IF('سجل الإنتاج'!C382="","","إنتاج طبخة")</f>
        <v/>
      </c>
      <c r="C1382" t="str">
        <f>IF('سجل الإنتاج'!C382="","",'سجل الإنتاج'!C382)</f>
        <v/>
      </c>
      <c r="D1382" t="str">
        <f>IF('سجل الإنتاج'!C382="","","عدة مواد - راجع صفحة الطبخات")</f>
        <v/>
      </c>
      <c r="F1382" t="str">
        <f>IF('سجل الإنتاج'!C382="","",IF('سجل الإنتاج'!D382="","",'سجل الإنتاج'!D382))</f>
        <v/>
      </c>
      <c r="G1382" t="str">
        <f>IF($B1382&lt;&gt;"",SUMPRODUCT(($B$2:$B1382&lt;&gt;"")*1),"")</f>
        <v/>
      </c>
    </row>
    <row r="1383" spans="1:7">
      <c r="A1383" s="23" t="str">
        <f>IF('سجل الإنتاج'!C383="","",'سجل الإنتاج'!B383)</f>
        <v/>
      </c>
      <c r="B1383" t="str">
        <f>IF('سجل الإنتاج'!C383="","","إنتاج طبخة")</f>
        <v/>
      </c>
      <c r="C1383" t="str">
        <f>IF('سجل الإنتاج'!C383="","",'سجل الإنتاج'!C383)</f>
        <v/>
      </c>
      <c r="D1383" t="str">
        <f>IF('سجل الإنتاج'!C383="","","عدة مواد - راجع صفحة الطبخات")</f>
        <v/>
      </c>
      <c r="F1383" t="str">
        <f>IF('سجل الإنتاج'!C383="","",IF('سجل الإنتاج'!D383="","",'سجل الإنتاج'!D383))</f>
        <v/>
      </c>
      <c r="G1383" t="str">
        <f>IF($B1383&lt;&gt;"",SUMPRODUCT(($B$2:$B1383&lt;&gt;"")*1),"")</f>
        <v/>
      </c>
    </row>
    <row r="1384" spans="1:7">
      <c r="A1384" s="23" t="str">
        <f>IF('سجل الإنتاج'!C384="","",'سجل الإنتاج'!B384)</f>
        <v/>
      </c>
      <c r="B1384" t="str">
        <f>IF('سجل الإنتاج'!C384="","","إنتاج طبخة")</f>
        <v/>
      </c>
      <c r="C1384" t="str">
        <f>IF('سجل الإنتاج'!C384="","",'سجل الإنتاج'!C384)</f>
        <v/>
      </c>
      <c r="D1384" t="str">
        <f>IF('سجل الإنتاج'!C384="","","عدة مواد - راجع صفحة الطبخات")</f>
        <v/>
      </c>
      <c r="F1384" t="str">
        <f>IF('سجل الإنتاج'!C384="","",IF('سجل الإنتاج'!D384="","",'سجل الإنتاج'!D384))</f>
        <v/>
      </c>
      <c r="G1384" t="str">
        <f>IF($B1384&lt;&gt;"",SUMPRODUCT(($B$2:$B1384&lt;&gt;"")*1),"")</f>
        <v/>
      </c>
    </row>
    <row r="1385" spans="1:7">
      <c r="A1385" s="23" t="str">
        <f>IF('سجل الإنتاج'!C385="","",'سجل الإنتاج'!B385)</f>
        <v/>
      </c>
      <c r="B1385" t="str">
        <f>IF('سجل الإنتاج'!C385="","","إنتاج طبخة")</f>
        <v/>
      </c>
      <c r="C1385" t="str">
        <f>IF('سجل الإنتاج'!C385="","",'سجل الإنتاج'!C385)</f>
        <v/>
      </c>
      <c r="D1385" t="str">
        <f>IF('سجل الإنتاج'!C385="","","عدة مواد - راجع صفحة الطبخات")</f>
        <v/>
      </c>
      <c r="F1385" t="str">
        <f>IF('سجل الإنتاج'!C385="","",IF('سجل الإنتاج'!D385="","",'سجل الإنتاج'!D385))</f>
        <v/>
      </c>
      <c r="G1385" t="str">
        <f>IF($B1385&lt;&gt;"",SUMPRODUCT(($B$2:$B1385&lt;&gt;"")*1),"")</f>
        <v/>
      </c>
    </row>
    <row r="1386" spans="1:7">
      <c r="A1386" s="23" t="str">
        <f>IF('سجل الإنتاج'!C386="","",'سجل الإنتاج'!B386)</f>
        <v/>
      </c>
      <c r="B1386" t="str">
        <f>IF('سجل الإنتاج'!C386="","","إنتاج طبخة")</f>
        <v/>
      </c>
      <c r="C1386" t="str">
        <f>IF('سجل الإنتاج'!C386="","",'سجل الإنتاج'!C386)</f>
        <v/>
      </c>
      <c r="D1386" t="str">
        <f>IF('سجل الإنتاج'!C386="","","عدة مواد - راجع صفحة الطبخات")</f>
        <v/>
      </c>
      <c r="F1386" t="str">
        <f>IF('سجل الإنتاج'!C386="","",IF('سجل الإنتاج'!D386="","",'سجل الإنتاج'!D386))</f>
        <v/>
      </c>
      <c r="G1386" t="str">
        <f>IF($B1386&lt;&gt;"",SUMPRODUCT(($B$2:$B1386&lt;&gt;"")*1),"")</f>
        <v/>
      </c>
    </row>
    <row r="1387" spans="1:7">
      <c r="A1387" s="23" t="str">
        <f>IF('سجل الإنتاج'!C387="","",'سجل الإنتاج'!B387)</f>
        <v/>
      </c>
      <c r="B1387" t="str">
        <f>IF('سجل الإنتاج'!C387="","","إنتاج طبخة")</f>
        <v/>
      </c>
      <c r="C1387" t="str">
        <f>IF('سجل الإنتاج'!C387="","",'سجل الإنتاج'!C387)</f>
        <v/>
      </c>
      <c r="D1387" t="str">
        <f>IF('سجل الإنتاج'!C387="","","عدة مواد - راجع صفحة الطبخات")</f>
        <v/>
      </c>
      <c r="F1387" t="str">
        <f>IF('سجل الإنتاج'!C387="","",IF('سجل الإنتاج'!D387="","",'سجل الإنتاج'!D387))</f>
        <v/>
      </c>
      <c r="G1387" t="str">
        <f>IF($B1387&lt;&gt;"",SUMPRODUCT(($B$2:$B1387&lt;&gt;"")*1),"")</f>
        <v/>
      </c>
    </row>
    <row r="1388" spans="1:7">
      <c r="A1388" s="23" t="str">
        <f>IF('سجل الإنتاج'!C388="","",'سجل الإنتاج'!B388)</f>
        <v/>
      </c>
      <c r="B1388" t="str">
        <f>IF('سجل الإنتاج'!C388="","","إنتاج طبخة")</f>
        <v/>
      </c>
      <c r="C1388" t="str">
        <f>IF('سجل الإنتاج'!C388="","",'سجل الإنتاج'!C388)</f>
        <v/>
      </c>
      <c r="D1388" t="str">
        <f>IF('سجل الإنتاج'!C388="","","عدة مواد - راجع صفحة الطبخات")</f>
        <v/>
      </c>
      <c r="F1388" t="str">
        <f>IF('سجل الإنتاج'!C388="","",IF('سجل الإنتاج'!D388="","",'سجل الإنتاج'!D388))</f>
        <v/>
      </c>
      <c r="G1388" t="str">
        <f>IF($B1388&lt;&gt;"",SUMPRODUCT(($B$2:$B1388&lt;&gt;"")*1),"")</f>
        <v/>
      </c>
    </row>
    <row r="1389" spans="1:7">
      <c r="A1389" s="23" t="str">
        <f>IF('سجل الإنتاج'!C389="","",'سجل الإنتاج'!B389)</f>
        <v/>
      </c>
      <c r="B1389" t="str">
        <f>IF('سجل الإنتاج'!C389="","","إنتاج طبخة")</f>
        <v/>
      </c>
      <c r="C1389" t="str">
        <f>IF('سجل الإنتاج'!C389="","",'سجل الإنتاج'!C389)</f>
        <v/>
      </c>
      <c r="D1389" t="str">
        <f>IF('سجل الإنتاج'!C389="","","عدة مواد - راجع صفحة الطبخات")</f>
        <v/>
      </c>
      <c r="F1389" t="str">
        <f>IF('سجل الإنتاج'!C389="","",IF('سجل الإنتاج'!D389="","",'سجل الإنتاج'!D389))</f>
        <v/>
      </c>
      <c r="G1389" t="str">
        <f>IF($B1389&lt;&gt;"",SUMPRODUCT(($B$2:$B1389&lt;&gt;"")*1),"")</f>
        <v/>
      </c>
    </row>
    <row r="1390" spans="1:7">
      <c r="A1390" s="23" t="str">
        <f>IF('سجل الإنتاج'!C390="","",'سجل الإنتاج'!B390)</f>
        <v/>
      </c>
      <c r="B1390" t="str">
        <f>IF('سجل الإنتاج'!C390="","","إنتاج طبخة")</f>
        <v/>
      </c>
      <c r="C1390" t="str">
        <f>IF('سجل الإنتاج'!C390="","",'سجل الإنتاج'!C390)</f>
        <v/>
      </c>
      <c r="D1390" t="str">
        <f>IF('سجل الإنتاج'!C390="","","عدة مواد - راجع صفحة الطبخات")</f>
        <v/>
      </c>
      <c r="F1390" t="str">
        <f>IF('سجل الإنتاج'!C390="","",IF('سجل الإنتاج'!D390="","",'سجل الإنتاج'!D390))</f>
        <v/>
      </c>
      <c r="G1390" t="str">
        <f>IF($B1390&lt;&gt;"",SUMPRODUCT(($B$2:$B1390&lt;&gt;"")*1),"")</f>
        <v/>
      </c>
    </row>
    <row r="1391" spans="1:7">
      <c r="A1391" s="23" t="str">
        <f>IF('سجل الإنتاج'!C391="","",'سجل الإنتاج'!B391)</f>
        <v/>
      </c>
      <c r="B1391" t="str">
        <f>IF('سجل الإنتاج'!C391="","","إنتاج طبخة")</f>
        <v/>
      </c>
      <c r="C1391" t="str">
        <f>IF('سجل الإنتاج'!C391="","",'سجل الإنتاج'!C391)</f>
        <v/>
      </c>
      <c r="D1391" t="str">
        <f>IF('سجل الإنتاج'!C391="","","عدة مواد - راجع صفحة الطبخات")</f>
        <v/>
      </c>
      <c r="F1391" t="str">
        <f>IF('سجل الإنتاج'!C391="","",IF('سجل الإنتاج'!D391="","",'سجل الإنتاج'!D391))</f>
        <v/>
      </c>
      <c r="G1391" t="str">
        <f>IF($B1391&lt;&gt;"",SUMPRODUCT(($B$2:$B1391&lt;&gt;"")*1),"")</f>
        <v/>
      </c>
    </row>
    <row r="1392" spans="1:7">
      <c r="A1392" s="23" t="str">
        <f>IF('سجل الإنتاج'!C392="","",'سجل الإنتاج'!B392)</f>
        <v/>
      </c>
      <c r="B1392" t="str">
        <f>IF('سجل الإنتاج'!C392="","","إنتاج طبخة")</f>
        <v/>
      </c>
      <c r="C1392" t="str">
        <f>IF('سجل الإنتاج'!C392="","",'سجل الإنتاج'!C392)</f>
        <v/>
      </c>
      <c r="D1392" t="str">
        <f>IF('سجل الإنتاج'!C392="","","عدة مواد - راجع صفحة الطبخات")</f>
        <v/>
      </c>
      <c r="F1392" t="str">
        <f>IF('سجل الإنتاج'!C392="","",IF('سجل الإنتاج'!D392="","",'سجل الإنتاج'!D392))</f>
        <v/>
      </c>
      <c r="G1392" t="str">
        <f>IF($B1392&lt;&gt;"",SUMPRODUCT(($B$2:$B1392&lt;&gt;"")*1),"")</f>
        <v/>
      </c>
    </row>
    <row r="1393" spans="1:7">
      <c r="A1393" s="23" t="str">
        <f>IF('سجل الإنتاج'!C393="","",'سجل الإنتاج'!B393)</f>
        <v/>
      </c>
      <c r="B1393" t="str">
        <f>IF('سجل الإنتاج'!C393="","","إنتاج طبخة")</f>
        <v/>
      </c>
      <c r="C1393" t="str">
        <f>IF('سجل الإنتاج'!C393="","",'سجل الإنتاج'!C393)</f>
        <v/>
      </c>
      <c r="D1393" t="str">
        <f>IF('سجل الإنتاج'!C393="","","عدة مواد - راجع صفحة الطبخات")</f>
        <v/>
      </c>
      <c r="F1393" t="str">
        <f>IF('سجل الإنتاج'!C393="","",IF('سجل الإنتاج'!D393="","",'سجل الإنتاج'!D393))</f>
        <v/>
      </c>
      <c r="G1393" t="str">
        <f>IF($B1393&lt;&gt;"",SUMPRODUCT(($B$2:$B1393&lt;&gt;"")*1),"")</f>
        <v/>
      </c>
    </row>
    <row r="1394" spans="1:7">
      <c r="A1394" s="23" t="str">
        <f>IF('سجل الإنتاج'!C394="","",'سجل الإنتاج'!B394)</f>
        <v/>
      </c>
      <c r="B1394" t="str">
        <f>IF('سجل الإنتاج'!C394="","","إنتاج طبخة")</f>
        <v/>
      </c>
      <c r="C1394" t="str">
        <f>IF('سجل الإنتاج'!C394="","",'سجل الإنتاج'!C394)</f>
        <v/>
      </c>
      <c r="D1394" t="str">
        <f>IF('سجل الإنتاج'!C394="","","عدة مواد - راجع صفحة الطبخات")</f>
        <v/>
      </c>
      <c r="F1394" t="str">
        <f>IF('سجل الإنتاج'!C394="","",IF('سجل الإنتاج'!D394="","",'سجل الإنتاج'!D394))</f>
        <v/>
      </c>
      <c r="G1394" t="str">
        <f>IF($B1394&lt;&gt;"",SUMPRODUCT(($B$2:$B1394&lt;&gt;"")*1),"")</f>
        <v/>
      </c>
    </row>
    <row r="1395" spans="1:7">
      <c r="A1395" s="23" t="str">
        <f>IF('سجل الإنتاج'!C395="","",'سجل الإنتاج'!B395)</f>
        <v/>
      </c>
      <c r="B1395" t="str">
        <f>IF('سجل الإنتاج'!C395="","","إنتاج طبخة")</f>
        <v/>
      </c>
      <c r="C1395" t="str">
        <f>IF('سجل الإنتاج'!C395="","",'سجل الإنتاج'!C395)</f>
        <v/>
      </c>
      <c r="D1395" t="str">
        <f>IF('سجل الإنتاج'!C395="","","عدة مواد - راجع صفحة الطبخات")</f>
        <v/>
      </c>
      <c r="F1395" t="str">
        <f>IF('سجل الإنتاج'!C395="","",IF('سجل الإنتاج'!D395="","",'سجل الإنتاج'!D395))</f>
        <v/>
      </c>
      <c r="G1395" t="str">
        <f>IF($B1395&lt;&gt;"",SUMPRODUCT(($B$2:$B1395&lt;&gt;"")*1),"")</f>
        <v/>
      </c>
    </row>
    <row r="1396" spans="1:7">
      <c r="A1396" s="23" t="str">
        <f>IF('سجل الإنتاج'!C396="","",'سجل الإنتاج'!B396)</f>
        <v/>
      </c>
      <c r="B1396" t="str">
        <f>IF('سجل الإنتاج'!C396="","","إنتاج طبخة")</f>
        <v/>
      </c>
      <c r="C1396" t="str">
        <f>IF('سجل الإنتاج'!C396="","",'سجل الإنتاج'!C396)</f>
        <v/>
      </c>
      <c r="D1396" t="str">
        <f>IF('سجل الإنتاج'!C396="","","عدة مواد - راجع صفحة الطبخات")</f>
        <v/>
      </c>
      <c r="F1396" t="str">
        <f>IF('سجل الإنتاج'!C396="","",IF('سجل الإنتاج'!D396="","",'سجل الإنتاج'!D396))</f>
        <v/>
      </c>
      <c r="G1396" t="str">
        <f>IF($B1396&lt;&gt;"",SUMPRODUCT(($B$2:$B1396&lt;&gt;"")*1),"")</f>
        <v/>
      </c>
    </row>
    <row r="1397" spans="1:7">
      <c r="A1397" s="23" t="str">
        <f>IF('سجل الإنتاج'!C397="","",'سجل الإنتاج'!B397)</f>
        <v/>
      </c>
      <c r="B1397" t="str">
        <f>IF('سجل الإنتاج'!C397="","","إنتاج طبخة")</f>
        <v/>
      </c>
      <c r="C1397" t="str">
        <f>IF('سجل الإنتاج'!C397="","",'سجل الإنتاج'!C397)</f>
        <v/>
      </c>
      <c r="D1397" t="str">
        <f>IF('سجل الإنتاج'!C397="","","عدة مواد - راجع صفحة الطبخات")</f>
        <v/>
      </c>
      <c r="F1397" t="str">
        <f>IF('سجل الإنتاج'!C397="","",IF('سجل الإنتاج'!D397="","",'سجل الإنتاج'!D397))</f>
        <v/>
      </c>
      <c r="G1397" t="str">
        <f>IF($B1397&lt;&gt;"",SUMPRODUCT(($B$2:$B1397&lt;&gt;"")*1),"")</f>
        <v/>
      </c>
    </row>
    <row r="1398" spans="1:7">
      <c r="A1398" s="23" t="str">
        <f>IF('سجل الإنتاج'!C398="","",'سجل الإنتاج'!B398)</f>
        <v/>
      </c>
      <c r="B1398" t="str">
        <f>IF('سجل الإنتاج'!C398="","","إنتاج طبخة")</f>
        <v/>
      </c>
      <c r="C1398" t="str">
        <f>IF('سجل الإنتاج'!C398="","",'سجل الإنتاج'!C398)</f>
        <v/>
      </c>
      <c r="D1398" t="str">
        <f>IF('سجل الإنتاج'!C398="","","عدة مواد - راجع صفحة الطبخات")</f>
        <v/>
      </c>
      <c r="F1398" t="str">
        <f>IF('سجل الإنتاج'!C398="","",IF('سجل الإنتاج'!D398="","",'سجل الإنتاج'!D398))</f>
        <v/>
      </c>
      <c r="G1398" t="str">
        <f>IF($B1398&lt;&gt;"",SUMPRODUCT(($B$2:$B1398&lt;&gt;"")*1),"")</f>
        <v/>
      </c>
    </row>
    <row r="1399" spans="1:7">
      <c r="A1399" s="23" t="str">
        <f>IF('سجل الإنتاج'!C399="","",'سجل الإنتاج'!B399)</f>
        <v/>
      </c>
      <c r="B1399" t="str">
        <f>IF('سجل الإنتاج'!C399="","","إنتاج طبخة")</f>
        <v/>
      </c>
      <c r="C1399" t="str">
        <f>IF('سجل الإنتاج'!C399="","",'سجل الإنتاج'!C399)</f>
        <v/>
      </c>
      <c r="D1399" t="str">
        <f>IF('سجل الإنتاج'!C399="","","عدة مواد - راجع صفحة الطبخات")</f>
        <v/>
      </c>
      <c r="F1399" t="str">
        <f>IF('سجل الإنتاج'!C399="","",IF('سجل الإنتاج'!D399="","",'سجل الإنتاج'!D399))</f>
        <v/>
      </c>
      <c r="G1399" t="str">
        <f>IF($B1399&lt;&gt;"",SUMPRODUCT(($B$2:$B1399&lt;&gt;"")*1),"")</f>
        <v/>
      </c>
    </row>
    <row r="1400" spans="1:7">
      <c r="A1400" s="23" t="str">
        <f>IF('سجل الإنتاج'!C400="","",'سجل الإنتاج'!B400)</f>
        <v/>
      </c>
      <c r="B1400" t="str">
        <f>IF('سجل الإنتاج'!C400="","","إنتاج طبخة")</f>
        <v/>
      </c>
      <c r="C1400" t="str">
        <f>IF('سجل الإنتاج'!C400="","",'سجل الإنتاج'!C400)</f>
        <v/>
      </c>
      <c r="D1400" t="str">
        <f>IF('سجل الإنتاج'!C400="","","عدة مواد - راجع صفحة الطبخات")</f>
        <v/>
      </c>
      <c r="F1400" t="str">
        <f>IF('سجل الإنتاج'!C400="","",IF('سجل الإنتاج'!D400="","",'سجل الإنتاج'!D400))</f>
        <v/>
      </c>
      <c r="G1400" t="str">
        <f>IF($B1400&lt;&gt;"",SUMPRODUCT(($B$2:$B1400&lt;&gt;"")*1),"")</f>
        <v/>
      </c>
    </row>
    <row r="1401" spans="1:7">
      <c r="A1401" s="23" t="str">
        <f>IF('سجل الإنتاج'!C401="","",'سجل الإنتاج'!B401)</f>
        <v/>
      </c>
      <c r="B1401" t="str">
        <f>IF('سجل الإنتاج'!C401="","","إنتاج طبخة")</f>
        <v/>
      </c>
      <c r="C1401" t="str">
        <f>IF('سجل الإنتاج'!C401="","",'سجل الإنتاج'!C401)</f>
        <v/>
      </c>
      <c r="D1401" t="str">
        <f>IF('سجل الإنتاج'!C401="","","عدة مواد - راجع صفحة الطبخات")</f>
        <v/>
      </c>
      <c r="F1401" t="str">
        <f>IF('سجل الإنتاج'!C401="","",IF('سجل الإنتاج'!D401="","",'سجل الإنتاج'!D401))</f>
        <v/>
      </c>
      <c r="G1401" t="str">
        <f>IF($B1401&lt;&gt;"",SUMPRODUCT(($B$2:$B1401&lt;&gt;"")*1),"")</f>
        <v/>
      </c>
    </row>
    <row r="1402" spans="1:7">
      <c r="A1402" s="23" t="str">
        <f>IF('سجل الإنتاج'!C402="","",'سجل الإنتاج'!B402)</f>
        <v/>
      </c>
      <c r="B1402" t="str">
        <f>IF('سجل الإنتاج'!C402="","","إنتاج طبخة")</f>
        <v/>
      </c>
      <c r="C1402" t="str">
        <f>IF('سجل الإنتاج'!C402="","",'سجل الإنتاج'!C402)</f>
        <v/>
      </c>
      <c r="D1402" t="str">
        <f>IF('سجل الإنتاج'!C402="","","عدة مواد - راجع صفحة الطبخات")</f>
        <v/>
      </c>
      <c r="F1402" t="str">
        <f>IF('سجل الإنتاج'!C402="","",IF('سجل الإنتاج'!D402="","",'سجل الإنتاج'!D402))</f>
        <v/>
      </c>
      <c r="G1402" t="str">
        <f>IF($B1402&lt;&gt;"",SUMPRODUCT(($B$2:$B1402&lt;&gt;"")*1),"")</f>
        <v/>
      </c>
    </row>
    <row r="1403" spans="1:7">
      <c r="A1403" s="23" t="str">
        <f>IF('سجل الإنتاج'!C403="","",'سجل الإنتاج'!B403)</f>
        <v/>
      </c>
      <c r="B1403" t="str">
        <f>IF('سجل الإنتاج'!C403="","","إنتاج طبخة")</f>
        <v/>
      </c>
      <c r="C1403" t="str">
        <f>IF('سجل الإنتاج'!C403="","",'سجل الإنتاج'!C403)</f>
        <v/>
      </c>
      <c r="D1403" t="str">
        <f>IF('سجل الإنتاج'!C403="","","عدة مواد - راجع صفحة الطبخات")</f>
        <v/>
      </c>
      <c r="F1403" t="str">
        <f>IF('سجل الإنتاج'!C403="","",IF('سجل الإنتاج'!D403="","",'سجل الإنتاج'!D403))</f>
        <v/>
      </c>
      <c r="G1403" t="str">
        <f>IF($B1403&lt;&gt;"",SUMPRODUCT(($B$2:$B1403&lt;&gt;"")*1),"")</f>
        <v/>
      </c>
    </row>
    <row r="1404" spans="1:7">
      <c r="A1404" s="23" t="str">
        <f>IF('سجل الإنتاج'!C404="","",'سجل الإنتاج'!B404)</f>
        <v/>
      </c>
      <c r="B1404" t="str">
        <f>IF('سجل الإنتاج'!C404="","","إنتاج طبخة")</f>
        <v/>
      </c>
      <c r="C1404" t="str">
        <f>IF('سجل الإنتاج'!C404="","",'سجل الإنتاج'!C404)</f>
        <v/>
      </c>
      <c r="D1404" t="str">
        <f>IF('سجل الإنتاج'!C404="","","عدة مواد - راجع صفحة الطبخات")</f>
        <v/>
      </c>
      <c r="F1404" t="str">
        <f>IF('سجل الإنتاج'!C404="","",IF('سجل الإنتاج'!D404="","",'سجل الإنتاج'!D404))</f>
        <v/>
      </c>
      <c r="G1404" t="str">
        <f>IF($B1404&lt;&gt;"",SUMPRODUCT(($B$2:$B1404&lt;&gt;"")*1),"")</f>
        <v/>
      </c>
    </row>
    <row r="1405" spans="1:7">
      <c r="A1405" s="23" t="str">
        <f>IF('سجل الإنتاج'!C405="","",'سجل الإنتاج'!B405)</f>
        <v/>
      </c>
      <c r="B1405" t="str">
        <f>IF('سجل الإنتاج'!C405="","","إنتاج طبخة")</f>
        <v/>
      </c>
      <c r="C1405" t="str">
        <f>IF('سجل الإنتاج'!C405="","",'سجل الإنتاج'!C405)</f>
        <v/>
      </c>
      <c r="D1405" t="str">
        <f>IF('سجل الإنتاج'!C405="","","عدة مواد - راجع صفحة الطبخات")</f>
        <v/>
      </c>
      <c r="F1405" t="str">
        <f>IF('سجل الإنتاج'!C405="","",IF('سجل الإنتاج'!D405="","",'سجل الإنتاج'!D405))</f>
        <v/>
      </c>
      <c r="G1405" t="str">
        <f>IF($B1405&lt;&gt;"",SUMPRODUCT(($B$2:$B1405&lt;&gt;"")*1),"")</f>
        <v/>
      </c>
    </row>
    <row r="1406" spans="1:7">
      <c r="A1406" s="23" t="str">
        <f>IF('سجل الإنتاج'!C406="","",'سجل الإنتاج'!B406)</f>
        <v/>
      </c>
      <c r="B1406" t="str">
        <f>IF('سجل الإنتاج'!C406="","","إنتاج طبخة")</f>
        <v/>
      </c>
      <c r="C1406" t="str">
        <f>IF('سجل الإنتاج'!C406="","",'سجل الإنتاج'!C406)</f>
        <v/>
      </c>
      <c r="D1406" t="str">
        <f>IF('سجل الإنتاج'!C406="","","عدة مواد - راجع صفحة الطبخات")</f>
        <v/>
      </c>
      <c r="F1406" t="str">
        <f>IF('سجل الإنتاج'!C406="","",IF('سجل الإنتاج'!D406="","",'سجل الإنتاج'!D406))</f>
        <v/>
      </c>
      <c r="G1406" t="str">
        <f>IF($B1406&lt;&gt;"",SUMPRODUCT(($B$2:$B1406&lt;&gt;"")*1),"")</f>
        <v/>
      </c>
    </row>
    <row r="1407" spans="1:7">
      <c r="A1407" s="23" t="str">
        <f>IF('سجل الإنتاج'!C407="","",'سجل الإنتاج'!B407)</f>
        <v/>
      </c>
      <c r="B1407" t="str">
        <f>IF('سجل الإنتاج'!C407="","","إنتاج طبخة")</f>
        <v/>
      </c>
      <c r="C1407" t="str">
        <f>IF('سجل الإنتاج'!C407="","",'سجل الإنتاج'!C407)</f>
        <v/>
      </c>
      <c r="D1407" t="str">
        <f>IF('سجل الإنتاج'!C407="","","عدة مواد - راجع صفحة الطبخات")</f>
        <v/>
      </c>
      <c r="F1407" t="str">
        <f>IF('سجل الإنتاج'!C407="","",IF('سجل الإنتاج'!D407="","",'سجل الإنتاج'!D407))</f>
        <v/>
      </c>
      <c r="G1407" t="str">
        <f>IF($B1407&lt;&gt;"",SUMPRODUCT(($B$2:$B1407&lt;&gt;"")*1),"")</f>
        <v/>
      </c>
    </row>
    <row r="1408" spans="1:7">
      <c r="A1408" s="23" t="str">
        <f>IF('سجل الإنتاج'!C408="","",'سجل الإنتاج'!B408)</f>
        <v/>
      </c>
      <c r="B1408" t="str">
        <f>IF('سجل الإنتاج'!C408="","","إنتاج طبخة")</f>
        <v/>
      </c>
      <c r="C1408" t="str">
        <f>IF('سجل الإنتاج'!C408="","",'سجل الإنتاج'!C408)</f>
        <v/>
      </c>
      <c r="D1408" t="str">
        <f>IF('سجل الإنتاج'!C408="","","عدة مواد - راجع صفحة الطبخات")</f>
        <v/>
      </c>
      <c r="F1408" t="str">
        <f>IF('سجل الإنتاج'!C408="","",IF('سجل الإنتاج'!D408="","",'سجل الإنتاج'!D408))</f>
        <v/>
      </c>
      <c r="G1408" t="str">
        <f>IF($B1408&lt;&gt;"",SUMPRODUCT(($B$2:$B1408&lt;&gt;"")*1),"")</f>
        <v/>
      </c>
    </row>
    <row r="1409" spans="1:7">
      <c r="A1409" s="23" t="str">
        <f>IF('سجل الإنتاج'!C409="","",'سجل الإنتاج'!B409)</f>
        <v/>
      </c>
      <c r="B1409" t="str">
        <f>IF('سجل الإنتاج'!C409="","","إنتاج طبخة")</f>
        <v/>
      </c>
      <c r="C1409" t="str">
        <f>IF('سجل الإنتاج'!C409="","",'سجل الإنتاج'!C409)</f>
        <v/>
      </c>
      <c r="D1409" t="str">
        <f>IF('سجل الإنتاج'!C409="","","عدة مواد - راجع صفحة الطبخات")</f>
        <v/>
      </c>
      <c r="F1409" t="str">
        <f>IF('سجل الإنتاج'!C409="","",IF('سجل الإنتاج'!D409="","",'سجل الإنتاج'!D409))</f>
        <v/>
      </c>
      <c r="G1409" t="str">
        <f>IF($B1409&lt;&gt;"",SUMPRODUCT(($B$2:$B1409&lt;&gt;"")*1),"")</f>
        <v/>
      </c>
    </row>
    <row r="1410" spans="1:7">
      <c r="A1410" s="23" t="str">
        <f>IF('سجل الإنتاج'!C410="","",'سجل الإنتاج'!B410)</f>
        <v/>
      </c>
      <c r="B1410" t="str">
        <f>IF('سجل الإنتاج'!C410="","","إنتاج طبخة")</f>
        <v/>
      </c>
      <c r="C1410" t="str">
        <f>IF('سجل الإنتاج'!C410="","",'سجل الإنتاج'!C410)</f>
        <v/>
      </c>
      <c r="D1410" t="str">
        <f>IF('سجل الإنتاج'!C410="","","عدة مواد - راجع صفحة الطبخات")</f>
        <v/>
      </c>
      <c r="F1410" t="str">
        <f>IF('سجل الإنتاج'!C410="","",IF('سجل الإنتاج'!D410="","",'سجل الإنتاج'!D410))</f>
        <v/>
      </c>
      <c r="G1410" t="str">
        <f>IF($B1410&lt;&gt;"",SUMPRODUCT(($B$2:$B1410&lt;&gt;"")*1),"")</f>
        <v/>
      </c>
    </row>
    <row r="1411" spans="1:7">
      <c r="A1411" s="23" t="str">
        <f>IF('سجل الإنتاج'!C411="","",'سجل الإنتاج'!B411)</f>
        <v/>
      </c>
      <c r="B1411" t="str">
        <f>IF('سجل الإنتاج'!C411="","","إنتاج طبخة")</f>
        <v/>
      </c>
      <c r="C1411" t="str">
        <f>IF('سجل الإنتاج'!C411="","",'سجل الإنتاج'!C411)</f>
        <v/>
      </c>
      <c r="D1411" t="str">
        <f>IF('سجل الإنتاج'!C411="","","عدة مواد - راجع صفحة الطبخات")</f>
        <v/>
      </c>
      <c r="F1411" t="str">
        <f>IF('سجل الإنتاج'!C411="","",IF('سجل الإنتاج'!D411="","",'سجل الإنتاج'!D411))</f>
        <v/>
      </c>
      <c r="G1411" t="str">
        <f>IF($B1411&lt;&gt;"",SUMPRODUCT(($B$2:$B1411&lt;&gt;"")*1),"")</f>
        <v/>
      </c>
    </row>
    <row r="1412" spans="1:7">
      <c r="A1412" s="23" t="str">
        <f>IF('سجل الإنتاج'!C412="","",'سجل الإنتاج'!B412)</f>
        <v/>
      </c>
      <c r="B1412" t="str">
        <f>IF('سجل الإنتاج'!C412="","","إنتاج طبخة")</f>
        <v/>
      </c>
      <c r="C1412" t="str">
        <f>IF('سجل الإنتاج'!C412="","",'سجل الإنتاج'!C412)</f>
        <v/>
      </c>
      <c r="D1412" t="str">
        <f>IF('سجل الإنتاج'!C412="","","عدة مواد - راجع صفحة الطبخات")</f>
        <v/>
      </c>
      <c r="F1412" t="str">
        <f>IF('سجل الإنتاج'!C412="","",IF('سجل الإنتاج'!D412="","",'سجل الإنتاج'!D412))</f>
        <v/>
      </c>
      <c r="G1412" t="str">
        <f>IF($B1412&lt;&gt;"",SUMPRODUCT(($B$2:$B1412&lt;&gt;"")*1),"")</f>
        <v/>
      </c>
    </row>
    <row r="1413" spans="1:7">
      <c r="A1413" s="23" t="str">
        <f>IF('سجل الإنتاج'!C413="","",'سجل الإنتاج'!B413)</f>
        <v/>
      </c>
      <c r="B1413" t="str">
        <f>IF('سجل الإنتاج'!C413="","","إنتاج طبخة")</f>
        <v/>
      </c>
      <c r="C1413" t="str">
        <f>IF('سجل الإنتاج'!C413="","",'سجل الإنتاج'!C413)</f>
        <v/>
      </c>
      <c r="D1413" t="str">
        <f>IF('سجل الإنتاج'!C413="","","عدة مواد - راجع صفحة الطبخات")</f>
        <v/>
      </c>
      <c r="F1413" t="str">
        <f>IF('سجل الإنتاج'!C413="","",IF('سجل الإنتاج'!D413="","",'سجل الإنتاج'!D413))</f>
        <v/>
      </c>
      <c r="G1413" t="str">
        <f>IF($B1413&lt;&gt;"",SUMPRODUCT(($B$2:$B1413&lt;&gt;"")*1),"")</f>
        <v/>
      </c>
    </row>
    <row r="1414" spans="1:7">
      <c r="A1414" s="23" t="str">
        <f>IF('سجل الإنتاج'!C414="","",'سجل الإنتاج'!B414)</f>
        <v/>
      </c>
      <c r="B1414" t="str">
        <f>IF('سجل الإنتاج'!C414="","","إنتاج طبخة")</f>
        <v/>
      </c>
      <c r="C1414" t="str">
        <f>IF('سجل الإنتاج'!C414="","",'سجل الإنتاج'!C414)</f>
        <v/>
      </c>
      <c r="D1414" t="str">
        <f>IF('سجل الإنتاج'!C414="","","عدة مواد - راجع صفحة الطبخات")</f>
        <v/>
      </c>
      <c r="F1414" t="str">
        <f>IF('سجل الإنتاج'!C414="","",IF('سجل الإنتاج'!D414="","",'سجل الإنتاج'!D414))</f>
        <v/>
      </c>
      <c r="G1414" t="str">
        <f>IF($B1414&lt;&gt;"",SUMPRODUCT(($B$2:$B1414&lt;&gt;"")*1),"")</f>
        <v/>
      </c>
    </row>
    <row r="1415" spans="1:7">
      <c r="A1415" s="23" t="str">
        <f>IF('سجل الإنتاج'!C415="","",'سجل الإنتاج'!B415)</f>
        <v/>
      </c>
      <c r="B1415" t="str">
        <f>IF('سجل الإنتاج'!C415="","","إنتاج طبخة")</f>
        <v/>
      </c>
      <c r="C1415" t="str">
        <f>IF('سجل الإنتاج'!C415="","",'سجل الإنتاج'!C415)</f>
        <v/>
      </c>
      <c r="D1415" t="str">
        <f>IF('سجل الإنتاج'!C415="","","عدة مواد - راجع صفحة الطبخات")</f>
        <v/>
      </c>
      <c r="F1415" t="str">
        <f>IF('سجل الإنتاج'!C415="","",IF('سجل الإنتاج'!D415="","",'سجل الإنتاج'!D415))</f>
        <v/>
      </c>
      <c r="G1415" t="str">
        <f>IF($B1415&lt;&gt;"",SUMPRODUCT(($B$2:$B1415&lt;&gt;"")*1),"")</f>
        <v/>
      </c>
    </row>
    <row r="1416" spans="1:7">
      <c r="A1416" s="23" t="str">
        <f>IF('سجل الإنتاج'!C416="","",'سجل الإنتاج'!B416)</f>
        <v/>
      </c>
      <c r="B1416" t="str">
        <f>IF('سجل الإنتاج'!C416="","","إنتاج طبخة")</f>
        <v/>
      </c>
      <c r="C1416" t="str">
        <f>IF('سجل الإنتاج'!C416="","",'سجل الإنتاج'!C416)</f>
        <v/>
      </c>
      <c r="D1416" t="str">
        <f>IF('سجل الإنتاج'!C416="","","عدة مواد - راجع صفحة الطبخات")</f>
        <v/>
      </c>
      <c r="F1416" t="str">
        <f>IF('سجل الإنتاج'!C416="","",IF('سجل الإنتاج'!D416="","",'سجل الإنتاج'!D416))</f>
        <v/>
      </c>
      <c r="G1416" t="str">
        <f>IF($B1416&lt;&gt;"",SUMPRODUCT(($B$2:$B1416&lt;&gt;"")*1),"")</f>
        <v/>
      </c>
    </row>
    <row r="1417" spans="1:7">
      <c r="A1417" s="23" t="str">
        <f>IF('سجل الإنتاج'!C417="","",'سجل الإنتاج'!B417)</f>
        <v/>
      </c>
      <c r="B1417" t="str">
        <f>IF('سجل الإنتاج'!C417="","","إنتاج طبخة")</f>
        <v/>
      </c>
      <c r="C1417" t="str">
        <f>IF('سجل الإنتاج'!C417="","",'سجل الإنتاج'!C417)</f>
        <v/>
      </c>
      <c r="D1417" t="str">
        <f>IF('سجل الإنتاج'!C417="","","عدة مواد - راجع صفحة الطبخات")</f>
        <v/>
      </c>
      <c r="F1417" t="str">
        <f>IF('سجل الإنتاج'!C417="","",IF('سجل الإنتاج'!D417="","",'سجل الإنتاج'!D417))</f>
        <v/>
      </c>
      <c r="G1417" t="str">
        <f>IF($B1417&lt;&gt;"",SUMPRODUCT(($B$2:$B1417&lt;&gt;"")*1),"")</f>
        <v/>
      </c>
    </row>
    <row r="1418" spans="1:7">
      <c r="A1418" s="23" t="str">
        <f>IF('سجل الإنتاج'!C418="","",'سجل الإنتاج'!B418)</f>
        <v/>
      </c>
      <c r="B1418" t="str">
        <f>IF('سجل الإنتاج'!C418="","","إنتاج طبخة")</f>
        <v/>
      </c>
      <c r="C1418" t="str">
        <f>IF('سجل الإنتاج'!C418="","",'سجل الإنتاج'!C418)</f>
        <v/>
      </c>
      <c r="D1418" t="str">
        <f>IF('سجل الإنتاج'!C418="","","عدة مواد - راجع صفحة الطبخات")</f>
        <v/>
      </c>
      <c r="F1418" t="str">
        <f>IF('سجل الإنتاج'!C418="","",IF('سجل الإنتاج'!D418="","",'سجل الإنتاج'!D418))</f>
        <v/>
      </c>
      <c r="G1418" t="str">
        <f>IF($B1418&lt;&gt;"",SUMPRODUCT(($B$2:$B1418&lt;&gt;"")*1),"")</f>
        <v/>
      </c>
    </row>
    <row r="1419" spans="1:7">
      <c r="A1419" s="23" t="str">
        <f>IF('سجل الإنتاج'!C419="","",'سجل الإنتاج'!B419)</f>
        <v/>
      </c>
      <c r="B1419" t="str">
        <f>IF('سجل الإنتاج'!C419="","","إنتاج طبخة")</f>
        <v/>
      </c>
      <c r="C1419" t="str">
        <f>IF('سجل الإنتاج'!C419="","",'سجل الإنتاج'!C419)</f>
        <v/>
      </c>
      <c r="D1419" t="str">
        <f>IF('سجل الإنتاج'!C419="","","عدة مواد - راجع صفحة الطبخات")</f>
        <v/>
      </c>
      <c r="F1419" t="str">
        <f>IF('سجل الإنتاج'!C419="","",IF('سجل الإنتاج'!D419="","",'سجل الإنتاج'!D419))</f>
        <v/>
      </c>
      <c r="G1419" t="str">
        <f>IF($B1419&lt;&gt;"",SUMPRODUCT(($B$2:$B1419&lt;&gt;"")*1),"")</f>
        <v/>
      </c>
    </row>
    <row r="1420" spans="1:7">
      <c r="A1420" s="23" t="str">
        <f>IF('سجل الإنتاج'!C420="","",'سجل الإنتاج'!B420)</f>
        <v/>
      </c>
      <c r="B1420" t="str">
        <f>IF('سجل الإنتاج'!C420="","","إنتاج طبخة")</f>
        <v/>
      </c>
      <c r="C1420" t="str">
        <f>IF('سجل الإنتاج'!C420="","",'سجل الإنتاج'!C420)</f>
        <v/>
      </c>
      <c r="D1420" t="str">
        <f>IF('سجل الإنتاج'!C420="","","عدة مواد - راجع صفحة الطبخات")</f>
        <v/>
      </c>
      <c r="F1420" t="str">
        <f>IF('سجل الإنتاج'!C420="","",IF('سجل الإنتاج'!D420="","",'سجل الإنتاج'!D420))</f>
        <v/>
      </c>
      <c r="G1420" t="str">
        <f>IF($B1420&lt;&gt;"",SUMPRODUCT(($B$2:$B1420&lt;&gt;"")*1),"")</f>
        <v/>
      </c>
    </row>
    <row r="1421" spans="1:7">
      <c r="A1421" s="23" t="str">
        <f>IF('سجل الإنتاج'!C421="","",'سجل الإنتاج'!B421)</f>
        <v/>
      </c>
      <c r="B1421" t="str">
        <f>IF('سجل الإنتاج'!C421="","","إنتاج طبخة")</f>
        <v/>
      </c>
      <c r="C1421" t="str">
        <f>IF('سجل الإنتاج'!C421="","",'سجل الإنتاج'!C421)</f>
        <v/>
      </c>
      <c r="D1421" t="str">
        <f>IF('سجل الإنتاج'!C421="","","عدة مواد - راجع صفحة الطبخات")</f>
        <v/>
      </c>
      <c r="F1421" t="str">
        <f>IF('سجل الإنتاج'!C421="","",IF('سجل الإنتاج'!D421="","",'سجل الإنتاج'!D421))</f>
        <v/>
      </c>
      <c r="G1421" t="str">
        <f>IF($B1421&lt;&gt;"",SUMPRODUCT(($B$2:$B1421&lt;&gt;"")*1),"")</f>
        <v/>
      </c>
    </row>
    <row r="1422" spans="1:7">
      <c r="A1422" s="23" t="str">
        <f>IF('سجل الإنتاج'!C422="","",'سجل الإنتاج'!B422)</f>
        <v/>
      </c>
      <c r="B1422" t="str">
        <f>IF('سجل الإنتاج'!C422="","","إنتاج طبخة")</f>
        <v/>
      </c>
      <c r="C1422" t="str">
        <f>IF('سجل الإنتاج'!C422="","",'سجل الإنتاج'!C422)</f>
        <v/>
      </c>
      <c r="D1422" t="str">
        <f>IF('سجل الإنتاج'!C422="","","عدة مواد - راجع صفحة الطبخات")</f>
        <v/>
      </c>
      <c r="F1422" t="str">
        <f>IF('سجل الإنتاج'!C422="","",IF('سجل الإنتاج'!D422="","",'سجل الإنتاج'!D422))</f>
        <v/>
      </c>
      <c r="G1422" t="str">
        <f>IF($B1422&lt;&gt;"",SUMPRODUCT(($B$2:$B1422&lt;&gt;"")*1),"")</f>
        <v/>
      </c>
    </row>
    <row r="1423" spans="1:7">
      <c r="A1423" s="23" t="str">
        <f>IF('سجل الإنتاج'!C423="","",'سجل الإنتاج'!B423)</f>
        <v/>
      </c>
      <c r="B1423" t="str">
        <f>IF('سجل الإنتاج'!C423="","","إنتاج طبخة")</f>
        <v/>
      </c>
      <c r="C1423" t="str">
        <f>IF('سجل الإنتاج'!C423="","",'سجل الإنتاج'!C423)</f>
        <v/>
      </c>
      <c r="D1423" t="str">
        <f>IF('سجل الإنتاج'!C423="","","عدة مواد - راجع صفحة الطبخات")</f>
        <v/>
      </c>
      <c r="F1423" t="str">
        <f>IF('سجل الإنتاج'!C423="","",IF('سجل الإنتاج'!D423="","",'سجل الإنتاج'!D423))</f>
        <v/>
      </c>
      <c r="G1423" t="str">
        <f>IF($B1423&lt;&gt;"",SUMPRODUCT(($B$2:$B1423&lt;&gt;"")*1),"")</f>
        <v/>
      </c>
    </row>
    <row r="1424" spans="1:7">
      <c r="A1424" s="23" t="str">
        <f>IF('سجل الإنتاج'!C424="","",'سجل الإنتاج'!B424)</f>
        <v/>
      </c>
      <c r="B1424" t="str">
        <f>IF('سجل الإنتاج'!C424="","","إنتاج طبخة")</f>
        <v/>
      </c>
      <c r="C1424" t="str">
        <f>IF('سجل الإنتاج'!C424="","",'سجل الإنتاج'!C424)</f>
        <v/>
      </c>
      <c r="D1424" t="str">
        <f>IF('سجل الإنتاج'!C424="","","عدة مواد - راجع صفحة الطبخات")</f>
        <v/>
      </c>
      <c r="F1424" t="str">
        <f>IF('سجل الإنتاج'!C424="","",IF('سجل الإنتاج'!D424="","",'سجل الإنتاج'!D424))</f>
        <v/>
      </c>
      <c r="G1424" t="str">
        <f>IF($B1424&lt;&gt;"",SUMPRODUCT(($B$2:$B1424&lt;&gt;"")*1),"")</f>
        <v/>
      </c>
    </row>
    <row r="1425" spans="1:7">
      <c r="A1425" s="23" t="str">
        <f>IF('سجل الإنتاج'!C425="","",'سجل الإنتاج'!B425)</f>
        <v/>
      </c>
      <c r="B1425" t="str">
        <f>IF('سجل الإنتاج'!C425="","","إنتاج طبخة")</f>
        <v/>
      </c>
      <c r="C1425" t="str">
        <f>IF('سجل الإنتاج'!C425="","",'سجل الإنتاج'!C425)</f>
        <v/>
      </c>
      <c r="D1425" t="str">
        <f>IF('سجل الإنتاج'!C425="","","عدة مواد - راجع صفحة الطبخات")</f>
        <v/>
      </c>
      <c r="F1425" t="str">
        <f>IF('سجل الإنتاج'!C425="","",IF('سجل الإنتاج'!D425="","",'سجل الإنتاج'!D425))</f>
        <v/>
      </c>
      <c r="G1425" t="str">
        <f>IF($B1425&lt;&gt;"",SUMPRODUCT(($B$2:$B1425&lt;&gt;"")*1),"")</f>
        <v/>
      </c>
    </row>
    <row r="1426" spans="1:7">
      <c r="A1426" s="23" t="str">
        <f>IF('سجل الإنتاج'!C426="","",'سجل الإنتاج'!B426)</f>
        <v/>
      </c>
      <c r="B1426" t="str">
        <f>IF('سجل الإنتاج'!C426="","","إنتاج طبخة")</f>
        <v/>
      </c>
      <c r="C1426" t="str">
        <f>IF('سجل الإنتاج'!C426="","",'سجل الإنتاج'!C426)</f>
        <v/>
      </c>
      <c r="D1426" t="str">
        <f>IF('سجل الإنتاج'!C426="","","عدة مواد - راجع صفحة الطبخات")</f>
        <v/>
      </c>
      <c r="F1426" t="str">
        <f>IF('سجل الإنتاج'!C426="","",IF('سجل الإنتاج'!D426="","",'سجل الإنتاج'!D426))</f>
        <v/>
      </c>
      <c r="G1426" t="str">
        <f>IF($B1426&lt;&gt;"",SUMPRODUCT(($B$2:$B1426&lt;&gt;"")*1),"")</f>
        <v/>
      </c>
    </row>
    <row r="1427" spans="1:7">
      <c r="A1427" s="23" t="str">
        <f>IF('سجل الإنتاج'!C427="","",'سجل الإنتاج'!B427)</f>
        <v/>
      </c>
      <c r="B1427" t="str">
        <f>IF('سجل الإنتاج'!C427="","","إنتاج طبخة")</f>
        <v/>
      </c>
      <c r="C1427" t="str">
        <f>IF('سجل الإنتاج'!C427="","",'سجل الإنتاج'!C427)</f>
        <v/>
      </c>
      <c r="D1427" t="str">
        <f>IF('سجل الإنتاج'!C427="","","عدة مواد - راجع صفحة الطبخات")</f>
        <v/>
      </c>
      <c r="F1427" t="str">
        <f>IF('سجل الإنتاج'!C427="","",IF('سجل الإنتاج'!D427="","",'سجل الإنتاج'!D427))</f>
        <v/>
      </c>
      <c r="G1427" t="str">
        <f>IF($B1427&lt;&gt;"",SUMPRODUCT(($B$2:$B1427&lt;&gt;"")*1),"")</f>
        <v/>
      </c>
    </row>
    <row r="1428" spans="1:7">
      <c r="A1428" s="23" t="str">
        <f>IF('سجل الإنتاج'!C428="","",'سجل الإنتاج'!B428)</f>
        <v/>
      </c>
      <c r="B1428" t="str">
        <f>IF('سجل الإنتاج'!C428="","","إنتاج طبخة")</f>
        <v/>
      </c>
      <c r="C1428" t="str">
        <f>IF('سجل الإنتاج'!C428="","",'سجل الإنتاج'!C428)</f>
        <v/>
      </c>
      <c r="D1428" t="str">
        <f>IF('سجل الإنتاج'!C428="","","عدة مواد - راجع صفحة الطبخات")</f>
        <v/>
      </c>
      <c r="F1428" t="str">
        <f>IF('سجل الإنتاج'!C428="","",IF('سجل الإنتاج'!D428="","",'سجل الإنتاج'!D428))</f>
        <v/>
      </c>
      <c r="G1428" t="str">
        <f>IF($B1428&lt;&gt;"",SUMPRODUCT(($B$2:$B1428&lt;&gt;"")*1),"")</f>
        <v/>
      </c>
    </row>
    <row r="1429" spans="1:7">
      <c r="A1429" s="23" t="str">
        <f>IF('سجل الإنتاج'!C429="","",'سجل الإنتاج'!B429)</f>
        <v/>
      </c>
      <c r="B1429" t="str">
        <f>IF('سجل الإنتاج'!C429="","","إنتاج طبخة")</f>
        <v/>
      </c>
      <c r="C1429" t="str">
        <f>IF('سجل الإنتاج'!C429="","",'سجل الإنتاج'!C429)</f>
        <v/>
      </c>
      <c r="D1429" t="str">
        <f>IF('سجل الإنتاج'!C429="","","عدة مواد - راجع صفحة الطبخات")</f>
        <v/>
      </c>
      <c r="F1429" t="str">
        <f>IF('سجل الإنتاج'!C429="","",IF('سجل الإنتاج'!D429="","",'سجل الإنتاج'!D429))</f>
        <v/>
      </c>
      <c r="G1429" t="str">
        <f>IF($B1429&lt;&gt;"",SUMPRODUCT(($B$2:$B1429&lt;&gt;"")*1),"")</f>
        <v/>
      </c>
    </row>
    <row r="1430" spans="1:7">
      <c r="A1430" s="23" t="str">
        <f>IF('سجل الإنتاج'!C430="","",'سجل الإنتاج'!B430)</f>
        <v/>
      </c>
      <c r="B1430" t="str">
        <f>IF('سجل الإنتاج'!C430="","","إنتاج طبخة")</f>
        <v/>
      </c>
      <c r="C1430" t="str">
        <f>IF('سجل الإنتاج'!C430="","",'سجل الإنتاج'!C430)</f>
        <v/>
      </c>
      <c r="D1430" t="str">
        <f>IF('سجل الإنتاج'!C430="","","عدة مواد - راجع صفحة الطبخات")</f>
        <v/>
      </c>
      <c r="F1430" t="str">
        <f>IF('سجل الإنتاج'!C430="","",IF('سجل الإنتاج'!D430="","",'سجل الإنتاج'!D430))</f>
        <v/>
      </c>
      <c r="G1430" t="str">
        <f>IF($B1430&lt;&gt;"",SUMPRODUCT(($B$2:$B1430&lt;&gt;"")*1),"")</f>
        <v/>
      </c>
    </row>
    <row r="1431" spans="1:7">
      <c r="A1431" s="23" t="str">
        <f>IF('سجل الإنتاج'!C431="","",'سجل الإنتاج'!B431)</f>
        <v/>
      </c>
      <c r="B1431" t="str">
        <f>IF('سجل الإنتاج'!C431="","","إنتاج طبخة")</f>
        <v/>
      </c>
      <c r="C1431" t="str">
        <f>IF('سجل الإنتاج'!C431="","",'سجل الإنتاج'!C431)</f>
        <v/>
      </c>
      <c r="D1431" t="str">
        <f>IF('سجل الإنتاج'!C431="","","عدة مواد - راجع صفحة الطبخات")</f>
        <v/>
      </c>
      <c r="F1431" t="str">
        <f>IF('سجل الإنتاج'!C431="","",IF('سجل الإنتاج'!D431="","",'سجل الإنتاج'!D431))</f>
        <v/>
      </c>
      <c r="G1431" t="str">
        <f>IF($B1431&lt;&gt;"",SUMPRODUCT(($B$2:$B1431&lt;&gt;"")*1),"")</f>
        <v/>
      </c>
    </row>
    <row r="1432" spans="1:7">
      <c r="A1432" s="23" t="str">
        <f>IF('سجل الإنتاج'!C432="","",'سجل الإنتاج'!B432)</f>
        <v/>
      </c>
      <c r="B1432" t="str">
        <f>IF('سجل الإنتاج'!C432="","","إنتاج طبخة")</f>
        <v/>
      </c>
      <c r="C1432" t="str">
        <f>IF('سجل الإنتاج'!C432="","",'سجل الإنتاج'!C432)</f>
        <v/>
      </c>
      <c r="D1432" t="str">
        <f>IF('سجل الإنتاج'!C432="","","عدة مواد - راجع صفحة الطبخات")</f>
        <v/>
      </c>
      <c r="F1432" t="str">
        <f>IF('سجل الإنتاج'!C432="","",IF('سجل الإنتاج'!D432="","",'سجل الإنتاج'!D432))</f>
        <v/>
      </c>
      <c r="G1432" t="str">
        <f>IF($B1432&lt;&gt;"",SUMPRODUCT(($B$2:$B1432&lt;&gt;"")*1),"")</f>
        <v/>
      </c>
    </row>
    <row r="1433" spans="1:7">
      <c r="A1433" s="23" t="str">
        <f>IF('سجل الإنتاج'!C433="","",'سجل الإنتاج'!B433)</f>
        <v/>
      </c>
      <c r="B1433" t="str">
        <f>IF('سجل الإنتاج'!C433="","","إنتاج طبخة")</f>
        <v/>
      </c>
      <c r="C1433" t="str">
        <f>IF('سجل الإنتاج'!C433="","",'سجل الإنتاج'!C433)</f>
        <v/>
      </c>
      <c r="D1433" t="str">
        <f>IF('سجل الإنتاج'!C433="","","عدة مواد - راجع صفحة الطبخات")</f>
        <v/>
      </c>
      <c r="F1433" t="str">
        <f>IF('سجل الإنتاج'!C433="","",IF('سجل الإنتاج'!D433="","",'سجل الإنتاج'!D433))</f>
        <v/>
      </c>
      <c r="G1433" t="str">
        <f>IF($B1433&lt;&gt;"",SUMPRODUCT(($B$2:$B1433&lt;&gt;"")*1),"")</f>
        <v/>
      </c>
    </row>
    <row r="1434" spans="1:7">
      <c r="A1434" s="23" t="str">
        <f>IF('سجل الإنتاج'!C434="","",'سجل الإنتاج'!B434)</f>
        <v/>
      </c>
      <c r="B1434" t="str">
        <f>IF('سجل الإنتاج'!C434="","","إنتاج طبخة")</f>
        <v/>
      </c>
      <c r="C1434" t="str">
        <f>IF('سجل الإنتاج'!C434="","",'سجل الإنتاج'!C434)</f>
        <v/>
      </c>
      <c r="D1434" t="str">
        <f>IF('سجل الإنتاج'!C434="","","عدة مواد - راجع صفحة الطبخات")</f>
        <v/>
      </c>
      <c r="F1434" t="str">
        <f>IF('سجل الإنتاج'!C434="","",IF('سجل الإنتاج'!D434="","",'سجل الإنتاج'!D434))</f>
        <v/>
      </c>
      <c r="G1434" t="str">
        <f>IF($B1434&lt;&gt;"",SUMPRODUCT(($B$2:$B1434&lt;&gt;"")*1),"")</f>
        <v/>
      </c>
    </row>
    <row r="1435" spans="1:7">
      <c r="A1435" s="23" t="str">
        <f>IF('سجل الإنتاج'!C435="","",'سجل الإنتاج'!B435)</f>
        <v/>
      </c>
      <c r="B1435" t="str">
        <f>IF('سجل الإنتاج'!C435="","","إنتاج طبخة")</f>
        <v/>
      </c>
      <c r="C1435" t="str">
        <f>IF('سجل الإنتاج'!C435="","",'سجل الإنتاج'!C435)</f>
        <v/>
      </c>
      <c r="D1435" t="str">
        <f>IF('سجل الإنتاج'!C435="","","عدة مواد - راجع صفحة الطبخات")</f>
        <v/>
      </c>
      <c r="F1435" t="str">
        <f>IF('سجل الإنتاج'!C435="","",IF('سجل الإنتاج'!D435="","",'سجل الإنتاج'!D435))</f>
        <v/>
      </c>
      <c r="G1435" t="str">
        <f>IF($B1435&lt;&gt;"",SUMPRODUCT(($B$2:$B1435&lt;&gt;"")*1),"")</f>
        <v/>
      </c>
    </row>
    <row r="1436" spans="1:7">
      <c r="A1436" s="23" t="str">
        <f>IF('سجل الإنتاج'!C436="","",'سجل الإنتاج'!B436)</f>
        <v/>
      </c>
      <c r="B1436" t="str">
        <f>IF('سجل الإنتاج'!C436="","","إنتاج طبخة")</f>
        <v/>
      </c>
      <c r="C1436" t="str">
        <f>IF('سجل الإنتاج'!C436="","",'سجل الإنتاج'!C436)</f>
        <v/>
      </c>
      <c r="D1436" t="str">
        <f>IF('سجل الإنتاج'!C436="","","عدة مواد - راجع صفحة الطبخات")</f>
        <v/>
      </c>
      <c r="F1436" t="str">
        <f>IF('سجل الإنتاج'!C436="","",IF('سجل الإنتاج'!D436="","",'سجل الإنتاج'!D436))</f>
        <v/>
      </c>
      <c r="G1436" t="str">
        <f>IF($B1436&lt;&gt;"",SUMPRODUCT(($B$2:$B1436&lt;&gt;"")*1),"")</f>
        <v/>
      </c>
    </row>
    <row r="1437" spans="1:7">
      <c r="A1437" s="23" t="str">
        <f>IF('سجل الإنتاج'!C437="","",'سجل الإنتاج'!B437)</f>
        <v/>
      </c>
      <c r="B1437" t="str">
        <f>IF('سجل الإنتاج'!C437="","","إنتاج طبخة")</f>
        <v/>
      </c>
      <c r="C1437" t="str">
        <f>IF('سجل الإنتاج'!C437="","",'سجل الإنتاج'!C437)</f>
        <v/>
      </c>
      <c r="D1437" t="str">
        <f>IF('سجل الإنتاج'!C437="","","عدة مواد - راجع صفحة الطبخات")</f>
        <v/>
      </c>
      <c r="F1437" t="str">
        <f>IF('سجل الإنتاج'!C437="","",IF('سجل الإنتاج'!D437="","",'سجل الإنتاج'!D437))</f>
        <v/>
      </c>
      <c r="G1437" t="str">
        <f>IF($B1437&lt;&gt;"",SUMPRODUCT(($B$2:$B1437&lt;&gt;"")*1),"")</f>
        <v/>
      </c>
    </row>
    <row r="1438" spans="1:7">
      <c r="A1438" s="23" t="str">
        <f>IF('سجل الإنتاج'!C438="","",'سجل الإنتاج'!B438)</f>
        <v/>
      </c>
      <c r="B1438" t="str">
        <f>IF('سجل الإنتاج'!C438="","","إنتاج طبخة")</f>
        <v/>
      </c>
      <c r="C1438" t="str">
        <f>IF('سجل الإنتاج'!C438="","",'سجل الإنتاج'!C438)</f>
        <v/>
      </c>
      <c r="D1438" t="str">
        <f>IF('سجل الإنتاج'!C438="","","عدة مواد - راجع صفحة الطبخات")</f>
        <v/>
      </c>
      <c r="F1438" t="str">
        <f>IF('سجل الإنتاج'!C438="","",IF('سجل الإنتاج'!D438="","",'سجل الإنتاج'!D438))</f>
        <v/>
      </c>
      <c r="G1438" t="str">
        <f>IF($B1438&lt;&gt;"",SUMPRODUCT(($B$2:$B1438&lt;&gt;"")*1),"")</f>
        <v/>
      </c>
    </row>
    <row r="1439" spans="1:7">
      <c r="A1439" s="23" t="str">
        <f>IF('سجل الإنتاج'!C439="","",'سجل الإنتاج'!B439)</f>
        <v/>
      </c>
      <c r="B1439" t="str">
        <f>IF('سجل الإنتاج'!C439="","","إنتاج طبخة")</f>
        <v/>
      </c>
      <c r="C1439" t="str">
        <f>IF('سجل الإنتاج'!C439="","",'سجل الإنتاج'!C439)</f>
        <v/>
      </c>
      <c r="D1439" t="str">
        <f>IF('سجل الإنتاج'!C439="","","عدة مواد - راجع صفحة الطبخات")</f>
        <v/>
      </c>
      <c r="F1439" t="str">
        <f>IF('سجل الإنتاج'!C439="","",IF('سجل الإنتاج'!D439="","",'سجل الإنتاج'!D439))</f>
        <v/>
      </c>
      <c r="G1439" t="str">
        <f>IF($B1439&lt;&gt;"",SUMPRODUCT(($B$2:$B1439&lt;&gt;"")*1),"")</f>
        <v/>
      </c>
    </row>
    <row r="1440" spans="1:7">
      <c r="A1440" s="23" t="str">
        <f>IF('سجل الإنتاج'!C440="","",'سجل الإنتاج'!B440)</f>
        <v/>
      </c>
      <c r="B1440" t="str">
        <f>IF('سجل الإنتاج'!C440="","","إنتاج طبخة")</f>
        <v/>
      </c>
      <c r="C1440" t="str">
        <f>IF('سجل الإنتاج'!C440="","",'سجل الإنتاج'!C440)</f>
        <v/>
      </c>
      <c r="D1440" t="str">
        <f>IF('سجل الإنتاج'!C440="","","عدة مواد - راجع صفحة الطبخات")</f>
        <v/>
      </c>
      <c r="F1440" t="str">
        <f>IF('سجل الإنتاج'!C440="","",IF('سجل الإنتاج'!D440="","",'سجل الإنتاج'!D440))</f>
        <v/>
      </c>
      <c r="G1440" t="str">
        <f>IF($B1440&lt;&gt;"",SUMPRODUCT(($B$2:$B1440&lt;&gt;"")*1),"")</f>
        <v/>
      </c>
    </row>
    <row r="1441" spans="1:7">
      <c r="A1441" s="23" t="str">
        <f>IF('سجل الإنتاج'!C441="","",'سجل الإنتاج'!B441)</f>
        <v/>
      </c>
      <c r="B1441" t="str">
        <f>IF('سجل الإنتاج'!C441="","","إنتاج طبخة")</f>
        <v/>
      </c>
      <c r="C1441" t="str">
        <f>IF('سجل الإنتاج'!C441="","",'سجل الإنتاج'!C441)</f>
        <v/>
      </c>
      <c r="D1441" t="str">
        <f>IF('سجل الإنتاج'!C441="","","عدة مواد - راجع صفحة الطبخات")</f>
        <v/>
      </c>
      <c r="F1441" t="str">
        <f>IF('سجل الإنتاج'!C441="","",IF('سجل الإنتاج'!D441="","",'سجل الإنتاج'!D441))</f>
        <v/>
      </c>
      <c r="G1441" t="str">
        <f>IF($B1441&lt;&gt;"",SUMPRODUCT(($B$2:$B1441&lt;&gt;"")*1),"")</f>
        <v/>
      </c>
    </row>
    <row r="1442" spans="1:7">
      <c r="A1442" s="23" t="str">
        <f>IF('سجل الإنتاج'!C442="","",'سجل الإنتاج'!B442)</f>
        <v/>
      </c>
      <c r="B1442" t="str">
        <f>IF('سجل الإنتاج'!C442="","","إنتاج طبخة")</f>
        <v/>
      </c>
      <c r="C1442" t="str">
        <f>IF('سجل الإنتاج'!C442="","",'سجل الإنتاج'!C442)</f>
        <v/>
      </c>
      <c r="D1442" t="str">
        <f>IF('سجل الإنتاج'!C442="","","عدة مواد - راجع صفحة الطبخات")</f>
        <v/>
      </c>
      <c r="F1442" t="str">
        <f>IF('سجل الإنتاج'!C442="","",IF('سجل الإنتاج'!D442="","",'سجل الإنتاج'!D442))</f>
        <v/>
      </c>
      <c r="G1442" t="str">
        <f>IF($B1442&lt;&gt;"",SUMPRODUCT(($B$2:$B1442&lt;&gt;"")*1),"")</f>
        <v/>
      </c>
    </row>
    <row r="1443" spans="1:7">
      <c r="A1443" s="23" t="str">
        <f>IF('سجل الإنتاج'!C443="","",'سجل الإنتاج'!B443)</f>
        <v/>
      </c>
      <c r="B1443" t="str">
        <f>IF('سجل الإنتاج'!C443="","","إنتاج طبخة")</f>
        <v/>
      </c>
      <c r="C1443" t="str">
        <f>IF('سجل الإنتاج'!C443="","",'سجل الإنتاج'!C443)</f>
        <v/>
      </c>
      <c r="D1443" t="str">
        <f>IF('سجل الإنتاج'!C443="","","عدة مواد - راجع صفحة الطبخات")</f>
        <v/>
      </c>
      <c r="F1443" t="str">
        <f>IF('سجل الإنتاج'!C443="","",IF('سجل الإنتاج'!D443="","",'سجل الإنتاج'!D443))</f>
        <v/>
      </c>
      <c r="G1443" t="str">
        <f>IF($B1443&lt;&gt;"",SUMPRODUCT(($B$2:$B1443&lt;&gt;"")*1),"")</f>
        <v/>
      </c>
    </row>
    <row r="1444" spans="1:7">
      <c r="A1444" s="23" t="str">
        <f>IF('سجل الإنتاج'!C444="","",'سجل الإنتاج'!B444)</f>
        <v/>
      </c>
      <c r="B1444" t="str">
        <f>IF('سجل الإنتاج'!C444="","","إنتاج طبخة")</f>
        <v/>
      </c>
      <c r="C1444" t="str">
        <f>IF('سجل الإنتاج'!C444="","",'سجل الإنتاج'!C444)</f>
        <v/>
      </c>
      <c r="D1444" t="str">
        <f>IF('سجل الإنتاج'!C444="","","عدة مواد - راجع صفحة الطبخات")</f>
        <v/>
      </c>
      <c r="F1444" t="str">
        <f>IF('سجل الإنتاج'!C444="","",IF('سجل الإنتاج'!D444="","",'سجل الإنتاج'!D444))</f>
        <v/>
      </c>
      <c r="G1444" t="str">
        <f>IF($B1444&lt;&gt;"",SUMPRODUCT(($B$2:$B1444&lt;&gt;"")*1),"")</f>
        <v/>
      </c>
    </row>
    <row r="1445" spans="1:7">
      <c r="A1445" s="23" t="str">
        <f>IF('سجل الإنتاج'!C445="","",'سجل الإنتاج'!B445)</f>
        <v/>
      </c>
      <c r="B1445" t="str">
        <f>IF('سجل الإنتاج'!C445="","","إنتاج طبخة")</f>
        <v/>
      </c>
      <c r="C1445" t="str">
        <f>IF('سجل الإنتاج'!C445="","",'سجل الإنتاج'!C445)</f>
        <v/>
      </c>
      <c r="D1445" t="str">
        <f>IF('سجل الإنتاج'!C445="","","عدة مواد - راجع صفحة الطبخات")</f>
        <v/>
      </c>
      <c r="F1445" t="str">
        <f>IF('سجل الإنتاج'!C445="","",IF('سجل الإنتاج'!D445="","",'سجل الإنتاج'!D445))</f>
        <v/>
      </c>
      <c r="G1445" t="str">
        <f>IF($B1445&lt;&gt;"",SUMPRODUCT(($B$2:$B1445&lt;&gt;"")*1),"")</f>
        <v/>
      </c>
    </row>
    <row r="1446" spans="1:7">
      <c r="A1446" s="23" t="str">
        <f>IF('سجل الإنتاج'!C446="","",'سجل الإنتاج'!B446)</f>
        <v/>
      </c>
      <c r="B1446" t="str">
        <f>IF('سجل الإنتاج'!C446="","","إنتاج طبخة")</f>
        <v/>
      </c>
      <c r="C1446" t="str">
        <f>IF('سجل الإنتاج'!C446="","",'سجل الإنتاج'!C446)</f>
        <v/>
      </c>
      <c r="D1446" t="str">
        <f>IF('سجل الإنتاج'!C446="","","عدة مواد - راجع صفحة الطبخات")</f>
        <v/>
      </c>
      <c r="F1446" t="str">
        <f>IF('سجل الإنتاج'!C446="","",IF('سجل الإنتاج'!D446="","",'سجل الإنتاج'!D446))</f>
        <v/>
      </c>
      <c r="G1446" t="str">
        <f>IF($B1446&lt;&gt;"",SUMPRODUCT(($B$2:$B1446&lt;&gt;"")*1),"")</f>
        <v/>
      </c>
    </row>
    <row r="1447" spans="1:7">
      <c r="A1447" s="23" t="str">
        <f>IF('سجل الإنتاج'!C447="","",'سجل الإنتاج'!B447)</f>
        <v/>
      </c>
      <c r="B1447" t="str">
        <f>IF('سجل الإنتاج'!C447="","","إنتاج طبخة")</f>
        <v/>
      </c>
      <c r="C1447" t="str">
        <f>IF('سجل الإنتاج'!C447="","",'سجل الإنتاج'!C447)</f>
        <v/>
      </c>
      <c r="D1447" t="str">
        <f>IF('سجل الإنتاج'!C447="","","عدة مواد - راجع صفحة الطبخات")</f>
        <v/>
      </c>
      <c r="F1447" t="str">
        <f>IF('سجل الإنتاج'!C447="","",IF('سجل الإنتاج'!D447="","",'سجل الإنتاج'!D447))</f>
        <v/>
      </c>
      <c r="G1447" t="str">
        <f>IF($B1447&lt;&gt;"",SUMPRODUCT(($B$2:$B1447&lt;&gt;"")*1),"")</f>
        <v/>
      </c>
    </row>
    <row r="1448" spans="1:7">
      <c r="A1448" s="23" t="str">
        <f>IF('سجل الإنتاج'!C448="","",'سجل الإنتاج'!B448)</f>
        <v/>
      </c>
      <c r="B1448" t="str">
        <f>IF('سجل الإنتاج'!C448="","","إنتاج طبخة")</f>
        <v/>
      </c>
      <c r="C1448" t="str">
        <f>IF('سجل الإنتاج'!C448="","",'سجل الإنتاج'!C448)</f>
        <v/>
      </c>
      <c r="D1448" t="str">
        <f>IF('سجل الإنتاج'!C448="","","عدة مواد - راجع صفحة الطبخات")</f>
        <v/>
      </c>
      <c r="F1448" t="str">
        <f>IF('سجل الإنتاج'!C448="","",IF('سجل الإنتاج'!D448="","",'سجل الإنتاج'!D448))</f>
        <v/>
      </c>
      <c r="G1448" t="str">
        <f>IF($B1448&lt;&gt;"",SUMPRODUCT(($B$2:$B1448&lt;&gt;"")*1),"")</f>
        <v/>
      </c>
    </row>
    <row r="1449" spans="1:7">
      <c r="A1449" s="23" t="str">
        <f>IF('سجل الإنتاج'!C449="","",'سجل الإنتاج'!B449)</f>
        <v/>
      </c>
      <c r="B1449" t="str">
        <f>IF('سجل الإنتاج'!C449="","","إنتاج طبخة")</f>
        <v/>
      </c>
      <c r="C1449" t="str">
        <f>IF('سجل الإنتاج'!C449="","",'سجل الإنتاج'!C449)</f>
        <v/>
      </c>
      <c r="D1449" t="str">
        <f>IF('سجل الإنتاج'!C449="","","عدة مواد - راجع صفحة الطبخات")</f>
        <v/>
      </c>
      <c r="F1449" t="str">
        <f>IF('سجل الإنتاج'!C449="","",IF('سجل الإنتاج'!D449="","",'سجل الإنتاج'!D449))</f>
        <v/>
      </c>
      <c r="G1449" t="str">
        <f>IF($B1449&lt;&gt;"",SUMPRODUCT(($B$2:$B1449&lt;&gt;"")*1),"")</f>
        <v/>
      </c>
    </row>
    <row r="1450" spans="1:7">
      <c r="A1450" s="23" t="str">
        <f>IF('سجل الإنتاج'!C450="","",'سجل الإنتاج'!B450)</f>
        <v/>
      </c>
      <c r="B1450" t="str">
        <f>IF('سجل الإنتاج'!C450="","","إنتاج طبخة")</f>
        <v/>
      </c>
      <c r="C1450" t="str">
        <f>IF('سجل الإنتاج'!C450="","",'سجل الإنتاج'!C450)</f>
        <v/>
      </c>
      <c r="D1450" t="str">
        <f>IF('سجل الإنتاج'!C450="","","عدة مواد - راجع صفحة الطبخات")</f>
        <v/>
      </c>
      <c r="F1450" t="str">
        <f>IF('سجل الإنتاج'!C450="","",IF('سجل الإنتاج'!D450="","",'سجل الإنتاج'!D450))</f>
        <v/>
      </c>
      <c r="G1450" t="str">
        <f>IF($B1450&lt;&gt;"",SUMPRODUCT(($B$2:$B1450&lt;&gt;"")*1),"")</f>
        <v/>
      </c>
    </row>
    <row r="1451" spans="1:7">
      <c r="A1451" s="23" t="str">
        <f>IF('سجل الإنتاج'!C451="","",'سجل الإنتاج'!B451)</f>
        <v/>
      </c>
      <c r="B1451" t="str">
        <f>IF('سجل الإنتاج'!C451="","","إنتاج طبخة")</f>
        <v/>
      </c>
      <c r="C1451" t="str">
        <f>IF('سجل الإنتاج'!C451="","",'سجل الإنتاج'!C451)</f>
        <v/>
      </c>
      <c r="D1451" t="str">
        <f>IF('سجل الإنتاج'!C451="","","عدة مواد - راجع صفحة الطبخات")</f>
        <v/>
      </c>
      <c r="F1451" t="str">
        <f>IF('سجل الإنتاج'!C451="","",IF('سجل الإنتاج'!D451="","",'سجل الإنتاج'!D451))</f>
        <v/>
      </c>
      <c r="G1451" t="str">
        <f>IF($B1451&lt;&gt;"",SUMPRODUCT(($B$2:$B1451&lt;&gt;"")*1),"")</f>
        <v/>
      </c>
    </row>
    <row r="1452" spans="1:7">
      <c r="A1452" s="23" t="str">
        <f>IF('سجل الإنتاج'!C452="","",'سجل الإنتاج'!B452)</f>
        <v/>
      </c>
      <c r="B1452" t="str">
        <f>IF('سجل الإنتاج'!C452="","","إنتاج طبخة")</f>
        <v/>
      </c>
      <c r="C1452" t="str">
        <f>IF('سجل الإنتاج'!C452="","",'سجل الإنتاج'!C452)</f>
        <v/>
      </c>
      <c r="D1452" t="str">
        <f>IF('سجل الإنتاج'!C452="","","عدة مواد - راجع صفحة الطبخات")</f>
        <v/>
      </c>
      <c r="F1452" t="str">
        <f>IF('سجل الإنتاج'!C452="","",IF('سجل الإنتاج'!D452="","",'سجل الإنتاج'!D452))</f>
        <v/>
      </c>
      <c r="G1452" t="str">
        <f>IF($B1452&lt;&gt;"",SUMPRODUCT(($B$2:$B1452&lt;&gt;"")*1),"")</f>
        <v/>
      </c>
    </row>
    <row r="1453" spans="1:7">
      <c r="A1453" s="23" t="str">
        <f>IF('سجل الإنتاج'!C453="","",'سجل الإنتاج'!B453)</f>
        <v/>
      </c>
      <c r="B1453" t="str">
        <f>IF('سجل الإنتاج'!C453="","","إنتاج طبخة")</f>
        <v/>
      </c>
      <c r="C1453" t="str">
        <f>IF('سجل الإنتاج'!C453="","",'سجل الإنتاج'!C453)</f>
        <v/>
      </c>
      <c r="D1453" t="str">
        <f>IF('سجل الإنتاج'!C453="","","عدة مواد - راجع صفحة الطبخات")</f>
        <v/>
      </c>
      <c r="F1453" t="str">
        <f>IF('سجل الإنتاج'!C453="","",IF('سجل الإنتاج'!D453="","",'سجل الإنتاج'!D453))</f>
        <v/>
      </c>
      <c r="G1453" t="str">
        <f>IF($B1453&lt;&gt;"",SUMPRODUCT(($B$2:$B1453&lt;&gt;"")*1),"")</f>
        <v/>
      </c>
    </row>
    <row r="1454" spans="1:7">
      <c r="A1454" s="23" t="str">
        <f>IF('سجل الإنتاج'!C454="","",'سجل الإنتاج'!B454)</f>
        <v/>
      </c>
      <c r="B1454" t="str">
        <f>IF('سجل الإنتاج'!C454="","","إنتاج طبخة")</f>
        <v/>
      </c>
      <c r="C1454" t="str">
        <f>IF('سجل الإنتاج'!C454="","",'سجل الإنتاج'!C454)</f>
        <v/>
      </c>
      <c r="D1454" t="str">
        <f>IF('سجل الإنتاج'!C454="","","عدة مواد - راجع صفحة الطبخات")</f>
        <v/>
      </c>
      <c r="F1454" t="str">
        <f>IF('سجل الإنتاج'!C454="","",IF('سجل الإنتاج'!D454="","",'سجل الإنتاج'!D454))</f>
        <v/>
      </c>
      <c r="G1454" t="str">
        <f>IF($B1454&lt;&gt;"",SUMPRODUCT(($B$2:$B1454&lt;&gt;"")*1),"")</f>
        <v/>
      </c>
    </row>
    <row r="1455" spans="1:7">
      <c r="A1455" s="23" t="str">
        <f>IF('سجل الإنتاج'!C455="","",'سجل الإنتاج'!B455)</f>
        <v/>
      </c>
      <c r="B1455" t="str">
        <f>IF('سجل الإنتاج'!C455="","","إنتاج طبخة")</f>
        <v/>
      </c>
      <c r="C1455" t="str">
        <f>IF('سجل الإنتاج'!C455="","",'سجل الإنتاج'!C455)</f>
        <v/>
      </c>
      <c r="D1455" t="str">
        <f>IF('سجل الإنتاج'!C455="","","عدة مواد - راجع صفحة الطبخات")</f>
        <v/>
      </c>
      <c r="F1455" t="str">
        <f>IF('سجل الإنتاج'!C455="","",IF('سجل الإنتاج'!D455="","",'سجل الإنتاج'!D455))</f>
        <v/>
      </c>
      <c r="G1455" t="str">
        <f>IF($B1455&lt;&gt;"",SUMPRODUCT(($B$2:$B1455&lt;&gt;"")*1),"")</f>
        <v/>
      </c>
    </row>
    <row r="1456" spans="1:7">
      <c r="A1456" s="23" t="str">
        <f>IF('سجل الإنتاج'!C456="","",'سجل الإنتاج'!B456)</f>
        <v/>
      </c>
      <c r="B1456" t="str">
        <f>IF('سجل الإنتاج'!C456="","","إنتاج طبخة")</f>
        <v/>
      </c>
      <c r="C1456" t="str">
        <f>IF('سجل الإنتاج'!C456="","",'سجل الإنتاج'!C456)</f>
        <v/>
      </c>
      <c r="D1456" t="str">
        <f>IF('سجل الإنتاج'!C456="","","عدة مواد - راجع صفحة الطبخات")</f>
        <v/>
      </c>
      <c r="F1456" t="str">
        <f>IF('سجل الإنتاج'!C456="","",IF('سجل الإنتاج'!D456="","",'سجل الإنتاج'!D456))</f>
        <v/>
      </c>
      <c r="G1456" t="str">
        <f>IF($B1456&lt;&gt;"",SUMPRODUCT(($B$2:$B1456&lt;&gt;"")*1),"")</f>
        <v/>
      </c>
    </row>
    <row r="1457" spans="1:7">
      <c r="A1457" s="23" t="str">
        <f>IF('سجل الإنتاج'!C457="","",'سجل الإنتاج'!B457)</f>
        <v/>
      </c>
      <c r="B1457" t="str">
        <f>IF('سجل الإنتاج'!C457="","","إنتاج طبخة")</f>
        <v/>
      </c>
      <c r="C1457" t="str">
        <f>IF('سجل الإنتاج'!C457="","",'سجل الإنتاج'!C457)</f>
        <v/>
      </c>
      <c r="D1457" t="str">
        <f>IF('سجل الإنتاج'!C457="","","عدة مواد - راجع صفحة الطبخات")</f>
        <v/>
      </c>
      <c r="F1457" t="str">
        <f>IF('سجل الإنتاج'!C457="","",IF('سجل الإنتاج'!D457="","",'سجل الإنتاج'!D457))</f>
        <v/>
      </c>
      <c r="G1457" t="str">
        <f>IF($B1457&lt;&gt;"",SUMPRODUCT(($B$2:$B1457&lt;&gt;"")*1),"")</f>
        <v/>
      </c>
    </row>
    <row r="1458" spans="1:7">
      <c r="A1458" s="23" t="str">
        <f>IF('سجل الإنتاج'!C458="","",'سجل الإنتاج'!B458)</f>
        <v/>
      </c>
      <c r="B1458" t="str">
        <f>IF('سجل الإنتاج'!C458="","","إنتاج طبخة")</f>
        <v/>
      </c>
      <c r="C1458" t="str">
        <f>IF('سجل الإنتاج'!C458="","",'سجل الإنتاج'!C458)</f>
        <v/>
      </c>
      <c r="D1458" t="str">
        <f>IF('سجل الإنتاج'!C458="","","عدة مواد - راجع صفحة الطبخات")</f>
        <v/>
      </c>
      <c r="F1458" t="str">
        <f>IF('سجل الإنتاج'!C458="","",IF('سجل الإنتاج'!D458="","",'سجل الإنتاج'!D458))</f>
        <v/>
      </c>
      <c r="G1458" t="str">
        <f>IF($B1458&lt;&gt;"",SUMPRODUCT(($B$2:$B1458&lt;&gt;"")*1),"")</f>
        <v/>
      </c>
    </row>
    <row r="1459" spans="1:7">
      <c r="A1459" s="23" t="str">
        <f>IF('سجل الإنتاج'!C459="","",'سجل الإنتاج'!B459)</f>
        <v/>
      </c>
      <c r="B1459" t="str">
        <f>IF('سجل الإنتاج'!C459="","","إنتاج طبخة")</f>
        <v/>
      </c>
      <c r="C1459" t="str">
        <f>IF('سجل الإنتاج'!C459="","",'سجل الإنتاج'!C459)</f>
        <v/>
      </c>
      <c r="D1459" t="str">
        <f>IF('سجل الإنتاج'!C459="","","عدة مواد - راجع صفحة الطبخات")</f>
        <v/>
      </c>
      <c r="F1459" t="str">
        <f>IF('سجل الإنتاج'!C459="","",IF('سجل الإنتاج'!D459="","",'سجل الإنتاج'!D459))</f>
        <v/>
      </c>
      <c r="G1459" t="str">
        <f>IF($B1459&lt;&gt;"",SUMPRODUCT(($B$2:$B1459&lt;&gt;"")*1),"")</f>
        <v/>
      </c>
    </row>
    <row r="1460" spans="1:7">
      <c r="A1460" s="23" t="str">
        <f>IF('سجل الإنتاج'!C460="","",'سجل الإنتاج'!B460)</f>
        <v/>
      </c>
      <c r="B1460" t="str">
        <f>IF('سجل الإنتاج'!C460="","","إنتاج طبخة")</f>
        <v/>
      </c>
      <c r="C1460" t="str">
        <f>IF('سجل الإنتاج'!C460="","",'سجل الإنتاج'!C460)</f>
        <v/>
      </c>
      <c r="D1460" t="str">
        <f>IF('سجل الإنتاج'!C460="","","عدة مواد - راجع صفحة الطبخات")</f>
        <v/>
      </c>
      <c r="F1460" t="str">
        <f>IF('سجل الإنتاج'!C460="","",IF('سجل الإنتاج'!D460="","",'سجل الإنتاج'!D460))</f>
        <v/>
      </c>
      <c r="G1460" t="str">
        <f>IF($B1460&lt;&gt;"",SUMPRODUCT(($B$2:$B1460&lt;&gt;"")*1),"")</f>
        <v/>
      </c>
    </row>
    <row r="1461" spans="1:7">
      <c r="A1461" s="23" t="str">
        <f>IF('سجل الإنتاج'!C461="","",'سجل الإنتاج'!B461)</f>
        <v/>
      </c>
      <c r="B1461" t="str">
        <f>IF('سجل الإنتاج'!C461="","","إنتاج طبخة")</f>
        <v/>
      </c>
      <c r="C1461" t="str">
        <f>IF('سجل الإنتاج'!C461="","",'سجل الإنتاج'!C461)</f>
        <v/>
      </c>
      <c r="D1461" t="str">
        <f>IF('سجل الإنتاج'!C461="","","عدة مواد - راجع صفحة الطبخات")</f>
        <v/>
      </c>
      <c r="F1461" t="str">
        <f>IF('سجل الإنتاج'!C461="","",IF('سجل الإنتاج'!D461="","",'سجل الإنتاج'!D461))</f>
        <v/>
      </c>
      <c r="G1461" t="str">
        <f>IF($B1461&lt;&gt;"",SUMPRODUCT(($B$2:$B1461&lt;&gt;"")*1),"")</f>
        <v/>
      </c>
    </row>
    <row r="1462" spans="1:7">
      <c r="A1462" s="23" t="str">
        <f>IF('سجل الإنتاج'!C462="","",'سجل الإنتاج'!B462)</f>
        <v/>
      </c>
      <c r="B1462" t="str">
        <f>IF('سجل الإنتاج'!C462="","","إنتاج طبخة")</f>
        <v/>
      </c>
      <c r="C1462" t="str">
        <f>IF('سجل الإنتاج'!C462="","",'سجل الإنتاج'!C462)</f>
        <v/>
      </c>
      <c r="D1462" t="str">
        <f>IF('سجل الإنتاج'!C462="","","عدة مواد - راجع صفحة الطبخات")</f>
        <v/>
      </c>
      <c r="F1462" t="str">
        <f>IF('سجل الإنتاج'!C462="","",IF('سجل الإنتاج'!D462="","",'سجل الإنتاج'!D462))</f>
        <v/>
      </c>
      <c r="G1462" t="str">
        <f>IF($B1462&lt;&gt;"",SUMPRODUCT(($B$2:$B1462&lt;&gt;"")*1),"")</f>
        <v/>
      </c>
    </row>
    <row r="1463" spans="1:7">
      <c r="A1463" s="23" t="str">
        <f>IF('سجل الإنتاج'!C463="","",'سجل الإنتاج'!B463)</f>
        <v/>
      </c>
      <c r="B1463" t="str">
        <f>IF('سجل الإنتاج'!C463="","","إنتاج طبخة")</f>
        <v/>
      </c>
      <c r="C1463" t="str">
        <f>IF('سجل الإنتاج'!C463="","",'سجل الإنتاج'!C463)</f>
        <v/>
      </c>
      <c r="D1463" t="str">
        <f>IF('سجل الإنتاج'!C463="","","عدة مواد - راجع صفحة الطبخات")</f>
        <v/>
      </c>
      <c r="F1463" t="str">
        <f>IF('سجل الإنتاج'!C463="","",IF('سجل الإنتاج'!D463="","",'سجل الإنتاج'!D463))</f>
        <v/>
      </c>
      <c r="G1463" t="str">
        <f>IF($B1463&lt;&gt;"",SUMPRODUCT(($B$2:$B1463&lt;&gt;"")*1),"")</f>
        <v/>
      </c>
    </row>
    <row r="1464" spans="1:7">
      <c r="A1464" s="23" t="str">
        <f>IF('سجل الإنتاج'!C464="","",'سجل الإنتاج'!B464)</f>
        <v/>
      </c>
      <c r="B1464" t="str">
        <f>IF('سجل الإنتاج'!C464="","","إنتاج طبخة")</f>
        <v/>
      </c>
      <c r="C1464" t="str">
        <f>IF('سجل الإنتاج'!C464="","",'سجل الإنتاج'!C464)</f>
        <v/>
      </c>
      <c r="D1464" t="str">
        <f>IF('سجل الإنتاج'!C464="","","عدة مواد - راجع صفحة الطبخات")</f>
        <v/>
      </c>
      <c r="F1464" t="str">
        <f>IF('سجل الإنتاج'!C464="","",IF('سجل الإنتاج'!D464="","",'سجل الإنتاج'!D464))</f>
        <v/>
      </c>
      <c r="G1464" t="str">
        <f>IF($B1464&lt;&gt;"",SUMPRODUCT(($B$2:$B1464&lt;&gt;"")*1),"")</f>
        <v/>
      </c>
    </row>
    <row r="1465" spans="1:7">
      <c r="A1465" s="23" t="str">
        <f>IF('سجل الإنتاج'!C465="","",'سجل الإنتاج'!B465)</f>
        <v/>
      </c>
      <c r="B1465" t="str">
        <f>IF('سجل الإنتاج'!C465="","","إنتاج طبخة")</f>
        <v/>
      </c>
      <c r="C1465" t="str">
        <f>IF('سجل الإنتاج'!C465="","",'سجل الإنتاج'!C465)</f>
        <v/>
      </c>
      <c r="D1465" t="str">
        <f>IF('سجل الإنتاج'!C465="","","عدة مواد - راجع صفحة الطبخات")</f>
        <v/>
      </c>
      <c r="F1465" t="str">
        <f>IF('سجل الإنتاج'!C465="","",IF('سجل الإنتاج'!D465="","",'سجل الإنتاج'!D465))</f>
        <v/>
      </c>
      <c r="G1465" t="str">
        <f>IF($B1465&lt;&gt;"",SUMPRODUCT(($B$2:$B1465&lt;&gt;"")*1),"")</f>
        <v/>
      </c>
    </row>
    <row r="1466" spans="1:7">
      <c r="A1466" s="23" t="str">
        <f>IF('سجل الإنتاج'!C466="","",'سجل الإنتاج'!B466)</f>
        <v/>
      </c>
      <c r="B1466" t="str">
        <f>IF('سجل الإنتاج'!C466="","","إنتاج طبخة")</f>
        <v/>
      </c>
      <c r="C1466" t="str">
        <f>IF('سجل الإنتاج'!C466="","",'سجل الإنتاج'!C466)</f>
        <v/>
      </c>
      <c r="D1466" t="str">
        <f>IF('سجل الإنتاج'!C466="","","عدة مواد - راجع صفحة الطبخات")</f>
        <v/>
      </c>
      <c r="F1466" t="str">
        <f>IF('سجل الإنتاج'!C466="","",IF('سجل الإنتاج'!D466="","",'سجل الإنتاج'!D466))</f>
        <v/>
      </c>
      <c r="G1466" t="str">
        <f>IF($B1466&lt;&gt;"",SUMPRODUCT(($B$2:$B1466&lt;&gt;"")*1),"")</f>
        <v/>
      </c>
    </row>
    <row r="1467" spans="1:7">
      <c r="A1467" s="23" t="str">
        <f>IF('سجل الإنتاج'!C467="","",'سجل الإنتاج'!B467)</f>
        <v/>
      </c>
      <c r="B1467" t="str">
        <f>IF('سجل الإنتاج'!C467="","","إنتاج طبخة")</f>
        <v/>
      </c>
      <c r="C1467" t="str">
        <f>IF('سجل الإنتاج'!C467="","",'سجل الإنتاج'!C467)</f>
        <v/>
      </c>
      <c r="D1467" t="str">
        <f>IF('سجل الإنتاج'!C467="","","عدة مواد - راجع صفحة الطبخات")</f>
        <v/>
      </c>
      <c r="F1467" t="str">
        <f>IF('سجل الإنتاج'!C467="","",IF('سجل الإنتاج'!D467="","",'سجل الإنتاج'!D467))</f>
        <v/>
      </c>
      <c r="G1467" t="str">
        <f>IF($B1467&lt;&gt;"",SUMPRODUCT(($B$2:$B1467&lt;&gt;"")*1),"")</f>
        <v/>
      </c>
    </row>
    <row r="1468" spans="1:7">
      <c r="A1468" s="23" t="str">
        <f>IF('سجل الإنتاج'!C468="","",'سجل الإنتاج'!B468)</f>
        <v/>
      </c>
      <c r="B1468" t="str">
        <f>IF('سجل الإنتاج'!C468="","","إنتاج طبخة")</f>
        <v/>
      </c>
      <c r="C1468" t="str">
        <f>IF('سجل الإنتاج'!C468="","",'سجل الإنتاج'!C468)</f>
        <v/>
      </c>
      <c r="D1468" t="str">
        <f>IF('سجل الإنتاج'!C468="","","عدة مواد - راجع صفحة الطبخات")</f>
        <v/>
      </c>
      <c r="F1468" t="str">
        <f>IF('سجل الإنتاج'!C468="","",IF('سجل الإنتاج'!D468="","",'سجل الإنتاج'!D468))</f>
        <v/>
      </c>
      <c r="G1468" t="str">
        <f>IF($B1468&lt;&gt;"",SUMPRODUCT(($B$2:$B1468&lt;&gt;"")*1),"")</f>
        <v/>
      </c>
    </row>
    <row r="1469" spans="1:7">
      <c r="A1469" s="23" t="str">
        <f>IF('سجل الإنتاج'!C469="","",'سجل الإنتاج'!B469)</f>
        <v/>
      </c>
      <c r="B1469" t="str">
        <f>IF('سجل الإنتاج'!C469="","","إنتاج طبخة")</f>
        <v/>
      </c>
      <c r="C1469" t="str">
        <f>IF('سجل الإنتاج'!C469="","",'سجل الإنتاج'!C469)</f>
        <v/>
      </c>
      <c r="D1469" t="str">
        <f>IF('سجل الإنتاج'!C469="","","عدة مواد - راجع صفحة الطبخات")</f>
        <v/>
      </c>
      <c r="F1469" t="str">
        <f>IF('سجل الإنتاج'!C469="","",IF('سجل الإنتاج'!D469="","",'سجل الإنتاج'!D469))</f>
        <v/>
      </c>
      <c r="G1469" t="str">
        <f>IF($B1469&lt;&gt;"",SUMPRODUCT(($B$2:$B1469&lt;&gt;"")*1),"")</f>
        <v/>
      </c>
    </row>
    <row r="1470" spans="1:7">
      <c r="A1470" s="23" t="str">
        <f>IF('سجل الإنتاج'!C470="","",'سجل الإنتاج'!B470)</f>
        <v/>
      </c>
      <c r="B1470" t="str">
        <f>IF('سجل الإنتاج'!C470="","","إنتاج طبخة")</f>
        <v/>
      </c>
      <c r="C1470" t="str">
        <f>IF('سجل الإنتاج'!C470="","",'سجل الإنتاج'!C470)</f>
        <v/>
      </c>
      <c r="D1470" t="str">
        <f>IF('سجل الإنتاج'!C470="","","عدة مواد - راجع صفحة الطبخات")</f>
        <v/>
      </c>
      <c r="F1470" t="str">
        <f>IF('سجل الإنتاج'!C470="","",IF('سجل الإنتاج'!D470="","",'سجل الإنتاج'!D470))</f>
        <v/>
      </c>
      <c r="G1470" t="str">
        <f>IF($B1470&lt;&gt;"",SUMPRODUCT(($B$2:$B1470&lt;&gt;"")*1),"")</f>
        <v/>
      </c>
    </row>
    <row r="1471" spans="1:7">
      <c r="A1471" s="23" t="str">
        <f>IF('سجل الإنتاج'!C471="","",'سجل الإنتاج'!B471)</f>
        <v/>
      </c>
      <c r="B1471" t="str">
        <f>IF('سجل الإنتاج'!C471="","","إنتاج طبخة")</f>
        <v/>
      </c>
      <c r="C1471" t="str">
        <f>IF('سجل الإنتاج'!C471="","",'سجل الإنتاج'!C471)</f>
        <v/>
      </c>
      <c r="D1471" t="str">
        <f>IF('سجل الإنتاج'!C471="","","عدة مواد - راجع صفحة الطبخات")</f>
        <v/>
      </c>
      <c r="F1471" t="str">
        <f>IF('سجل الإنتاج'!C471="","",IF('سجل الإنتاج'!D471="","",'سجل الإنتاج'!D471))</f>
        <v/>
      </c>
      <c r="G1471" t="str">
        <f>IF($B1471&lt;&gt;"",SUMPRODUCT(($B$2:$B1471&lt;&gt;"")*1),"")</f>
        <v/>
      </c>
    </row>
    <row r="1472" spans="1:7">
      <c r="A1472" s="23" t="str">
        <f>IF('سجل الإنتاج'!C472="","",'سجل الإنتاج'!B472)</f>
        <v/>
      </c>
      <c r="B1472" t="str">
        <f>IF('سجل الإنتاج'!C472="","","إنتاج طبخة")</f>
        <v/>
      </c>
      <c r="C1472" t="str">
        <f>IF('سجل الإنتاج'!C472="","",'سجل الإنتاج'!C472)</f>
        <v/>
      </c>
      <c r="D1472" t="str">
        <f>IF('سجل الإنتاج'!C472="","","عدة مواد - راجع صفحة الطبخات")</f>
        <v/>
      </c>
      <c r="F1472" t="str">
        <f>IF('سجل الإنتاج'!C472="","",IF('سجل الإنتاج'!D472="","",'سجل الإنتاج'!D472))</f>
        <v/>
      </c>
      <c r="G1472" t="str">
        <f>IF($B1472&lt;&gt;"",SUMPRODUCT(($B$2:$B1472&lt;&gt;"")*1),"")</f>
        <v/>
      </c>
    </row>
    <row r="1473" spans="1:7">
      <c r="A1473" s="23" t="str">
        <f>IF('سجل الإنتاج'!C473="","",'سجل الإنتاج'!B473)</f>
        <v/>
      </c>
      <c r="B1473" t="str">
        <f>IF('سجل الإنتاج'!C473="","","إنتاج طبخة")</f>
        <v/>
      </c>
      <c r="C1473" t="str">
        <f>IF('سجل الإنتاج'!C473="","",'سجل الإنتاج'!C473)</f>
        <v/>
      </c>
      <c r="D1473" t="str">
        <f>IF('سجل الإنتاج'!C473="","","عدة مواد - راجع صفحة الطبخات")</f>
        <v/>
      </c>
      <c r="F1473" t="str">
        <f>IF('سجل الإنتاج'!C473="","",IF('سجل الإنتاج'!D473="","",'سجل الإنتاج'!D473))</f>
        <v/>
      </c>
      <c r="G1473" t="str">
        <f>IF($B1473&lt;&gt;"",SUMPRODUCT(($B$2:$B1473&lt;&gt;"")*1),"")</f>
        <v/>
      </c>
    </row>
    <row r="1474" spans="1:7">
      <c r="A1474" s="23" t="str">
        <f>IF('سجل الإنتاج'!C474="","",'سجل الإنتاج'!B474)</f>
        <v/>
      </c>
      <c r="B1474" t="str">
        <f>IF('سجل الإنتاج'!C474="","","إنتاج طبخة")</f>
        <v/>
      </c>
      <c r="C1474" t="str">
        <f>IF('سجل الإنتاج'!C474="","",'سجل الإنتاج'!C474)</f>
        <v/>
      </c>
      <c r="D1474" t="str">
        <f>IF('سجل الإنتاج'!C474="","","عدة مواد - راجع صفحة الطبخات")</f>
        <v/>
      </c>
      <c r="F1474" t="str">
        <f>IF('سجل الإنتاج'!C474="","",IF('سجل الإنتاج'!D474="","",'سجل الإنتاج'!D474))</f>
        <v/>
      </c>
      <c r="G1474" t="str">
        <f>IF($B1474&lt;&gt;"",SUMPRODUCT(($B$2:$B1474&lt;&gt;"")*1),"")</f>
        <v/>
      </c>
    </row>
    <row r="1475" spans="1:7">
      <c r="A1475" s="23" t="str">
        <f>IF('سجل الإنتاج'!C475="","",'سجل الإنتاج'!B475)</f>
        <v/>
      </c>
      <c r="B1475" t="str">
        <f>IF('سجل الإنتاج'!C475="","","إنتاج طبخة")</f>
        <v/>
      </c>
      <c r="C1475" t="str">
        <f>IF('سجل الإنتاج'!C475="","",'سجل الإنتاج'!C475)</f>
        <v/>
      </c>
      <c r="D1475" t="str">
        <f>IF('سجل الإنتاج'!C475="","","عدة مواد - راجع صفحة الطبخات")</f>
        <v/>
      </c>
      <c r="F1475" t="str">
        <f>IF('سجل الإنتاج'!C475="","",IF('سجل الإنتاج'!D475="","",'سجل الإنتاج'!D475))</f>
        <v/>
      </c>
      <c r="G1475" t="str">
        <f>IF($B1475&lt;&gt;"",SUMPRODUCT(($B$2:$B1475&lt;&gt;"")*1),"")</f>
        <v/>
      </c>
    </row>
    <row r="1476" spans="1:7">
      <c r="A1476" s="23" t="str">
        <f>IF('سجل الإنتاج'!C476="","",'سجل الإنتاج'!B476)</f>
        <v/>
      </c>
      <c r="B1476" t="str">
        <f>IF('سجل الإنتاج'!C476="","","إنتاج طبخة")</f>
        <v/>
      </c>
      <c r="C1476" t="str">
        <f>IF('سجل الإنتاج'!C476="","",'سجل الإنتاج'!C476)</f>
        <v/>
      </c>
      <c r="D1476" t="str">
        <f>IF('سجل الإنتاج'!C476="","","عدة مواد - راجع صفحة الطبخات")</f>
        <v/>
      </c>
      <c r="F1476" t="str">
        <f>IF('سجل الإنتاج'!C476="","",IF('سجل الإنتاج'!D476="","",'سجل الإنتاج'!D476))</f>
        <v/>
      </c>
      <c r="G1476" t="str">
        <f>IF($B1476&lt;&gt;"",SUMPRODUCT(($B$2:$B1476&lt;&gt;"")*1),"")</f>
        <v/>
      </c>
    </row>
    <row r="1477" spans="1:7">
      <c r="A1477" s="23" t="str">
        <f>IF('سجل الإنتاج'!C477="","",'سجل الإنتاج'!B477)</f>
        <v/>
      </c>
      <c r="B1477" t="str">
        <f>IF('سجل الإنتاج'!C477="","","إنتاج طبخة")</f>
        <v/>
      </c>
      <c r="C1477" t="str">
        <f>IF('سجل الإنتاج'!C477="","",'سجل الإنتاج'!C477)</f>
        <v/>
      </c>
      <c r="D1477" t="str">
        <f>IF('سجل الإنتاج'!C477="","","عدة مواد - راجع صفحة الطبخات")</f>
        <v/>
      </c>
      <c r="F1477" t="str">
        <f>IF('سجل الإنتاج'!C477="","",IF('سجل الإنتاج'!D477="","",'سجل الإنتاج'!D477))</f>
        <v/>
      </c>
      <c r="G1477" t="str">
        <f>IF($B1477&lt;&gt;"",SUMPRODUCT(($B$2:$B1477&lt;&gt;"")*1),"")</f>
        <v/>
      </c>
    </row>
    <row r="1478" spans="1:7">
      <c r="A1478" s="23" t="str">
        <f>IF('سجل الإنتاج'!C478="","",'سجل الإنتاج'!B478)</f>
        <v/>
      </c>
      <c r="B1478" t="str">
        <f>IF('سجل الإنتاج'!C478="","","إنتاج طبخة")</f>
        <v/>
      </c>
      <c r="C1478" t="str">
        <f>IF('سجل الإنتاج'!C478="","",'سجل الإنتاج'!C478)</f>
        <v/>
      </c>
      <c r="D1478" t="str">
        <f>IF('سجل الإنتاج'!C478="","","عدة مواد - راجع صفحة الطبخات")</f>
        <v/>
      </c>
      <c r="F1478" t="str">
        <f>IF('سجل الإنتاج'!C478="","",IF('سجل الإنتاج'!D478="","",'سجل الإنتاج'!D478))</f>
        <v/>
      </c>
      <c r="G1478" t="str">
        <f>IF($B1478&lt;&gt;"",SUMPRODUCT(($B$2:$B1478&lt;&gt;"")*1),"")</f>
        <v/>
      </c>
    </row>
    <row r="1479" spans="1:7">
      <c r="A1479" s="23" t="str">
        <f>IF('سجل الإنتاج'!C479="","",'سجل الإنتاج'!B479)</f>
        <v/>
      </c>
      <c r="B1479" t="str">
        <f>IF('سجل الإنتاج'!C479="","","إنتاج طبخة")</f>
        <v/>
      </c>
      <c r="C1479" t="str">
        <f>IF('سجل الإنتاج'!C479="","",'سجل الإنتاج'!C479)</f>
        <v/>
      </c>
      <c r="D1479" t="str">
        <f>IF('سجل الإنتاج'!C479="","","عدة مواد - راجع صفحة الطبخات")</f>
        <v/>
      </c>
      <c r="F1479" t="str">
        <f>IF('سجل الإنتاج'!C479="","",IF('سجل الإنتاج'!D479="","",'سجل الإنتاج'!D479))</f>
        <v/>
      </c>
      <c r="G1479" t="str">
        <f>IF($B1479&lt;&gt;"",SUMPRODUCT(($B$2:$B1479&lt;&gt;"")*1),"")</f>
        <v/>
      </c>
    </row>
    <row r="1480" spans="1:7">
      <c r="A1480" s="23" t="str">
        <f>IF('سجل الإنتاج'!C480="","",'سجل الإنتاج'!B480)</f>
        <v/>
      </c>
      <c r="B1480" t="str">
        <f>IF('سجل الإنتاج'!C480="","","إنتاج طبخة")</f>
        <v/>
      </c>
      <c r="C1480" t="str">
        <f>IF('سجل الإنتاج'!C480="","",'سجل الإنتاج'!C480)</f>
        <v/>
      </c>
      <c r="D1480" t="str">
        <f>IF('سجل الإنتاج'!C480="","","عدة مواد - راجع صفحة الطبخات")</f>
        <v/>
      </c>
      <c r="F1480" t="str">
        <f>IF('سجل الإنتاج'!C480="","",IF('سجل الإنتاج'!D480="","",'سجل الإنتاج'!D480))</f>
        <v/>
      </c>
      <c r="G1480" t="str">
        <f>IF($B1480&lt;&gt;"",SUMPRODUCT(($B$2:$B1480&lt;&gt;"")*1),"")</f>
        <v/>
      </c>
    </row>
    <row r="1481" spans="1:7">
      <c r="A1481" s="23" t="str">
        <f>IF('سجل الإنتاج'!C481="","",'سجل الإنتاج'!B481)</f>
        <v/>
      </c>
      <c r="B1481" t="str">
        <f>IF('سجل الإنتاج'!C481="","","إنتاج طبخة")</f>
        <v/>
      </c>
      <c r="C1481" t="str">
        <f>IF('سجل الإنتاج'!C481="","",'سجل الإنتاج'!C481)</f>
        <v/>
      </c>
      <c r="D1481" t="str">
        <f>IF('سجل الإنتاج'!C481="","","عدة مواد - راجع صفحة الطبخات")</f>
        <v/>
      </c>
      <c r="F1481" t="str">
        <f>IF('سجل الإنتاج'!C481="","",IF('سجل الإنتاج'!D481="","",'سجل الإنتاج'!D481))</f>
        <v/>
      </c>
      <c r="G1481" t="str">
        <f>IF($B1481&lt;&gt;"",SUMPRODUCT(($B$2:$B1481&lt;&gt;"")*1),"")</f>
        <v/>
      </c>
    </row>
    <row r="1482" spans="1:7">
      <c r="A1482" s="23" t="str">
        <f>IF('سجل الإنتاج'!C482="","",'سجل الإنتاج'!B482)</f>
        <v/>
      </c>
      <c r="B1482" t="str">
        <f>IF('سجل الإنتاج'!C482="","","إنتاج طبخة")</f>
        <v/>
      </c>
      <c r="C1482" t="str">
        <f>IF('سجل الإنتاج'!C482="","",'سجل الإنتاج'!C482)</f>
        <v/>
      </c>
      <c r="D1482" t="str">
        <f>IF('سجل الإنتاج'!C482="","","عدة مواد - راجع صفحة الطبخات")</f>
        <v/>
      </c>
      <c r="F1482" t="str">
        <f>IF('سجل الإنتاج'!C482="","",IF('سجل الإنتاج'!D482="","",'سجل الإنتاج'!D482))</f>
        <v/>
      </c>
      <c r="G1482" t="str">
        <f>IF($B1482&lt;&gt;"",SUMPRODUCT(($B$2:$B1482&lt;&gt;"")*1),"")</f>
        <v/>
      </c>
    </row>
    <row r="1483" spans="1:7">
      <c r="A1483" s="23" t="str">
        <f>IF('سجل الإنتاج'!C483="","",'سجل الإنتاج'!B483)</f>
        <v/>
      </c>
      <c r="B1483" t="str">
        <f>IF('سجل الإنتاج'!C483="","","إنتاج طبخة")</f>
        <v/>
      </c>
      <c r="C1483" t="str">
        <f>IF('سجل الإنتاج'!C483="","",'سجل الإنتاج'!C483)</f>
        <v/>
      </c>
      <c r="D1483" t="str">
        <f>IF('سجل الإنتاج'!C483="","","عدة مواد - راجع صفحة الطبخات")</f>
        <v/>
      </c>
      <c r="F1483" t="str">
        <f>IF('سجل الإنتاج'!C483="","",IF('سجل الإنتاج'!D483="","",'سجل الإنتاج'!D483))</f>
        <v/>
      </c>
      <c r="G1483" t="str">
        <f>IF($B1483&lt;&gt;"",SUMPRODUCT(($B$2:$B1483&lt;&gt;"")*1),"")</f>
        <v/>
      </c>
    </row>
    <row r="1484" spans="1:7">
      <c r="A1484" s="23" t="str">
        <f>IF('سجل الإنتاج'!C484="","",'سجل الإنتاج'!B484)</f>
        <v/>
      </c>
      <c r="B1484" t="str">
        <f>IF('سجل الإنتاج'!C484="","","إنتاج طبخة")</f>
        <v/>
      </c>
      <c r="C1484" t="str">
        <f>IF('سجل الإنتاج'!C484="","",'سجل الإنتاج'!C484)</f>
        <v/>
      </c>
      <c r="D1484" t="str">
        <f>IF('سجل الإنتاج'!C484="","","عدة مواد - راجع صفحة الطبخات")</f>
        <v/>
      </c>
      <c r="F1484" t="str">
        <f>IF('سجل الإنتاج'!C484="","",IF('سجل الإنتاج'!D484="","",'سجل الإنتاج'!D484))</f>
        <v/>
      </c>
      <c r="G1484" t="str">
        <f>IF($B1484&lt;&gt;"",SUMPRODUCT(($B$2:$B1484&lt;&gt;"")*1),"")</f>
        <v/>
      </c>
    </row>
    <row r="1485" spans="1:7">
      <c r="A1485" s="23" t="str">
        <f>IF('سجل الإنتاج'!C485="","",'سجل الإنتاج'!B485)</f>
        <v/>
      </c>
      <c r="B1485" t="str">
        <f>IF('سجل الإنتاج'!C485="","","إنتاج طبخة")</f>
        <v/>
      </c>
      <c r="C1485" t="str">
        <f>IF('سجل الإنتاج'!C485="","",'سجل الإنتاج'!C485)</f>
        <v/>
      </c>
      <c r="D1485" t="str">
        <f>IF('سجل الإنتاج'!C485="","","عدة مواد - راجع صفحة الطبخات")</f>
        <v/>
      </c>
      <c r="F1485" t="str">
        <f>IF('سجل الإنتاج'!C485="","",IF('سجل الإنتاج'!D485="","",'سجل الإنتاج'!D485))</f>
        <v/>
      </c>
      <c r="G1485" t="str">
        <f>IF($B1485&lt;&gt;"",SUMPRODUCT(($B$2:$B1485&lt;&gt;"")*1),"")</f>
        <v/>
      </c>
    </row>
    <row r="1486" spans="1:7">
      <c r="A1486" s="23" t="str">
        <f>IF('سجل الإنتاج'!C486="","",'سجل الإنتاج'!B486)</f>
        <v/>
      </c>
      <c r="B1486" t="str">
        <f>IF('سجل الإنتاج'!C486="","","إنتاج طبخة")</f>
        <v/>
      </c>
      <c r="C1486" t="str">
        <f>IF('سجل الإنتاج'!C486="","",'سجل الإنتاج'!C486)</f>
        <v/>
      </c>
      <c r="D1486" t="str">
        <f>IF('سجل الإنتاج'!C486="","","عدة مواد - راجع صفحة الطبخات")</f>
        <v/>
      </c>
      <c r="F1486" t="str">
        <f>IF('سجل الإنتاج'!C486="","",IF('سجل الإنتاج'!D486="","",'سجل الإنتاج'!D486))</f>
        <v/>
      </c>
      <c r="G1486" t="str">
        <f>IF($B1486&lt;&gt;"",SUMPRODUCT(($B$2:$B1486&lt;&gt;"")*1),"")</f>
        <v/>
      </c>
    </row>
    <row r="1487" spans="1:7">
      <c r="A1487" s="23" t="str">
        <f>IF('سجل الإنتاج'!C487="","",'سجل الإنتاج'!B487)</f>
        <v/>
      </c>
      <c r="B1487" t="str">
        <f>IF('سجل الإنتاج'!C487="","","إنتاج طبخة")</f>
        <v/>
      </c>
      <c r="C1487" t="str">
        <f>IF('سجل الإنتاج'!C487="","",'سجل الإنتاج'!C487)</f>
        <v/>
      </c>
      <c r="D1487" t="str">
        <f>IF('سجل الإنتاج'!C487="","","عدة مواد - راجع صفحة الطبخات")</f>
        <v/>
      </c>
      <c r="F1487" t="str">
        <f>IF('سجل الإنتاج'!C487="","",IF('سجل الإنتاج'!D487="","",'سجل الإنتاج'!D487))</f>
        <v/>
      </c>
      <c r="G1487" t="str">
        <f>IF($B1487&lt;&gt;"",SUMPRODUCT(($B$2:$B1487&lt;&gt;"")*1),"")</f>
        <v/>
      </c>
    </row>
    <row r="1488" spans="1:7">
      <c r="A1488" s="23" t="str">
        <f>IF('سجل الإنتاج'!C488="","",'سجل الإنتاج'!B488)</f>
        <v/>
      </c>
      <c r="B1488" t="str">
        <f>IF('سجل الإنتاج'!C488="","","إنتاج طبخة")</f>
        <v/>
      </c>
      <c r="C1488" t="str">
        <f>IF('سجل الإنتاج'!C488="","",'سجل الإنتاج'!C488)</f>
        <v/>
      </c>
      <c r="D1488" t="str">
        <f>IF('سجل الإنتاج'!C488="","","عدة مواد - راجع صفحة الطبخات")</f>
        <v/>
      </c>
      <c r="F1488" t="str">
        <f>IF('سجل الإنتاج'!C488="","",IF('سجل الإنتاج'!D488="","",'سجل الإنتاج'!D488))</f>
        <v/>
      </c>
      <c r="G1488" t="str">
        <f>IF($B1488&lt;&gt;"",SUMPRODUCT(($B$2:$B1488&lt;&gt;"")*1),"")</f>
        <v/>
      </c>
    </row>
    <row r="1489" spans="1:7">
      <c r="A1489" s="23" t="str">
        <f>IF('سجل الإنتاج'!C489="","",'سجل الإنتاج'!B489)</f>
        <v/>
      </c>
      <c r="B1489" t="str">
        <f>IF('سجل الإنتاج'!C489="","","إنتاج طبخة")</f>
        <v/>
      </c>
      <c r="C1489" t="str">
        <f>IF('سجل الإنتاج'!C489="","",'سجل الإنتاج'!C489)</f>
        <v/>
      </c>
      <c r="D1489" t="str">
        <f>IF('سجل الإنتاج'!C489="","","عدة مواد - راجع صفحة الطبخات")</f>
        <v/>
      </c>
      <c r="F1489" t="str">
        <f>IF('سجل الإنتاج'!C489="","",IF('سجل الإنتاج'!D489="","",'سجل الإنتاج'!D489))</f>
        <v/>
      </c>
      <c r="G1489" t="str">
        <f>IF($B1489&lt;&gt;"",SUMPRODUCT(($B$2:$B1489&lt;&gt;"")*1),"")</f>
        <v/>
      </c>
    </row>
    <row r="1490" spans="1:7">
      <c r="A1490" s="23" t="str">
        <f>IF('سجل الإنتاج'!C490="","",'سجل الإنتاج'!B490)</f>
        <v/>
      </c>
      <c r="B1490" t="str">
        <f>IF('سجل الإنتاج'!C490="","","إنتاج طبخة")</f>
        <v/>
      </c>
      <c r="C1490" t="str">
        <f>IF('سجل الإنتاج'!C490="","",'سجل الإنتاج'!C490)</f>
        <v/>
      </c>
      <c r="D1490" t="str">
        <f>IF('سجل الإنتاج'!C490="","","عدة مواد - راجع صفحة الطبخات")</f>
        <v/>
      </c>
      <c r="F1490" t="str">
        <f>IF('سجل الإنتاج'!C490="","",IF('سجل الإنتاج'!D490="","",'سجل الإنتاج'!D490))</f>
        <v/>
      </c>
      <c r="G1490" t="str">
        <f>IF($B1490&lt;&gt;"",SUMPRODUCT(($B$2:$B1490&lt;&gt;"")*1),"")</f>
        <v/>
      </c>
    </row>
    <row r="1491" spans="1:7">
      <c r="A1491" s="23" t="str">
        <f>IF('سجل الإنتاج'!C491="","",'سجل الإنتاج'!B491)</f>
        <v/>
      </c>
      <c r="B1491" t="str">
        <f>IF('سجل الإنتاج'!C491="","","إنتاج طبخة")</f>
        <v/>
      </c>
      <c r="C1491" t="str">
        <f>IF('سجل الإنتاج'!C491="","",'سجل الإنتاج'!C491)</f>
        <v/>
      </c>
      <c r="D1491" t="str">
        <f>IF('سجل الإنتاج'!C491="","","عدة مواد - راجع صفحة الطبخات")</f>
        <v/>
      </c>
      <c r="F1491" t="str">
        <f>IF('سجل الإنتاج'!C491="","",IF('سجل الإنتاج'!D491="","",'سجل الإنتاج'!D491))</f>
        <v/>
      </c>
      <c r="G1491" t="str">
        <f>IF($B1491&lt;&gt;"",SUMPRODUCT(($B$2:$B1491&lt;&gt;"")*1),"")</f>
        <v/>
      </c>
    </row>
    <row r="1492" spans="1:7">
      <c r="A1492" s="23" t="str">
        <f>IF('سجل الإنتاج'!C492="","",'سجل الإنتاج'!B492)</f>
        <v/>
      </c>
      <c r="B1492" t="str">
        <f>IF('سجل الإنتاج'!C492="","","إنتاج طبخة")</f>
        <v/>
      </c>
      <c r="C1492" t="str">
        <f>IF('سجل الإنتاج'!C492="","",'سجل الإنتاج'!C492)</f>
        <v/>
      </c>
      <c r="D1492" t="str">
        <f>IF('سجل الإنتاج'!C492="","","عدة مواد - راجع صفحة الطبخات")</f>
        <v/>
      </c>
      <c r="F1492" t="str">
        <f>IF('سجل الإنتاج'!C492="","",IF('سجل الإنتاج'!D492="","",'سجل الإنتاج'!D492))</f>
        <v/>
      </c>
      <c r="G1492" t="str">
        <f>IF($B1492&lt;&gt;"",SUMPRODUCT(($B$2:$B1492&lt;&gt;"")*1),"")</f>
        <v/>
      </c>
    </row>
    <row r="1493" spans="1:7">
      <c r="A1493" s="23" t="str">
        <f>IF('سجل الإنتاج'!C493="","",'سجل الإنتاج'!B493)</f>
        <v/>
      </c>
      <c r="B1493" t="str">
        <f>IF('سجل الإنتاج'!C493="","","إنتاج طبخة")</f>
        <v/>
      </c>
      <c r="C1493" t="str">
        <f>IF('سجل الإنتاج'!C493="","",'سجل الإنتاج'!C493)</f>
        <v/>
      </c>
      <c r="D1493" t="str">
        <f>IF('سجل الإنتاج'!C493="","","عدة مواد - راجع صفحة الطبخات")</f>
        <v/>
      </c>
      <c r="F1493" t="str">
        <f>IF('سجل الإنتاج'!C493="","",IF('سجل الإنتاج'!D493="","",'سجل الإنتاج'!D493))</f>
        <v/>
      </c>
      <c r="G1493" t="str">
        <f>IF($B1493&lt;&gt;"",SUMPRODUCT(($B$2:$B1493&lt;&gt;"")*1),"")</f>
        <v/>
      </c>
    </row>
    <row r="1494" spans="1:7">
      <c r="A1494" s="23" t="str">
        <f>IF('سجل الإنتاج'!C494="","",'سجل الإنتاج'!B494)</f>
        <v/>
      </c>
      <c r="B1494" t="str">
        <f>IF('سجل الإنتاج'!C494="","","إنتاج طبخة")</f>
        <v/>
      </c>
      <c r="C1494" t="str">
        <f>IF('سجل الإنتاج'!C494="","",'سجل الإنتاج'!C494)</f>
        <v/>
      </c>
      <c r="D1494" t="str">
        <f>IF('سجل الإنتاج'!C494="","","عدة مواد - راجع صفحة الطبخات")</f>
        <v/>
      </c>
      <c r="F1494" t="str">
        <f>IF('سجل الإنتاج'!C494="","",IF('سجل الإنتاج'!D494="","",'سجل الإنتاج'!D494))</f>
        <v/>
      </c>
      <c r="G1494" t="str">
        <f>IF($B1494&lt;&gt;"",SUMPRODUCT(($B$2:$B1494&lt;&gt;"")*1),"")</f>
        <v/>
      </c>
    </row>
    <row r="1495" spans="1:7">
      <c r="A1495" s="23" t="str">
        <f>IF('سجل الإنتاج'!C495="","",'سجل الإنتاج'!B495)</f>
        <v/>
      </c>
      <c r="B1495" t="str">
        <f>IF('سجل الإنتاج'!C495="","","إنتاج طبخة")</f>
        <v/>
      </c>
      <c r="C1495" t="str">
        <f>IF('سجل الإنتاج'!C495="","",'سجل الإنتاج'!C495)</f>
        <v/>
      </c>
      <c r="D1495" t="str">
        <f>IF('سجل الإنتاج'!C495="","","عدة مواد - راجع صفحة الطبخات")</f>
        <v/>
      </c>
      <c r="F1495" t="str">
        <f>IF('سجل الإنتاج'!C495="","",IF('سجل الإنتاج'!D495="","",'سجل الإنتاج'!D495))</f>
        <v/>
      </c>
      <c r="G1495" t="str">
        <f>IF($B1495&lt;&gt;"",SUMPRODUCT(($B$2:$B1495&lt;&gt;"")*1),"")</f>
        <v/>
      </c>
    </row>
    <row r="1496" spans="1:7">
      <c r="A1496" s="23" t="str">
        <f>IF('سجل الإنتاج'!C496="","",'سجل الإنتاج'!B496)</f>
        <v/>
      </c>
      <c r="B1496" t="str">
        <f>IF('سجل الإنتاج'!C496="","","إنتاج طبخة")</f>
        <v/>
      </c>
      <c r="C1496" t="str">
        <f>IF('سجل الإنتاج'!C496="","",'سجل الإنتاج'!C496)</f>
        <v/>
      </c>
      <c r="D1496" t="str">
        <f>IF('سجل الإنتاج'!C496="","","عدة مواد - راجع صفحة الطبخات")</f>
        <v/>
      </c>
      <c r="F1496" t="str">
        <f>IF('سجل الإنتاج'!C496="","",IF('سجل الإنتاج'!D496="","",'سجل الإنتاج'!D496))</f>
        <v/>
      </c>
      <c r="G1496" t="str">
        <f>IF($B1496&lt;&gt;"",SUMPRODUCT(($B$2:$B1496&lt;&gt;"")*1),"")</f>
        <v/>
      </c>
    </row>
    <row r="1497" spans="1:7">
      <c r="A1497" s="23" t="str">
        <f>IF('سجل الإنتاج'!C497="","",'سجل الإنتاج'!B497)</f>
        <v/>
      </c>
      <c r="B1497" t="str">
        <f>IF('سجل الإنتاج'!C497="","","إنتاج طبخة")</f>
        <v/>
      </c>
      <c r="C1497" t="str">
        <f>IF('سجل الإنتاج'!C497="","",'سجل الإنتاج'!C497)</f>
        <v/>
      </c>
      <c r="D1497" t="str">
        <f>IF('سجل الإنتاج'!C497="","","عدة مواد - راجع صفحة الطبخات")</f>
        <v/>
      </c>
      <c r="F1497" t="str">
        <f>IF('سجل الإنتاج'!C497="","",IF('سجل الإنتاج'!D497="","",'سجل الإنتاج'!D497))</f>
        <v/>
      </c>
      <c r="G1497" t="str">
        <f>IF($B1497&lt;&gt;"",SUMPRODUCT(($B$2:$B1497&lt;&gt;"")*1),"")</f>
        <v/>
      </c>
    </row>
    <row r="1498" spans="1:7">
      <c r="A1498" s="23" t="str">
        <f>IF('سجل الإنتاج'!C498="","",'سجل الإنتاج'!B498)</f>
        <v/>
      </c>
      <c r="B1498" t="str">
        <f>IF('سجل الإنتاج'!C498="","","إنتاج طبخة")</f>
        <v/>
      </c>
      <c r="C1498" t="str">
        <f>IF('سجل الإنتاج'!C498="","",'سجل الإنتاج'!C498)</f>
        <v/>
      </c>
      <c r="D1498" t="str">
        <f>IF('سجل الإنتاج'!C498="","","عدة مواد - راجع صفحة الطبخات")</f>
        <v/>
      </c>
      <c r="F1498" t="str">
        <f>IF('سجل الإنتاج'!C498="","",IF('سجل الإنتاج'!D498="","",'سجل الإنتاج'!D498))</f>
        <v/>
      </c>
      <c r="G1498" t="str">
        <f>IF($B1498&lt;&gt;"",SUMPRODUCT(($B$2:$B1498&lt;&gt;"")*1),"")</f>
        <v/>
      </c>
    </row>
    <row r="1499" spans="1:7">
      <c r="A1499" s="23" t="str">
        <f>IF('سجل الإنتاج'!C499="","",'سجل الإنتاج'!B499)</f>
        <v/>
      </c>
      <c r="B1499" t="str">
        <f>IF('سجل الإنتاج'!C499="","","إنتاج طبخة")</f>
        <v/>
      </c>
      <c r="C1499" t="str">
        <f>IF('سجل الإنتاج'!C499="","",'سجل الإنتاج'!C499)</f>
        <v/>
      </c>
      <c r="D1499" t="str">
        <f>IF('سجل الإنتاج'!C499="","","عدة مواد - راجع صفحة الطبخات")</f>
        <v/>
      </c>
      <c r="F1499" t="str">
        <f>IF('سجل الإنتاج'!C499="","",IF('سجل الإنتاج'!D499="","",'سجل الإنتاج'!D499))</f>
        <v/>
      </c>
      <c r="G1499" t="str">
        <f>IF($B1499&lt;&gt;"",SUMPRODUCT(($B$2:$B1499&lt;&gt;"")*1),"")</f>
        <v/>
      </c>
    </row>
    <row r="1500" spans="1:7">
      <c r="A1500" s="23" t="str">
        <f>IF('سجل الإنتاج'!C500="","",'سجل الإنتاج'!B500)</f>
        <v/>
      </c>
      <c r="B1500" t="str">
        <f>IF('سجل الإنتاج'!C500="","","إنتاج طبخة")</f>
        <v/>
      </c>
      <c r="C1500" t="str">
        <f>IF('سجل الإنتاج'!C500="","",'سجل الإنتاج'!C500)</f>
        <v/>
      </c>
      <c r="D1500" t="str">
        <f>IF('سجل الإنتاج'!C500="","","عدة مواد - راجع صفحة الطبخات")</f>
        <v/>
      </c>
      <c r="F1500" t="str">
        <f>IF('سجل الإنتاج'!C500="","",IF('سجل الإنتاج'!D500="","",'سجل الإنتاج'!D500))</f>
        <v/>
      </c>
      <c r="G1500" t="str">
        <f>IF($B1500&lt;&gt;"",SUMPRODUCT(($B$2:$B1500&lt;&gt;"")*1),"")</f>
        <v/>
      </c>
    </row>
    <row r="1501" spans="1:7">
      <c r="A1501" s="23" t="str">
        <f>IF('سجل الإنتاج'!C501="","",'سجل الإنتاج'!B501)</f>
        <v/>
      </c>
      <c r="B1501" t="str">
        <f>IF('سجل الإنتاج'!C501="","","إنتاج طبخة")</f>
        <v/>
      </c>
      <c r="C1501" t="str">
        <f>IF('سجل الإنتاج'!C501="","",'سجل الإنتاج'!C501)</f>
        <v/>
      </c>
      <c r="D1501" t="str">
        <f>IF('سجل الإنتاج'!C501="","","عدة مواد - راجع صفحة الطبخات")</f>
        <v/>
      </c>
      <c r="F1501" t="str">
        <f>IF('سجل الإنتاج'!C501="","",IF('سجل الإنتاج'!D501="","",'سجل الإنتاج'!D501))</f>
        <v/>
      </c>
      <c r="G1501" t="str">
        <f>IF($B1501&lt;&gt;"",SUMPRODUCT(($B$2:$B1501&lt;&gt;"")*1),"")</f>
        <v/>
      </c>
    </row>
    <row r="1502" spans="1:7">
      <c r="A1502" s="23" t="str">
        <f>IF('تعديل الجرد'!C2="","",'تعديل الجرد'!B2)</f>
        <v/>
      </c>
      <c r="B1502" t="str">
        <f>IF('تعديل الجرد'!C2="","","تعديل جرد")</f>
        <v/>
      </c>
      <c r="C1502" t="str">
        <f>IF('تعديل الجرد'!C2="","",IF('تعديل الجرد'!G2="","-",'تعديل الجرد'!G2))</f>
        <v/>
      </c>
      <c r="D1502" t="str">
        <f>IF('تعديل الجرد'!C2="","",'تعديل الجرد'!C2)</f>
        <v/>
      </c>
      <c r="E1502" s="24" t="str">
        <f>IF('تعديل الجرد'!C2="","",'تعديل الجرد'!F2)</f>
        <v/>
      </c>
      <c r="F1502" t="str">
        <f>IF('تعديل الجرد'!C2="","",IF('تعديل الجرد'!H2="","",'تعديل الجرد'!H2))</f>
        <v/>
      </c>
      <c r="G1502" t="str">
        <f>IF($B1502&lt;&gt;"",SUMPRODUCT(($B$2:$B1502&lt;&gt;"")*1),"")</f>
        <v/>
      </c>
    </row>
    <row r="1503" spans="1:7">
      <c r="A1503" s="23" t="str">
        <f>IF('تعديل الجرد'!C3="","",'تعديل الجرد'!B3)</f>
        <v/>
      </c>
      <c r="B1503" t="str">
        <f>IF('تعديل الجرد'!C3="","","تعديل جرد")</f>
        <v/>
      </c>
      <c r="C1503" t="str">
        <f>IF('تعديل الجرد'!C3="","",IF('تعديل الجرد'!G3="","-",'تعديل الجرد'!G3))</f>
        <v/>
      </c>
      <c r="D1503" t="str">
        <f>IF('تعديل الجرد'!C3="","",'تعديل الجرد'!C3)</f>
        <v/>
      </c>
      <c r="E1503" s="24" t="str">
        <f>IF('تعديل الجرد'!C3="","",'تعديل الجرد'!F3)</f>
        <v/>
      </c>
      <c r="F1503" t="str">
        <f>IF('تعديل الجرد'!C3="","",IF('تعديل الجرد'!H3="","",'تعديل الجرد'!H3))</f>
        <v/>
      </c>
      <c r="G1503" t="str">
        <f>IF($B1503&lt;&gt;"",SUMPRODUCT(($B$2:$B1503&lt;&gt;"")*1),"")</f>
        <v/>
      </c>
    </row>
    <row r="1504" spans="1:7">
      <c r="A1504" s="23" t="str">
        <f>IF('تعديل الجرد'!C4="","",'تعديل الجرد'!B4)</f>
        <v/>
      </c>
      <c r="B1504" t="str">
        <f>IF('تعديل الجرد'!C4="","","تعديل جرد")</f>
        <v/>
      </c>
      <c r="C1504" t="str">
        <f>IF('تعديل الجرد'!C4="","",IF('تعديل الجرد'!G4="","-",'تعديل الجرد'!G4))</f>
        <v/>
      </c>
      <c r="D1504" t="str">
        <f>IF('تعديل الجرد'!C4="","",'تعديل الجرد'!C4)</f>
        <v/>
      </c>
      <c r="E1504" s="24" t="str">
        <f>IF('تعديل الجرد'!C4="","",'تعديل الجرد'!F4)</f>
        <v/>
      </c>
      <c r="F1504" t="str">
        <f>IF('تعديل الجرد'!C4="","",IF('تعديل الجرد'!H4="","",'تعديل الجرد'!H4))</f>
        <v/>
      </c>
      <c r="G1504" t="str">
        <f>IF($B1504&lt;&gt;"",SUMPRODUCT(($B$2:$B1504&lt;&gt;"")*1),"")</f>
        <v/>
      </c>
    </row>
    <row r="1505" spans="1:7">
      <c r="A1505" s="23" t="str">
        <f>IF('تعديل الجرد'!C5="","",'تعديل الجرد'!B5)</f>
        <v/>
      </c>
      <c r="B1505" t="str">
        <f>IF('تعديل الجرد'!C5="","","تعديل جرد")</f>
        <v/>
      </c>
      <c r="C1505" t="str">
        <f>IF('تعديل الجرد'!C5="","",IF('تعديل الجرد'!G5="","-",'تعديل الجرد'!G5))</f>
        <v/>
      </c>
      <c r="D1505" t="str">
        <f>IF('تعديل الجرد'!C5="","",'تعديل الجرد'!C5)</f>
        <v/>
      </c>
      <c r="E1505" s="24" t="str">
        <f>IF('تعديل الجرد'!C5="","",'تعديل الجرد'!F5)</f>
        <v/>
      </c>
      <c r="F1505" t="str">
        <f>IF('تعديل الجرد'!C5="","",IF('تعديل الجرد'!H5="","",'تعديل الجرد'!H5))</f>
        <v/>
      </c>
      <c r="G1505" t="str">
        <f>IF($B1505&lt;&gt;"",SUMPRODUCT(($B$2:$B1505&lt;&gt;"")*1),"")</f>
        <v/>
      </c>
    </row>
    <row r="1506" spans="1:7">
      <c r="A1506" s="23" t="str">
        <f>IF('تعديل الجرد'!C6="","",'تعديل الجرد'!B6)</f>
        <v/>
      </c>
      <c r="B1506" t="str">
        <f>IF('تعديل الجرد'!C6="","","تعديل جرد")</f>
        <v/>
      </c>
      <c r="C1506" t="str">
        <f>IF('تعديل الجرد'!C6="","",IF('تعديل الجرد'!G6="","-",'تعديل الجرد'!G6))</f>
        <v/>
      </c>
      <c r="D1506" t="str">
        <f>IF('تعديل الجرد'!C6="","",'تعديل الجرد'!C6)</f>
        <v/>
      </c>
      <c r="E1506" s="24" t="str">
        <f>IF('تعديل الجرد'!C6="","",'تعديل الجرد'!F6)</f>
        <v/>
      </c>
      <c r="F1506" t="str">
        <f>IF('تعديل الجرد'!C6="","",IF('تعديل الجرد'!H6="","",'تعديل الجرد'!H6))</f>
        <v/>
      </c>
      <c r="G1506" t="str">
        <f>IF($B1506&lt;&gt;"",SUMPRODUCT(($B$2:$B1506&lt;&gt;"")*1),"")</f>
        <v/>
      </c>
    </row>
    <row r="1507" spans="1:7">
      <c r="A1507" s="23" t="str">
        <f>IF('تعديل الجرد'!C7="","",'تعديل الجرد'!B7)</f>
        <v/>
      </c>
      <c r="B1507" t="str">
        <f>IF('تعديل الجرد'!C7="","","تعديل جرد")</f>
        <v/>
      </c>
      <c r="C1507" t="str">
        <f>IF('تعديل الجرد'!C7="","",IF('تعديل الجرد'!G7="","-",'تعديل الجرد'!G7))</f>
        <v/>
      </c>
      <c r="D1507" t="str">
        <f>IF('تعديل الجرد'!C7="","",'تعديل الجرد'!C7)</f>
        <v/>
      </c>
      <c r="E1507" s="24" t="str">
        <f>IF('تعديل الجرد'!C7="","",'تعديل الجرد'!F7)</f>
        <v/>
      </c>
      <c r="F1507" t="str">
        <f>IF('تعديل الجرد'!C7="","",IF('تعديل الجرد'!H7="","",'تعديل الجرد'!H7))</f>
        <v/>
      </c>
      <c r="G1507" t="str">
        <f>IF($B1507&lt;&gt;"",SUMPRODUCT(($B$2:$B1507&lt;&gt;"")*1),"")</f>
        <v/>
      </c>
    </row>
    <row r="1508" spans="1:7">
      <c r="A1508" s="23" t="str">
        <f>IF('تعديل الجرد'!C8="","",'تعديل الجرد'!B8)</f>
        <v/>
      </c>
      <c r="B1508" t="str">
        <f>IF('تعديل الجرد'!C8="","","تعديل جرد")</f>
        <v/>
      </c>
      <c r="C1508" t="str">
        <f>IF('تعديل الجرد'!C8="","",IF('تعديل الجرد'!G8="","-",'تعديل الجرد'!G8))</f>
        <v/>
      </c>
      <c r="D1508" t="str">
        <f>IF('تعديل الجرد'!C8="","",'تعديل الجرد'!C8)</f>
        <v/>
      </c>
      <c r="E1508" s="24" t="str">
        <f>IF('تعديل الجرد'!C8="","",'تعديل الجرد'!F8)</f>
        <v/>
      </c>
      <c r="F1508" t="str">
        <f>IF('تعديل الجرد'!C8="","",IF('تعديل الجرد'!H8="","",'تعديل الجرد'!H8))</f>
        <v/>
      </c>
      <c r="G1508" t="str">
        <f>IF($B1508&lt;&gt;"",SUMPRODUCT(($B$2:$B1508&lt;&gt;"")*1),"")</f>
        <v/>
      </c>
    </row>
    <row r="1509" spans="1:7">
      <c r="A1509" s="23" t="str">
        <f>IF('تعديل الجرد'!C9="","",'تعديل الجرد'!B9)</f>
        <v/>
      </c>
      <c r="B1509" t="str">
        <f>IF('تعديل الجرد'!C9="","","تعديل جرد")</f>
        <v/>
      </c>
      <c r="C1509" t="str">
        <f>IF('تعديل الجرد'!C9="","",IF('تعديل الجرد'!G9="","-",'تعديل الجرد'!G9))</f>
        <v/>
      </c>
      <c r="D1509" t="str">
        <f>IF('تعديل الجرد'!C9="","",'تعديل الجرد'!C9)</f>
        <v/>
      </c>
      <c r="E1509" s="24" t="str">
        <f>IF('تعديل الجرد'!C9="","",'تعديل الجرد'!F9)</f>
        <v/>
      </c>
      <c r="F1509" t="str">
        <f>IF('تعديل الجرد'!C9="","",IF('تعديل الجرد'!H9="","",'تعديل الجرد'!H9))</f>
        <v/>
      </c>
      <c r="G1509" t="str">
        <f>IF($B1509&lt;&gt;"",SUMPRODUCT(($B$2:$B1509&lt;&gt;"")*1),"")</f>
        <v/>
      </c>
    </row>
    <row r="1510" spans="1:7">
      <c r="A1510" s="23" t="str">
        <f>IF('تعديل الجرد'!C10="","",'تعديل الجرد'!B10)</f>
        <v/>
      </c>
      <c r="B1510" t="str">
        <f>IF('تعديل الجرد'!C10="","","تعديل جرد")</f>
        <v/>
      </c>
      <c r="C1510" t="str">
        <f>IF('تعديل الجرد'!C10="","",IF('تعديل الجرد'!G10="","-",'تعديل الجرد'!G10))</f>
        <v/>
      </c>
      <c r="D1510" t="str">
        <f>IF('تعديل الجرد'!C10="","",'تعديل الجرد'!C10)</f>
        <v/>
      </c>
      <c r="E1510" s="24" t="str">
        <f>IF('تعديل الجرد'!C10="","",'تعديل الجرد'!F10)</f>
        <v/>
      </c>
      <c r="F1510" t="str">
        <f>IF('تعديل الجرد'!C10="","",IF('تعديل الجرد'!H10="","",'تعديل الجرد'!H10))</f>
        <v/>
      </c>
      <c r="G1510" t="str">
        <f>IF($B1510&lt;&gt;"",SUMPRODUCT(($B$2:$B1510&lt;&gt;"")*1),"")</f>
        <v/>
      </c>
    </row>
    <row r="1511" spans="1:7">
      <c r="A1511" s="23" t="str">
        <f>IF('تعديل الجرد'!C11="","",'تعديل الجرد'!B11)</f>
        <v/>
      </c>
      <c r="B1511" t="str">
        <f>IF('تعديل الجرد'!C11="","","تعديل جرد")</f>
        <v/>
      </c>
      <c r="C1511" t="str">
        <f>IF('تعديل الجرد'!C11="","",IF('تعديل الجرد'!G11="","-",'تعديل الجرد'!G11))</f>
        <v/>
      </c>
      <c r="D1511" t="str">
        <f>IF('تعديل الجرد'!C11="","",'تعديل الجرد'!C11)</f>
        <v/>
      </c>
      <c r="E1511" s="24" t="str">
        <f>IF('تعديل الجرد'!C11="","",'تعديل الجرد'!F11)</f>
        <v/>
      </c>
      <c r="F1511" t="str">
        <f>IF('تعديل الجرد'!C11="","",IF('تعديل الجرد'!H11="","",'تعديل الجرد'!H11))</f>
        <v/>
      </c>
      <c r="G1511" t="str">
        <f>IF($B1511&lt;&gt;"",SUMPRODUCT(($B$2:$B1511&lt;&gt;"")*1),"")</f>
        <v/>
      </c>
    </row>
    <row r="1512" spans="1:7">
      <c r="A1512" s="23" t="str">
        <f>IF('تعديل الجرد'!C12="","",'تعديل الجرد'!B12)</f>
        <v/>
      </c>
      <c r="B1512" t="str">
        <f>IF('تعديل الجرد'!C12="","","تعديل جرد")</f>
        <v/>
      </c>
      <c r="C1512" t="str">
        <f>IF('تعديل الجرد'!C12="","",IF('تعديل الجرد'!G12="","-",'تعديل الجرد'!G12))</f>
        <v/>
      </c>
      <c r="D1512" t="str">
        <f>IF('تعديل الجرد'!C12="","",'تعديل الجرد'!C12)</f>
        <v/>
      </c>
      <c r="E1512" s="24" t="str">
        <f>IF('تعديل الجرد'!C12="","",'تعديل الجرد'!F12)</f>
        <v/>
      </c>
      <c r="F1512" t="str">
        <f>IF('تعديل الجرد'!C12="","",IF('تعديل الجرد'!H12="","",'تعديل الجرد'!H12))</f>
        <v/>
      </c>
      <c r="G1512" t="str">
        <f>IF($B1512&lt;&gt;"",SUMPRODUCT(($B$2:$B1512&lt;&gt;"")*1),"")</f>
        <v/>
      </c>
    </row>
    <row r="1513" spans="1:7">
      <c r="A1513" s="23" t="str">
        <f>IF('تعديل الجرد'!C13="","",'تعديل الجرد'!B13)</f>
        <v/>
      </c>
      <c r="B1513" t="str">
        <f>IF('تعديل الجرد'!C13="","","تعديل جرد")</f>
        <v/>
      </c>
      <c r="C1513" t="str">
        <f>IF('تعديل الجرد'!C13="","",IF('تعديل الجرد'!G13="","-",'تعديل الجرد'!G13))</f>
        <v/>
      </c>
      <c r="D1513" t="str">
        <f>IF('تعديل الجرد'!C13="","",'تعديل الجرد'!C13)</f>
        <v/>
      </c>
      <c r="E1513" s="24" t="str">
        <f>IF('تعديل الجرد'!C13="","",'تعديل الجرد'!F13)</f>
        <v/>
      </c>
      <c r="F1513" t="str">
        <f>IF('تعديل الجرد'!C13="","",IF('تعديل الجرد'!H13="","",'تعديل الجرد'!H13))</f>
        <v/>
      </c>
      <c r="G1513" t="str">
        <f>IF($B1513&lt;&gt;"",SUMPRODUCT(($B$2:$B1513&lt;&gt;"")*1),"")</f>
        <v/>
      </c>
    </row>
    <row r="1514" spans="1:7">
      <c r="A1514" s="23" t="str">
        <f>IF('تعديل الجرد'!C14="","",'تعديل الجرد'!B14)</f>
        <v/>
      </c>
      <c r="B1514" t="str">
        <f>IF('تعديل الجرد'!C14="","","تعديل جرد")</f>
        <v/>
      </c>
      <c r="C1514" t="str">
        <f>IF('تعديل الجرد'!C14="","",IF('تعديل الجرد'!G14="","-",'تعديل الجرد'!G14))</f>
        <v/>
      </c>
      <c r="D1514" t="str">
        <f>IF('تعديل الجرد'!C14="","",'تعديل الجرد'!C14)</f>
        <v/>
      </c>
      <c r="E1514" s="24" t="str">
        <f>IF('تعديل الجرد'!C14="","",'تعديل الجرد'!F14)</f>
        <v/>
      </c>
      <c r="F1514" t="str">
        <f>IF('تعديل الجرد'!C14="","",IF('تعديل الجرد'!H14="","",'تعديل الجرد'!H14))</f>
        <v/>
      </c>
      <c r="G1514" t="str">
        <f>IF($B1514&lt;&gt;"",SUMPRODUCT(($B$2:$B1514&lt;&gt;"")*1),"")</f>
        <v/>
      </c>
    </row>
    <row r="1515" spans="1:7">
      <c r="A1515" s="23" t="str">
        <f>IF('تعديل الجرد'!C15="","",'تعديل الجرد'!B15)</f>
        <v/>
      </c>
      <c r="B1515" t="str">
        <f>IF('تعديل الجرد'!C15="","","تعديل جرد")</f>
        <v/>
      </c>
      <c r="C1515" t="str">
        <f>IF('تعديل الجرد'!C15="","",IF('تعديل الجرد'!G15="","-",'تعديل الجرد'!G15))</f>
        <v/>
      </c>
      <c r="D1515" t="str">
        <f>IF('تعديل الجرد'!C15="","",'تعديل الجرد'!C15)</f>
        <v/>
      </c>
      <c r="E1515" s="24" t="str">
        <f>IF('تعديل الجرد'!C15="","",'تعديل الجرد'!F15)</f>
        <v/>
      </c>
      <c r="F1515" t="str">
        <f>IF('تعديل الجرد'!C15="","",IF('تعديل الجرد'!H15="","",'تعديل الجرد'!H15))</f>
        <v/>
      </c>
      <c r="G1515" t="str">
        <f>IF($B1515&lt;&gt;"",SUMPRODUCT(($B$2:$B1515&lt;&gt;"")*1),"")</f>
        <v/>
      </c>
    </row>
    <row r="1516" spans="1:7">
      <c r="A1516" s="23" t="str">
        <f>IF('تعديل الجرد'!C16="","",'تعديل الجرد'!B16)</f>
        <v/>
      </c>
      <c r="B1516" t="str">
        <f>IF('تعديل الجرد'!C16="","","تعديل جرد")</f>
        <v/>
      </c>
      <c r="C1516" t="str">
        <f>IF('تعديل الجرد'!C16="","",IF('تعديل الجرد'!G16="","-",'تعديل الجرد'!G16))</f>
        <v/>
      </c>
      <c r="D1516" t="str">
        <f>IF('تعديل الجرد'!C16="","",'تعديل الجرد'!C16)</f>
        <v/>
      </c>
      <c r="E1516" s="24" t="str">
        <f>IF('تعديل الجرد'!C16="","",'تعديل الجرد'!F16)</f>
        <v/>
      </c>
      <c r="F1516" t="str">
        <f>IF('تعديل الجرد'!C16="","",IF('تعديل الجرد'!H16="","",'تعديل الجرد'!H16))</f>
        <v/>
      </c>
      <c r="G1516" t="str">
        <f>IF($B1516&lt;&gt;"",SUMPRODUCT(($B$2:$B1516&lt;&gt;"")*1),"")</f>
        <v/>
      </c>
    </row>
    <row r="1517" spans="1:7">
      <c r="A1517" s="23" t="str">
        <f>IF('تعديل الجرد'!C17="","",'تعديل الجرد'!B17)</f>
        <v/>
      </c>
      <c r="B1517" t="str">
        <f>IF('تعديل الجرد'!C17="","","تعديل جرد")</f>
        <v/>
      </c>
      <c r="C1517" t="str">
        <f>IF('تعديل الجرد'!C17="","",IF('تعديل الجرد'!G17="","-",'تعديل الجرد'!G17))</f>
        <v/>
      </c>
      <c r="D1517" t="str">
        <f>IF('تعديل الجرد'!C17="","",'تعديل الجرد'!C17)</f>
        <v/>
      </c>
      <c r="E1517" s="24" t="str">
        <f>IF('تعديل الجرد'!C17="","",'تعديل الجرد'!F17)</f>
        <v/>
      </c>
      <c r="F1517" t="str">
        <f>IF('تعديل الجرد'!C17="","",IF('تعديل الجرد'!H17="","",'تعديل الجرد'!H17))</f>
        <v/>
      </c>
      <c r="G1517" t="str">
        <f>IF($B1517&lt;&gt;"",SUMPRODUCT(($B$2:$B1517&lt;&gt;"")*1),"")</f>
        <v/>
      </c>
    </row>
    <row r="1518" spans="1:7">
      <c r="A1518" s="23" t="str">
        <f>IF('تعديل الجرد'!C18="","",'تعديل الجرد'!B18)</f>
        <v/>
      </c>
      <c r="B1518" t="str">
        <f>IF('تعديل الجرد'!C18="","","تعديل جرد")</f>
        <v/>
      </c>
      <c r="C1518" t="str">
        <f>IF('تعديل الجرد'!C18="","",IF('تعديل الجرد'!G18="","-",'تعديل الجرد'!G18))</f>
        <v/>
      </c>
      <c r="D1518" t="str">
        <f>IF('تعديل الجرد'!C18="","",'تعديل الجرد'!C18)</f>
        <v/>
      </c>
      <c r="E1518" s="24" t="str">
        <f>IF('تعديل الجرد'!C18="","",'تعديل الجرد'!F18)</f>
        <v/>
      </c>
      <c r="F1518" t="str">
        <f>IF('تعديل الجرد'!C18="","",IF('تعديل الجرد'!H18="","",'تعديل الجرد'!H18))</f>
        <v/>
      </c>
      <c r="G1518" t="str">
        <f>IF($B1518&lt;&gt;"",SUMPRODUCT(($B$2:$B1518&lt;&gt;"")*1),"")</f>
        <v/>
      </c>
    </row>
    <row r="1519" spans="1:7">
      <c r="A1519" s="23" t="str">
        <f>IF('تعديل الجرد'!C19="","",'تعديل الجرد'!B19)</f>
        <v/>
      </c>
      <c r="B1519" t="str">
        <f>IF('تعديل الجرد'!C19="","","تعديل جرد")</f>
        <v/>
      </c>
      <c r="C1519" t="str">
        <f>IF('تعديل الجرد'!C19="","",IF('تعديل الجرد'!G19="","-",'تعديل الجرد'!G19))</f>
        <v/>
      </c>
      <c r="D1519" t="str">
        <f>IF('تعديل الجرد'!C19="","",'تعديل الجرد'!C19)</f>
        <v/>
      </c>
      <c r="E1519" s="24" t="str">
        <f>IF('تعديل الجرد'!C19="","",'تعديل الجرد'!F19)</f>
        <v/>
      </c>
      <c r="F1519" t="str">
        <f>IF('تعديل الجرد'!C19="","",IF('تعديل الجرد'!H19="","",'تعديل الجرد'!H19))</f>
        <v/>
      </c>
      <c r="G1519" t="str">
        <f>IF($B1519&lt;&gt;"",SUMPRODUCT(($B$2:$B1519&lt;&gt;"")*1),"")</f>
        <v/>
      </c>
    </row>
    <row r="1520" spans="1:7">
      <c r="A1520" s="23" t="str">
        <f>IF('تعديل الجرد'!C20="","",'تعديل الجرد'!B20)</f>
        <v/>
      </c>
      <c r="B1520" t="str">
        <f>IF('تعديل الجرد'!C20="","","تعديل جرد")</f>
        <v/>
      </c>
      <c r="C1520" t="str">
        <f>IF('تعديل الجرد'!C20="","",IF('تعديل الجرد'!G20="","-",'تعديل الجرد'!G20))</f>
        <v/>
      </c>
      <c r="D1520" t="str">
        <f>IF('تعديل الجرد'!C20="","",'تعديل الجرد'!C20)</f>
        <v/>
      </c>
      <c r="E1520" s="24" t="str">
        <f>IF('تعديل الجرد'!C20="","",'تعديل الجرد'!F20)</f>
        <v/>
      </c>
      <c r="F1520" t="str">
        <f>IF('تعديل الجرد'!C20="","",IF('تعديل الجرد'!H20="","",'تعديل الجرد'!H20))</f>
        <v/>
      </c>
      <c r="G1520" t="str">
        <f>IF($B1520&lt;&gt;"",SUMPRODUCT(($B$2:$B1520&lt;&gt;"")*1),"")</f>
        <v/>
      </c>
    </row>
    <row r="1521" spans="1:7">
      <c r="A1521" s="23" t="str">
        <f>IF('تعديل الجرد'!C21="","",'تعديل الجرد'!B21)</f>
        <v/>
      </c>
      <c r="B1521" t="str">
        <f>IF('تعديل الجرد'!C21="","","تعديل جرد")</f>
        <v/>
      </c>
      <c r="C1521" t="str">
        <f>IF('تعديل الجرد'!C21="","",IF('تعديل الجرد'!G21="","-",'تعديل الجرد'!G21))</f>
        <v/>
      </c>
      <c r="D1521" t="str">
        <f>IF('تعديل الجرد'!C21="","",'تعديل الجرد'!C21)</f>
        <v/>
      </c>
      <c r="E1521" s="24" t="str">
        <f>IF('تعديل الجرد'!C21="","",'تعديل الجرد'!F21)</f>
        <v/>
      </c>
      <c r="F1521" t="str">
        <f>IF('تعديل الجرد'!C21="","",IF('تعديل الجرد'!H21="","",'تعديل الجرد'!H21))</f>
        <v/>
      </c>
      <c r="G1521" t="str">
        <f>IF($B1521&lt;&gt;"",SUMPRODUCT(($B$2:$B1521&lt;&gt;"")*1),"")</f>
        <v/>
      </c>
    </row>
    <row r="1522" spans="1:7">
      <c r="A1522" s="23" t="str">
        <f>IF('تعديل الجرد'!C22="","",'تعديل الجرد'!B22)</f>
        <v/>
      </c>
      <c r="B1522" t="str">
        <f>IF('تعديل الجرد'!C22="","","تعديل جرد")</f>
        <v/>
      </c>
      <c r="C1522" t="str">
        <f>IF('تعديل الجرد'!C22="","",IF('تعديل الجرد'!G22="","-",'تعديل الجرد'!G22))</f>
        <v/>
      </c>
      <c r="D1522" t="str">
        <f>IF('تعديل الجرد'!C22="","",'تعديل الجرد'!C22)</f>
        <v/>
      </c>
      <c r="E1522" s="24" t="str">
        <f>IF('تعديل الجرد'!C22="","",'تعديل الجرد'!F22)</f>
        <v/>
      </c>
      <c r="F1522" t="str">
        <f>IF('تعديل الجرد'!C22="","",IF('تعديل الجرد'!H22="","",'تعديل الجرد'!H22))</f>
        <v/>
      </c>
      <c r="G1522" t="str">
        <f>IF($B1522&lt;&gt;"",SUMPRODUCT(($B$2:$B1522&lt;&gt;"")*1),"")</f>
        <v/>
      </c>
    </row>
    <row r="1523" spans="1:7">
      <c r="A1523" s="23" t="str">
        <f>IF('تعديل الجرد'!C23="","",'تعديل الجرد'!B23)</f>
        <v/>
      </c>
      <c r="B1523" t="str">
        <f>IF('تعديل الجرد'!C23="","","تعديل جرد")</f>
        <v/>
      </c>
      <c r="C1523" t="str">
        <f>IF('تعديل الجرد'!C23="","",IF('تعديل الجرد'!G23="","-",'تعديل الجرد'!G23))</f>
        <v/>
      </c>
      <c r="D1523" t="str">
        <f>IF('تعديل الجرد'!C23="","",'تعديل الجرد'!C23)</f>
        <v/>
      </c>
      <c r="E1523" s="24" t="str">
        <f>IF('تعديل الجرد'!C23="","",'تعديل الجرد'!F23)</f>
        <v/>
      </c>
      <c r="F1523" t="str">
        <f>IF('تعديل الجرد'!C23="","",IF('تعديل الجرد'!H23="","",'تعديل الجرد'!H23))</f>
        <v/>
      </c>
      <c r="G1523" t="str">
        <f>IF($B1523&lt;&gt;"",SUMPRODUCT(($B$2:$B1523&lt;&gt;"")*1),"")</f>
        <v/>
      </c>
    </row>
    <row r="1524" spans="1:7">
      <c r="A1524" s="23" t="str">
        <f>IF('تعديل الجرد'!C24="","",'تعديل الجرد'!B24)</f>
        <v/>
      </c>
      <c r="B1524" t="str">
        <f>IF('تعديل الجرد'!C24="","","تعديل جرد")</f>
        <v/>
      </c>
      <c r="C1524" t="str">
        <f>IF('تعديل الجرد'!C24="","",IF('تعديل الجرد'!G24="","-",'تعديل الجرد'!G24))</f>
        <v/>
      </c>
      <c r="D1524" t="str">
        <f>IF('تعديل الجرد'!C24="","",'تعديل الجرد'!C24)</f>
        <v/>
      </c>
      <c r="E1524" s="24" t="str">
        <f>IF('تعديل الجرد'!C24="","",'تعديل الجرد'!F24)</f>
        <v/>
      </c>
      <c r="F1524" t="str">
        <f>IF('تعديل الجرد'!C24="","",IF('تعديل الجرد'!H24="","",'تعديل الجرد'!H24))</f>
        <v/>
      </c>
      <c r="G1524" t="str">
        <f>IF($B1524&lt;&gt;"",SUMPRODUCT(($B$2:$B1524&lt;&gt;"")*1),"")</f>
        <v/>
      </c>
    </row>
    <row r="1525" spans="1:7">
      <c r="A1525" s="23" t="str">
        <f>IF('تعديل الجرد'!C25="","",'تعديل الجرد'!B25)</f>
        <v/>
      </c>
      <c r="B1525" t="str">
        <f>IF('تعديل الجرد'!C25="","","تعديل جرد")</f>
        <v/>
      </c>
      <c r="C1525" t="str">
        <f>IF('تعديل الجرد'!C25="","",IF('تعديل الجرد'!G25="","-",'تعديل الجرد'!G25))</f>
        <v/>
      </c>
      <c r="D1525" t="str">
        <f>IF('تعديل الجرد'!C25="","",'تعديل الجرد'!C25)</f>
        <v/>
      </c>
      <c r="E1525" s="24" t="str">
        <f>IF('تعديل الجرد'!C25="","",'تعديل الجرد'!F25)</f>
        <v/>
      </c>
      <c r="F1525" t="str">
        <f>IF('تعديل الجرد'!C25="","",IF('تعديل الجرد'!H25="","",'تعديل الجرد'!H25))</f>
        <v/>
      </c>
      <c r="G1525" t="str">
        <f>IF($B1525&lt;&gt;"",SUMPRODUCT(($B$2:$B1525&lt;&gt;"")*1),"")</f>
        <v/>
      </c>
    </row>
    <row r="1526" spans="1:7">
      <c r="A1526" s="23" t="str">
        <f>IF('تعديل الجرد'!C26="","",'تعديل الجرد'!B26)</f>
        <v/>
      </c>
      <c r="B1526" t="str">
        <f>IF('تعديل الجرد'!C26="","","تعديل جرد")</f>
        <v/>
      </c>
      <c r="C1526" t="str">
        <f>IF('تعديل الجرد'!C26="","",IF('تعديل الجرد'!G26="","-",'تعديل الجرد'!G26))</f>
        <v/>
      </c>
      <c r="D1526" t="str">
        <f>IF('تعديل الجرد'!C26="","",'تعديل الجرد'!C26)</f>
        <v/>
      </c>
      <c r="E1526" s="24" t="str">
        <f>IF('تعديل الجرد'!C26="","",'تعديل الجرد'!F26)</f>
        <v/>
      </c>
      <c r="F1526" t="str">
        <f>IF('تعديل الجرد'!C26="","",IF('تعديل الجرد'!H26="","",'تعديل الجرد'!H26))</f>
        <v/>
      </c>
      <c r="G1526" t="str">
        <f>IF($B1526&lt;&gt;"",SUMPRODUCT(($B$2:$B1526&lt;&gt;"")*1),"")</f>
        <v/>
      </c>
    </row>
    <row r="1527" spans="1:7">
      <c r="A1527" s="23" t="str">
        <f>IF('تعديل الجرد'!C27="","",'تعديل الجرد'!B27)</f>
        <v/>
      </c>
      <c r="B1527" t="str">
        <f>IF('تعديل الجرد'!C27="","","تعديل جرد")</f>
        <v/>
      </c>
      <c r="C1527" t="str">
        <f>IF('تعديل الجرد'!C27="","",IF('تعديل الجرد'!G27="","-",'تعديل الجرد'!G27))</f>
        <v/>
      </c>
      <c r="D1527" t="str">
        <f>IF('تعديل الجرد'!C27="","",'تعديل الجرد'!C27)</f>
        <v/>
      </c>
      <c r="E1527" s="24" t="str">
        <f>IF('تعديل الجرد'!C27="","",'تعديل الجرد'!F27)</f>
        <v/>
      </c>
      <c r="F1527" t="str">
        <f>IF('تعديل الجرد'!C27="","",IF('تعديل الجرد'!H27="","",'تعديل الجرد'!H27))</f>
        <v/>
      </c>
      <c r="G1527" t="str">
        <f>IF($B1527&lt;&gt;"",SUMPRODUCT(($B$2:$B1527&lt;&gt;"")*1),"")</f>
        <v/>
      </c>
    </row>
    <row r="1528" spans="1:7">
      <c r="A1528" s="23" t="str">
        <f>IF('تعديل الجرد'!C28="","",'تعديل الجرد'!B28)</f>
        <v/>
      </c>
      <c r="B1528" t="str">
        <f>IF('تعديل الجرد'!C28="","","تعديل جرد")</f>
        <v/>
      </c>
      <c r="C1528" t="str">
        <f>IF('تعديل الجرد'!C28="","",IF('تعديل الجرد'!G28="","-",'تعديل الجرد'!G28))</f>
        <v/>
      </c>
      <c r="D1528" t="str">
        <f>IF('تعديل الجرد'!C28="","",'تعديل الجرد'!C28)</f>
        <v/>
      </c>
      <c r="E1528" s="24" t="str">
        <f>IF('تعديل الجرد'!C28="","",'تعديل الجرد'!F28)</f>
        <v/>
      </c>
      <c r="F1528" t="str">
        <f>IF('تعديل الجرد'!C28="","",IF('تعديل الجرد'!H28="","",'تعديل الجرد'!H28))</f>
        <v/>
      </c>
      <c r="G1528" t="str">
        <f>IF($B1528&lt;&gt;"",SUMPRODUCT(($B$2:$B1528&lt;&gt;"")*1),"")</f>
        <v/>
      </c>
    </row>
    <row r="1529" spans="1:7">
      <c r="A1529" s="23" t="str">
        <f>IF('تعديل الجرد'!C29="","",'تعديل الجرد'!B29)</f>
        <v/>
      </c>
      <c r="B1529" t="str">
        <f>IF('تعديل الجرد'!C29="","","تعديل جرد")</f>
        <v/>
      </c>
      <c r="C1529" t="str">
        <f>IF('تعديل الجرد'!C29="","",IF('تعديل الجرد'!G29="","-",'تعديل الجرد'!G29))</f>
        <v/>
      </c>
      <c r="D1529" t="str">
        <f>IF('تعديل الجرد'!C29="","",'تعديل الجرد'!C29)</f>
        <v/>
      </c>
      <c r="E1529" s="24" t="str">
        <f>IF('تعديل الجرد'!C29="","",'تعديل الجرد'!F29)</f>
        <v/>
      </c>
      <c r="F1529" t="str">
        <f>IF('تعديل الجرد'!C29="","",IF('تعديل الجرد'!H29="","",'تعديل الجرد'!H29))</f>
        <v/>
      </c>
      <c r="G1529" t="str">
        <f>IF($B1529&lt;&gt;"",SUMPRODUCT(($B$2:$B1529&lt;&gt;"")*1),"")</f>
        <v/>
      </c>
    </row>
    <row r="1530" spans="1:7">
      <c r="A1530" s="23" t="str">
        <f>IF('تعديل الجرد'!C30="","",'تعديل الجرد'!B30)</f>
        <v/>
      </c>
      <c r="B1530" t="str">
        <f>IF('تعديل الجرد'!C30="","","تعديل جرد")</f>
        <v/>
      </c>
      <c r="C1530" t="str">
        <f>IF('تعديل الجرد'!C30="","",IF('تعديل الجرد'!G30="","-",'تعديل الجرد'!G30))</f>
        <v/>
      </c>
      <c r="D1530" t="str">
        <f>IF('تعديل الجرد'!C30="","",'تعديل الجرد'!C30)</f>
        <v/>
      </c>
      <c r="E1530" s="24" t="str">
        <f>IF('تعديل الجرد'!C30="","",'تعديل الجرد'!F30)</f>
        <v/>
      </c>
      <c r="F1530" t="str">
        <f>IF('تعديل الجرد'!C30="","",IF('تعديل الجرد'!H30="","",'تعديل الجرد'!H30))</f>
        <v/>
      </c>
      <c r="G1530" t="str">
        <f>IF($B1530&lt;&gt;"",SUMPRODUCT(($B$2:$B1530&lt;&gt;"")*1),"")</f>
        <v/>
      </c>
    </row>
    <row r="1531" spans="1:7">
      <c r="A1531" s="23" t="str">
        <f>IF('تعديل الجرد'!C31="","",'تعديل الجرد'!B31)</f>
        <v/>
      </c>
      <c r="B1531" t="str">
        <f>IF('تعديل الجرد'!C31="","","تعديل جرد")</f>
        <v/>
      </c>
      <c r="C1531" t="str">
        <f>IF('تعديل الجرد'!C31="","",IF('تعديل الجرد'!G31="","-",'تعديل الجرد'!G31))</f>
        <v/>
      </c>
      <c r="D1531" t="str">
        <f>IF('تعديل الجرد'!C31="","",'تعديل الجرد'!C31)</f>
        <v/>
      </c>
      <c r="E1531" s="24" t="str">
        <f>IF('تعديل الجرد'!C31="","",'تعديل الجرد'!F31)</f>
        <v/>
      </c>
      <c r="F1531" t="str">
        <f>IF('تعديل الجرد'!C31="","",IF('تعديل الجرد'!H31="","",'تعديل الجرد'!H31))</f>
        <v/>
      </c>
      <c r="G1531" t="str">
        <f>IF($B1531&lt;&gt;"",SUMPRODUCT(($B$2:$B1531&lt;&gt;"")*1),"")</f>
        <v/>
      </c>
    </row>
    <row r="1532" spans="1:7">
      <c r="A1532" s="23" t="str">
        <f>IF('تعديل الجرد'!C32="","",'تعديل الجرد'!B32)</f>
        <v/>
      </c>
      <c r="B1532" t="str">
        <f>IF('تعديل الجرد'!C32="","","تعديل جرد")</f>
        <v/>
      </c>
      <c r="C1532" t="str">
        <f>IF('تعديل الجرد'!C32="","",IF('تعديل الجرد'!G32="","-",'تعديل الجرد'!G32))</f>
        <v/>
      </c>
      <c r="D1532" t="str">
        <f>IF('تعديل الجرد'!C32="","",'تعديل الجرد'!C32)</f>
        <v/>
      </c>
      <c r="E1532" s="24" t="str">
        <f>IF('تعديل الجرد'!C32="","",'تعديل الجرد'!F32)</f>
        <v/>
      </c>
      <c r="F1532" t="str">
        <f>IF('تعديل الجرد'!C32="","",IF('تعديل الجرد'!H32="","",'تعديل الجرد'!H32))</f>
        <v/>
      </c>
      <c r="G1532" t="str">
        <f>IF($B1532&lt;&gt;"",SUMPRODUCT(($B$2:$B1532&lt;&gt;"")*1),"")</f>
        <v/>
      </c>
    </row>
    <row r="1533" spans="1:7">
      <c r="A1533" s="23" t="str">
        <f>IF('تعديل الجرد'!C33="","",'تعديل الجرد'!B33)</f>
        <v/>
      </c>
      <c r="B1533" t="str">
        <f>IF('تعديل الجرد'!C33="","","تعديل جرد")</f>
        <v/>
      </c>
      <c r="C1533" t="str">
        <f>IF('تعديل الجرد'!C33="","",IF('تعديل الجرد'!G33="","-",'تعديل الجرد'!G33))</f>
        <v/>
      </c>
      <c r="D1533" t="str">
        <f>IF('تعديل الجرد'!C33="","",'تعديل الجرد'!C33)</f>
        <v/>
      </c>
      <c r="E1533" s="24" t="str">
        <f>IF('تعديل الجرد'!C33="","",'تعديل الجرد'!F33)</f>
        <v/>
      </c>
      <c r="F1533" t="str">
        <f>IF('تعديل الجرد'!C33="","",IF('تعديل الجرد'!H33="","",'تعديل الجرد'!H33))</f>
        <v/>
      </c>
      <c r="G1533" t="str">
        <f>IF($B1533&lt;&gt;"",SUMPRODUCT(($B$2:$B1533&lt;&gt;"")*1),"")</f>
        <v/>
      </c>
    </row>
    <row r="1534" spans="1:7">
      <c r="A1534" s="23" t="str">
        <f>IF('تعديل الجرد'!C34="","",'تعديل الجرد'!B34)</f>
        <v/>
      </c>
      <c r="B1534" t="str">
        <f>IF('تعديل الجرد'!C34="","","تعديل جرد")</f>
        <v/>
      </c>
      <c r="C1534" t="str">
        <f>IF('تعديل الجرد'!C34="","",IF('تعديل الجرد'!G34="","-",'تعديل الجرد'!G34))</f>
        <v/>
      </c>
      <c r="D1534" t="str">
        <f>IF('تعديل الجرد'!C34="","",'تعديل الجرد'!C34)</f>
        <v/>
      </c>
      <c r="E1534" s="24" t="str">
        <f>IF('تعديل الجرد'!C34="","",'تعديل الجرد'!F34)</f>
        <v/>
      </c>
      <c r="F1534" t="str">
        <f>IF('تعديل الجرد'!C34="","",IF('تعديل الجرد'!H34="","",'تعديل الجرد'!H34))</f>
        <v/>
      </c>
      <c r="G1534" t="str">
        <f>IF($B1534&lt;&gt;"",SUMPRODUCT(($B$2:$B1534&lt;&gt;"")*1),"")</f>
        <v/>
      </c>
    </row>
    <row r="1535" spans="1:7">
      <c r="A1535" s="23" t="str">
        <f>IF('تعديل الجرد'!C35="","",'تعديل الجرد'!B35)</f>
        <v/>
      </c>
      <c r="B1535" t="str">
        <f>IF('تعديل الجرد'!C35="","","تعديل جرد")</f>
        <v/>
      </c>
      <c r="C1535" t="str">
        <f>IF('تعديل الجرد'!C35="","",IF('تعديل الجرد'!G35="","-",'تعديل الجرد'!G35))</f>
        <v/>
      </c>
      <c r="D1535" t="str">
        <f>IF('تعديل الجرد'!C35="","",'تعديل الجرد'!C35)</f>
        <v/>
      </c>
      <c r="E1535" s="24" t="str">
        <f>IF('تعديل الجرد'!C35="","",'تعديل الجرد'!F35)</f>
        <v/>
      </c>
      <c r="F1535" t="str">
        <f>IF('تعديل الجرد'!C35="","",IF('تعديل الجرد'!H35="","",'تعديل الجرد'!H35))</f>
        <v/>
      </c>
      <c r="G1535" t="str">
        <f>IF($B1535&lt;&gt;"",SUMPRODUCT(($B$2:$B1535&lt;&gt;"")*1),"")</f>
        <v/>
      </c>
    </row>
    <row r="1536" spans="1:7">
      <c r="A1536" s="23" t="str">
        <f>IF('تعديل الجرد'!C36="","",'تعديل الجرد'!B36)</f>
        <v/>
      </c>
      <c r="B1536" t="str">
        <f>IF('تعديل الجرد'!C36="","","تعديل جرد")</f>
        <v/>
      </c>
      <c r="C1536" t="str">
        <f>IF('تعديل الجرد'!C36="","",IF('تعديل الجرد'!G36="","-",'تعديل الجرد'!G36))</f>
        <v/>
      </c>
      <c r="D1536" t="str">
        <f>IF('تعديل الجرد'!C36="","",'تعديل الجرد'!C36)</f>
        <v/>
      </c>
      <c r="E1536" s="24" t="str">
        <f>IF('تعديل الجرد'!C36="","",'تعديل الجرد'!F36)</f>
        <v/>
      </c>
      <c r="F1536" t="str">
        <f>IF('تعديل الجرد'!C36="","",IF('تعديل الجرد'!H36="","",'تعديل الجرد'!H36))</f>
        <v/>
      </c>
      <c r="G1536" t="str">
        <f>IF($B1536&lt;&gt;"",SUMPRODUCT(($B$2:$B1536&lt;&gt;"")*1),"")</f>
        <v/>
      </c>
    </row>
    <row r="1537" spans="1:7">
      <c r="A1537" s="23" t="str">
        <f>IF('تعديل الجرد'!C37="","",'تعديل الجرد'!B37)</f>
        <v/>
      </c>
      <c r="B1537" t="str">
        <f>IF('تعديل الجرد'!C37="","","تعديل جرد")</f>
        <v/>
      </c>
      <c r="C1537" t="str">
        <f>IF('تعديل الجرد'!C37="","",IF('تعديل الجرد'!G37="","-",'تعديل الجرد'!G37))</f>
        <v/>
      </c>
      <c r="D1537" t="str">
        <f>IF('تعديل الجرد'!C37="","",'تعديل الجرد'!C37)</f>
        <v/>
      </c>
      <c r="E1537" s="24" t="str">
        <f>IF('تعديل الجرد'!C37="","",'تعديل الجرد'!F37)</f>
        <v/>
      </c>
      <c r="F1537" t="str">
        <f>IF('تعديل الجرد'!C37="","",IF('تعديل الجرد'!H37="","",'تعديل الجرد'!H37))</f>
        <v/>
      </c>
      <c r="G1537" t="str">
        <f>IF($B1537&lt;&gt;"",SUMPRODUCT(($B$2:$B1537&lt;&gt;"")*1),"")</f>
        <v/>
      </c>
    </row>
    <row r="1538" spans="1:7">
      <c r="A1538" s="23" t="str">
        <f>IF('تعديل الجرد'!C38="","",'تعديل الجرد'!B38)</f>
        <v/>
      </c>
      <c r="B1538" t="str">
        <f>IF('تعديل الجرد'!C38="","","تعديل جرد")</f>
        <v/>
      </c>
      <c r="C1538" t="str">
        <f>IF('تعديل الجرد'!C38="","",IF('تعديل الجرد'!G38="","-",'تعديل الجرد'!G38))</f>
        <v/>
      </c>
      <c r="D1538" t="str">
        <f>IF('تعديل الجرد'!C38="","",'تعديل الجرد'!C38)</f>
        <v/>
      </c>
      <c r="E1538" s="24" t="str">
        <f>IF('تعديل الجرد'!C38="","",'تعديل الجرد'!F38)</f>
        <v/>
      </c>
      <c r="F1538" t="str">
        <f>IF('تعديل الجرد'!C38="","",IF('تعديل الجرد'!H38="","",'تعديل الجرد'!H38))</f>
        <v/>
      </c>
      <c r="G1538" t="str">
        <f>IF($B1538&lt;&gt;"",SUMPRODUCT(($B$2:$B1538&lt;&gt;"")*1),"")</f>
        <v/>
      </c>
    </row>
    <row r="1539" spans="1:7">
      <c r="A1539" s="23" t="str">
        <f>IF('تعديل الجرد'!C39="","",'تعديل الجرد'!B39)</f>
        <v/>
      </c>
      <c r="B1539" t="str">
        <f>IF('تعديل الجرد'!C39="","","تعديل جرد")</f>
        <v/>
      </c>
      <c r="C1539" t="str">
        <f>IF('تعديل الجرد'!C39="","",IF('تعديل الجرد'!G39="","-",'تعديل الجرد'!G39))</f>
        <v/>
      </c>
      <c r="D1539" t="str">
        <f>IF('تعديل الجرد'!C39="","",'تعديل الجرد'!C39)</f>
        <v/>
      </c>
      <c r="E1539" s="24" t="str">
        <f>IF('تعديل الجرد'!C39="","",'تعديل الجرد'!F39)</f>
        <v/>
      </c>
      <c r="F1539" t="str">
        <f>IF('تعديل الجرد'!C39="","",IF('تعديل الجرد'!H39="","",'تعديل الجرد'!H39))</f>
        <v/>
      </c>
      <c r="G1539" t="str">
        <f>IF($B1539&lt;&gt;"",SUMPRODUCT(($B$2:$B1539&lt;&gt;"")*1),"")</f>
        <v/>
      </c>
    </row>
    <row r="1540" spans="1:7">
      <c r="A1540" s="23" t="str">
        <f>IF('تعديل الجرد'!C40="","",'تعديل الجرد'!B40)</f>
        <v/>
      </c>
      <c r="B1540" t="str">
        <f>IF('تعديل الجرد'!C40="","","تعديل جرد")</f>
        <v/>
      </c>
      <c r="C1540" t="str">
        <f>IF('تعديل الجرد'!C40="","",IF('تعديل الجرد'!G40="","-",'تعديل الجرد'!G40))</f>
        <v/>
      </c>
      <c r="D1540" t="str">
        <f>IF('تعديل الجرد'!C40="","",'تعديل الجرد'!C40)</f>
        <v/>
      </c>
      <c r="E1540" s="24" t="str">
        <f>IF('تعديل الجرد'!C40="","",'تعديل الجرد'!F40)</f>
        <v/>
      </c>
      <c r="F1540" t="str">
        <f>IF('تعديل الجرد'!C40="","",IF('تعديل الجرد'!H40="","",'تعديل الجرد'!H40))</f>
        <v/>
      </c>
      <c r="G1540" t="str">
        <f>IF($B1540&lt;&gt;"",SUMPRODUCT(($B$2:$B1540&lt;&gt;"")*1),"")</f>
        <v/>
      </c>
    </row>
    <row r="1541" spans="1:7">
      <c r="A1541" s="23" t="str">
        <f>IF('تعديل الجرد'!C41="","",'تعديل الجرد'!B41)</f>
        <v/>
      </c>
      <c r="B1541" t="str">
        <f>IF('تعديل الجرد'!C41="","","تعديل جرد")</f>
        <v/>
      </c>
      <c r="C1541" t="str">
        <f>IF('تعديل الجرد'!C41="","",IF('تعديل الجرد'!G41="","-",'تعديل الجرد'!G41))</f>
        <v/>
      </c>
      <c r="D1541" t="str">
        <f>IF('تعديل الجرد'!C41="","",'تعديل الجرد'!C41)</f>
        <v/>
      </c>
      <c r="E1541" s="24" t="str">
        <f>IF('تعديل الجرد'!C41="","",'تعديل الجرد'!F41)</f>
        <v/>
      </c>
      <c r="F1541" t="str">
        <f>IF('تعديل الجرد'!C41="","",IF('تعديل الجرد'!H41="","",'تعديل الجرد'!H41))</f>
        <v/>
      </c>
      <c r="G1541" t="str">
        <f>IF($B1541&lt;&gt;"",SUMPRODUCT(($B$2:$B1541&lt;&gt;"")*1),"")</f>
        <v/>
      </c>
    </row>
    <row r="1542" spans="1:7">
      <c r="A1542" s="23" t="str">
        <f>IF('تعديل الجرد'!C42="","",'تعديل الجرد'!B42)</f>
        <v/>
      </c>
      <c r="B1542" t="str">
        <f>IF('تعديل الجرد'!C42="","","تعديل جرد")</f>
        <v/>
      </c>
      <c r="C1542" t="str">
        <f>IF('تعديل الجرد'!C42="","",IF('تعديل الجرد'!G42="","-",'تعديل الجرد'!G42))</f>
        <v/>
      </c>
      <c r="D1542" t="str">
        <f>IF('تعديل الجرد'!C42="","",'تعديل الجرد'!C42)</f>
        <v/>
      </c>
      <c r="E1542" s="24" t="str">
        <f>IF('تعديل الجرد'!C42="","",'تعديل الجرد'!F42)</f>
        <v/>
      </c>
      <c r="F1542" t="str">
        <f>IF('تعديل الجرد'!C42="","",IF('تعديل الجرد'!H42="","",'تعديل الجرد'!H42))</f>
        <v/>
      </c>
      <c r="G1542" t="str">
        <f>IF($B1542&lt;&gt;"",SUMPRODUCT(($B$2:$B1542&lt;&gt;"")*1),"")</f>
        <v/>
      </c>
    </row>
    <row r="1543" spans="1:7">
      <c r="A1543" s="23" t="str">
        <f>IF('تعديل الجرد'!C43="","",'تعديل الجرد'!B43)</f>
        <v/>
      </c>
      <c r="B1543" t="str">
        <f>IF('تعديل الجرد'!C43="","","تعديل جرد")</f>
        <v/>
      </c>
      <c r="C1543" t="str">
        <f>IF('تعديل الجرد'!C43="","",IF('تعديل الجرد'!G43="","-",'تعديل الجرد'!G43))</f>
        <v/>
      </c>
      <c r="D1543" t="str">
        <f>IF('تعديل الجرد'!C43="","",'تعديل الجرد'!C43)</f>
        <v/>
      </c>
      <c r="E1543" s="24" t="str">
        <f>IF('تعديل الجرد'!C43="","",'تعديل الجرد'!F43)</f>
        <v/>
      </c>
      <c r="F1543" t="str">
        <f>IF('تعديل الجرد'!C43="","",IF('تعديل الجرد'!H43="","",'تعديل الجرد'!H43))</f>
        <v/>
      </c>
      <c r="G1543" t="str">
        <f>IF($B1543&lt;&gt;"",SUMPRODUCT(($B$2:$B1543&lt;&gt;"")*1),"")</f>
        <v/>
      </c>
    </row>
    <row r="1544" spans="1:7">
      <c r="A1544" s="23" t="str">
        <f>IF('تعديل الجرد'!C44="","",'تعديل الجرد'!B44)</f>
        <v/>
      </c>
      <c r="B1544" t="str">
        <f>IF('تعديل الجرد'!C44="","","تعديل جرد")</f>
        <v/>
      </c>
      <c r="C1544" t="str">
        <f>IF('تعديل الجرد'!C44="","",IF('تعديل الجرد'!G44="","-",'تعديل الجرد'!G44))</f>
        <v/>
      </c>
      <c r="D1544" t="str">
        <f>IF('تعديل الجرد'!C44="","",'تعديل الجرد'!C44)</f>
        <v/>
      </c>
      <c r="E1544" s="24" t="str">
        <f>IF('تعديل الجرد'!C44="","",'تعديل الجرد'!F44)</f>
        <v/>
      </c>
      <c r="F1544" t="str">
        <f>IF('تعديل الجرد'!C44="","",IF('تعديل الجرد'!H44="","",'تعديل الجرد'!H44))</f>
        <v/>
      </c>
      <c r="G1544" t="str">
        <f>IF($B1544&lt;&gt;"",SUMPRODUCT(($B$2:$B1544&lt;&gt;"")*1),"")</f>
        <v/>
      </c>
    </row>
    <row r="1545" spans="1:7">
      <c r="A1545" s="23" t="str">
        <f>IF('تعديل الجرد'!C45="","",'تعديل الجرد'!B45)</f>
        <v/>
      </c>
      <c r="B1545" t="str">
        <f>IF('تعديل الجرد'!C45="","","تعديل جرد")</f>
        <v/>
      </c>
      <c r="C1545" t="str">
        <f>IF('تعديل الجرد'!C45="","",IF('تعديل الجرد'!G45="","-",'تعديل الجرد'!G45))</f>
        <v/>
      </c>
      <c r="D1545" t="str">
        <f>IF('تعديل الجرد'!C45="","",'تعديل الجرد'!C45)</f>
        <v/>
      </c>
      <c r="E1545" s="24" t="str">
        <f>IF('تعديل الجرد'!C45="","",'تعديل الجرد'!F45)</f>
        <v/>
      </c>
      <c r="F1545" t="str">
        <f>IF('تعديل الجرد'!C45="","",IF('تعديل الجرد'!H45="","",'تعديل الجرد'!H45))</f>
        <v/>
      </c>
      <c r="G1545" t="str">
        <f>IF($B1545&lt;&gt;"",SUMPRODUCT(($B$2:$B1545&lt;&gt;"")*1),"")</f>
        <v/>
      </c>
    </row>
    <row r="1546" spans="1:7">
      <c r="A1546" s="23" t="str">
        <f>IF('تعديل الجرد'!C46="","",'تعديل الجرد'!B46)</f>
        <v/>
      </c>
      <c r="B1546" t="str">
        <f>IF('تعديل الجرد'!C46="","","تعديل جرد")</f>
        <v/>
      </c>
      <c r="C1546" t="str">
        <f>IF('تعديل الجرد'!C46="","",IF('تعديل الجرد'!G46="","-",'تعديل الجرد'!G46))</f>
        <v/>
      </c>
      <c r="D1546" t="str">
        <f>IF('تعديل الجرد'!C46="","",'تعديل الجرد'!C46)</f>
        <v/>
      </c>
      <c r="E1546" s="24" t="str">
        <f>IF('تعديل الجرد'!C46="","",'تعديل الجرد'!F46)</f>
        <v/>
      </c>
      <c r="F1546" t="str">
        <f>IF('تعديل الجرد'!C46="","",IF('تعديل الجرد'!H46="","",'تعديل الجرد'!H46))</f>
        <v/>
      </c>
      <c r="G1546" t="str">
        <f>IF($B1546&lt;&gt;"",SUMPRODUCT(($B$2:$B1546&lt;&gt;"")*1),"")</f>
        <v/>
      </c>
    </row>
    <row r="1547" spans="1:7">
      <c r="A1547" s="23" t="str">
        <f>IF('تعديل الجرد'!C47="","",'تعديل الجرد'!B47)</f>
        <v/>
      </c>
      <c r="B1547" t="str">
        <f>IF('تعديل الجرد'!C47="","","تعديل جرد")</f>
        <v/>
      </c>
      <c r="C1547" t="str">
        <f>IF('تعديل الجرد'!C47="","",IF('تعديل الجرد'!G47="","-",'تعديل الجرد'!G47))</f>
        <v/>
      </c>
      <c r="D1547" t="str">
        <f>IF('تعديل الجرد'!C47="","",'تعديل الجرد'!C47)</f>
        <v/>
      </c>
      <c r="E1547" s="24" t="str">
        <f>IF('تعديل الجرد'!C47="","",'تعديل الجرد'!F47)</f>
        <v/>
      </c>
      <c r="F1547" t="str">
        <f>IF('تعديل الجرد'!C47="","",IF('تعديل الجرد'!H47="","",'تعديل الجرد'!H47))</f>
        <v/>
      </c>
      <c r="G1547" t="str">
        <f>IF($B1547&lt;&gt;"",SUMPRODUCT(($B$2:$B1547&lt;&gt;"")*1),"")</f>
        <v/>
      </c>
    </row>
    <row r="1548" spans="1:7">
      <c r="A1548" s="23" t="str">
        <f>IF('تعديل الجرد'!C48="","",'تعديل الجرد'!B48)</f>
        <v/>
      </c>
      <c r="B1548" t="str">
        <f>IF('تعديل الجرد'!C48="","","تعديل جرد")</f>
        <v/>
      </c>
      <c r="C1548" t="str">
        <f>IF('تعديل الجرد'!C48="","",IF('تعديل الجرد'!G48="","-",'تعديل الجرد'!G48))</f>
        <v/>
      </c>
      <c r="D1548" t="str">
        <f>IF('تعديل الجرد'!C48="","",'تعديل الجرد'!C48)</f>
        <v/>
      </c>
      <c r="E1548" s="24" t="str">
        <f>IF('تعديل الجرد'!C48="","",'تعديل الجرد'!F48)</f>
        <v/>
      </c>
      <c r="F1548" t="str">
        <f>IF('تعديل الجرد'!C48="","",IF('تعديل الجرد'!H48="","",'تعديل الجرد'!H48))</f>
        <v/>
      </c>
      <c r="G1548" t="str">
        <f>IF($B1548&lt;&gt;"",SUMPRODUCT(($B$2:$B1548&lt;&gt;"")*1),"")</f>
        <v/>
      </c>
    </row>
    <row r="1549" spans="1:7">
      <c r="A1549" s="23" t="str">
        <f>IF('تعديل الجرد'!C49="","",'تعديل الجرد'!B49)</f>
        <v/>
      </c>
      <c r="B1549" t="str">
        <f>IF('تعديل الجرد'!C49="","","تعديل جرد")</f>
        <v/>
      </c>
      <c r="C1549" t="str">
        <f>IF('تعديل الجرد'!C49="","",IF('تعديل الجرد'!G49="","-",'تعديل الجرد'!G49))</f>
        <v/>
      </c>
      <c r="D1549" t="str">
        <f>IF('تعديل الجرد'!C49="","",'تعديل الجرد'!C49)</f>
        <v/>
      </c>
      <c r="E1549" s="24" t="str">
        <f>IF('تعديل الجرد'!C49="","",'تعديل الجرد'!F49)</f>
        <v/>
      </c>
      <c r="F1549" t="str">
        <f>IF('تعديل الجرد'!C49="","",IF('تعديل الجرد'!H49="","",'تعديل الجرد'!H49))</f>
        <v/>
      </c>
      <c r="G1549" t="str">
        <f>IF($B1549&lt;&gt;"",SUMPRODUCT(($B$2:$B1549&lt;&gt;"")*1),"")</f>
        <v/>
      </c>
    </row>
    <row r="1550" spans="1:7">
      <c r="A1550" s="23" t="str">
        <f>IF('تعديل الجرد'!C50="","",'تعديل الجرد'!B50)</f>
        <v/>
      </c>
      <c r="B1550" t="str">
        <f>IF('تعديل الجرد'!C50="","","تعديل جرد")</f>
        <v/>
      </c>
      <c r="C1550" t="str">
        <f>IF('تعديل الجرد'!C50="","",IF('تعديل الجرد'!G50="","-",'تعديل الجرد'!G50))</f>
        <v/>
      </c>
      <c r="D1550" t="str">
        <f>IF('تعديل الجرد'!C50="","",'تعديل الجرد'!C50)</f>
        <v/>
      </c>
      <c r="E1550" s="24" t="str">
        <f>IF('تعديل الجرد'!C50="","",'تعديل الجرد'!F50)</f>
        <v/>
      </c>
      <c r="F1550" t="str">
        <f>IF('تعديل الجرد'!C50="","",IF('تعديل الجرد'!H50="","",'تعديل الجرد'!H50))</f>
        <v/>
      </c>
      <c r="G1550" t="str">
        <f>IF($B1550&lt;&gt;"",SUMPRODUCT(($B$2:$B1550&lt;&gt;"")*1),"")</f>
        <v/>
      </c>
    </row>
    <row r="1551" spans="1:7">
      <c r="A1551" s="23" t="str">
        <f>IF('تعديل الجرد'!C51="","",'تعديل الجرد'!B51)</f>
        <v/>
      </c>
      <c r="B1551" t="str">
        <f>IF('تعديل الجرد'!C51="","","تعديل جرد")</f>
        <v/>
      </c>
      <c r="C1551" t="str">
        <f>IF('تعديل الجرد'!C51="","",IF('تعديل الجرد'!G51="","-",'تعديل الجرد'!G51))</f>
        <v/>
      </c>
      <c r="D1551" t="str">
        <f>IF('تعديل الجرد'!C51="","",'تعديل الجرد'!C51)</f>
        <v/>
      </c>
      <c r="E1551" s="24" t="str">
        <f>IF('تعديل الجرد'!C51="","",'تعديل الجرد'!F51)</f>
        <v/>
      </c>
      <c r="F1551" t="str">
        <f>IF('تعديل الجرد'!C51="","",IF('تعديل الجرد'!H51="","",'تعديل الجرد'!H51))</f>
        <v/>
      </c>
      <c r="G1551" t="str">
        <f>IF($B1551&lt;&gt;"",SUMPRODUCT(($B$2:$B1551&lt;&gt;"")*1),"")</f>
        <v/>
      </c>
    </row>
    <row r="1552" spans="1:7">
      <c r="A1552" s="23" t="str">
        <f>IF('تعديل الجرد'!C52="","",'تعديل الجرد'!B52)</f>
        <v/>
      </c>
      <c r="B1552" t="str">
        <f>IF('تعديل الجرد'!C52="","","تعديل جرد")</f>
        <v/>
      </c>
      <c r="C1552" t="str">
        <f>IF('تعديل الجرد'!C52="","",IF('تعديل الجرد'!G52="","-",'تعديل الجرد'!G52))</f>
        <v/>
      </c>
      <c r="D1552" t="str">
        <f>IF('تعديل الجرد'!C52="","",'تعديل الجرد'!C52)</f>
        <v/>
      </c>
      <c r="E1552" s="24" t="str">
        <f>IF('تعديل الجرد'!C52="","",'تعديل الجرد'!F52)</f>
        <v/>
      </c>
      <c r="F1552" t="str">
        <f>IF('تعديل الجرد'!C52="","",IF('تعديل الجرد'!H52="","",'تعديل الجرد'!H52))</f>
        <v/>
      </c>
      <c r="G1552" t="str">
        <f>IF($B1552&lt;&gt;"",SUMPRODUCT(($B$2:$B1552&lt;&gt;"")*1),"")</f>
        <v/>
      </c>
    </row>
    <row r="1553" spans="1:7">
      <c r="A1553" s="23" t="str">
        <f>IF('تعديل الجرد'!C53="","",'تعديل الجرد'!B53)</f>
        <v/>
      </c>
      <c r="B1553" t="str">
        <f>IF('تعديل الجرد'!C53="","","تعديل جرد")</f>
        <v/>
      </c>
      <c r="C1553" t="str">
        <f>IF('تعديل الجرد'!C53="","",IF('تعديل الجرد'!G53="","-",'تعديل الجرد'!G53))</f>
        <v/>
      </c>
      <c r="D1553" t="str">
        <f>IF('تعديل الجرد'!C53="","",'تعديل الجرد'!C53)</f>
        <v/>
      </c>
      <c r="E1553" s="24" t="str">
        <f>IF('تعديل الجرد'!C53="","",'تعديل الجرد'!F53)</f>
        <v/>
      </c>
      <c r="F1553" t="str">
        <f>IF('تعديل الجرد'!C53="","",IF('تعديل الجرد'!H53="","",'تعديل الجرد'!H53))</f>
        <v/>
      </c>
      <c r="G1553" t="str">
        <f>IF($B1553&lt;&gt;"",SUMPRODUCT(($B$2:$B1553&lt;&gt;"")*1),"")</f>
        <v/>
      </c>
    </row>
    <row r="1554" spans="1:7">
      <c r="A1554" s="23" t="str">
        <f>IF('تعديل الجرد'!C54="","",'تعديل الجرد'!B54)</f>
        <v/>
      </c>
      <c r="B1554" t="str">
        <f>IF('تعديل الجرد'!C54="","","تعديل جرد")</f>
        <v/>
      </c>
      <c r="C1554" t="str">
        <f>IF('تعديل الجرد'!C54="","",IF('تعديل الجرد'!G54="","-",'تعديل الجرد'!G54))</f>
        <v/>
      </c>
      <c r="D1554" t="str">
        <f>IF('تعديل الجرد'!C54="","",'تعديل الجرد'!C54)</f>
        <v/>
      </c>
      <c r="E1554" s="24" t="str">
        <f>IF('تعديل الجرد'!C54="","",'تعديل الجرد'!F54)</f>
        <v/>
      </c>
      <c r="F1554" t="str">
        <f>IF('تعديل الجرد'!C54="","",IF('تعديل الجرد'!H54="","",'تعديل الجرد'!H54))</f>
        <v/>
      </c>
      <c r="G1554" t="str">
        <f>IF($B1554&lt;&gt;"",SUMPRODUCT(($B$2:$B1554&lt;&gt;"")*1),"")</f>
        <v/>
      </c>
    </row>
    <row r="1555" spans="1:7">
      <c r="A1555" s="23" t="str">
        <f>IF('تعديل الجرد'!C55="","",'تعديل الجرد'!B55)</f>
        <v/>
      </c>
      <c r="B1555" t="str">
        <f>IF('تعديل الجرد'!C55="","","تعديل جرد")</f>
        <v/>
      </c>
      <c r="C1555" t="str">
        <f>IF('تعديل الجرد'!C55="","",IF('تعديل الجرد'!G55="","-",'تعديل الجرد'!G55))</f>
        <v/>
      </c>
      <c r="D1555" t="str">
        <f>IF('تعديل الجرد'!C55="","",'تعديل الجرد'!C55)</f>
        <v/>
      </c>
      <c r="E1555" s="24" t="str">
        <f>IF('تعديل الجرد'!C55="","",'تعديل الجرد'!F55)</f>
        <v/>
      </c>
      <c r="F1555" t="str">
        <f>IF('تعديل الجرد'!C55="","",IF('تعديل الجرد'!H55="","",'تعديل الجرد'!H55))</f>
        <v/>
      </c>
      <c r="G1555" t="str">
        <f>IF($B1555&lt;&gt;"",SUMPRODUCT(($B$2:$B1555&lt;&gt;"")*1),"")</f>
        <v/>
      </c>
    </row>
    <row r="1556" spans="1:7">
      <c r="A1556" s="23" t="str">
        <f>IF('تعديل الجرد'!C56="","",'تعديل الجرد'!B56)</f>
        <v/>
      </c>
      <c r="B1556" t="str">
        <f>IF('تعديل الجرد'!C56="","","تعديل جرد")</f>
        <v/>
      </c>
      <c r="C1556" t="str">
        <f>IF('تعديل الجرد'!C56="","",IF('تعديل الجرد'!G56="","-",'تعديل الجرد'!G56))</f>
        <v/>
      </c>
      <c r="D1556" t="str">
        <f>IF('تعديل الجرد'!C56="","",'تعديل الجرد'!C56)</f>
        <v/>
      </c>
      <c r="E1556" s="24" t="str">
        <f>IF('تعديل الجرد'!C56="","",'تعديل الجرد'!F56)</f>
        <v/>
      </c>
      <c r="F1556" t="str">
        <f>IF('تعديل الجرد'!C56="","",IF('تعديل الجرد'!H56="","",'تعديل الجرد'!H56))</f>
        <v/>
      </c>
      <c r="G1556" t="str">
        <f>IF($B1556&lt;&gt;"",SUMPRODUCT(($B$2:$B1556&lt;&gt;"")*1),"")</f>
        <v/>
      </c>
    </row>
    <row r="1557" spans="1:7">
      <c r="A1557" s="23" t="str">
        <f>IF('تعديل الجرد'!C57="","",'تعديل الجرد'!B57)</f>
        <v/>
      </c>
      <c r="B1557" t="str">
        <f>IF('تعديل الجرد'!C57="","","تعديل جرد")</f>
        <v/>
      </c>
      <c r="C1557" t="str">
        <f>IF('تعديل الجرد'!C57="","",IF('تعديل الجرد'!G57="","-",'تعديل الجرد'!G57))</f>
        <v/>
      </c>
      <c r="D1557" t="str">
        <f>IF('تعديل الجرد'!C57="","",'تعديل الجرد'!C57)</f>
        <v/>
      </c>
      <c r="E1557" s="24" t="str">
        <f>IF('تعديل الجرد'!C57="","",'تعديل الجرد'!F57)</f>
        <v/>
      </c>
      <c r="F1557" t="str">
        <f>IF('تعديل الجرد'!C57="","",IF('تعديل الجرد'!H57="","",'تعديل الجرد'!H57))</f>
        <v/>
      </c>
      <c r="G1557" t="str">
        <f>IF($B1557&lt;&gt;"",SUMPRODUCT(($B$2:$B1557&lt;&gt;"")*1),"")</f>
        <v/>
      </c>
    </row>
    <row r="1558" spans="1:7">
      <c r="A1558" s="23" t="str">
        <f>IF('تعديل الجرد'!C58="","",'تعديل الجرد'!B58)</f>
        <v/>
      </c>
      <c r="B1558" t="str">
        <f>IF('تعديل الجرد'!C58="","","تعديل جرد")</f>
        <v/>
      </c>
      <c r="C1558" t="str">
        <f>IF('تعديل الجرد'!C58="","",IF('تعديل الجرد'!G58="","-",'تعديل الجرد'!G58))</f>
        <v/>
      </c>
      <c r="D1558" t="str">
        <f>IF('تعديل الجرد'!C58="","",'تعديل الجرد'!C58)</f>
        <v/>
      </c>
      <c r="E1558" s="24" t="str">
        <f>IF('تعديل الجرد'!C58="","",'تعديل الجرد'!F58)</f>
        <v/>
      </c>
      <c r="F1558" t="str">
        <f>IF('تعديل الجرد'!C58="","",IF('تعديل الجرد'!H58="","",'تعديل الجرد'!H58))</f>
        <v/>
      </c>
      <c r="G1558" t="str">
        <f>IF($B1558&lt;&gt;"",SUMPRODUCT(($B$2:$B1558&lt;&gt;"")*1),"")</f>
        <v/>
      </c>
    </row>
    <row r="1559" spans="1:7">
      <c r="A1559" s="23" t="str">
        <f>IF('تعديل الجرد'!C59="","",'تعديل الجرد'!B59)</f>
        <v/>
      </c>
      <c r="B1559" t="str">
        <f>IF('تعديل الجرد'!C59="","","تعديل جرد")</f>
        <v/>
      </c>
      <c r="C1559" t="str">
        <f>IF('تعديل الجرد'!C59="","",IF('تعديل الجرد'!G59="","-",'تعديل الجرد'!G59))</f>
        <v/>
      </c>
      <c r="D1559" t="str">
        <f>IF('تعديل الجرد'!C59="","",'تعديل الجرد'!C59)</f>
        <v/>
      </c>
      <c r="E1559" s="24" t="str">
        <f>IF('تعديل الجرد'!C59="","",'تعديل الجرد'!F59)</f>
        <v/>
      </c>
      <c r="F1559" t="str">
        <f>IF('تعديل الجرد'!C59="","",IF('تعديل الجرد'!H59="","",'تعديل الجرد'!H59))</f>
        <v/>
      </c>
      <c r="G1559" t="str">
        <f>IF($B1559&lt;&gt;"",SUMPRODUCT(($B$2:$B1559&lt;&gt;"")*1),"")</f>
        <v/>
      </c>
    </row>
    <row r="1560" spans="1:7">
      <c r="A1560" s="23" t="str">
        <f>IF('تعديل الجرد'!C60="","",'تعديل الجرد'!B60)</f>
        <v/>
      </c>
      <c r="B1560" t="str">
        <f>IF('تعديل الجرد'!C60="","","تعديل جرد")</f>
        <v/>
      </c>
      <c r="C1560" t="str">
        <f>IF('تعديل الجرد'!C60="","",IF('تعديل الجرد'!G60="","-",'تعديل الجرد'!G60))</f>
        <v/>
      </c>
      <c r="D1560" t="str">
        <f>IF('تعديل الجرد'!C60="","",'تعديل الجرد'!C60)</f>
        <v/>
      </c>
      <c r="E1560" s="24" t="str">
        <f>IF('تعديل الجرد'!C60="","",'تعديل الجرد'!F60)</f>
        <v/>
      </c>
      <c r="F1560" t="str">
        <f>IF('تعديل الجرد'!C60="","",IF('تعديل الجرد'!H60="","",'تعديل الجرد'!H60))</f>
        <v/>
      </c>
      <c r="G1560" t="str">
        <f>IF($B1560&lt;&gt;"",SUMPRODUCT(($B$2:$B1560&lt;&gt;"")*1),"")</f>
        <v/>
      </c>
    </row>
    <row r="1561" spans="1:7">
      <c r="A1561" s="23" t="str">
        <f>IF('تعديل الجرد'!C61="","",'تعديل الجرد'!B61)</f>
        <v/>
      </c>
      <c r="B1561" t="str">
        <f>IF('تعديل الجرد'!C61="","","تعديل جرد")</f>
        <v/>
      </c>
      <c r="C1561" t="str">
        <f>IF('تعديل الجرد'!C61="","",IF('تعديل الجرد'!G61="","-",'تعديل الجرد'!G61))</f>
        <v/>
      </c>
      <c r="D1561" t="str">
        <f>IF('تعديل الجرد'!C61="","",'تعديل الجرد'!C61)</f>
        <v/>
      </c>
      <c r="E1561" s="24" t="str">
        <f>IF('تعديل الجرد'!C61="","",'تعديل الجرد'!F61)</f>
        <v/>
      </c>
      <c r="F1561" t="str">
        <f>IF('تعديل الجرد'!C61="","",IF('تعديل الجرد'!H61="","",'تعديل الجرد'!H61))</f>
        <v/>
      </c>
      <c r="G1561" t="str">
        <f>IF($B1561&lt;&gt;"",SUMPRODUCT(($B$2:$B1561&lt;&gt;"")*1),"")</f>
        <v/>
      </c>
    </row>
    <row r="1562" spans="1:7">
      <c r="A1562" s="23" t="str">
        <f>IF('تعديل الجرد'!C62="","",'تعديل الجرد'!B62)</f>
        <v/>
      </c>
      <c r="B1562" t="str">
        <f>IF('تعديل الجرد'!C62="","","تعديل جرد")</f>
        <v/>
      </c>
      <c r="C1562" t="str">
        <f>IF('تعديل الجرد'!C62="","",IF('تعديل الجرد'!G62="","-",'تعديل الجرد'!G62))</f>
        <v/>
      </c>
      <c r="D1562" t="str">
        <f>IF('تعديل الجرد'!C62="","",'تعديل الجرد'!C62)</f>
        <v/>
      </c>
      <c r="E1562" s="24" t="str">
        <f>IF('تعديل الجرد'!C62="","",'تعديل الجرد'!F62)</f>
        <v/>
      </c>
      <c r="F1562" t="str">
        <f>IF('تعديل الجرد'!C62="","",IF('تعديل الجرد'!H62="","",'تعديل الجرد'!H62))</f>
        <v/>
      </c>
      <c r="G1562" t="str">
        <f>IF($B1562&lt;&gt;"",SUMPRODUCT(($B$2:$B1562&lt;&gt;"")*1),"")</f>
        <v/>
      </c>
    </row>
    <row r="1563" spans="1:7">
      <c r="A1563" s="23" t="str">
        <f>IF('تعديل الجرد'!C63="","",'تعديل الجرد'!B63)</f>
        <v/>
      </c>
      <c r="B1563" t="str">
        <f>IF('تعديل الجرد'!C63="","","تعديل جرد")</f>
        <v/>
      </c>
      <c r="C1563" t="str">
        <f>IF('تعديل الجرد'!C63="","",IF('تعديل الجرد'!G63="","-",'تعديل الجرد'!G63))</f>
        <v/>
      </c>
      <c r="D1563" t="str">
        <f>IF('تعديل الجرد'!C63="","",'تعديل الجرد'!C63)</f>
        <v/>
      </c>
      <c r="E1563" s="24" t="str">
        <f>IF('تعديل الجرد'!C63="","",'تعديل الجرد'!F63)</f>
        <v/>
      </c>
      <c r="F1563" t="str">
        <f>IF('تعديل الجرد'!C63="","",IF('تعديل الجرد'!H63="","",'تعديل الجرد'!H63))</f>
        <v/>
      </c>
      <c r="G1563" t="str">
        <f>IF($B1563&lt;&gt;"",SUMPRODUCT(($B$2:$B1563&lt;&gt;"")*1),"")</f>
        <v/>
      </c>
    </row>
    <row r="1564" spans="1:7">
      <c r="A1564" s="23" t="str">
        <f>IF('تعديل الجرد'!C64="","",'تعديل الجرد'!B64)</f>
        <v/>
      </c>
      <c r="B1564" t="str">
        <f>IF('تعديل الجرد'!C64="","","تعديل جرد")</f>
        <v/>
      </c>
      <c r="C1564" t="str">
        <f>IF('تعديل الجرد'!C64="","",IF('تعديل الجرد'!G64="","-",'تعديل الجرد'!G64))</f>
        <v/>
      </c>
      <c r="D1564" t="str">
        <f>IF('تعديل الجرد'!C64="","",'تعديل الجرد'!C64)</f>
        <v/>
      </c>
      <c r="E1564" s="24" t="str">
        <f>IF('تعديل الجرد'!C64="","",'تعديل الجرد'!F64)</f>
        <v/>
      </c>
      <c r="F1564" t="str">
        <f>IF('تعديل الجرد'!C64="","",IF('تعديل الجرد'!H64="","",'تعديل الجرد'!H64))</f>
        <v/>
      </c>
      <c r="G1564" t="str">
        <f>IF($B1564&lt;&gt;"",SUMPRODUCT(($B$2:$B1564&lt;&gt;"")*1),"")</f>
        <v/>
      </c>
    </row>
    <row r="1565" spans="1:7">
      <c r="A1565" s="23" t="str">
        <f>IF('تعديل الجرد'!C65="","",'تعديل الجرد'!B65)</f>
        <v/>
      </c>
      <c r="B1565" t="str">
        <f>IF('تعديل الجرد'!C65="","","تعديل جرد")</f>
        <v/>
      </c>
      <c r="C1565" t="str">
        <f>IF('تعديل الجرد'!C65="","",IF('تعديل الجرد'!G65="","-",'تعديل الجرد'!G65))</f>
        <v/>
      </c>
      <c r="D1565" t="str">
        <f>IF('تعديل الجرد'!C65="","",'تعديل الجرد'!C65)</f>
        <v/>
      </c>
      <c r="E1565" s="24" t="str">
        <f>IF('تعديل الجرد'!C65="","",'تعديل الجرد'!F65)</f>
        <v/>
      </c>
      <c r="F1565" t="str">
        <f>IF('تعديل الجرد'!C65="","",IF('تعديل الجرد'!H65="","",'تعديل الجرد'!H65))</f>
        <v/>
      </c>
      <c r="G1565" t="str">
        <f>IF($B1565&lt;&gt;"",SUMPRODUCT(($B$2:$B1565&lt;&gt;"")*1),"")</f>
        <v/>
      </c>
    </row>
    <row r="1566" spans="1:7">
      <c r="A1566" s="23" t="str">
        <f>IF('تعديل الجرد'!C66="","",'تعديل الجرد'!B66)</f>
        <v/>
      </c>
      <c r="B1566" t="str">
        <f>IF('تعديل الجرد'!C66="","","تعديل جرد")</f>
        <v/>
      </c>
      <c r="C1566" t="str">
        <f>IF('تعديل الجرد'!C66="","",IF('تعديل الجرد'!G66="","-",'تعديل الجرد'!G66))</f>
        <v/>
      </c>
      <c r="D1566" t="str">
        <f>IF('تعديل الجرد'!C66="","",'تعديل الجرد'!C66)</f>
        <v/>
      </c>
      <c r="E1566" s="24" t="str">
        <f>IF('تعديل الجرد'!C66="","",'تعديل الجرد'!F66)</f>
        <v/>
      </c>
      <c r="F1566" t="str">
        <f>IF('تعديل الجرد'!C66="","",IF('تعديل الجرد'!H66="","",'تعديل الجرد'!H66))</f>
        <v/>
      </c>
      <c r="G1566" t="str">
        <f>IF($B1566&lt;&gt;"",SUMPRODUCT(($B$2:$B1566&lt;&gt;"")*1),"")</f>
        <v/>
      </c>
    </row>
    <row r="1567" spans="1:7">
      <c r="A1567" s="23" t="str">
        <f>IF('تعديل الجرد'!C67="","",'تعديل الجرد'!B67)</f>
        <v/>
      </c>
      <c r="B1567" t="str">
        <f>IF('تعديل الجرد'!C67="","","تعديل جرد")</f>
        <v/>
      </c>
      <c r="C1567" t="str">
        <f>IF('تعديل الجرد'!C67="","",IF('تعديل الجرد'!G67="","-",'تعديل الجرد'!G67))</f>
        <v/>
      </c>
      <c r="D1567" t="str">
        <f>IF('تعديل الجرد'!C67="","",'تعديل الجرد'!C67)</f>
        <v/>
      </c>
      <c r="E1567" s="24" t="str">
        <f>IF('تعديل الجرد'!C67="","",'تعديل الجرد'!F67)</f>
        <v/>
      </c>
      <c r="F1567" t="str">
        <f>IF('تعديل الجرد'!C67="","",IF('تعديل الجرد'!H67="","",'تعديل الجرد'!H67))</f>
        <v/>
      </c>
      <c r="G1567" t="str">
        <f>IF($B1567&lt;&gt;"",SUMPRODUCT(($B$2:$B1567&lt;&gt;"")*1),"")</f>
        <v/>
      </c>
    </row>
    <row r="1568" spans="1:7">
      <c r="A1568" s="23" t="str">
        <f>IF('تعديل الجرد'!C68="","",'تعديل الجرد'!B68)</f>
        <v/>
      </c>
      <c r="B1568" t="str">
        <f>IF('تعديل الجرد'!C68="","","تعديل جرد")</f>
        <v/>
      </c>
      <c r="C1568" t="str">
        <f>IF('تعديل الجرد'!C68="","",IF('تعديل الجرد'!G68="","-",'تعديل الجرد'!G68))</f>
        <v/>
      </c>
      <c r="D1568" t="str">
        <f>IF('تعديل الجرد'!C68="","",'تعديل الجرد'!C68)</f>
        <v/>
      </c>
      <c r="E1568" s="24" t="str">
        <f>IF('تعديل الجرد'!C68="","",'تعديل الجرد'!F68)</f>
        <v/>
      </c>
      <c r="F1568" t="str">
        <f>IF('تعديل الجرد'!C68="","",IF('تعديل الجرد'!H68="","",'تعديل الجرد'!H68))</f>
        <v/>
      </c>
      <c r="G1568" t="str">
        <f>IF($B1568&lt;&gt;"",SUMPRODUCT(($B$2:$B1568&lt;&gt;"")*1),"")</f>
        <v/>
      </c>
    </row>
    <row r="1569" spans="1:7">
      <c r="A1569" s="23" t="str">
        <f>IF('تعديل الجرد'!C69="","",'تعديل الجرد'!B69)</f>
        <v/>
      </c>
      <c r="B1569" t="str">
        <f>IF('تعديل الجرد'!C69="","","تعديل جرد")</f>
        <v/>
      </c>
      <c r="C1569" t="str">
        <f>IF('تعديل الجرد'!C69="","",IF('تعديل الجرد'!G69="","-",'تعديل الجرد'!G69))</f>
        <v/>
      </c>
      <c r="D1569" t="str">
        <f>IF('تعديل الجرد'!C69="","",'تعديل الجرد'!C69)</f>
        <v/>
      </c>
      <c r="E1569" s="24" t="str">
        <f>IF('تعديل الجرد'!C69="","",'تعديل الجرد'!F69)</f>
        <v/>
      </c>
      <c r="F1569" t="str">
        <f>IF('تعديل الجرد'!C69="","",IF('تعديل الجرد'!H69="","",'تعديل الجرد'!H69))</f>
        <v/>
      </c>
      <c r="G1569" t="str">
        <f>IF($B1569&lt;&gt;"",SUMPRODUCT(($B$2:$B1569&lt;&gt;"")*1),"")</f>
        <v/>
      </c>
    </row>
    <row r="1570" spans="1:7">
      <c r="A1570" s="23" t="str">
        <f>IF('تعديل الجرد'!C70="","",'تعديل الجرد'!B70)</f>
        <v/>
      </c>
      <c r="B1570" t="str">
        <f>IF('تعديل الجرد'!C70="","","تعديل جرد")</f>
        <v/>
      </c>
      <c r="C1570" t="str">
        <f>IF('تعديل الجرد'!C70="","",IF('تعديل الجرد'!G70="","-",'تعديل الجرد'!G70))</f>
        <v/>
      </c>
      <c r="D1570" t="str">
        <f>IF('تعديل الجرد'!C70="","",'تعديل الجرد'!C70)</f>
        <v/>
      </c>
      <c r="E1570" s="24" t="str">
        <f>IF('تعديل الجرد'!C70="","",'تعديل الجرد'!F70)</f>
        <v/>
      </c>
      <c r="F1570" t="str">
        <f>IF('تعديل الجرد'!C70="","",IF('تعديل الجرد'!H70="","",'تعديل الجرد'!H70))</f>
        <v/>
      </c>
      <c r="G1570" t="str">
        <f>IF($B1570&lt;&gt;"",SUMPRODUCT(($B$2:$B1570&lt;&gt;"")*1),"")</f>
        <v/>
      </c>
    </row>
    <row r="1571" spans="1:7">
      <c r="A1571" s="23" t="str">
        <f>IF('تعديل الجرد'!C71="","",'تعديل الجرد'!B71)</f>
        <v/>
      </c>
      <c r="B1571" t="str">
        <f>IF('تعديل الجرد'!C71="","","تعديل جرد")</f>
        <v/>
      </c>
      <c r="C1571" t="str">
        <f>IF('تعديل الجرد'!C71="","",IF('تعديل الجرد'!G71="","-",'تعديل الجرد'!G71))</f>
        <v/>
      </c>
      <c r="D1571" t="str">
        <f>IF('تعديل الجرد'!C71="","",'تعديل الجرد'!C71)</f>
        <v/>
      </c>
      <c r="E1571" s="24" t="str">
        <f>IF('تعديل الجرد'!C71="","",'تعديل الجرد'!F71)</f>
        <v/>
      </c>
      <c r="F1571" t="str">
        <f>IF('تعديل الجرد'!C71="","",IF('تعديل الجرد'!H71="","",'تعديل الجرد'!H71))</f>
        <v/>
      </c>
      <c r="G1571" t="str">
        <f>IF($B1571&lt;&gt;"",SUMPRODUCT(($B$2:$B1571&lt;&gt;"")*1),"")</f>
        <v/>
      </c>
    </row>
    <row r="1572" spans="1:7">
      <c r="A1572" s="23" t="str">
        <f>IF('تعديل الجرد'!C72="","",'تعديل الجرد'!B72)</f>
        <v/>
      </c>
      <c r="B1572" t="str">
        <f>IF('تعديل الجرد'!C72="","","تعديل جرد")</f>
        <v/>
      </c>
      <c r="C1572" t="str">
        <f>IF('تعديل الجرد'!C72="","",IF('تعديل الجرد'!G72="","-",'تعديل الجرد'!G72))</f>
        <v/>
      </c>
      <c r="D1572" t="str">
        <f>IF('تعديل الجرد'!C72="","",'تعديل الجرد'!C72)</f>
        <v/>
      </c>
      <c r="E1572" s="24" t="str">
        <f>IF('تعديل الجرد'!C72="","",'تعديل الجرد'!F72)</f>
        <v/>
      </c>
      <c r="F1572" t="str">
        <f>IF('تعديل الجرد'!C72="","",IF('تعديل الجرد'!H72="","",'تعديل الجرد'!H72))</f>
        <v/>
      </c>
      <c r="G1572" t="str">
        <f>IF($B1572&lt;&gt;"",SUMPRODUCT(($B$2:$B1572&lt;&gt;"")*1),"")</f>
        <v/>
      </c>
    </row>
    <row r="1573" spans="1:7">
      <c r="A1573" s="23" t="str">
        <f>IF('تعديل الجرد'!C73="","",'تعديل الجرد'!B73)</f>
        <v/>
      </c>
      <c r="B1573" t="str">
        <f>IF('تعديل الجرد'!C73="","","تعديل جرد")</f>
        <v/>
      </c>
      <c r="C1573" t="str">
        <f>IF('تعديل الجرد'!C73="","",IF('تعديل الجرد'!G73="","-",'تعديل الجرد'!G73))</f>
        <v/>
      </c>
      <c r="D1573" t="str">
        <f>IF('تعديل الجرد'!C73="","",'تعديل الجرد'!C73)</f>
        <v/>
      </c>
      <c r="E1573" s="24" t="str">
        <f>IF('تعديل الجرد'!C73="","",'تعديل الجرد'!F73)</f>
        <v/>
      </c>
      <c r="F1573" t="str">
        <f>IF('تعديل الجرد'!C73="","",IF('تعديل الجرد'!H73="","",'تعديل الجرد'!H73))</f>
        <v/>
      </c>
      <c r="G1573" t="str">
        <f>IF($B1573&lt;&gt;"",SUMPRODUCT(($B$2:$B1573&lt;&gt;"")*1),"")</f>
        <v/>
      </c>
    </row>
    <row r="1574" spans="1:7">
      <c r="A1574" s="23" t="str">
        <f>IF('تعديل الجرد'!C74="","",'تعديل الجرد'!B74)</f>
        <v/>
      </c>
      <c r="B1574" t="str">
        <f>IF('تعديل الجرد'!C74="","","تعديل جرد")</f>
        <v/>
      </c>
      <c r="C1574" t="str">
        <f>IF('تعديل الجرد'!C74="","",IF('تعديل الجرد'!G74="","-",'تعديل الجرد'!G74))</f>
        <v/>
      </c>
      <c r="D1574" t="str">
        <f>IF('تعديل الجرد'!C74="","",'تعديل الجرد'!C74)</f>
        <v/>
      </c>
      <c r="E1574" s="24" t="str">
        <f>IF('تعديل الجرد'!C74="","",'تعديل الجرد'!F74)</f>
        <v/>
      </c>
      <c r="F1574" t="str">
        <f>IF('تعديل الجرد'!C74="","",IF('تعديل الجرد'!H74="","",'تعديل الجرد'!H74))</f>
        <v/>
      </c>
      <c r="G1574" t="str">
        <f>IF($B1574&lt;&gt;"",SUMPRODUCT(($B$2:$B1574&lt;&gt;"")*1),"")</f>
        <v/>
      </c>
    </row>
    <row r="1575" spans="1:7">
      <c r="A1575" s="23" t="str">
        <f>IF('تعديل الجرد'!C75="","",'تعديل الجرد'!B75)</f>
        <v/>
      </c>
      <c r="B1575" t="str">
        <f>IF('تعديل الجرد'!C75="","","تعديل جرد")</f>
        <v/>
      </c>
      <c r="C1575" t="str">
        <f>IF('تعديل الجرد'!C75="","",IF('تعديل الجرد'!G75="","-",'تعديل الجرد'!G75))</f>
        <v/>
      </c>
      <c r="D1575" t="str">
        <f>IF('تعديل الجرد'!C75="","",'تعديل الجرد'!C75)</f>
        <v/>
      </c>
      <c r="E1575" s="24" t="str">
        <f>IF('تعديل الجرد'!C75="","",'تعديل الجرد'!F75)</f>
        <v/>
      </c>
      <c r="F1575" t="str">
        <f>IF('تعديل الجرد'!C75="","",IF('تعديل الجرد'!H75="","",'تعديل الجرد'!H75))</f>
        <v/>
      </c>
      <c r="G1575" t="str">
        <f>IF($B1575&lt;&gt;"",SUMPRODUCT(($B$2:$B1575&lt;&gt;"")*1),"")</f>
        <v/>
      </c>
    </row>
    <row r="1576" spans="1:7">
      <c r="A1576" s="23" t="str">
        <f>IF('تعديل الجرد'!C76="","",'تعديل الجرد'!B76)</f>
        <v/>
      </c>
      <c r="B1576" t="str">
        <f>IF('تعديل الجرد'!C76="","","تعديل جرد")</f>
        <v/>
      </c>
      <c r="C1576" t="str">
        <f>IF('تعديل الجرد'!C76="","",IF('تعديل الجرد'!G76="","-",'تعديل الجرد'!G76))</f>
        <v/>
      </c>
      <c r="D1576" t="str">
        <f>IF('تعديل الجرد'!C76="","",'تعديل الجرد'!C76)</f>
        <v/>
      </c>
      <c r="E1576" s="24" t="str">
        <f>IF('تعديل الجرد'!C76="","",'تعديل الجرد'!F76)</f>
        <v/>
      </c>
      <c r="F1576" t="str">
        <f>IF('تعديل الجرد'!C76="","",IF('تعديل الجرد'!H76="","",'تعديل الجرد'!H76))</f>
        <v/>
      </c>
      <c r="G1576" t="str">
        <f>IF($B1576&lt;&gt;"",SUMPRODUCT(($B$2:$B1576&lt;&gt;"")*1),"")</f>
        <v/>
      </c>
    </row>
    <row r="1577" spans="1:7">
      <c r="A1577" s="23" t="str">
        <f>IF('تعديل الجرد'!C77="","",'تعديل الجرد'!B77)</f>
        <v/>
      </c>
      <c r="B1577" t="str">
        <f>IF('تعديل الجرد'!C77="","","تعديل جرد")</f>
        <v/>
      </c>
      <c r="C1577" t="str">
        <f>IF('تعديل الجرد'!C77="","",IF('تعديل الجرد'!G77="","-",'تعديل الجرد'!G77))</f>
        <v/>
      </c>
      <c r="D1577" t="str">
        <f>IF('تعديل الجرد'!C77="","",'تعديل الجرد'!C77)</f>
        <v/>
      </c>
      <c r="E1577" s="24" t="str">
        <f>IF('تعديل الجرد'!C77="","",'تعديل الجرد'!F77)</f>
        <v/>
      </c>
      <c r="F1577" t="str">
        <f>IF('تعديل الجرد'!C77="","",IF('تعديل الجرد'!H77="","",'تعديل الجرد'!H77))</f>
        <v/>
      </c>
      <c r="G1577" t="str">
        <f>IF($B1577&lt;&gt;"",SUMPRODUCT(($B$2:$B1577&lt;&gt;"")*1),"")</f>
        <v/>
      </c>
    </row>
    <row r="1578" spans="1:7">
      <c r="A1578" s="23" t="str">
        <f>IF('تعديل الجرد'!C78="","",'تعديل الجرد'!B78)</f>
        <v/>
      </c>
      <c r="B1578" t="str">
        <f>IF('تعديل الجرد'!C78="","","تعديل جرد")</f>
        <v/>
      </c>
      <c r="C1578" t="str">
        <f>IF('تعديل الجرد'!C78="","",IF('تعديل الجرد'!G78="","-",'تعديل الجرد'!G78))</f>
        <v/>
      </c>
      <c r="D1578" t="str">
        <f>IF('تعديل الجرد'!C78="","",'تعديل الجرد'!C78)</f>
        <v/>
      </c>
      <c r="E1578" s="24" t="str">
        <f>IF('تعديل الجرد'!C78="","",'تعديل الجرد'!F78)</f>
        <v/>
      </c>
      <c r="F1578" t="str">
        <f>IF('تعديل الجرد'!C78="","",IF('تعديل الجرد'!H78="","",'تعديل الجرد'!H78))</f>
        <v/>
      </c>
      <c r="G1578" t="str">
        <f>IF($B1578&lt;&gt;"",SUMPRODUCT(($B$2:$B1578&lt;&gt;"")*1),"")</f>
        <v/>
      </c>
    </row>
    <row r="1579" spans="1:7">
      <c r="A1579" s="23" t="str">
        <f>IF('تعديل الجرد'!C79="","",'تعديل الجرد'!B79)</f>
        <v/>
      </c>
      <c r="B1579" t="str">
        <f>IF('تعديل الجرد'!C79="","","تعديل جرد")</f>
        <v/>
      </c>
      <c r="C1579" t="str">
        <f>IF('تعديل الجرد'!C79="","",IF('تعديل الجرد'!G79="","-",'تعديل الجرد'!G79))</f>
        <v/>
      </c>
      <c r="D1579" t="str">
        <f>IF('تعديل الجرد'!C79="","",'تعديل الجرد'!C79)</f>
        <v/>
      </c>
      <c r="E1579" s="24" t="str">
        <f>IF('تعديل الجرد'!C79="","",'تعديل الجرد'!F79)</f>
        <v/>
      </c>
      <c r="F1579" t="str">
        <f>IF('تعديل الجرد'!C79="","",IF('تعديل الجرد'!H79="","",'تعديل الجرد'!H79))</f>
        <v/>
      </c>
      <c r="G1579" t="str">
        <f>IF($B1579&lt;&gt;"",SUMPRODUCT(($B$2:$B1579&lt;&gt;"")*1),"")</f>
        <v/>
      </c>
    </row>
    <row r="1580" spans="1:7">
      <c r="A1580" s="23" t="str">
        <f>IF('تعديل الجرد'!C80="","",'تعديل الجرد'!B80)</f>
        <v/>
      </c>
      <c r="B1580" t="str">
        <f>IF('تعديل الجرد'!C80="","","تعديل جرد")</f>
        <v/>
      </c>
      <c r="C1580" t="str">
        <f>IF('تعديل الجرد'!C80="","",IF('تعديل الجرد'!G80="","-",'تعديل الجرد'!G80))</f>
        <v/>
      </c>
      <c r="D1580" t="str">
        <f>IF('تعديل الجرد'!C80="","",'تعديل الجرد'!C80)</f>
        <v/>
      </c>
      <c r="E1580" s="24" t="str">
        <f>IF('تعديل الجرد'!C80="","",'تعديل الجرد'!F80)</f>
        <v/>
      </c>
      <c r="F1580" t="str">
        <f>IF('تعديل الجرد'!C80="","",IF('تعديل الجرد'!H80="","",'تعديل الجرد'!H80))</f>
        <v/>
      </c>
      <c r="G1580" t="str">
        <f>IF($B1580&lt;&gt;"",SUMPRODUCT(($B$2:$B1580&lt;&gt;"")*1),"")</f>
        <v/>
      </c>
    </row>
    <row r="1581" spans="1:7">
      <c r="A1581" s="23" t="str">
        <f>IF('تعديل الجرد'!C81="","",'تعديل الجرد'!B81)</f>
        <v/>
      </c>
      <c r="B1581" t="str">
        <f>IF('تعديل الجرد'!C81="","","تعديل جرد")</f>
        <v/>
      </c>
      <c r="C1581" t="str">
        <f>IF('تعديل الجرد'!C81="","",IF('تعديل الجرد'!G81="","-",'تعديل الجرد'!G81))</f>
        <v/>
      </c>
      <c r="D1581" t="str">
        <f>IF('تعديل الجرد'!C81="","",'تعديل الجرد'!C81)</f>
        <v/>
      </c>
      <c r="E1581" s="24" t="str">
        <f>IF('تعديل الجرد'!C81="","",'تعديل الجرد'!F81)</f>
        <v/>
      </c>
      <c r="F1581" t="str">
        <f>IF('تعديل الجرد'!C81="","",IF('تعديل الجرد'!H81="","",'تعديل الجرد'!H81))</f>
        <v/>
      </c>
      <c r="G1581" t="str">
        <f>IF($B1581&lt;&gt;"",SUMPRODUCT(($B$2:$B1581&lt;&gt;"")*1),"")</f>
        <v/>
      </c>
    </row>
    <row r="1582" spans="1:7">
      <c r="A1582" s="23" t="str">
        <f>IF('تعديل الجرد'!C82="","",'تعديل الجرد'!B82)</f>
        <v/>
      </c>
      <c r="B1582" t="str">
        <f>IF('تعديل الجرد'!C82="","","تعديل جرد")</f>
        <v/>
      </c>
      <c r="C1582" t="str">
        <f>IF('تعديل الجرد'!C82="","",IF('تعديل الجرد'!G82="","-",'تعديل الجرد'!G82))</f>
        <v/>
      </c>
      <c r="D1582" t="str">
        <f>IF('تعديل الجرد'!C82="","",'تعديل الجرد'!C82)</f>
        <v/>
      </c>
      <c r="E1582" s="24" t="str">
        <f>IF('تعديل الجرد'!C82="","",'تعديل الجرد'!F82)</f>
        <v/>
      </c>
      <c r="F1582" t="str">
        <f>IF('تعديل الجرد'!C82="","",IF('تعديل الجرد'!H82="","",'تعديل الجرد'!H82))</f>
        <v/>
      </c>
      <c r="G1582" t="str">
        <f>IF($B1582&lt;&gt;"",SUMPRODUCT(($B$2:$B1582&lt;&gt;"")*1),"")</f>
        <v/>
      </c>
    </row>
    <row r="1583" spans="1:7">
      <c r="A1583" s="23" t="str">
        <f>IF('تعديل الجرد'!C83="","",'تعديل الجرد'!B83)</f>
        <v/>
      </c>
      <c r="B1583" t="str">
        <f>IF('تعديل الجرد'!C83="","","تعديل جرد")</f>
        <v/>
      </c>
      <c r="C1583" t="str">
        <f>IF('تعديل الجرد'!C83="","",IF('تعديل الجرد'!G83="","-",'تعديل الجرد'!G83))</f>
        <v/>
      </c>
      <c r="D1583" t="str">
        <f>IF('تعديل الجرد'!C83="","",'تعديل الجرد'!C83)</f>
        <v/>
      </c>
      <c r="E1583" s="24" t="str">
        <f>IF('تعديل الجرد'!C83="","",'تعديل الجرد'!F83)</f>
        <v/>
      </c>
      <c r="F1583" t="str">
        <f>IF('تعديل الجرد'!C83="","",IF('تعديل الجرد'!H83="","",'تعديل الجرد'!H83))</f>
        <v/>
      </c>
      <c r="G1583" t="str">
        <f>IF($B1583&lt;&gt;"",SUMPRODUCT(($B$2:$B1583&lt;&gt;"")*1),"")</f>
        <v/>
      </c>
    </row>
    <row r="1584" spans="1:7">
      <c r="A1584" s="23" t="str">
        <f>IF('تعديل الجرد'!C84="","",'تعديل الجرد'!B84)</f>
        <v/>
      </c>
      <c r="B1584" t="str">
        <f>IF('تعديل الجرد'!C84="","","تعديل جرد")</f>
        <v/>
      </c>
      <c r="C1584" t="str">
        <f>IF('تعديل الجرد'!C84="","",IF('تعديل الجرد'!G84="","-",'تعديل الجرد'!G84))</f>
        <v/>
      </c>
      <c r="D1584" t="str">
        <f>IF('تعديل الجرد'!C84="","",'تعديل الجرد'!C84)</f>
        <v/>
      </c>
      <c r="E1584" s="24" t="str">
        <f>IF('تعديل الجرد'!C84="","",'تعديل الجرد'!F84)</f>
        <v/>
      </c>
      <c r="F1584" t="str">
        <f>IF('تعديل الجرد'!C84="","",IF('تعديل الجرد'!H84="","",'تعديل الجرد'!H84))</f>
        <v/>
      </c>
      <c r="G1584" t="str">
        <f>IF($B1584&lt;&gt;"",SUMPRODUCT(($B$2:$B1584&lt;&gt;"")*1),"")</f>
        <v/>
      </c>
    </row>
    <row r="1585" spans="1:7">
      <c r="A1585" s="23" t="str">
        <f>IF('تعديل الجرد'!C85="","",'تعديل الجرد'!B85)</f>
        <v/>
      </c>
      <c r="B1585" t="str">
        <f>IF('تعديل الجرد'!C85="","","تعديل جرد")</f>
        <v/>
      </c>
      <c r="C1585" t="str">
        <f>IF('تعديل الجرد'!C85="","",IF('تعديل الجرد'!G85="","-",'تعديل الجرد'!G85))</f>
        <v/>
      </c>
      <c r="D1585" t="str">
        <f>IF('تعديل الجرد'!C85="","",'تعديل الجرد'!C85)</f>
        <v/>
      </c>
      <c r="E1585" s="24" t="str">
        <f>IF('تعديل الجرد'!C85="","",'تعديل الجرد'!F85)</f>
        <v/>
      </c>
      <c r="F1585" t="str">
        <f>IF('تعديل الجرد'!C85="","",IF('تعديل الجرد'!H85="","",'تعديل الجرد'!H85))</f>
        <v/>
      </c>
      <c r="G1585" t="str">
        <f>IF($B1585&lt;&gt;"",SUMPRODUCT(($B$2:$B1585&lt;&gt;"")*1),"")</f>
        <v/>
      </c>
    </row>
    <row r="1586" spans="1:7">
      <c r="A1586" s="23" t="str">
        <f>IF('تعديل الجرد'!C86="","",'تعديل الجرد'!B86)</f>
        <v/>
      </c>
      <c r="B1586" t="str">
        <f>IF('تعديل الجرد'!C86="","","تعديل جرد")</f>
        <v/>
      </c>
      <c r="C1586" t="str">
        <f>IF('تعديل الجرد'!C86="","",IF('تعديل الجرد'!G86="","-",'تعديل الجرد'!G86))</f>
        <v/>
      </c>
      <c r="D1586" t="str">
        <f>IF('تعديل الجرد'!C86="","",'تعديل الجرد'!C86)</f>
        <v/>
      </c>
      <c r="E1586" s="24" t="str">
        <f>IF('تعديل الجرد'!C86="","",'تعديل الجرد'!F86)</f>
        <v/>
      </c>
      <c r="F1586" t="str">
        <f>IF('تعديل الجرد'!C86="","",IF('تعديل الجرد'!H86="","",'تعديل الجرد'!H86))</f>
        <v/>
      </c>
      <c r="G1586" t="str">
        <f>IF($B1586&lt;&gt;"",SUMPRODUCT(($B$2:$B1586&lt;&gt;"")*1),"")</f>
        <v/>
      </c>
    </row>
    <row r="1587" spans="1:7">
      <c r="A1587" s="23" t="str">
        <f>IF('تعديل الجرد'!C87="","",'تعديل الجرد'!B87)</f>
        <v/>
      </c>
      <c r="B1587" t="str">
        <f>IF('تعديل الجرد'!C87="","","تعديل جرد")</f>
        <v/>
      </c>
      <c r="C1587" t="str">
        <f>IF('تعديل الجرد'!C87="","",IF('تعديل الجرد'!G87="","-",'تعديل الجرد'!G87))</f>
        <v/>
      </c>
      <c r="D1587" t="str">
        <f>IF('تعديل الجرد'!C87="","",'تعديل الجرد'!C87)</f>
        <v/>
      </c>
      <c r="E1587" s="24" t="str">
        <f>IF('تعديل الجرد'!C87="","",'تعديل الجرد'!F87)</f>
        <v/>
      </c>
      <c r="F1587" t="str">
        <f>IF('تعديل الجرد'!C87="","",IF('تعديل الجرد'!H87="","",'تعديل الجرد'!H87))</f>
        <v/>
      </c>
      <c r="G1587" t="str">
        <f>IF($B1587&lt;&gt;"",SUMPRODUCT(($B$2:$B1587&lt;&gt;"")*1),"")</f>
        <v/>
      </c>
    </row>
    <row r="1588" spans="1:7">
      <c r="A1588" s="23" t="str">
        <f>IF('تعديل الجرد'!C88="","",'تعديل الجرد'!B88)</f>
        <v/>
      </c>
      <c r="B1588" t="str">
        <f>IF('تعديل الجرد'!C88="","","تعديل جرد")</f>
        <v/>
      </c>
      <c r="C1588" t="str">
        <f>IF('تعديل الجرد'!C88="","",IF('تعديل الجرد'!G88="","-",'تعديل الجرد'!G88))</f>
        <v/>
      </c>
      <c r="D1588" t="str">
        <f>IF('تعديل الجرد'!C88="","",'تعديل الجرد'!C88)</f>
        <v/>
      </c>
      <c r="E1588" s="24" t="str">
        <f>IF('تعديل الجرد'!C88="","",'تعديل الجرد'!F88)</f>
        <v/>
      </c>
      <c r="F1588" t="str">
        <f>IF('تعديل الجرد'!C88="","",IF('تعديل الجرد'!H88="","",'تعديل الجرد'!H88))</f>
        <v/>
      </c>
      <c r="G1588" t="str">
        <f>IF($B1588&lt;&gt;"",SUMPRODUCT(($B$2:$B1588&lt;&gt;"")*1),"")</f>
        <v/>
      </c>
    </row>
    <row r="1589" spans="1:7">
      <c r="A1589" s="23" t="str">
        <f>IF('تعديل الجرد'!C89="","",'تعديل الجرد'!B89)</f>
        <v/>
      </c>
      <c r="B1589" t="str">
        <f>IF('تعديل الجرد'!C89="","","تعديل جرد")</f>
        <v/>
      </c>
      <c r="C1589" t="str">
        <f>IF('تعديل الجرد'!C89="","",IF('تعديل الجرد'!G89="","-",'تعديل الجرد'!G89))</f>
        <v/>
      </c>
      <c r="D1589" t="str">
        <f>IF('تعديل الجرد'!C89="","",'تعديل الجرد'!C89)</f>
        <v/>
      </c>
      <c r="E1589" s="24" t="str">
        <f>IF('تعديل الجرد'!C89="","",'تعديل الجرد'!F89)</f>
        <v/>
      </c>
      <c r="F1589" t="str">
        <f>IF('تعديل الجرد'!C89="","",IF('تعديل الجرد'!H89="","",'تعديل الجرد'!H89))</f>
        <v/>
      </c>
      <c r="G1589" t="str">
        <f>IF($B1589&lt;&gt;"",SUMPRODUCT(($B$2:$B1589&lt;&gt;"")*1),"")</f>
        <v/>
      </c>
    </row>
    <row r="1590" spans="1:7">
      <c r="A1590" s="23" t="str">
        <f>IF('تعديل الجرد'!C90="","",'تعديل الجرد'!B90)</f>
        <v/>
      </c>
      <c r="B1590" t="str">
        <f>IF('تعديل الجرد'!C90="","","تعديل جرد")</f>
        <v/>
      </c>
      <c r="C1590" t="str">
        <f>IF('تعديل الجرد'!C90="","",IF('تعديل الجرد'!G90="","-",'تعديل الجرد'!G90))</f>
        <v/>
      </c>
      <c r="D1590" t="str">
        <f>IF('تعديل الجرد'!C90="","",'تعديل الجرد'!C90)</f>
        <v/>
      </c>
      <c r="E1590" s="24" t="str">
        <f>IF('تعديل الجرد'!C90="","",'تعديل الجرد'!F90)</f>
        <v/>
      </c>
      <c r="F1590" t="str">
        <f>IF('تعديل الجرد'!C90="","",IF('تعديل الجرد'!H90="","",'تعديل الجرد'!H90))</f>
        <v/>
      </c>
      <c r="G1590" t="str">
        <f>IF($B1590&lt;&gt;"",SUMPRODUCT(($B$2:$B1590&lt;&gt;"")*1),"")</f>
        <v/>
      </c>
    </row>
    <row r="1591" spans="1:7">
      <c r="A1591" s="23" t="str">
        <f>IF('تعديل الجرد'!C91="","",'تعديل الجرد'!B91)</f>
        <v/>
      </c>
      <c r="B1591" t="str">
        <f>IF('تعديل الجرد'!C91="","","تعديل جرد")</f>
        <v/>
      </c>
      <c r="C1591" t="str">
        <f>IF('تعديل الجرد'!C91="","",IF('تعديل الجرد'!G91="","-",'تعديل الجرد'!G91))</f>
        <v/>
      </c>
      <c r="D1591" t="str">
        <f>IF('تعديل الجرد'!C91="","",'تعديل الجرد'!C91)</f>
        <v/>
      </c>
      <c r="E1591" s="24" t="str">
        <f>IF('تعديل الجرد'!C91="","",'تعديل الجرد'!F91)</f>
        <v/>
      </c>
      <c r="F1591" t="str">
        <f>IF('تعديل الجرد'!C91="","",IF('تعديل الجرد'!H91="","",'تعديل الجرد'!H91))</f>
        <v/>
      </c>
      <c r="G1591" t="str">
        <f>IF($B1591&lt;&gt;"",SUMPRODUCT(($B$2:$B1591&lt;&gt;"")*1),"")</f>
        <v/>
      </c>
    </row>
    <row r="1592" spans="1:7">
      <c r="A1592" s="23" t="str">
        <f>IF('تعديل الجرد'!C92="","",'تعديل الجرد'!B92)</f>
        <v/>
      </c>
      <c r="B1592" t="str">
        <f>IF('تعديل الجرد'!C92="","","تعديل جرد")</f>
        <v/>
      </c>
      <c r="C1592" t="str">
        <f>IF('تعديل الجرد'!C92="","",IF('تعديل الجرد'!G92="","-",'تعديل الجرد'!G92))</f>
        <v/>
      </c>
      <c r="D1592" t="str">
        <f>IF('تعديل الجرد'!C92="","",'تعديل الجرد'!C92)</f>
        <v/>
      </c>
      <c r="E1592" s="24" t="str">
        <f>IF('تعديل الجرد'!C92="","",'تعديل الجرد'!F92)</f>
        <v/>
      </c>
      <c r="F1592" t="str">
        <f>IF('تعديل الجرد'!C92="","",IF('تعديل الجرد'!H92="","",'تعديل الجرد'!H92))</f>
        <v/>
      </c>
      <c r="G1592" t="str">
        <f>IF($B1592&lt;&gt;"",SUMPRODUCT(($B$2:$B1592&lt;&gt;"")*1),"")</f>
        <v/>
      </c>
    </row>
    <row r="1593" spans="1:7">
      <c r="A1593" s="23" t="str">
        <f>IF('تعديل الجرد'!C93="","",'تعديل الجرد'!B93)</f>
        <v/>
      </c>
      <c r="B1593" t="str">
        <f>IF('تعديل الجرد'!C93="","","تعديل جرد")</f>
        <v/>
      </c>
      <c r="C1593" t="str">
        <f>IF('تعديل الجرد'!C93="","",IF('تعديل الجرد'!G93="","-",'تعديل الجرد'!G93))</f>
        <v/>
      </c>
      <c r="D1593" t="str">
        <f>IF('تعديل الجرد'!C93="","",'تعديل الجرد'!C93)</f>
        <v/>
      </c>
      <c r="E1593" s="24" t="str">
        <f>IF('تعديل الجرد'!C93="","",'تعديل الجرد'!F93)</f>
        <v/>
      </c>
      <c r="F1593" t="str">
        <f>IF('تعديل الجرد'!C93="","",IF('تعديل الجرد'!H93="","",'تعديل الجرد'!H93))</f>
        <v/>
      </c>
      <c r="G1593" t="str">
        <f>IF($B1593&lt;&gt;"",SUMPRODUCT(($B$2:$B1593&lt;&gt;"")*1),"")</f>
        <v/>
      </c>
    </row>
    <row r="1594" spans="1:7">
      <c r="A1594" s="23" t="str">
        <f>IF('تعديل الجرد'!C94="","",'تعديل الجرد'!B94)</f>
        <v/>
      </c>
      <c r="B1594" t="str">
        <f>IF('تعديل الجرد'!C94="","","تعديل جرد")</f>
        <v/>
      </c>
      <c r="C1594" t="str">
        <f>IF('تعديل الجرد'!C94="","",IF('تعديل الجرد'!G94="","-",'تعديل الجرد'!G94))</f>
        <v/>
      </c>
      <c r="D1594" t="str">
        <f>IF('تعديل الجرد'!C94="","",'تعديل الجرد'!C94)</f>
        <v/>
      </c>
      <c r="E1594" s="24" t="str">
        <f>IF('تعديل الجرد'!C94="","",'تعديل الجرد'!F94)</f>
        <v/>
      </c>
      <c r="F1594" t="str">
        <f>IF('تعديل الجرد'!C94="","",IF('تعديل الجرد'!H94="","",'تعديل الجرد'!H94))</f>
        <v/>
      </c>
      <c r="G1594" t="str">
        <f>IF($B1594&lt;&gt;"",SUMPRODUCT(($B$2:$B1594&lt;&gt;"")*1),"")</f>
        <v/>
      </c>
    </row>
    <row r="1595" spans="1:7">
      <c r="A1595" s="23" t="str">
        <f>IF('تعديل الجرد'!C95="","",'تعديل الجرد'!B95)</f>
        <v/>
      </c>
      <c r="B1595" t="str">
        <f>IF('تعديل الجرد'!C95="","","تعديل جرد")</f>
        <v/>
      </c>
      <c r="C1595" t="str">
        <f>IF('تعديل الجرد'!C95="","",IF('تعديل الجرد'!G95="","-",'تعديل الجرد'!G95))</f>
        <v/>
      </c>
      <c r="D1595" t="str">
        <f>IF('تعديل الجرد'!C95="","",'تعديل الجرد'!C95)</f>
        <v/>
      </c>
      <c r="E1595" s="24" t="str">
        <f>IF('تعديل الجرد'!C95="","",'تعديل الجرد'!F95)</f>
        <v/>
      </c>
      <c r="F1595" t="str">
        <f>IF('تعديل الجرد'!C95="","",IF('تعديل الجرد'!H95="","",'تعديل الجرد'!H95))</f>
        <v/>
      </c>
      <c r="G1595" t="str">
        <f>IF($B1595&lt;&gt;"",SUMPRODUCT(($B$2:$B1595&lt;&gt;"")*1),"")</f>
        <v/>
      </c>
    </row>
    <row r="1596" spans="1:7">
      <c r="A1596" s="23" t="str">
        <f>IF('تعديل الجرد'!C96="","",'تعديل الجرد'!B96)</f>
        <v/>
      </c>
      <c r="B1596" t="str">
        <f>IF('تعديل الجرد'!C96="","","تعديل جرد")</f>
        <v/>
      </c>
      <c r="C1596" t="str">
        <f>IF('تعديل الجرد'!C96="","",IF('تعديل الجرد'!G96="","-",'تعديل الجرد'!G96))</f>
        <v/>
      </c>
      <c r="D1596" t="str">
        <f>IF('تعديل الجرد'!C96="","",'تعديل الجرد'!C96)</f>
        <v/>
      </c>
      <c r="E1596" s="24" t="str">
        <f>IF('تعديل الجرد'!C96="","",'تعديل الجرد'!F96)</f>
        <v/>
      </c>
      <c r="F1596" t="str">
        <f>IF('تعديل الجرد'!C96="","",IF('تعديل الجرد'!H96="","",'تعديل الجرد'!H96))</f>
        <v/>
      </c>
      <c r="G1596" t="str">
        <f>IF($B1596&lt;&gt;"",SUMPRODUCT(($B$2:$B1596&lt;&gt;"")*1),"")</f>
        <v/>
      </c>
    </row>
    <row r="1597" spans="1:7">
      <c r="A1597" s="23" t="str">
        <f>IF('تعديل الجرد'!C97="","",'تعديل الجرد'!B97)</f>
        <v/>
      </c>
      <c r="B1597" t="str">
        <f>IF('تعديل الجرد'!C97="","","تعديل جرد")</f>
        <v/>
      </c>
      <c r="C1597" t="str">
        <f>IF('تعديل الجرد'!C97="","",IF('تعديل الجرد'!G97="","-",'تعديل الجرد'!G97))</f>
        <v/>
      </c>
      <c r="D1597" t="str">
        <f>IF('تعديل الجرد'!C97="","",'تعديل الجرد'!C97)</f>
        <v/>
      </c>
      <c r="E1597" s="24" t="str">
        <f>IF('تعديل الجرد'!C97="","",'تعديل الجرد'!F97)</f>
        <v/>
      </c>
      <c r="F1597" t="str">
        <f>IF('تعديل الجرد'!C97="","",IF('تعديل الجرد'!H97="","",'تعديل الجرد'!H97))</f>
        <v/>
      </c>
      <c r="G1597" t="str">
        <f>IF($B1597&lt;&gt;"",SUMPRODUCT(($B$2:$B1597&lt;&gt;"")*1),"")</f>
        <v/>
      </c>
    </row>
    <row r="1598" spans="1:7">
      <c r="A1598" s="23" t="str">
        <f>IF('تعديل الجرد'!C98="","",'تعديل الجرد'!B98)</f>
        <v/>
      </c>
      <c r="B1598" t="str">
        <f>IF('تعديل الجرد'!C98="","","تعديل جرد")</f>
        <v/>
      </c>
      <c r="C1598" t="str">
        <f>IF('تعديل الجرد'!C98="","",IF('تعديل الجرد'!G98="","-",'تعديل الجرد'!G98))</f>
        <v/>
      </c>
      <c r="D1598" t="str">
        <f>IF('تعديل الجرد'!C98="","",'تعديل الجرد'!C98)</f>
        <v/>
      </c>
      <c r="E1598" s="24" t="str">
        <f>IF('تعديل الجرد'!C98="","",'تعديل الجرد'!F98)</f>
        <v/>
      </c>
      <c r="F1598" t="str">
        <f>IF('تعديل الجرد'!C98="","",IF('تعديل الجرد'!H98="","",'تعديل الجرد'!H98))</f>
        <v/>
      </c>
      <c r="G1598" t="str">
        <f>IF($B1598&lt;&gt;"",SUMPRODUCT(($B$2:$B1598&lt;&gt;"")*1),"")</f>
        <v/>
      </c>
    </row>
    <row r="1599" spans="1:7">
      <c r="A1599" s="23" t="str">
        <f>IF('تعديل الجرد'!C99="","",'تعديل الجرد'!B99)</f>
        <v/>
      </c>
      <c r="B1599" t="str">
        <f>IF('تعديل الجرد'!C99="","","تعديل جرد")</f>
        <v/>
      </c>
      <c r="C1599" t="str">
        <f>IF('تعديل الجرد'!C99="","",IF('تعديل الجرد'!G99="","-",'تعديل الجرد'!G99))</f>
        <v/>
      </c>
      <c r="D1599" t="str">
        <f>IF('تعديل الجرد'!C99="","",'تعديل الجرد'!C99)</f>
        <v/>
      </c>
      <c r="E1599" s="24" t="str">
        <f>IF('تعديل الجرد'!C99="","",'تعديل الجرد'!F99)</f>
        <v/>
      </c>
      <c r="F1599" t="str">
        <f>IF('تعديل الجرد'!C99="","",IF('تعديل الجرد'!H99="","",'تعديل الجرد'!H99))</f>
        <v/>
      </c>
      <c r="G1599" t="str">
        <f>IF($B1599&lt;&gt;"",SUMPRODUCT(($B$2:$B1599&lt;&gt;"")*1),"")</f>
        <v/>
      </c>
    </row>
    <row r="1600" spans="1:7">
      <c r="A1600" s="23" t="str">
        <f>IF('تعديل الجرد'!C100="","",'تعديل الجرد'!B100)</f>
        <v/>
      </c>
      <c r="B1600" t="str">
        <f>IF('تعديل الجرد'!C100="","","تعديل جرد")</f>
        <v/>
      </c>
      <c r="C1600" t="str">
        <f>IF('تعديل الجرد'!C100="","",IF('تعديل الجرد'!G100="","-",'تعديل الجرد'!G100))</f>
        <v/>
      </c>
      <c r="D1600" t="str">
        <f>IF('تعديل الجرد'!C100="","",'تعديل الجرد'!C100)</f>
        <v/>
      </c>
      <c r="E1600" s="24" t="str">
        <f>IF('تعديل الجرد'!C100="","",'تعديل الجرد'!F100)</f>
        <v/>
      </c>
      <c r="F1600" t="str">
        <f>IF('تعديل الجرد'!C100="","",IF('تعديل الجرد'!H100="","",'تعديل الجرد'!H100))</f>
        <v/>
      </c>
      <c r="G1600" t="str">
        <f>IF($B1600&lt;&gt;"",SUMPRODUCT(($B$2:$B1600&lt;&gt;"")*1),"")</f>
        <v/>
      </c>
    </row>
    <row r="1601" spans="1:7">
      <c r="A1601" s="23" t="str">
        <f>IF('تعديل الجرد'!C101="","",'تعديل الجرد'!B101)</f>
        <v/>
      </c>
      <c r="B1601" t="str">
        <f>IF('تعديل الجرد'!C101="","","تعديل جرد")</f>
        <v/>
      </c>
      <c r="C1601" t="str">
        <f>IF('تعديل الجرد'!C101="","",IF('تعديل الجرد'!G101="","-",'تعديل الجرد'!G101))</f>
        <v/>
      </c>
      <c r="D1601" t="str">
        <f>IF('تعديل الجرد'!C101="","",'تعديل الجرد'!C101)</f>
        <v/>
      </c>
      <c r="E1601" s="24" t="str">
        <f>IF('تعديل الجرد'!C101="","",'تعديل الجرد'!F101)</f>
        <v/>
      </c>
      <c r="F1601" t="str">
        <f>IF('تعديل الجرد'!C101="","",IF('تعديل الجرد'!H101="","",'تعديل الجرد'!H101))</f>
        <v/>
      </c>
      <c r="G1601" t="str">
        <f>IF($B1601&lt;&gt;"",SUMPRODUCT(($B$2:$B1601&lt;&gt;"")*1),"")</f>
        <v/>
      </c>
    </row>
    <row r="1602" spans="1:7">
      <c r="A1602" s="23" t="str">
        <f>IF('تعديل الجرد'!C102="","",'تعديل الجرد'!B102)</f>
        <v/>
      </c>
      <c r="B1602" t="str">
        <f>IF('تعديل الجرد'!C102="","","تعديل جرد")</f>
        <v/>
      </c>
      <c r="C1602" t="str">
        <f>IF('تعديل الجرد'!C102="","",IF('تعديل الجرد'!G102="","-",'تعديل الجرد'!G102))</f>
        <v/>
      </c>
      <c r="D1602" t="str">
        <f>IF('تعديل الجرد'!C102="","",'تعديل الجرد'!C102)</f>
        <v/>
      </c>
      <c r="E1602" s="24" t="str">
        <f>IF('تعديل الجرد'!C102="","",'تعديل الجرد'!F102)</f>
        <v/>
      </c>
      <c r="F1602" t="str">
        <f>IF('تعديل الجرد'!C102="","",IF('تعديل الجرد'!H102="","",'تعديل الجرد'!H102))</f>
        <v/>
      </c>
      <c r="G1602" t="str">
        <f>IF($B1602&lt;&gt;"",SUMPRODUCT(($B$2:$B1602&lt;&gt;"")*1),"")</f>
        <v/>
      </c>
    </row>
    <row r="1603" spans="1:7">
      <c r="A1603" s="23" t="str">
        <f>IF('تعديل الجرد'!C103="","",'تعديل الجرد'!B103)</f>
        <v/>
      </c>
      <c r="B1603" t="str">
        <f>IF('تعديل الجرد'!C103="","","تعديل جرد")</f>
        <v/>
      </c>
      <c r="C1603" t="str">
        <f>IF('تعديل الجرد'!C103="","",IF('تعديل الجرد'!G103="","-",'تعديل الجرد'!G103))</f>
        <v/>
      </c>
      <c r="D1603" t="str">
        <f>IF('تعديل الجرد'!C103="","",'تعديل الجرد'!C103)</f>
        <v/>
      </c>
      <c r="E1603" s="24" t="str">
        <f>IF('تعديل الجرد'!C103="","",'تعديل الجرد'!F103)</f>
        <v/>
      </c>
      <c r="F1603" t="str">
        <f>IF('تعديل الجرد'!C103="","",IF('تعديل الجرد'!H103="","",'تعديل الجرد'!H103))</f>
        <v/>
      </c>
      <c r="G1603" t="str">
        <f>IF($B1603&lt;&gt;"",SUMPRODUCT(($B$2:$B1603&lt;&gt;"")*1),"")</f>
        <v/>
      </c>
    </row>
    <row r="1604" spans="1:7">
      <c r="A1604" s="23" t="str">
        <f>IF('تعديل الجرد'!C104="","",'تعديل الجرد'!B104)</f>
        <v/>
      </c>
      <c r="B1604" t="str">
        <f>IF('تعديل الجرد'!C104="","","تعديل جرد")</f>
        <v/>
      </c>
      <c r="C1604" t="str">
        <f>IF('تعديل الجرد'!C104="","",IF('تعديل الجرد'!G104="","-",'تعديل الجرد'!G104))</f>
        <v/>
      </c>
      <c r="D1604" t="str">
        <f>IF('تعديل الجرد'!C104="","",'تعديل الجرد'!C104)</f>
        <v/>
      </c>
      <c r="E1604" s="24" t="str">
        <f>IF('تعديل الجرد'!C104="","",'تعديل الجرد'!F104)</f>
        <v/>
      </c>
      <c r="F1604" t="str">
        <f>IF('تعديل الجرد'!C104="","",IF('تعديل الجرد'!H104="","",'تعديل الجرد'!H104))</f>
        <v/>
      </c>
      <c r="G1604" t="str">
        <f>IF($B1604&lt;&gt;"",SUMPRODUCT(($B$2:$B1604&lt;&gt;"")*1),"")</f>
        <v/>
      </c>
    </row>
    <row r="1605" spans="1:7">
      <c r="A1605" s="23" t="str">
        <f>IF('تعديل الجرد'!C105="","",'تعديل الجرد'!B105)</f>
        <v/>
      </c>
      <c r="B1605" t="str">
        <f>IF('تعديل الجرد'!C105="","","تعديل جرد")</f>
        <v/>
      </c>
      <c r="C1605" t="str">
        <f>IF('تعديل الجرد'!C105="","",IF('تعديل الجرد'!G105="","-",'تعديل الجرد'!G105))</f>
        <v/>
      </c>
      <c r="D1605" t="str">
        <f>IF('تعديل الجرد'!C105="","",'تعديل الجرد'!C105)</f>
        <v/>
      </c>
      <c r="E1605" s="24" t="str">
        <f>IF('تعديل الجرد'!C105="","",'تعديل الجرد'!F105)</f>
        <v/>
      </c>
      <c r="F1605" t="str">
        <f>IF('تعديل الجرد'!C105="","",IF('تعديل الجرد'!H105="","",'تعديل الجرد'!H105))</f>
        <v/>
      </c>
      <c r="G1605" t="str">
        <f>IF($B1605&lt;&gt;"",SUMPRODUCT(($B$2:$B1605&lt;&gt;"")*1),"")</f>
        <v/>
      </c>
    </row>
    <row r="1606" spans="1:7">
      <c r="A1606" s="23" t="str">
        <f>IF('تعديل الجرد'!C106="","",'تعديل الجرد'!B106)</f>
        <v/>
      </c>
      <c r="B1606" t="str">
        <f>IF('تعديل الجرد'!C106="","","تعديل جرد")</f>
        <v/>
      </c>
      <c r="C1606" t="str">
        <f>IF('تعديل الجرد'!C106="","",IF('تعديل الجرد'!G106="","-",'تعديل الجرد'!G106))</f>
        <v/>
      </c>
      <c r="D1606" t="str">
        <f>IF('تعديل الجرد'!C106="","",'تعديل الجرد'!C106)</f>
        <v/>
      </c>
      <c r="E1606" s="24" t="str">
        <f>IF('تعديل الجرد'!C106="","",'تعديل الجرد'!F106)</f>
        <v/>
      </c>
      <c r="F1606" t="str">
        <f>IF('تعديل الجرد'!C106="","",IF('تعديل الجرد'!H106="","",'تعديل الجرد'!H106))</f>
        <v/>
      </c>
      <c r="G1606" t="str">
        <f>IF($B1606&lt;&gt;"",SUMPRODUCT(($B$2:$B1606&lt;&gt;"")*1),"")</f>
        <v/>
      </c>
    </row>
    <row r="1607" spans="1:7">
      <c r="A1607" s="23" t="str">
        <f>IF('تعديل الجرد'!C107="","",'تعديل الجرد'!B107)</f>
        <v/>
      </c>
      <c r="B1607" t="str">
        <f>IF('تعديل الجرد'!C107="","","تعديل جرد")</f>
        <v/>
      </c>
      <c r="C1607" t="str">
        <f>IF('تعديل الجرد'!C107="","",IF('تعديل الجرد'!G107="","-",'تعديل الجرد'!G107))</f>
        <v/>
      </c>
      <c r="D1607" t="str">
        <f>IF('تعديل الجرد'!C107="","",'تعديل الجرد'!C107)</f>
        <v/>
      </c>
      <c r="E1607" s="24" t="str">
        <f>IF('تعديل الجرد'!C107="","",'تعديل الجرد'!F107)</f>
        <v/>
      </c>
      <c r="F1607" t="str">
        <f>IF('تعديل الجرد'!C107="","",IF('تعديل الجرد'!H107="","",'تعديل الجرد'!H107))</f>
        <v/>
      </c>
      <c r="G1607" t="str">
        <f>IF($B1607&lt;&gt;"",SUMPRODUCT(($B$2:$B1607&lt;&gt;"")*1),"")</f>
        <v/>
      </c>
    </row>
    <row r="1608" spans="1:7">
      <c r="A1608" s="23" t="str">
        <f>IF('تعديل الجرد'!C108="","",'تعديل الجرد'!B108)</f>
        <v/>
      </c>
      <c r="B1608" t="str">
        <f>IF('تعديل الجرد'!C108="","","تعديل جرد")</f>
        <v/>
      </c>
      <c r="C1608" t="str">
        <f>IF('تعديل الجرد'!C108="","",IF('تعديل الجرد'!G108="","-",'تعديل الجرد'!G108))</f>
        <v/>
      </c>
      <c r="D1608" t="str">
        <f>IF('تعديل الجرد'!C108="","",'تعديل الجرد'!C108)</f>
        <v/>
      </c>
      <c r="E1608" s="24" t="str">
        <f>IF('تعديل الجرد'!C108="","",'تعديل الجرد'!F108)</f>
        <v/>
      </c>
      <c r="F1608" t="str">
        <f>IF('تعديل الجرد'!C108="","",IF('تعديل الجرد'!H108="","",'تعديل الجرد'!H108))</f>
        <v/>
      </c>
      <c r="G1608" t="str">
        <f>IF($B1608&lt;&gt;"",SUMPRODUCT(($B$2:$B1608&lt;&gt;"")*1),"")</f>
        <v/>
      </c>
    </row>
    <row r="1609" spans="1:7">
      <c r="A1609" s="23" t="str">
        <f>IF('تعديل الجرد'!C109="","",'تعديل الجرد'!B109)</f>
        <v/>
      </c>
      <c r="B1609" t="str">
        <f>IF('تعديل الجرد'!C109="","","تعديل جرد")</f>
        <v/>
      </c>
      <c r="C1609" t="str">
        <f>IF('تعديل الجرد'!C109="","",IF('تعديل الجرد'!G109="","-",'تعديل الجرد'!G109))</f>
        <v/>
      </c>
      <c r="D1609" t="str">
        <f>IF('تعديل الجرد'!C109="","",'تعديل الجرد'!C109)</f>
        <v/>
      </c>
      <c r="E1609" s="24" t="str">
        <f>IF('تعديل الجرد'!C109="","",'تعديل الجرد'!F109)</f>
        <v/>
      </c>
      <c r="F1609" t="str">
        <f>IF('تعديل الجرد'!C109="","",IF('تعديل الجرد'!H109="","",'تعديل الجرد'!H109))</f>
        <v/>
      </c>
      <c r="G1609" t="str">
        <f>IF($B1609&lt;&gt;"",SUMPRODUCT(($B$2:$B1609&lt;&gt;"")*1),"")</f>
        <v/>
      </c>
    </row>
    <row r="1610" spans="1:7">
      <c r="A1610" s="23" t="str">
        <f>IF('تعديل الجرد'!C110="","",'تعديل الجرد'!B110)</f>
        <v/>
      </c>
      <c r="B1610" t="str">
        <f>IF('تعديل الجرد'!C110="","","تعديل جرد")</f>
        <v/>
      </c>
      <c r="C1610" t="str">
        <f>IF('تعديل الجرد'!C110="","",IF('تعديل الجرد'!G110="","-",'تعديل الجرد'!G110))</f>
        <v/>
      </c>
      <c r="D1610" t="str">
        <f>IF('تعديل الجرد'!C110="","",'تعديل الجرد'!C110)</f>
        <v/>
      </c>
      <c r="E1610" s="24" t="str">
        <f>IF('تعديل الجرد'!C110="","",'تعديل الجرد'!F110)</f>
        <v/>
      </c>
      <c r="F1610" t="str">
        <f>IF('تعديل الجرد'!C110="","",IF('تعديل الجرد'!H110="","",'تعديل الجرد'!H110))</f>
        <v/>
      </c>
      <c r="G1610" t="str">
        <f>IF($B1610&lt;&gt;"",SUMPRODUCT(($B$2:$B1610&lt;&gt;"")*1),"")</f>
        <v/>
      </c>
    </row>
    <row r="1611" spans="1:7">
      <c r="A1611" s="23" t="str">
        <f>IF('تعديل الجرد'!C111="","",'تعديل الجرد'!B111)</f>
        <v/>
      </c>
      <c r="B1611" t="str">
        <f>IF('تعديل الجرد'!C111="","","تعديل جرد")</f>
        <v/>
      </c>
      <c r="C1611" t="str">
        <f>IF('تعديل الجرد'!C111="","",IF('تعديل الجرد'!G111="","-",'تعديل الجرد'!G111))</f>
        <v/>
      </c>
      <c r="D1611" t="str">
        <f>IF('تعديل الجرد'!C111="","",'تعديل الجرد'!C111)</f>
        <v/>
      </c>
      <c r="E1611" s="24" t="str">
        <f>IF('تعديل الجرد'!C111="","",'تعديل الجرد'!F111)</f>
        <v/>
      </c>
      <c r="F1611" t="str">
        <f>IF('تعديل الجرد'!C111="","",IF('تعديل الجرد'!H111="","",'تعديل الجرد'!H111))</f>
        <v/>
      </c>
      <c r="G1611" t="str">
        <f>IF($B1611&lt;&gt;"",SUMPRODUCT(($B$2:$B1611&lt;&gt;"")*1),"")</f>
        <v/>
      </c>
    </row>
    <row r="1612" spans="1:7">
      <c r="A1612" s="23" t="str">
        <f>IF('تعديل الجرد'!C112="","",'تعديل الجرد'!B112)</f>
        <v/>
      </c>
      <c r="B1612" t="str">
        <f>IF('تعديل الجرد'!C112="","","تعديل جرد")</f>
        <v/>
      </c>
      <c r="C1612" t="str">
        <f>IF('تعديل الجرد'!C112="","",IF('تعديل الجرد'!G112="","-",'تعديل الجرد'!G112))</f>
        <v/>
      </c>
      <c r="D1612" t="str">
        <f>IF('تعديل الجرد'!C112="","",'تعديل الجرد'!C112)</f>
        <v/>
      </c>
      <c r="E1612" s="24" t="str">
        <f>IF('تعديل الجرد'!C112="","",'تعديل الجرد'!F112)</f>
        <v/>
      </c>
      <c r="F1612" t="str">
        <f>IF('تعديل الجرد'!C112="","",IF('تعديل الجرد'!H112="","",'تعديل الجرد'!H112))</f>
        <v/>
      </c>
      <c r="G1612" t="str">
        <f>IF($B1612&lt;&gt;"",SUMPRODUCT(($B$2:$B1612&lt;&gt;"")*1),"")</f>
        <v/>
      </c>
    </row>
    <row r="1613" spans="1:7">
      <c r="A1613" s="23" t="str">
        <f>IF('تعديل الجرد'!C113="","",'تعديل الجرد'!B113)</f>
        <v/>
      </c>
      <c r="B1613" t="str">
        <f>IF('تعديل الجرد'!C113="","","تعديل جرد")</f>
        <v/>
      </c>
      <c r="C1613" t="str">
        <f>IF('تعديل الجرد'!C113="","",IF('تعديل الجرد'!G113="","-",'تعديل الجرد'!G113))</f>
        <v/>
      </c>
      <c r="D1613" t="str">
        <f>IF('تعديل الجرد'!C113="","",'تعديل الجرد'!C113)</f>
        <v/>
      </c>
      <c r="E1613" s="24" t="str">
        <f>IF('تعديل الجرد'!C113="","",'تعديل الجرد'!F113)</f>
        <v/>
      </c>
      <c r="F1613" t="str">
        <f>IF('تعديل الجرد'!C113="","",IF('تعديل الجرد'!H113="","",'تعديل الجرد'!H113))</f>
        <v/>
      </c>
      <c r="G1613" t="str">
        <f>IF($B1613&lt;&gt;"",SUMPRODUCT(($B$2:$B1613&lt;&gt;"")*1),"")</f>
        <v/>
      </c>
    </row>
    <row r="1614" spans="1:7">
      <c r="A1614" s="23" t="str">
        <f>IF('تعديل الجرد'!C114="","",'تعديل الجرد'!B114)</f>
        <v/>
      </c>
      <c r="B1614" t="str">
        <f>IF('تعديل الجرد'!C114="","","تعديل جرد")</f>
        <v/>
      </c>
      <c r="C1614" t="str">
        <f>IF('تعديل الجرد'!C114="","",IF('تعديل الجرد'!G114="","-",'تعديل الجرد'!G114))</f>
        <v/>
      </c>
      <c r="D1614" t="str">
        <f>IF('تعديل الجرد'!C114="","",'تعديل الجرد'!C114)</f>
        <v/>
      </c>
      <c r="E1614" s="24" t="str">
        <f>IF('تعديل الجرد'!C114="","",'تعديل الجرد'!F114)</f>
        <v/>
      </c>
      <c r="F1614" t="str">
        <f>IF('تعديل الجرد'!C114="","",IF('تعديل الجرد'!H114="","",'تعديل الجرد'!H114))</f>
        <v/>
      </c>
      <c r="G1614" t="str">
        <f>IF($B1614&lt;&gt;"",SUMPRODUCT(($B$2:$B1614&lt;&gt;"")*1),"")</f>
        <v/>
      </c>
    </row>
    <row r="1615" spans="1:7">
      <c r="A1615" s="23" t="str">
        <f>IF('تعديل الجرد'!C115="","",'تعديل الجرد'!B115)</f>
        <v/>
      </c>
      <c r="B1615" t="str">
        <f>IF('تعديل الجرد'!C115="","","تعديل جرد")</f>
        <v/>
      </c>
      <c r="C1615" t="str">
        <f>IF('تعديل الجرد'!C115="","",IF('تعديل الجرد'!G115="","-",'تعديل الجرد'!G115))</f>
        <v/>
      </c>
      <c r="D1615" t="str">
        <f>IF('تعديل الجرد'!C115="","",'تعديل الجرد'!C115)</f>
        <v/>
      </c>
      <c r="E1615" s="24" t="str">
        <f>IF('تعديل الجرد'!C115="","",'تعديل الجرد'!F115)</f>
        <v/>
      </c>
      <c r="F1615" t="str">
        <f>IF('تعديل الجرد'!C115="","",IF('تعديل الجرد'!H115="","",'تعديل الجرد'!H115))</f>
        <v/>
      </c>
      <c r="G1615" t="str">
        <f>IF($B1615&lt;&gt;"",SUMPRODUCT(($B$2:$B1615&lt;&gt;"")*1),"")</f>
        <v/>
      </c>
    </row>
    <row r="1616" spans="1:7">
      <c r="A1616" s="23" t="str">
        <f>IF('تعديل الجرد'!C116="","",'تعديل الجرد'!B116)</f>
        <v/>
      </c>
      <c r="B1616" t="str">
        <f>IF('تعديل الجرد'!C116="","","تعديل جرد")</f>
        <v/>
      </c>
      <c r="C1616" t="str">
        <f>IF('تعديل الجرد'!C116="","",IF('تعديل الجرد'!G116="","-",'تعديل الجرد'!G116))</f>
        <v/>
      </c>
      <c r="D1616" t="str">
        <f>IF('تعديل الجرد'!C116="","",'تعديل الجرد'!C116)</f>
        <v/>
      </c>
      <c r="E1616" s="24" t="str">
        <f>IF('تعديل الجرد'!C116="","",'تعديل الجرد'!F116)</f>
        <v/>
      </c>
      <c r="F1616" t="str">
        <f>IF('تعديل الجرد'!C116="","",IF('تعديل الجرد'!H116="","",'تعديل الجرد'!H116))</f>
        <v/>
      </c>
      <c r="G1616" t="str">
        <f>IF($B1616&lt;&gt;"",SUMPRODUCT(($B$2:$B1616&lt;&gt;"")*1),"")</f>
        <v/>
      </c>
    </row>
    <row r="1617" spans="1:7">
      <c r="A1617" s="23" t="str">
        <f>IF('تعديل الجرد'!C117="","",'تعديل الجرد'!B117)</f>
        <v/>
      </c>
      <c r="B1617" t="str">
        <f>IF('تعديل الجرد'!C117="","","تعديل جرد")</f>
        <v/>
      </c>
      <c r="C1617" t="str">
        <f>IF('تعديل الجرد'!C117="","",IF('تعديل الجرد'!G117="","-",'تعديل الجرد'!G117))</f>
        <v/>
      </c>
      <c r="D1617" t="str">
        <f>IF('تعديل الجرد'!C117="","",'تعديل الجرد'!C117)</f>
        <v/>
      </c>
      <c r="E1617" s="24" t="str">
        <f>IF('تعديل الجرد'!C117="","",'تعديل الجرد'!F117)</f>
        <v/>
      </c>
      <c r="F1617" t="str">
        <f>IF('تعديل الجرد'!C117="","",IF('تعديل الجرد'!H117="","",'تعديل الجرد'!H117))</f>
        <v/>
      </c>
      <c r="G1617" t="str">
        <f>IF($B1617&lt;&gt;"",SUMPRODUCT(($B$2:$B1617&lt;&gt;"")*1),"")</f>
        <v/>
      </c>
    </row>
    <row r="1618" spans="1:7">
      <c r="A1618" s="23" t="str">
        <f>IF('تعديل الجرد'!C118="","",'تعديل الجرد'!B118)</f>
        <v/>
      </c>
      <c r="B1618" t="str">
        <f>IF('تعديل الجرد'!C118="","","تعديل جرد")</f>
        <v/>
      </c>
      <c r="C1618" t="str">
        <f>IF('تعديل الجرد'!C118="","",IF('تعديل الجرد'!G118="","-",'تعديل الجرد'!G118))</f>
        <v/>
      </c>
      <c r="D1618" t="str">
        <f>IF('تعديل الجرد'!C118="","",'تعديل الجرد'!C118)</f>
        <v/>
      </c>
      <c r="E1618" s="24" t="str">
        <f>IF('تعديل الجرد'!C118="","",'تعديل الجرد'!F118)</f>
        <v/>
      </c>
      <c r="F1618" t="str">
        <f>IF('تعديل الجرد'!C118="","",IF('تعديل الجرد'!H118="","",'تعديل الجرد'!H118))</f>
        <v/>
      </c>
      <c r="G1618" t="str">
        <f>IF($B1618&lt;&gt;"",SUMPRODUCT(($B$2:$B1618&lt;&gt;"")*1),"")</f>
        <v/>
      </c>
    </row>
    <row r="1619" spans="1:7">
      <c r="A1619" s="23" t="str">
        <f>IF('تعديل الجرد'!C119="","",'تعديل الجرد'!B119)</f>
        <v/>
      </c>
      <c r="B1619" t="str">
        <f>IF('تعديل الجرد'!C119="","","تعديل جرد")</f>
        <v/>
      </c>
      <c r="C1619" t="str">
        <f>IF('تعديل الجرد'!C119="","",IF('تعديل الجرد'!G119="","-",'تعديل الجرد'!G119))</f>
        <v/>
      </c>
      <c r="D1619" t="str">
        <f>IF('تعديل الجرد'!C119="","",'تعديل الجرد'!C119)</f>
        <v/>
      </c>
      <c r="E1619" s="24" t="str">
        <f>IF('تعديل الجرد'!C119="","",'تعديل الجرد'!F119)</f>
        <v/>
      </c>
      <c r="F1619" t="str">
        <f>IF('تعديل الجرد'!C119="","",IF('تعديل الجرد'!H119="","",'تعديل الجرد'!H119))</f>
        <v/>
      </c>
      <c r="G1619" t="str">
        <f>IF($B1619&lt;&gt;"",SUMPRODUCT(($B$2:$B1619&lt;&gt;"")*1),"")</f>
        <v/>
      </c>
    </row>
    <row r="1620" spans="1:7">
      <c r="A1620" s="23" t="str">
        <f>IF('تعديل الجرد'!C120="","",'تعديل الجرد'!B120)</f>
        <v/>
      </c>
      <c r="B1620" t="str">
        <f>IF('تعديل الجرد'!C120="","","تعديل جرد")</f>
        <v/>
      </c>
      <c r="C1620" t="str">
        <f>IF('تعديل الجرد'!C120="","",IF('تعديل الجرد'!G120="","-",'تعديل الجرد'!G120))</f>
        <v/>
      </c>
      <c r="D1620" t="str">
        <f>IF('تعديل الجرد'!C120="","",'تعديل الجرد'!C120)</f>
        <v/>
      </c>
      <c r="E1620" s="24" t="str">
        <f>IF('تعديل الجرد'!C120="","",'تعديل الجرد'!F120)</f>
        <v/>
      </c>
      <c r="F1620" t="str">
        <f>IF('تعديل الجرد'!C120="","",IF('تعديل الجرد'!H120="","",'تعديل الجرد'!H120))</f>
        <v/>
      </c>
      <c r="G1620" t="str">
        <f>IF($B1620&lt;&gt;"",SUMPRODUCT(($B$2:$B1620&lt;&gt;"")*1),"")</f>
        <v/>
      </c>
    </row>
    <row r="1621" spans="1:7">
      <c r="A1621" s="23" t="str">
        <f>IF('تعديل الجرد'!C121="","",'تعديل الجرد'!B121)</f>
        <v/>
      </c>
      <c r="B1621" t="str">
        <f>IF('تعديل الجرد'!C121="","","تعديل جرد")</f>
        <v/>
      </c>
      <c r="C1621" t="str">
        <f>IF('تعديل الجرد'!C121="","",IF('تعديل الجرد'!G121="","-",'تعديل الجرد'!G121))</f>
        <v/>
      </c>
      <c r="D1621" t="str">
        <f>IF('تعديل الجرد'!C121="","",'تعديل الجرد'!C121)</f>
        <v/>
      </c>
      <c r="E1621" s="24" t="str">
        <f>IF('تعديل الجرد'!C121="","",'تعديل الجرد'!F121)</f>
        <v/>
      </c>
      <c r="F1621" t="str">
        <f>IF('تعديل الجرد'!C121="","",IF('تعديل الجرد'!H121="","",'تعديل الجرد'!H121))</f>
        <v/>
      </c>
      <c r="G1621" t="str">
        <f>IF($B1621&lt;&gt;"",SUMPRODUCT(($B$2:$B1621&lt;&gt;"")*1),"")</f>
        <v/>
      </c>
    </row>
    <row r="1622" spans="1:7">
      <c r="A1622" s="23" t="str">
        <f>IF('تعديل الجرد'!C122="","",'تعديل الجرد'!B122)</f>
        <v/>
      </c>
      <c r="B1622" t="str">
        <f>IF('تعديل الجرد'!C122="","","تعديل جرد")</f>
        <v/>
      </c>
      <c r="C1622" t="str">
        <f>IF('تعديل الجرد'!C122="","",IF('تعديل الجرد'!G122="","-",'تعديل الجرد'!G122))</f>
        <v/>
      </c>
      <c r="D1622" t="str">
        <f>IF('تعديل الجرد'!C122="","",'تعديل الجرد'!C122)</f>
        <v/>
      </c>
      <c r="E1622" s="24" t="str">
        <f>IF('تعديل الجرد'!C122="","",'تعديل الجرد'!F122)</f>
        <v/>
      </c>
      <c r="F1622" t="str">
        <f>IF('تعديل الجرد'!C122="","",IF('تعديل الجرد'!H122="","",'تعديل الجرد'!H122))</f>
        <v/>
      </c>
      <c r="G1622" t="str">
        <f>IF($B1622&lt;&gt;"",SUMPRODUCT(($B$2:$B1622&lt;&gt;"")*1),"")</f>
        <v/>
      </c>
    </row>
    <row r="1623" spans="1:7">
      <c r="A1623" s="23" t="str">
        <f>IF('تعديل الجرد'!C123="","",'تعديل الجرد'!B123)</f>
        <v/>
      </c>
      <c r="B1623" t="str">
        <f>IF('تعديل الجرد'!C123="","","تعديل جرد")</f>
        <v/>
      </c>
      <c r="C1623" t="str">
        <f>IF('تعديل الجرد'!C123="","",IF('تعديل الجرد'!G123="","-",'تعديل الجرد'!G123))</f>
        <v/>
      </c>
      <c r="D1623" t="str">
        <f>IF('تعديل الجرد'!C123="","",'تعديل الجرد'!C123)</f>
        <v/>
      </c>
      <c r="E1623" s="24" t="str">
        <f>IF('تعديل الجرد'!C123="","",'تعديل الجرد'!F123)</f>
        <v/>
      </c>
      <c r="F1623" t="str">
        <f>IF('تعديل الجرد'!C123="","",IF('تعديل الجرد'!H123="","",'تعديل الجرد'!H123))</f>
        <v/>
      </c>
      <c r="G1623" t="str">
        <f>IF($B1623&lt;&gt;"",SUMPRODUCT(($B$2:$B1623&lt;&gt;"")*1),"")</f>
        <v/>
      </c>
    </row>
    <row r="1624" spans="1:7">
      <c r="A1624" s="23" t="str">
        <f>IF('تعديل الجرد'!C124="","",'تعديل الجرد'!B124)</f>
        <v/>
      </c>
      <c r="B1624" t="str">
        <f>IF('تعديل الجرد'!C124="","","تعديل جرد")</f>
        <v/>
      </c>
      <c r="C1624" t="str">
        <f>IF('تعديل الجرد'!C124="","",IF('تعديل الجرد'!G124="","-",'تعديل الجرد'!G124))</f>
        <v/>
      </c>
      <c r="D1624" t="str">
        <f>IF('تعديل الجرد'!C124="","",'تعديل الجرد'!C124)</f>
        <v/>
      </c>
      <c r="E1624" s="24" t="str">
        <f>IF('تعديل الجرد'!C124="","",'تعديل الجرد'!F124)</f>
        <v/>
      </c>
      <c r="F1624" t="str">
        <f>IF('تعديل الجرد'!C124="","",IF('تعديل الجرد'!H124="","",'تعديل الجرد'!H124))</f>
        <v/>
      </c>
      <c r="G1624" t="str">
        <f>IF($B1624&lt;&gt;"",SUMPRODUCT(($B$2:$B1624&lt;&gt;"")*1),"")</f>
        <v/>
      </c>
    </row>
    <row r="1625" spans="1:7">
      <c r="A1625" s="23" t="str">
        <f>IF('تعديل الجرد'!C125="","",'تعديل الجرد'!B125)</f>
        <v/>
      </c>
      <c r="B1625" t="str">
        <f>IF('تعديل الجرد'!C125="","","تعديل جرد")</f>
        <v/>
      </c>
      <c r="C1625" t="str">
        <f>IF('تعديل الجرد'!C125="","",IF('تعديل الجرد'!G125="","-",'تعديل الجرد'!G125))</f>
        <v/>
      </c>
      <c r="D1625" t="str">
        <f>IF('تعديل الجرد'!C125="","",'تعديل الجرد'!C125)</f>
        <v/>
      </c>
      <c r="E1625" s="24" t="str">
        <f>IF('تعديل الجرد'!C125="","",'تعديل الجرد'!F125)</f>
        <v/>
      </c>
      <c r="F1625" t="str">
        <f>IF('تعديل الجرد'!C125="","",IF('تعديل الجرد'!H125="","",'تعديل الجرد'!H125))</f>
        <v/>
      </c>
      <c r="G1625" t="str">
        <f>IF($B1625&lt;&gt;"",SUMPRODUCT(($B$2:$B1625&lt;&gt;"")*1),"")</f>
        <v/>
      </c>
    </row>
    <row r="1626" spans="1:7">
      <c r="A1626" s="23" t="str">
        <f>IF('تعديل الجرد'!C126="","",'تعديل الجرد'!B126)</f>
        <v/>
      </c>
      <c r="B1626" t="str">
        <f>IF('تعديل الجرد'!C126="","","تعديل جرد")</f>
        <v/>
      </c>
      <c r="C1626" t="str">
        <f>IF('تعديل الجرد'!C126="","",IF('تعديل الجرد'!G126="","-",'تعديل الجرد'!G126))</f>
        <v/>
      </c>
      <c r="D1626" t="str">
        <f>IF('تعديل الجرد'!C126="","",'تعديل الجرد'!C126)</f>
        <v/>
      </c>
      <c r="E1626" s="24" t="str">
        <f>IF('تعديل الجرد'!C126="","",'تعديل الجرد'!F126)</f>
        <v/>
      </c>
      <c r="F1626" t="str">
        <f>IF('تعديل الجرد'!C126="","",IF('تعديل الجرد'!H126="","",'تعديل الجرد'!H126))</f>
        <v/>
      </c>
      <c r="G1626" t="str">
        <f>IF($B1626&lt;&gt;"",SUMPRODUCT(($B$2:$B1626&lt;&gt;"")*1),"")</f>
        <v/>
      </c>
    </row>
    <row r="1627" spans="1:7">
      <c r="A1627" s="23" t="str">
        <f>IF('تعديل الجرد'!C127="","",'تعديل الجرد'!B127)</f>
        <v/>
      </c>
      <c r="B1627" t="str">
        <f>IF('تعديل الجرد'!C127="","","تعديل جرد")</f>
        <v/>
      </c>
      <c r="C1627" t="str">
        <f>IF('تعديل الجرد'!C127="","",IF('تعديل الجرد'!G127="","-",'تعديل الجرد'!G127))</f>
        <v/>
      </c>
      <c r="D1627" t="str">
        <f>IF('تعديل الجرد'!C127="","",'تعديل الجرد'!C127)</f>
        <v/>
      </c>
      <c r="E1627" s="24" t="str">
        <f>IF('تعديل الجرد'!C127="","",'تعديل الجرد'!F127)</f>
        <v/>
      </c>
      <c r="F1627" t="str">
        <f>IF('تعديل الجرد'!C127="","",IF('تعديل الجرد'!H127="","",'تعديل الجرد'!H127))</f>
        <v/>
      </c>
      <c r="G1627" t="str">
        <f>IF($B1627&lt;&gt;"",SUMPRODUCT(($B$2:$B1627&lt;&gt;"")*1),"")</f>
        <v/>
      </c>
    </row>
    <row r="1628" spans="1:7">
      <c r="A1628" s="23" t="str">
        <f>IF('تعديل الجرد'!C128="","",'تعديل الجرد'!B128)</f>
        <v/>
      </c>
      <c r="B1628" t="str">
        <f>IF('تعديل الجرد'!C128="","","تعديل جرد")</f>
        <v/>
      </c>
      <c r="C1628" t="str">
        <f>IF('تعديل الجرد'!C128="","",IF('تعديل الجرد'!G128="","-",'تعديل الجرد'!G128))</f>
        <v/>
      </c>
      <c r="D1628" t="str">
        <f>IF('تعديل الجرد'!C128="","",'تعديل الجرد'!C128)</f>
        <v/>
      </c>
      <c r="E1628" s="24" t="str">
        <f>IF('تعديل الجرد'!C128="","",'تعديل الجرد'!F128)</f>
        <v/>
      </c>
      <c r="F1628" t="str">
        <f>IF('تعديل الجرد'!C128="","",IF('تعديل الجرد'!H128="","",'تعديل الجرد'!H128))</f>
        <v/>
      </c>
      <c r="G1628" t="str">
        <f>IF($B1628&lt;&gt;"",SUMPRODUCT(($B$2:$B1628&lt;&gt;"")*1),"")</f>
        <v/>
      </c>
    </row>
    <row r="1629" spans="1:7">
      <c r="A1629" s="23" t="str">
        <f>IF('تعديل الجرد'!C129="","",'تعديل الجرد'!B129)</f>
        <v/>
      </c>
      <c r="B1629" t="str">
        <f>IF('تعديل الجرد'!C129="","","تعديل جرد")</f>
        <v/>
      </c>
      <c r="C1629" t="str">
        <f>IF('تعديل الجرد'!C129="","",IF('تعديل الجرد'!G129="","-",'تعديل الجرد'!G129))</f>
        <v/>
      </c>
      <c r="D1629" t="str">
        <f>IF('تعديل الجرد'!C129="","",'تعديل الجرد'!C129)</f>
        <v/>
      </c>
      <c r="E1629" s="24" t="str">
        <f>IF('تعديل الجرد'!C129="","",'تعديل الجرد'!F129)</f>
        <v/>
      </c>
      <c r="F1629" t="str">
        <f>IF('تعديل الجرد'!C129="","",IF('تعديل الجرد'!H129="","",'تعديل الجرد'!H129))</f>
        <v/>
      </c>
      <c r="G1629" t="str">
        <f>IF($B1629&lt;&gt;"",SUMPRODUCT(($B$2:$B1629&lt;&gt;"")*1),"")</f>
        <v/>
      </c>
    </row>
    <row r="1630" spans="1:7">
      <c r="A1630" s="23" t="str">
        <f>IF('تعديل الجرد'!C130="","",'تعديل الجرد'!B130)</f>
        <v/>
      </c>
      <c r="B1630" t="str">
        <f>IF('تعديل الجرد'!C130="","","تعديل جرد")</f>
        <v/>
      </c>
      <c r="C1630" t="str">
        <f>IF('تعديل الجرد'!C130="","",IF('تعديل الجرد'!G130="","-",'تعديل الجرد'!G130))</f>
        <v/>
      </c>
      <c r="D1630" t="str">
        <f>IF('تعديل الجرد'!C130="","",'تعديل الجرد'!C130)</f>
        <v/>
      </c>
      <c r="E1630" s="24" t="str">
        <f>IF('تعديل الجرد'!C130="","",'تعديل الجرد'!F130)</f>
        <v/>
      </c>
      <c r="F1630" t="str">
        <f>IF('تعديل الجرد'!C130="","",IF('تعديل الجرد'!H130="","",'تعديل الجرد'!H130))</f>
        <v/>
      </c>
      <c r="G1630" t="str">
        <f>IF($B1630&lt;&gt;"",SUMPRODUCT(($B$2:$B1630&lt;&gt;"")*1),"")</f>
        <v/>
      </c>
    </row>
    <row r="1631" spans="1:7">
      <c r="A1631" s="23" t="str">
        <f>IF('تعديل الجرد'!C131="","",'تعديل الجرد'!B131)</f>
        <v/>
      </c>
      <c r="B1631" t="str">
        <f>IF('تعديل الجرد'!C131="","","تعديل جرد")</f>
        <v/>
      </c>
      <c r="C1631" t="str">
        <f>IF('تعديل الجرد'!C131="","",IF('تعديل الجرد'!G131="","-",'تعديل الجرد'!G131))</f>
        <v/>
      </c>
      <c r="D1631" t="str">
        <f>IF('تعديل الجرد'!C131="","",'تعديل الجرد'!C131)</f>
        <v/>
      </c>
      <c r="E1631" s="24" t="str">
        <f>IF('تعديل الجرد'!C131="","",'تعديل الجرد'!F131)</f>
        <v/>
      </c>
      <c r="F1631" t="str">
        <f>IF('تعديل الجرد'!C131="","",IF('تعديل الجرد'!H131="","",'تعديل الجرد'!H131))</f>
        <v/>
      </c>
      <c r="G1631" t="str">
        <f>IF($B1631&lt;&gt;"",SUMPRODUCT(($B$2:$B1631&lt;&gt;"")*1),"")</f>
        <v/>
      </c>
    </row>
    <row r="1632" spans="1:7">
      <c r="A1632" s="23" t="str">
        <f>IF('تعديل الجرد'!C132="","",'تعديل الجرد'!B132)</f>
        <v/>
      </c>
      <c r="B1632" t="str">
        <f>IF('تعديل الجرد'!C132="","","تعديل جرد")</f>
        <v/>
      </c>
      <c r="C1632" t="str">
        <f>IF('تعديل الجرد'!C132="","",IF('تعديل الجرد'!G132="","-",'تعديل الجرد'!G132))</f>
        <v/>
      </c>
      <c r="D1632" t="str">
        <f>IF('تعديل الجرد'!C132="","",'تعديل الجرد'!C132)</f>
        <v/>
      </c>
      <c r="E1632" s="24" t="str">
        <f>IF('تعديل الجرد'!C132="","",'تعديل الجرد'!F132)</f>
        <v/>
      </c>
      <c r="F1632" t="str">
        <f>IF('تعديل الجرد'!C132="","",IF('تعديل الجرد'!H132="","",'تعديل الجرد'!H132))</f>
        <v/>
      </c>
      <c r="G1632" t="str">
        <f>IF($B1632&lt;&gt;"",SUMPRODUCT(($B$2:$B1632&lt;&gt;"")*1),"")</f>
        <v/>
      </c>
    </row>
    <row r="1633" spans="1:7">
      <c r="A1633" s="23" t="str">
        <f>IF('تعديل الجرد'!C133="","",'تعديل الجرد'!B133)</f>
        <v/>
      </c>
      <c r="B1633" t="str">
        <f>IF('تعديل الجرد'!C133="","","تعديل جرد")</f>
        <v/>
      </c>
      <c r="C1633" t="str">
        <f>IF('تعديل الجرد'!C133="","",IF('تعديل الجرد'!G133="","-",'تعديل الجرد'!G133))</f>
        <v/>
      </c>
      <c r="D1633" t="str">
        <f>IF('تعديل الجرد'!C133="","",'تعديل الجرد'!C133)</f>
        <v/>
      </c>
      <c r="E1633" s="24" t="str">
        <f>IF('تعديل الجرد'!C133="","",'تعديل الجرد'!F133)</f>
        <v/>
      </c>
      <c r="F1633" t="str">
        <f>IF('تعديل الجرد'!C133="","",IF('تعديل الجرد'!H133="","",'تعديل الجرد'!H133))</f>
        <v/>
      </c>
      <c r="G1633" t="str">
        <f>IF($B1633&lt;&gt;"",SUMPRODUCT(($B$2:$B1633&lt;&gt;"")*1),"")</f>
        <v/>
      </c>
    </row>
    <row r="1634" spans="1:7">
      <c r="A1634" s="23" t="str">
        <f>IF('تعديل الجرد'!C134="","",'تعديل الجرد'!B134)</f>
        <v/>
      </c>
      <c r="B1634" t="str">
        <f>IF('تعديل الجرد'!C134="","","تعديل جرد")</f>
        <v/>
      </c>
      <c r="C1634" t="str">
        <f>IF('تعديل الجرد'!C134="","",IF('تعديل الجرد'!G134="","-",'تعديل الجرد'!G134))</f>
        <v/>
      </c>
      <c r="D1634" t="str">
        <f>IF('تعديل الجرد'!C134="","",'تعديل الجرد'!C134)</f>
        <v/>
      </c>
      <c r="E1634" s="24" t="str">
        <f>IF('تعديل الجرد'!C134="","",'تعديل الجرد'!F134)</f>
        <v/>
      </c>
      <c r="F1634" t="str">
        <f>IF('تعديل الجرد'!C134="","",IF('تعديل الجرد'!H134="","",'تعديل الجرد'!H134))</f>
        <v/>
      </c>
      <c r="G1634" t="str">
        <f>IF($B1634&lt;&gt;"",SUMPRODUCT(($B$2:$B1634&lt;&gt;"")*1),"")</f>
        <v/>
      </c>
    </row>
    <row r="1635" spans="1:7">
      <c r="A1635" s="23" t="str">
        <f>IF('تعديل الجرد'!C135="","",'تعديل الجرد'!B135)</f>
        <v/>
      </c>
      <c r="B1635" t="str">
        <f>IF('تعديل الجرد'!C135="","","تعديل جرد")</f>
        <v/>
      </c>
      <c r="C1635" t="str">
        <f>IF('تعديل الجرد'!C135="","",IF('تعديل الجرد'!G135="","-",'تعديل الجرد'!G135))</f>
        <v/>
      </c>
      <c r="D1635" t="str">
        <f>IF('تعديل الجرد'!C135="","",'تعديل الجرد'!C135)</f>
        <v/>
      </c>
      <c r="E1635" s="24" t="str">
        <f>IF('تعديل الجرد'!C135="","",'تعديل الجرد'!F135)</f>
        <v/>
      </c>
      <c r="F1635" t="str">
        <f>IF('تعديل الجرد'!C135="","",IF('تعديل الجرد'!H135="","",'تعديل الجرد'!H135))</f>
        <v/>
      </c>
      <c r="G1635" t="str">
        <f>IF($B1635&lt;&gt;"",SUMPRODUCT(($B$2:$B1635&lt;&gt;"")*1),"")</f>
        <v/>
      </c>
    </row>
    <row r="1636" spans="1:7">
      <c r="A1636" s="23" t="str">
        <f>IF('تعديل الجرد'!C136="","",'تعديل الجرد'!B136)</f>
        <v/>
      </c>
      <c r="B1636" t="str">
        <f>IF('تعديل الجرد'!C136="","","تعديل جرد")</f>
        <v/>
      </c>
      <c r="C1636" t="str">
        <f>IF('تعديل الجرد'!C136="","",IF('تعديل الجرد'!G136="","-",'تعديل الجرد'!G136))</f>
        <v/>
      </c>
      <c r="D1636" t="str">
        <f>IF('تعديل الجرد'!C136="","",'تعديل الجرد'!C136)</f>
        <v/>
      </c>
      <c r="E1636" s="24" t="str">
        <f>IF('تعديل الجرد'!C136="","",'تعديل الجرد'!F136)</f>
        <v/>
      </c>
      <c r="F1636" t="str">
        <f>IF('تعديل الجرد'!C136="","",IF('تعديل الجرد'!H136="","",'تعديل الجرد'!H136))</f>
        <v/>
      </c>
      <c r="G1636" t="str">
        <f>IF($B1636&lt;&gt;"",SUMPRODUCT(($B$2:$B1636&lt;&gt;"")*1),"")</f>
        <v/>
      </c>
    </row>
    <row r="1637" spans="1:7">
      <c r="A1637" s="23" t="str">
        <f>IF('تعديل الجرد'!C137="","",'تعديل الجرد'!B137)</f>
        <v/>
      </c>
      <c r="B1637" t="str">
        <f>IF('تعديل الجرد'!C137="","","تعديل جرد")</f>
        <v/>
      </c>
      <c r="C1637" t="str">
        <f>IF('تعديل الجرد'!C137="","",IF('تعديل الجرد'!G137="","-",'تعديل الجرد'!G137))</f>
        <v/>
      </c>
      <c r="D1637" t="str">
        <f>IF('تعديل الجرد'!C137="","",'تعديل الجرد'!C137)</f>
        <v/>
      </c>
      <c r="E1637" s="24" t="str">
        <f>IF('تعديل الجرد'!C137="","",'تعديل الجرد'!F137)</f>
        <v/>
      </c>
      <c r="F1637" t="str">
        <f>IF('تعديل الجرد'!C137="","",IF('تعديل الجرد'!H137="","",'تعديل الجرد'!H137))</f>
        <v/>
      </c>
      <c r="G1637" t="str">
        <f>IF($B1637&lt;&gt;"",SUMPRODUCT(($B$2:$B1637&lt;&gt;"")*1),"")</f>
        <v/>
      </c>
    </row>
    <row r="1638" spans="1:7">
      <c r="A1638" s="23" t="str">
        <f>IF('تعديل الجرد'!C138="","",'تعديل الجرد'!B138)</f>
        <v/>
      </c>
      <c r="B1638" t="str">
        <f>IF('تعديل الجرد'!C138="","","تعديل جرد")</f>
        <v/>
      </c>
      <c r="C1638" t="str">
        <f>IF('تعديل الجرد'!C138="","",IF('تعديل الجرد'!G138="","-",'تعديل الجرد'!G138))</f>
        <v/>
      </c>
      <c r="D1638" t="str">
        <f>IF('تعديل الجرد'!C138="","",'تعديل الجرد'!C138)</f>
        <v/>
      </c>
      <c r="E1638" s="24" t="str">
        <f>IF('تعديل الجرد'!C138="","",'تعديل الجرد'!F138)</f>
        <v/>
      </c>
      <c r="F1638" t="str">
        <f>IF('تعديل الجرد'!C138="","",IF('تعديل الجرد'!H138="","",'تعديل الجرد'!H138))</f>
        <v/>
      </c>
      <c r="G1638" t="str">
        <f>IF($B1638&lt;&gt;"",SUMPRODUCT(($B$2:$B1638&lt;&gt;"")*1),"")</f>
        <v/>
      </c>
    </row>
    <row r="1639" spans="1:7">
      <c r="A1639" s="23" t="str">
        <f>IF('تعديل الجرد'!C139="","",'تعديل الجرد'!B139)</f>
        <v/>
      </c>
      <c r="B1639" t="str">
        <f>IF('تعديل الجرد'!C139="","","تعديل جرد")</f>
        <v/>
      </c>
      <c r="C1639" t="str">
        <f>IF('تعديل الجرد'!C139="","",IF('تعديل الجرد'!G139="","-",'تعديل الجرد'!G139))</f>
        <v/>
      </c>
      <c r="D1639" t="str">
        <f>IF('تعديل الجرد'!C139="","",'تعديل الجرد'!C139)</f>
        <v/>
      </c>
      <c r="E1639" s="24" t="str">
        <f>IF('تعديل الجرد'!C139="","",'تعديل الجرد'!F139)</f>
        <v/>
      </c>
      <c r="F1639" t="str">
        <f>IF('تعديل الجرد'!C139="","",IF('تعديل الجرد'!H139="","",'تعديل الجرد'!H139))</f>
        <v/>
      </c>
      <c r="G1639" t="str">
        <f>IF($B1639&lt;&gt;"",SUMPRODUCT(($B$2:$B1639&lt;&gt;"")*1),"")</f>
        <v/>
      </c>
    </row>
    <row r="1640" spans="1:7">
      <c r="A1640" s="23" t="str">
        <f>IF('تعديل الجرد'!C140="","",'تعديل الجرد'!B140)</f>
        <v/>
      </c>
      <c r="B1640" t="str">
        <f>IF('تعديل الجرد'!C140="","","تعديل جرد")</f>
        <v/>
      </c>
      <c r="C1640" t="str">
        <f>IF('تعديل الجرد'!C140="","",IF('تعديل الجرد'!G140="","-",'تعديل الجرد'!G140))</f>
        <v/>
      </c>
      <c r="D1640" t="str">
        <f>IF('تعديل الجرد'!C140="","",'تعديل الجرد'!C140)</f>
        <v/>
      </c>
      <c r="E1640" s="24" t="str">
        <f>IF('تعديل الجرد'!C140="","",'تعديل الجرد'!F140)</f>
        <v/>
      </c>
      <c r="F1640" t="str">
        <f>IF('تعديل الجرد'!C140="","",IF('تعديل الجرد'!H140="","",'تعديل الجرد'!H140))</f>
        <v/>
      </c>
      <c r="G1640" t="str">
        <f>IF($B1640&lt;&gt;"",SUMPRODUCT(($B$2:$B1640&lt;&gt;"")*1),"")</f>
        <v/>
      </c>
    </row>
    <row r="1641" spans="1:7">
      <c r="A1641" s="23" t="str">
        <f>IF('تعديل الجرد'!C141="","",'تعديل الجرد'!B141)</f>
        <v/>
      </c>
      <c r="B1641" t="str">
        <f>IF('تعديل الجرد'!C141="","","تعديل جرد")</f>
        <v/>
      </c>
      <c r="C1641" t="str">
        <f>IF('تعديل الجرد'!C141="","",IF('تعديل الجرد'!G141="","-",'تعديل الجرد'!G141))</f>
        <v/>
      </c>
      <c r="D1641" t="str">
        <f>IF('تعديل الجرد'!C141="","",'تعديل الجرد'!C141)</f>
        <v/>
      </c>
      <c r="E1641" s="24" t="str">
        <f>IF('تعديل الجرد'!C141="","",'تعديل الجرد'!F141)</f>
        <v/>
      </c>
      <c r="F1641" t="str">
        <f>IF('تعديل الجرد'!C141="","",IF('تعديل الجرد'!H141="","",'تعديل الجرد'!H141))</f>
        <v/>
      </c>
      <c r="G1641" t="str">
        <f>IF($B1641&lt;&gt;"",SUMPRODUCT(($B$2:$B1641&lt;&gt;"")*1),"")</f>
        <v/>
      </c>
    </row>
    <row r="1642" spans="1:7">
      <c r="A1642" s="23" t="str">
        <f>IF('تعديل الجرد'!C142="","",'تعديل الجرد'!B142)</f>
        <v/>
      </c>
      <c r="B1642" t="str">
        <f>IF('تعديل الجرد'!C142="","","تعديل جرد")</f>
        <v/>
      </c>
      <c r="C1642" t="str">
        <f>IF('تعديل الجرد'!C142="","",IF('تعديل الجرد'!G142="","-",'تعديل الجرد'!G142))</f>
        <v/>
      </c>
      <c r="D1642" t="str">
        <f>IF('تعديل الجرد'!C142="","",'تعديل الجرد'!C142)</f>
        <v/>
      </c>
      <c r="E1642" s="24" t="str">
        <f>IF('تعديل الجرد'!C142="","",'تعديل الجرد'!F142)</f>
        <v/>
      </c>
      <c r="F1642" t="str">
        <f>IF('تعديل الجرد'!C142="","",IF('تعديل الجرد'!H142="","",'تعديل الجرد'!H142))</f>
        <v/>
      </c>
      <c r="G1642" t="str">
        <f>IF($B1642&lt;&gt;"",SUMPRODUCT(($B$2:$B1642&lt;&gt;"")*1),"")</f>
        <v/>
      </c>
    </row>
    <row r="1643" spans="1:7">
      <c r="A1643" s="23" t="str">
        <f>IF('تعديل الجرد'!C143="","",'تعديل الجرد'!B143)</f>
        <v/>
      </c>
      <c r="B1643" t="str">
        <f>IF('تعديل الجرد'!C143="","","تعديل جرد")</f>
        <v/>
      </c>
      <c r="C1643" t="str">
        <f>IF('تعديل الجرد'!C143="","",IF('تعديل الجرد'!G143="","-",'تعديل الجرد'!G143))</f>
        <v/>
      </c>
      <c r="D1643" t="str">
        <f>IF('تعديل الجرد'!C143="","",'تعديل الجرد'!C143)</f>
        <v/>
      </c>
      <c r="E1643" s="24" t="str">
        <f>IF('تعديل الجرد'!C143="","",'تعديل الجرد'!F143)</f>
        <v/>
      </c>
      <c r="F1643" t="str">
        <f>IF('تعديل الجرد'!C143="","",IF('تعديل الجرد'!H143="","",'تعديل الجرد'!H143))</f>
        <v/>
      </c>
      <c r="G1643" t="str">
        <f>IF($B1643&lt;&gt;"",SUMPRODUCT(($B$2:$B1643&lt;&gt;"")*1),"")</f>
        <v/>
      </c>
    </row>
    <row r="1644" spans="1:7">
      <c r="A1644" s="23" t="str">
        <f>IF('تعديل الجرد'!C144="","",'تعديل الجرد'!B144)</f>
        <v/>
      </c>
      <c r="B1644" t="str">
        <f>IF('تعديل الجرد'!C144="","","تعديل جرد")</f>
        <v/>
      </c>
      <c r="C1644" t="str">
        <f>IF('تعديل الجرد'!C144="","",IF('تعديل الجرد'!G144="","-",'تعديل الجرد'!G144))</f>
        <v/>
      </c>
      <c r="D1644" t="str">
        <f>IF('تعديل الجرد'!C144="","",'تعديل الجرد'!C144)</f>
        <v/>
      </c>
      <c r="E1644" s="24" t="str">
        <f>IF('تعديل الجرد'!C144="","",'تعديل الجرد'!F144)</f>
        <v/>
      </c>
      <c r="F1644" t="str">
        <f>IF('تعديل الجرد'!C144="","",IF('تعديل الجرد'!H144="","",'تعديل الجرد'!H144))</f>
        <v/>
      </c>
      <c r="G1644" t="str">
        <f>IF($B1644&lt;&gt;"",SUMPRODUCT(($B$2:$B1644&lt;&gt;"")*1),"")</f>
        <v/>
      </c>
    </row>
    <row r="1645" spans="1:7">
      <c r="A1645" s="23" t="str">
        <f>IF('تعديل الجرد'!C145="","",'تعديل الجرد'!B145)</f>
        <v/>
      </c>
      <c r="B1645" t="str">
        <f>IF('تعديل الجرد'!C145="","","تعديل جرد")</f>
        <v/>
      </c>
      <c r="C1645" t="str">
        <f>IF('تعديل الجرد'!C145="","",IF('تعديل الجرد'!G145="","-",'تعديل الجرد'!G145))</f>
        <v/>
      </c>
      <c r="D1645" t="str">
        <f>IF('تعديل الجرد'!C145="","",'تعديل الجرد'!C145)</f>
        <v/>
      </c>
      <c r="E1645" s="24" t="str">
        <f>IF('تعديل الجرد'!C145="","",'تعديل الجرد'!F145)</f>
        <v/>
      </c>
      <c r="F1645" t="str">
        <f>IF('تعديل الجرد'!C145="","",IF('تعديل الجرد'!H145="","",'تعديل الجرد'!H145))</f>
        <v/>
      </c>
      <c r="G1645" t="str">
        <f>IF($B1645&lt;&gt;"",SUMPRODUCT(($B$2:$B1645&lt;&gt;"")*1),"")</f>
        <v/>
      </c>
    </row>
    <row r="1646" spans="1:7">
      <c r="A1646" s="23" t="str">
        <f>IF('تعديل الجرد'!C146="","",'تعديل الجرد'!B146)</f>
        <v/>
      </c>
      <c r="B1646" t="str">
        <f>IF('تعديل الجرد'!C146="","","تعديل جرد")</f>
        <v/>
      </c>
      <c r="C1646" t="str">
        <f>IF('تعديل الجرد'!C146="","",IF('تعديل الجرد'!G146="","-",'تعديل الجرد'!G146))</f>
        <v/>
      </c>
      <c r="D1646" t="str">
        <f>IF('تعديل الجرد'!C146="","",'تعديل الجرد'!C146)</f>
        <v/>
      </c>
      <c r="E1646" s="24" t="str">
        <f>IF('تعديل الجرد'!C146="","",'تعديل الجرد'!F146)</f>
        <v/>
      </c>
      <c r="F1646" t="str">
        <f>IF('تعديل الجرد'!C146="","",IF('تعديل الجرد'!H146="","",'تعديل الجرد'!H146))</f>
        <v/>
      </c>
      <c r="G1646" t="str">
        <f>IF($B1646&lt;&gt;"",SUMPRODUCT(($B$2:$B1646&lt;&gt;"")*1),"")</f>
        <v/>
      </c>
    </row>
    <row r="1647" spans="1:7">
      <c r="A1647" s="23" t="str">
        <f>IF('تعديل الجرد'!C147="","",'تعديل الجرد'!B147)</f>
        <v/>
      </c>
      <c r="B1647" t="str">
        <f>IF('تعديل الجرد'!C147="","","تعديل جرد")</f>
        <v/>
      </c>
      <c r="C1647" t="str">
        <f>IF('تعديل الجرد'!C147="","",IF('تعديل الجرد'!G147="","-",'تعديل الجرد'!G147))</f>
        <v/>
      </c>
      <c r="D1647" t="str">
        <f>IF('تعديل الجرد'!C147="","",'تعديل الجرد'!C147)</f>
        <v/>
      </c>
      <c r="E1647" s="24" t="str">
        <f>IF('تعديل الجرد'!C147="","",'تعديل الجرد'!F147)</f>
        <v/>
      </c>
      <c r="F1647" t="str">
        <f>IF('تعديل الجرد'!C147="","",IF('تعديل الجرد'!H147="","",'تعديل الجرد'!H147))</f>
        <v/>
      </c>
      <c r="G1647" t="str">
        <f>IF($B1647&lt;&gt;"",SUMPRODUCT(($B$2:$B1647&lt;&gt;"")*1),"")</f>
        <v/>
      </c>
    </row>
    <row r="1648" spans="1:7">
      <c r="A1648" s="23" t="str">
        <f>IF('تعديل الجرد'!C148="","",'تعديل الجرد'!B148)</f>
        <v/>
      </c>
      <c r="B1648" t="str">
        <f>IF('تعديل الجرد'!C148="","","تعديل جرد")</f>
        <v/>
      </c>
      <c r="C1648" t="str">
        <f>IF('تعديل الجرد'!C148="","",IF('تعديل الجرد'!G148="","-",'تعديل الجرد'!G148))</f>
        <v/>
      </c>
      <c r="D1648" t="str">
        <f>IF('تعديل الجرد'!C148="","",'تعديل الجرد'!C148)</f>
        <v/>
      </c>
      <c r="E1648" s="24" t="str">
        <f>IF('تعديل الجرد'!C148="","",'تعديل الجرد'!F148)</f>
        <v/>
      </c>
      <c r="F1648" t="str">
        <f>IF('تعديل الجرد'!C148="","",IF('تعديل الجرد'!H148="","",'تعديل الجرد'!H148))</f>
        <v/>
      </c>
      <c r="G1648" t="str">
        <f>IF($B1648&lt;&gt;"",SUMPRODUCT(($B$2:$B1648&lt;&gt;"")*1),"")</f>
        <v/>
      </c>
    </row>
    <row r="1649" spans="1:7">
      <c r="A1649" s="23" t="str">
        <f>IF('تعديل الجرد'!C149="","",'تعديل الجرد'!B149)</f>
        <v/>
      </c>
      <c r="B1649" t="str">
        <f>IF('تعديل الجرد'!C149="","","تعديل جرد")</f>
        <v/>
      </c>
      <c r="C1649" t="str">
        <f>IF('تعديل الجرد'!C149="","",IF('تعديل الجرد'!G149="","-",'تعديل الجرد'!G149))</f>
        <v/>
      </c>
      <c r="D1649" t="str">
        <f>IF('تعديل الجرد'!C149="","",'تعديل الجرد'!C149)</f>
        <v/>
      </c>
      <c r="E1649" s="24" t="str">
        <f>IF('تعديل الجرد'!C149="","",'تعديل الجرد'!F149)</f>
        <v/>
      </c>
      <c r="F1649" t="str">
        <f>IF('تعديل الجرد'!C149="","",IF('تعديل الجرد'!H149="","",'تعديل الجرد'!H149))</f>
        <v/>
      </c>
      <c r="G1649" t="str">
        <f>IF($B1649&lt;&gt;"",SUMPRODUCT(($B$2:$B1649&lt;&gt;"")*1),"")</f>
        <v/>
      </c>
    </row>
    <row r="1650" spans="1:7">
      <c r="A1650" s="23" t="str">
        <f>IF('تعديل الجرد'!C150="","",'تعديل الجرد'!B150)</f>
        <v/>
      </c>
      <c r="B1650" t="str">
        <f>IF('تعديل الجرد'!C150="","","تعديل جرد")</f>
        <v/>
      </c>
      <c r="C1650" t="str">
        <f>IF('تعديل الجرد'!C150="","",IF('تعديل الجرد'!G150="","-",'تعديل الجرد'!G150))</f>
        <v/>
      </c>
      <c r="D1650" t="str">
        <f>IF('تعديل الجرد'!C150="","",'تعديل الجرد'!C150)</f>
        <v/>
      </c>
      <c r="E1650" s="24" t="str">
        <f>IF('تعديل الجرد'!C150="","",'تعديل الجرد'!F150)</f>
        <v/>
      </c>
      <c r="F1650" t="str">
        <f>IF('تعديل الجرد'!C150="","",IF('تعديل الجرد'!H150="","",'تعديل الجرد'!H150))</f>
        <v/>
      </c>
      <c r="G1650" t="str">
        <f>IF($B1650&lt;&gt;"",SUMPRODUCT(($B$2:$B1650&lt;&gt;"")*1),"")</f>
        <v/>
      </c>
    </row>
    <row r="1651" spans="1:7">
      <c r="A1651" s="23" t="str">
        <f>IF('تعديل الجرد'!C151="","",'تعديل الجرد'!B151)</f>
        <v/>
      </c>
      <c r="B1651" t="str">
        <f>IF('تعديل الجرد'!C151="","","تعديل جرد")</f>
        <v/>
      </c>
      <c r="C1651" t="str">
        <f>IF('تعديل الجرد'!C151="","",IF('تعديل الجرد'!G151="","-",'تعديل الجرد'!G151))</f>
        <v/>
      </c>
      <c r="D1651" t="str">
        <f>IF('تعديل الجرد'!C151="","",'تعديل الجرد'!C151)</f>
        <v/>
      </c>
      <c r="E1651" s="24" t="str">
        <f>IF('تعديل الجرد'!C151="","",'تعديل الجرد'!F151)</f>
        <v/>
      </c>
      <c r="F1651" t="str">
        <f>IF('تعديل الجرد'!C151="","",IF('تعديل الجرد'!H151="","",'تعديل الجرد'!H151))</f>
        <v/>
      </c>
      <c r="G1651" t="str">
        <f>IF($B1651&lt;&gt;"",SUMPRODUCT(($B$2:$B1651&lt;&gt;"")*1),"")</f>
        <v/>
      </c>
    </row>
    <row r="1652" spans="1:7">
      <c r="A1652" s="23" t="str">
        <f>IF('تعديل الجرد'!C152="","",'تعديل الجرد'!B152)</f>
        <v/>
      </c>
      <c r="B1652" t="str">
        <f>IF('تعديل الجرد'!C152="","","تعديل جرد")</f>
        <v/>
      </c>
      <c r="C1652" t="str">
        <f>IF('تعديل الجرد'!C152="","",IF('تعديل الجرد'!G152="","-",'تعديل الجرد'!G152))</f>
        <v/>
      </c>
      <c r="D1652" t="str">
        <f>IF('تعديل الجرد'!C152="","",'تعديل الجرد'!C152)</f>
        <v/>
      </c>
      <c r="E1652" s="24" t="str">
        <f>IF('تعديل الجرد'!C152="","",'تعديل الجرد'!F152)</f>
        <v/>
      </c>
      <c r="F1652" t="str">
        <f>IF('تعديل الجرد'!C152="","",IF('تعديل الجرد'!H152="","",'تعديل الجرد'!H152))</f>
        <v/>
      </c>
      <c r="G1652" t="str">
        <f>IF($B1652&lt;&gt;"",SUMPRODUCT(($B$2:$B1652&lt;&gt;"")*1),"")</f>
        <v/>
      </c>
    </row>
    <row r="1653" spans="1:7">
      <c r="A1653" s="23" t="str">
        <f>IF('تعديل الجرد'!C153="","",'تعديل الجرد'!B153)</f>
        <v/>
      </c>
      <c r="B1653" t="str">
        <f>IF('تعديل الجرد'!C153="","","تعديل جرد")</f>
        <v/>
      </c>
      <c r="C1653" t="str">
        <f>IF('تعديل الجرد'!C153="","",IF('تعديل الجرد'!G153="","-",'تعديل الجرد'!G153))</f>
        <v/>
      </c>
      <c r="D1653" t="str">
        <f>IF('تعديل الجرد'!C153="","",'تعديل الجرد'!C153)</f>
        <v/>
      </c>
      <c r="E1653" s="24" t="str">
        <f>IF('تعديل الجرد'!C153="","",'تعديل الجرد'!F153)</f>
        <v/>
      </c>
      <c r="F1653" t="str">
        <f>IF('تعديل الجرد'!C153="","",IF('تعديل الجرد'!H153="","",'تعديل الجرد'!H153))</f>
        <v/>
      </c>
      <c r="G1653" t="str">
        <f>IF($B1653&lt;&gt;"",SUMPRODUCT(($B$2:$B1653&lt;&gt;"")*1),"")</f>
        <v/>
      </c>
    </row>
    <row r="1654" spans="1:7">
      <c r="A1654" s="23" t="str">
        <f>IF('تعديل الجرد'!C154="","",'تعديل الجرد'!B154)</f>
        <v/>
      </c>
      <c r="B1654" t="str">
        <f>IF('تعديل الجرد'!C154="","","تعديل جرد")</f>
        <v/>
      </c>
      <c r="C1654" t="str">
        <f>IF('تعديل الجرد'!C154="","",IF('تعديل الجرد'!G154="","-",'تعديل الجرد'!G154))</f>
        <v/>
      </c>
      <c r="D1654" t="str">
        <f>IF('تعديل الجرد'!C154="","",'تعديل الجرد'!C154)</f>
        <v/>
      </c>
      <c r="E1654" s="24" t="str">
        <f>IF('تعديل الجرد'!C154="","",'تعديل الجرد'!F154)</f>
        <v/>
      </c>
      <c r="F1654" t="str">
        <f>IF('تعديل الجرد'!C154="","",IF('تعديل الجرد'!H154="","",'تعديل الجرد'!H154))</f>
        <v/>
      </c>
      <c r="G1654" t="str">
        <f>IF($B1654&lt;&gt;"",SUMPRODUCT(($B$2:$B1654&lt;&gt;"")*1),"")</f>
        <v/>
      </c>
    </row>
    <row r="1655" spans="1:7">
      <c r="A1655" s="23" t="str">
        <f>IF('تعديل الجرد'!C155="","",'تعديل الجرد'!B155)</f>
        <v/>
      </c>
      <c r="B1655" t="str">
        <f>IF('تعديل الجرد'!C155="","","تعديل جرد")</f>
        <v/>
      </c>
      <c r="C1655" t="str">
        <f>IF('تعديل الجرد'!C155="","",IF('تعديل الجرد'!G155="","-",'تعديل الجرد'!G155))</f>
        <v/>
      </c>
      <c r="D1655" t="str">
        <f>IF('تعديل الجرد'!C155="","",'تعديل الجرد'!C155)</f>
        <v/>
      </c>
      <c r="E1655" s="24" t="str">
        <f>IF('تعديل الجرد'!C155="","",'تعديل الجرد'!F155)</f>
        <v/>
      </c>
      <c r="F1655" t="str">
        <f>IF('تعديل الجرد'!C155="","",IF('تعديل الجرد'!H155="","",'تعديل الجرد'!H155))</f>
        <v/>
      </c>
      <c r="G1655" t="str">
        <f>IF($B1655&lt;&gt;"",SUMPRODUCT(($B$2:$B1655&lt;&gt;"")*1),"")</f>
        <v/>
      </c>
    </row>
    <row r="1656" spans="1:7">
      <c r="A1656" s="23" t="str">
        <f>IF('تعديل الجرد'!C156="","",'تعديل الجرد'!B156)</f>
        <v/>
      </c>
      <c r="B1656" t="str">
        <f>IF('تعديل الجرد'!C156="","","تعديل جرد")</f>
        <v/>
      </c>
      <c r="C1656" t="str">
        <f>IF('تعديل الجرد'!C156="","",IF('تعديل الجرد'!G156="","-",'تعديل الجرد'!G156))</f>
        <v/>
      </c>
      <c r="D1656" t="str">
        <f>IF('تعديل الجرد'!C156="","",'تعديل الجرد'!C156)</f>
        <v/>
      </c>
      <c r="E1656" s="24" t="str">
        <f>IF('تعديل الجرد'!C156="","",'تعديل الجرد'!F156)</f>
        <v/>
      </c>
      <c r="F1656" t="str">
        <f>IF('تعديل الجرد'!C156="","",IF('تعديل الجرد'!H156="","",'تعديل الجرد'!H156))</f>
        <v/>
      </c>
      <c r="G1656" t="str">
        <f>IF($B1656&lt;&gt;"",SUMPRODUCT(($B$2:$B1656&lt;&gt;"")*1),"")</f>
        <v/>
      </c>
    </row>
    <row r="1657" spans="1:7">
      <c r="A1657" s="23" t="str">
        <f>IF('تعديل الجرد'!C157="","",'تعديل الجرد'!B157)</f>
        <v/>
      </c>
      <c r="B1657" t="str">
        <f>IF('تعديل الجرد'!C157="","","تعديل جرد")</f>
        <v/>
      </c>
      <c r="C1657" t="str">
        <f>IF('تعديل الجرد'!C157="","",IF('تعديل الجرد'!G157="","-",'تعديل الجرد'!G157))</f>
        <v/>
      </c>
      <c r="D1657" t="str">
        <f>IF('تعديل الجرد'!C157="","",'تعديل الجرد'!C157)</f>
        <v/>
      </c>
      <c r="E1657" s="24" t="str">
        <f>IF('تعديل الجرد'!C157="","",'تعديل الجرد'!F157)</f>
        <v/>
      </c>
      <c r="F1657" t="str">
        <f>IF('تعديل الجرد'!C157="","",IF('تعديل الجرد'!H157="","",'تعديل الجرد'!H157))</f>
        <v/>
      </c>
      <c r="G1657" t="str">
        <f>IF($B1657&lt;&gt;"",SUMPRODUCT(($B$2:$B1657&lt;&gt;"")*1),"")</f>
        <v/>
      </c>
    </row>
    <row r="1658" spans="1:7">
      <c r="A1658" s="23" t="str">
        <f>IF('تعديل الجرد'!C158="","",'تعديل الجرد'!B158)</f>
        <v/>
      </c>
      <c r="B1658" t="str">
        <f>IF('تعديل الجرد'!C158="","","تعديل جرد")</f>
        <v/>
      </c>
      <c r="C1658" t="str">
        <f>IF('تعديل الجرد'!C158="","",IF('تعديل الجرد'!G158="","-",'تعديل الجرد'!G158))</f>
        <v/>
      </c>
      <c r="D1658" t="str">
        <f>IF('تعديل الجرد'!C158="","",'تعديل الجرد'!C158)</f>
        <v/>
      </c>
      <c r="E1658" s="24" t="str">
        <f>IF('تعديل الجرد'!C158="","",'تعديل الجرد'!F158)</f>
        <v/>
      </c>
      <c r="F1658" t="str">
        <f>IF('تعديل الجرد'!C158="","",IF('تعديل الجرد'!H158="","",'تعديل الجرد'!H158))</f>
        <v/>
      </c>
      <c r="G1658" t="str">
        <f>IF($B1658&lt;&gt;"",SUMPRODUCT(($B$2:$B1658&lt;&gt;"")*1),"")</f>
        <v/>
      </c>
    </row>
    <row r="1659" spans="1:7">
      <c r="A1659" s="23" t="str">
        <f>IF('تعديل الجرد'!C159="","",'تعديل الجرد'!B159)</f>
        <v/>
      </c>
      <c r="B1659" t="str">
        <f>IF('تعديل الجرد'!C159="","","تعديل جرد")</f>
        <v/>
      </c>
      <c r="C1659" t="str">
        <f>IF('تعديل الجرد'!C159="","",IF('تعديل الجرد'!G159="","-",'تعديل الجرد'!G159))</f>
        <v/>
      </c>
      <c r="D1659" t="str">
        <f>IF('تعديل الجرد'!C159="","",'تعديل الجرد'!C159)</f>
        <v/>
      </c>
      <c r="E1659" s="24" t="str">
        <f>IF('تعديل الجرد'!C159="","",'تعديل الجرد'!F159)</f>
        <v/>
      </c>
      <c r="F1659" t="str">
        <f>IF('تعديل الجرد'!C159="","",IF('تعديل الجرد'!H159="","",'تعديل الجرد'!H159))</f>
        <v/>
      </c>
      <c r="G1659" t="str">
        <f>IF($B1659&lt;&gt;"",SUMPRODUCT(($B$2:$B1659&lt;&gt;"")*1),"")</f>
        <v/>
      </c>
    </row>
    <row r="1660" spans="1:7">
      <c r="A1660" s="23" t="str">
        <f>IF('تعديل الجرد'!C160="","",'تعديل الجرد'!B160)</f>
        <v/>
      </c>
      <c r="B1660" t="str">
        <f>IF('تعديل الجرد'!C160="","","تعديل جرد")</f>
        <v/>
      </c>
      <c r="C1660" t="str">
        <f>IF('تعديل الجرد'!C160="","",IF('تعديل الجرد'!G160="","-",'تعديل الجرد'!G160))</f>
        <v/>
      </c>
      <c r="D1660" t="str">
        <f>IF('تعديل الجرد'!C160="","",'تعديل الجرد'!C160)</f>
        <v/>
      </c>
      <c r="E1660" s="24" t="str">
        <f>IF('تعديل الجرد'!C160="","",'تعديل الجرد'!F160)</f>
        <v/>
      </c>
      <c r="F1660" t="str">
        <f>IF('تعديل الجرد'!C160="","",IF('تعديل الجرد'!H160="","",'تعديل الجرد'!H160))</f>
        <v/>
      </c>
      <c r="G1660" t="str">
        <f>IF($B1660&lt;&gt;"",SUMPRODUCT(($B$2:$B1660&lt;&gt;"")*1),"")</f>
        <v/>
      </c>
    </row>
    <row r="1661" spans="1:7">
      <c r="A1661" s="23" t="str">
        <f>IF('تعديل الجرد'!C161="","",'تعديل الجرد'!B161)</f>
        <v/>
      </c>
      <c r="B1661" t="str">
        <f>IF('تعديل الجرد'!C161="","","تعديل جرد")</f>
        <v/>
      </c>
      <c r="C1661" t="str">
        <f>IF('تعديل الجرد'!C161="","",IF('تعديل الجرد'!G161="","-",'تعديل الجرد'!G161))</f>
        <v/>
      </c>
      <c r="D1661" t="str">
        <f>IF('تعديل الجرد'!C161="","",'تعديل الجرد'!C161)</f>
        <v/>
      </c>
      <c r="E1661" s="24" t="str">
        <f>IF('تعديل الجرد'!C161="","",'تعديل الجرد'!F161)</f>
        <v/>
      </c>
      <c r="F1661" t="str">
        <f>IF('تعديل الجرد'!C161="","",IF('تعديل الجرد'!H161="","",'تعديل الجرد'!H161))</f>
        <v/>
      </c>
      <c r="G1661" t="str">
        <f>IF($B1661&lt;&gt;"",SUMPRODUCT(($B$2:$B1661&lt;&gt;"")*1),"")</f>
        <v/>
      </c>
    </row>
    <row r="1662" spans="1:7">
      <c r="A1662" s="23" t="str">
        <f>IF('تعديل الجرد'!C162="","",'تعديل الجرد'!B162)</f>
        <v/>
      </c>
      <c r="B1662" t="str">
        <f>IF('تعديل الجرد'!C162="","","تعديل جرد")</f>
        <v/>
      </c>
      <c r="C1662" t="str">
        <f>IF('تعديل الجرد'!C162="","",IF('تعديل الجرد'!G162="","-",'تعديل الجرد'!G162))</f>
        <v/>
      </c>
      <c r="D1662" t="str">
        <f>IF('تعديل الجرد'!C162="","",'تعديل الجرد'!C162)</f>
        <v/>
      </c>
      <c r="E1662" s="24" t="str">
        <f>IF('تعديل الجرد'!C162="","",'تعديل الجرد'!F162)</f>
        <v/>
      </c>
      <c r="F1662" t="str">
        <f>IF('تعديل الجرد'!C162="","",IF('تعديل الجرد'!H162="","",'تعديل الجرد'!H162))</f>
        <v/>
      </c>
      <c r="G1662" t="str">
        <f>IF($B1662&lt;&gt;"",SUMPRODUCT(($B$2:$B1662&lt;&gt;"")*1),"")</f>
        <v/>
      </c>
    </row>
    <row r="1663" spans="1:7">
      <c r="A1663" s="23" t="str">
        <f>IF('تعديل الجرد'!C163="","",'تعديل الجرد'!B163)</f>
        <v/>
      </c>
      <c r="B1663" t="str">
        <f>IF('تعديل الجرد'!C163="","","تعديل جرد")</f>
        <v/>
      </c>
      <c r="C1663" t="str">
        <f>IF('تعديل الجرد'!C163="","",IF('تعديل الجرد'!G163="","-",'تعديل الجرد'!G163))</f>
        <v/>
      </c>
      <c r="D1663" t="str">
        <f>IF('تعديل الجرد'!C163="","",'تعديل الجرد'!C163)</f>
        <v/>
      </c>
      <c r="E1663" s="24" t="str">
        <f>IF('تعديل الجرد'!C163="","",'تعديل الجرد'!F163)</f>
        <v/>
      </c>
      <c r="F1663" t="str">
        <f>IF('تعديل الجرد'!C163="","",IF('تعديل الجرد'!H163="","",'تعديل الجرد'!H163))</f>
        <v/>
      </c>
      <c r="G1663" t="str">
        <f>IF($B1663&lt;&gt;"",SUMPRODUCT(($B$2:$B1663&lt;&gt;"")*1),"")</f>
        <v/>
      </c>
    </row>
    <row r="1664" spans="1:7">
      <c r="A1664" s="23" t="str">
        <f>IF('تعديل الجرد'!C164="","",'تعديل الجرد'!B164)</f>
        <v/>
      </c>
      <c r="B1664" t="str">
        <f>IF('تعديل الجرد'!C164="","","تعديل جرد")</f>
        <v/>
      </c>
      <c r="C1664" t="str">
        <f>IF('تعديل الجرد'!C164="","",IF('تعديل الجرد'!G164="","-",'تعديل الجرد'!G164))</f>
        <v/>
      </c>
      <c r="D1664" t="str">
        <f>IF('تعديل الجرد'!C164="","",'تعديل الجرد'!C164)</f>
        <v/>
      </c>
      <c r="E1664" s="24" t="str">
        <f>IF('تعديل الجرد'!C164="","",'تعديل الجرد'!F164)</f>
        <v/>
      </c>
      <c r="F1664" t="str">
        <f>IF('تعديل الجرد'!C164="","",IF('تعديل الجرد'!H164="","",'تعديل الجرد'!H164))</f>
        <v/>
      </c>
      <c r="G1664" t="str">
        <f>IF($B1664&lt;&gt;"",SUMPRODUCT(($B$2:$B1664&lt;&gt;"")*1),"")</f>
        <v/>
      </c>
    </row>
    <row r="1665" spans="1:7">
      <c r="A1665" s="23" t="str">
        <f>IF('تعديل الجرد'!C165="","",'تعديل الجرد'!B165)</f>
        <v/>
      </c>
      <c r="B1665" t="str">
        <f>IF('تعديل الجرد'!C165="","","تعديل جرد")</f>
        <v/>
      </c>
      <c r="C1665" t="str">
        <f>IF('تعديل الجرد'!C165="","",IF('تعديل الجرد'!G165="","-",'تعديل الجرد'!G165))</f>
        <v/>
      </c>
      <c r="D1665" t="str">
        <f>IF('تعديل الجرد'!C165="","",'تعديل الجرد'!C165)</f>
        <v/>
      </c>
      <c r="E1665" s="24" t="str">
        <f>IF('تعديل الجرد'!C165="","",'تعديل الجرد'!F165)</f>
        <v/>
      </c>
      <c r="F1665" t="str">
        <f>IF('تعديل الجرد'!C165="","",IF('تعديل الجرد'!H165="","",'تعديل الجرد'!H165))</f>
        <v/>
      </c>
      <c r="G1665" t="str">
        <f>IF($B1665&lt;&gt;"",SUMPRODUCT(($B$2:$B1665&lt;&gt;"")*1),"")</f>
        <v/>
      </c>
    </row>
    <row r="1666" spans="1:7">
      <c r="A1666" s="23" t="str">
        <f>IF('تعديل الجرد'!C166="","",'تعديل الجرد'!B166)</f>
        <v/>
      </c>
      <c r="B1666" t="str">
        <f>IF('تعديل الجرد'!C166="","","تعديل جرد")</f>
        <v/>
      </c>
      <c r="C1666" t="str">
        <f>IF('تعديل الجرد'!C166="","",IF('تعديل الجرد'!G166="","-",'تعديل الجرد'!G166))</f>
        <v/>
      </c>
      <c r="D1666" t="str">
        <f>IF('تعديل الجرد'!C166="","",'تعديل الجرد'!C166)</f>
        <v/>
      </c>
      <c r="E1666" s="24" t="str">
        <f>IF('تعديل الجرد'!C166="","",'تعديل الجرد'!F166)</f>
        <v/>
      </c>
      <c r="F1666" t="str">
        <f>IF('تعديل الجرد'!C166="","",IF('تعديل الجرد'!H166="","",'تعديل الجرد'!H166))</f>
        <v/>
      </c>
      <c r="G1666" t="str">
        <f>IF($B1666&lt;&gt;"",SUMPRODUCT(($B$2:$B1666&lt;&gt;"")*1),"")</f>
        <v/>
      </c>
    </row>
    <row r="1667" spans="1:7">
      <c r="A1667" s="23" t="str">
        <f>IF('تعديل الجرد'!C167="","",'تعديل الجرد'!B167)</f>
        <v/>
      </c>
      <c r="B1667" t="str">
        <f>IF('تعديل الجرد'!C167="","","تعديل جرد")</f>
        <v/>
      </c>
      <c r="C1667" t="str">
        <f>IF('تعديل الجرد'!C167="","",IF('تعديل الجرد'!G167="","-",'تعديل الجرد'!G167))</f>
        <v/>
      </c>
      <c r="D1667" t="str">
        <f>IF('تعديل الجرد'!C167="","",'تعديل الجرد'!C167)</f>
        <v/>
      </c>
      <c r="E1667" s="24" t="str">
        <f>IF('تعديل الجرد'!C167="","",'تعديل الجرد'!F167)</f>
        <v/>
      </c>
      <c r="F1667" t="str">
        <f>IF('تعديل الجرد'!C167="","",IF('تعديل الجرد'!H167="","",'تعديل الجرد'!H167))</f>
        <v/>
      </c>
      <c r="G1667" t="str">
        <f>IF($B1667&lt;&gt;"",SUMPRODUCT(($B$2:$B1667&lt;&gt;"")*1),"")</f>
        <v/>
      </c>
    </row>
    <row r="1668" spans="1:7">
      <c r="A1668" s="23" t="str">
        <f>IF('تعديل الجرد'!C168="","",'تعديل الجرد'!B168)</f>
        <v/>
      </c>
      <c r="B1668" t="str">
        <f>IF('تعديل الجرد'!C168="","","تعديل جرد")</f>
        <v/>
      </c>
      <c r="C1668" t="str">
        <f>IF('تعديل الجرد'!C168="","",IF('تعديل الجرد'!G168="","-",'تعديل الجرد'!G168))</f>
        <v/>
      </c>
      <c r="D1668" t="str">
        <f>IF('تعديل الجرد'!C168="","",'تعديل الجرد'!C168)</f>
        <v/>
      </c>
      <c r="E1668" s="24" t="str">
        <f>IF('تعديل الجرد'!C168="","",'تعديل الجرد'!F168)</f>
        <v/>
      </c>
      <c r="F1668" t="str">
        <f>IF('تعديل الجرد'!C168="","",IF('تعديل الجرد'!H168="","",'تعديل الجرد'!H168))</f>
        <v/>
      </c>
      <c r="G1668" t="str">
        <f>IF($B1668&lt;&gt;"",SUMPRODUCT(($B$2:$B1668&lt;&gt;"")*1),"")</f>
        <v/>
      </c>
    </row>
    <row r="1669" spans="1:7">
      <c r="A1669" s="23" t="str">
        <f>IF('تعديل الجرد'!C169="","",'تعديل الجرد'!B169)</f>
        <v/>
      </c>
      <c r="B1669" t="str">
        <f>IF('تعديل الجرد'!C169="","","تعديل جرد")</f>
        <v/>
      </c>
      <c r="C1669" t="str">
        <f>IF('تعديل الجرد'!C169="","",IF('تعديل الجرد'!G169="","-",'تعديل الجرد'!G169))</f>
        <v/>
      </c>
      <c r="D1669" t="str">
        <f>IF('تعديل الجرد'!C169="","",'تعديل الجرد'!C169)</f>
        <v/>
      </c>
      <c r="E1669" s="24" t="str">
        <f>IF('تعديل الجرد'!C169="","",'تعديل الجرد'!F169)</f>
        <v/>
      </c>
      <c r="F1669" t="str">
        <f>IF('تعديل الجرد'!C169="","",IF('تعديل الجرد'!H169="","",'تعديل الجرد'!H169))</f>
        <v/>
      </c>
      <c r="G1669" t="str">
        <f>IF($B1669&lt;&gt;"",SUMPRODUCT(($B$2:$B1669&lt;&gt;"")*1),"")</f>
        <v/>
      </c>
    </row>
    <row r="1670" spans="1:7">
      <c r="A1670" s="23" t="str">
        <f>IF('تعديل الجرد'!C170="","",'تعديل الجرد'!B170)</f>
        <v/>
      </c>
      <c r="B1670" t="str">
        <f>IF('تعديل الجرد'!C170="","","تعديل جرد")</f>
        <v/>
      </c>
      <c r="C1670" t="str">
        <f>IF('تعديل الجرد'!C170="","",IF('تعديل الجرد'!G170="","-",'تعديل الجرد'!G170))</f>
        <v/>
      </c>
      <c r="D1670" t="str">
        <f>IF('تعديل الجرد'!C170="","",'تعديل الجرد'!C170)</f>
        <v/>
      </c>
      <c r="E1670" s="24" t="str">
        <f>IF('تعديل الجرد'!C170="","",'تعديل الجرد'!F170)</f>
        <v/>
      </c>
      <c r="F1670" t="str">
        <f>IF('تعديل الجرد'!C170="","",IF('تعديل الجرد'!H170="","",'تعديل الجرد'!H170))</f>
        <v/>
      </c>
      <c r="G1670" t="str">
        <f>IF($B1670&lt;&gt;"",SUMPRODUCT(($B$2:$B1670&lt;&gt;"")*1),"")</f>
        <v/>
      </c>
    </row>
    <row r="1671" spans="1:7">
      <c r="A1671" s="23" t="str">
        <f>IF('تعديل الجرد'!C171="","",'تعديل الجرد'!B171)</f>
        <v/>
      </c>
      <c r="B1671" t="str">
        <f>IF('تعديل الجرد'!C171="","","تعديل جرد")</f>
        <v/>
      </c>
      <c r="C1671" t="str">
        <f>IF('تعديل الجرد'!C171="","",IF('تعديل الجرد'!G171="","-",'تعديل الجرد'!G171))</f>
        <v/>
      </c>
      <c r="D1671" t="str">
        <f>IF('تعديل الجرد'!C171="","",'تعديل الجرد'!C171)</f>
        <v/>
      </c>
      <c r="E1671" s="24" t="str">
        <f>IF('تعديل الجرد'!C171="","",'تعديل الجرد'!F171)</f>
        <v/>
      </c>
      <c r="F1671" t="str">
        <f>IF('تعديل الجرد'!C171="","",IF('تعديل الجرد'!H171="","",'تعديل الجرد'!H171))</f>
        <v/>
      </c>
      <c r="G1671" t="str">
        <f>IF($B1671&lt;&gt;"",SUMPRODUCT(($B$2:$B1671&lt;&gt;"")*1),"")</f>
        <v/>
      </c>
    </row>
    <row r="1672" spans="1:7">
      <c r="A1672" s="23" t="str">
        <f>IF('تعديل الجرد'!C172="","",'تعديل الجرد'!B172)</f>
        <v/>
      </c>
      <c r="B1672" t="str">
        <f>IF('تعديل الجرد'!C172="","","تعديل جرد")</f>
        <v/>
      </c>
      <c r="C1672" t="str">
        <f>IF('تعديل الجرد'!C172="","",IF('تعديل الجرد'!G172="","-",'تعديل الجرد'!G172))</f>
        <v/>
      </c>
      <c r="D1672" t="str">
        <f>IF('تعديل الجرد'!C172="","",'تعديل الجرد'!C172)</f>
        <v/>
      </c>
      <c r="E1672" s="24" t="str">
        <f>IF('تعديل الجرد'!C172="","",'تعديل الجرد'!F172)</f>
        <v/>
      </c>
      <c r="F1672" t="str">
        <f>IF('تعديل الجرد'!C172="","",IF('تعديل الجرد'!H172="","",'تعديل الجرد'!H172))</f>
        <v/>
      </c>
      <c r="G1672" t="str">
        <f>IF($B1672&lt;&gt;"",SUMPRODUCT(($B$2:$B1672&lt;&gt;"")*1),"")</f>
        <v/>
      </c>
    </row>
    <row r="1673" spans="1:7">
      <c r="A1673" s="23" t="str">
        <f>IF('تعديل الجرد'!C173="","",'تعديل الجرد'!B173)</f>
        <v/>
      </c>
      <c r="B1673" t="str">
        <f>IF('تعديل الجرد'!C173="","","تعديل جرد")</f>
        <v/>
      </c>
      <c r="C1673" t="str">
        <f>IF('تعديل الجرد'!C173="","",IF('تعديل الجرد'!G173="","-",'تعديل الجرد'!G173))</f>
        <v/>
      </c>
      <c r="D1673" t="str">
        <f>IF('تعديل الجرد'!C173="","",'تعديل الجرد'!C173)</f>
        <v/>
      </c>
      <c r="E1673" s="24" t="str">
        <f>IF('تعديل الجرد'!C173="","",'تعديل الجرد'!F173)</f>
        <v/>
      </c>
      <c r="F1673" t="str">
        <f>IF('تعديل الجرد'!C173="","",IF('تعديل الجرد'!H173="","",'تعديل الجرد'!H173))</f>
        <v/>
      </c>
      <c r="G1673" t="str">
        <f>IF($B1673&lt;&gt;"",SUMPRODUCT(($B$2:$B1673&lt;&gt;"")*1),"")</f>
        <v/>
      </c>
    </row>
    <row r="1674" spans="1:7">
      <c r="A1674" s="23" t="str">
        <f>IF('تعديل الجرد'!C174="","",'تعديل الجرد'!B174)</f>
        <v/>
      </c>
      <c r="B1674" t="str">
        <f>IF('تعديل الجرد'!C174="","","تعديل جرد")</f>
        <v/>
      </c>
      <c r="C1674" t="str">
        <f>IF('تعديل الجرد'!C174="","",IF('تعديل الجرد'!G174="","-",'تعديل الجرد'!G174))</f>
        <v/>
      </c>
      <c r="D1674" t="str">
        <f>IF('تعديل الجرد'!C174="","",'تعديل الجرد'!C174)</f>
        <v/>
      </c>
      <c r="E1674" s="24" t="str">
        <f>IF('تعديل الجرد'!C174="","",'تعديل الجرد'!F174)</f>
        <v/>
      </c>
      <c r="F1674" t="str">
        <f>IF('تعديل الجرد'!C174="","",IF('تعديل الجرد'!H174="","",'تعديل الجرد'!H174))</f>
        <v/>
      </c>
      <c r="G1674" t="str">
        <f>IF($B1674&lt;&gt;"",SUMPRODUCT(($B$2:$B1674&lt;&gt;"")*1),"")</f>
        <v/>
      </c>
    </row>
    <row r="1675" spans="1:7">
      <c r="A1675" s="23" t="str">
        <f>IF('تعديل الجرد'!C175="","",'تعديل الجرد'!B175)</f>
        <v/>
      </c>
      <c r="B1675" t="str">
        <f>IF('تعديل الجرد'!C175="","","تعديل جرد")</f>
        <v/>
      </c>
      <c r="C1675" t="str">
        <f>IF('تعديل الجرد'!C175="","",IF('تعديل الجرد'!G175="","-",'تعديل الجرد'!G175))</f>
        <v/>
      </c>
      <c r="D1675" t="str">
        <f>IF('تعديل الجرد'!C175="","",'تعديل الجرد'!C175)</f>
        <v/>
      </c>
      <c r="E1675" s="24" t="str">
        <f>IF('تعديل الجرد'!C175="","",'تعديل الجرد'!F175)</f>
        <v/>
      </c>
      <c r="F1675" t="str">
        <f>IF('تعديل الجرد'!C175="","",IF('تعديل الجرد'!H175="","",'تعديل الجرد'!H175))</f>
        <v/>
      </c>
      <c r="G1675" t="str">
        <f>IF($B1675&lt;&gt;"",SUMPRODUCT(($B$2:$B1675&lt;&gt;"")*1),"")</f>
        <v/>
      </c>
    </row>
    <row r="1676" spans="1:7">
      <c r="A1676" s="23" t="str">
        <f>IF('تعديل الجرد'!C176="","",'تعديل الجرد'!B176)</f>
        <v/>
      </c>
      <c r="B1676" t="str">
        <f>IF('تعديل الجرد'!C176="","","تعديل جرد")</f>
        <v/>
      </c>
      <c r="C1676" t="str">
        <f>IF('تعديل الجرد'!C176="","",IF('تعديل الجرد'!G176="","-",'تعديل الجرد'!G176))</f>
        <v/>
      </c>
      <c r="D1676" t="str">
        <f>IF('تعديل الجرد'!C176="","",'تعديل الجرد'!C176)</f>
        <v/>
      </c>
      <c r="E1676" s="24" t="str">
        <f>IF('تعديل الجرد'!C176="","",'تعديل الجرد'!F176)</f>
        <v/>
      </c>
      <c r="F1676" t="str">
        <f>IF('تعديل الجرد'!C176="","",IF('تعديل الجرد'!H176="","",'تعديل الجرد'!H176))</f>
        <v/>
      </c>
      <c r="G1676" t="str">
        <f>IF($B1676&lt;&gt;"",SUMPRODUCT(($B$2:$B1676&lt;&gt;"")*1),"")</f>
        <v/>
      </c>
    </row>
    <row r="1677" spans="1:7">
      <c r="A1677" s="23" t="str">
        <f>IF('تعديل الجرد'!C177="","",'تعديل الجرد'!B177)</f>
        <v/>
      </c>
      <c r="B1677" t="str">
        <f>IF('تعديل الجرد'!C177="","","تعديل جرد")</f>
        <v/>
      </c>
      <c r="C1677" t="str">
        <f>IF('تعديل الجرد'!C177="","",IF('تعديل الجرد'!G177="","-",'تعديل الجرد'!G177))</f>
        <v/>
      </c>
      <c r="D1677" t="str">
        <f>IF('تعديل الجرد'!C177="","",'تعديل الجرد'!C177)</f>
        <v/>
      </c>
      <c r="E1677" s="24" t="str">
        <f>IF('تعديل الجرد'!C177="","",'تعديل الجرد'!F177)</f>
        <v/>
      </c>
      <c r="F1677" t="str">
        <f>IF('تعديل الجرد'!C177="","",IF('تعديل الجرد'!H177="","",'تعديل الجرد'!H177))</f>
        <v/>
      </c>
      <c r="G1677" t="str">
        <f>IF($B1677&lt;&gt;"",SUMPRODUCT(($B$2:$B1677&lt;&gt;"")*1),"")</f>
        <v/>
      </c>
    </row>
    <row r="1678" spans="1:7">
      <c r="A1678" s="23" t="str">
        <f>IF('تعديل الجرد'!C178="","",'تعديل الجرد'!B178)</f>
        <v/>
      </c>
      <c r="B1678" t="str">
        <f>IF('تعديل الجرد'!C178="","","تعديل جرد")</f>
        <v/>
      </c>
      <c r="C1678" t="str">
        <f>IF('تعديل الجرد'!C178="","",IF('تعديل الجرد'!G178="","-",'تعديل الجرد'!G178))</f>
        <v/>
      </c>
      <c r="D1678" t="str">
        <f>IF('تعديل الجرد'!C178="","",'تعديل الجرد'!C178)</f>
        <v/>
      </c>
      <c r="E1678" s="24" t="str">
        <f>IF('تعديل الجرد'!C178="","",'تعديل الجرد'!F178)</f>
        <v/>
      </c>
      <c r="F1678" t="str">
        <f>IF('تعديل الجرد'!C178="","",IF('تعديل الجرد'!H178="","",'تعديل الجرد'!H178))</f>
        <v/>
      </c>
      <c r="G1678" t="str">
        <f>IF($B1678&lt;&gt;"",SUMPRODUCT(($B$2:$B1678&lt;&gt;"")*1),"")</f>
        <v/>
      </c>
    </row>
    <row r="1679" spans="1:7">
      <c r="A1679" s="23" t="str">
        <f>IF('تعديل الجرد'!C179="","",'تعديل الجرد'!B179)</f>
        <v/>
      </c>
      <c r="B1679" t="str">
        <f>IF('تعديل الجرد'!C179="","","تعديل جرد")</f>
        <v/>
      </c>
      <c r="C1679" t="str">
        <f>IF('تعديل الجرد'!C179="","",IF('تعديل الجرد'!G179="","-",'تعديل الجرد'!G179))</f>
        <v/>
      </c>
      <c r="D1679" t="str">
        <f>IF('تعديل الجرد'!C179="","",'تعديل الجرد'!C179)</f>
        <v/>
      </c>
      <c r="E1679" s="24" t="str">
        <f>IF('تعديل الجرد'!C179="","",'تعديل الجرد'!F179)</f>
        <v/>
      </c>
      <c r="F1679" t="str">
        <f>IF('تعديل الجرد'!C179="","",IF('تعديل الجرد'!H179="","",'تعديل الجرد'!H179))</f>
        <v/>
      </c>
      <c r="G1679" t="str">
        <f>IF($B1679&lt;&gt;"",SUMPRODUCT(($B$2:$B1679&lt;&gt;"")*1),"")</f>
        <v/>
      </c>
    </row>
    <row r="1680" spans="1:7">
      <c r="A1680" s="23" t="str">
        <f>IF('تعديل الجرد'!C180="","",'تعديل الجرد'!B180)</f>
        <v/>
      </c>
      <c r="B1680" t="str">
        <f>IF('تعديل الجرد'!C180="","","تعديل جرد")</f>
        <v/>
      </c>
      <c r="C1680" t="str">
        <f>IF('تعديل الجرد'!C180="","",IF('تعديل الجرد'!G180="","-",'تعديل الجرد'!G180))</f>
        <v/>
      </c>
      <c r="D1680" t="str">
        <f>IF('تعديل الجرد'!C180="","",'تعديل الجرد'!C180)</f>
        <v/>
      </c>
      <c r="E1680" s="24" t="str">
        <f>IF('تعديل الجرد'!C180="","",'تعديل الجرد'!F180)</f>
        <v/>
      </c>
      <c r="F1680" t="str">
        <f>IF('تعديل الجرد'!C180="","",IF('تعديل الجرد'!H180="","",'تعديل الجرد'!H180))</f>
        <v/>
      </c>
      <c r="G1680" t="str">
        <f>IF($B1680&lt;&gt;"",SUMPRODUCT(($B$2:$B1680&lt;&gt;"")*1),"")</f>
        <v/>
      </c>
    </row>
    <row r="1681" spans="1:7">
      <c r="A1681" s="23" t="str">
        <f>IF('تعديل الجرد'!C181="","",'تعديل الجرد'!B181)</f>
        <v/>
      </c>
      <c r="B1681" t="str">
        <f>IF('تعديل الجرد'!C181="","","تعديل جرد")</f>
        <v/>
      </c>
      <c r="C1681" t="str">
        <f>IF('تعديل الجرد'!C181="","",IF('تعديل الجرد'!G181="","-",'تعديل الجرد'!G181))</f>
        <v/>
      </c>
      <c r="D1681" t="str">
        <f>IF('تعديل الجرد'!C181="","",'تعديل الجرد'!C181)</f>
        <v/>
      </c>
      <c r="E1681" s="24" t="str">
        <f>IF('تعديل الجرد'!C181="","",'تعديل الجرد'!F181)</f>
        <v/>
      </c>
      <c r="F1681" t="str">
        <f>IF('تعديل الجرد'!C181="","",IF('تعديل الجرد'!H181="","",'تعديل الجرد'!H181))</f>
        <v/>
      </c>
      <c r="G1681" t="str">
        <f>IF($B1681&lt;&gt;"",SUMPRODUCT(($B$2:$B1681&lt;&gt;"")*1),"")</f>
        <v/>
      </c>
    </row>
    <row r="1682" spans="1:7">
      <c r="A1682" s="23" t="str">
        <f>IF('تعديل الجرد'!C182="","",'تعديل الجرد'!B182)</f>
        <v/>
      </c>
      <c r="B1682" t="str">
        <f>IF('تعديل الجرد'!C182="","","تعديل جرد")</f>
        <v/>
      </c>
      <c r="C1682" t="str">
        <f>IF('تعديل الجرد'!C182="","",IF('تعديل الجرد'!G182="","-",'تعديل الجرد'!G182))</f>
        <v/>
      </c>
      <c r="D1682" t="str">
        <f>IF('تعديل الجرد'!C182="","",'تعديل الجرد'!C182)</f>
        <v/>
      </c>
      <c r="E1682" s="24" t="str">
        <f>IF('تعديل الجرد'!C182="","",'تعديل الجرد'!F182)</f>
        <v/>
      </c>
      <c r="F1682" t="str">
        <f>IF('تعديل الجرد'!C182="","",IF('تعديل الجرد'!H182="","",'تعديل الجرد'!H182))</f>
        <v/>
      </c>
      <c r="G1682" t="str">
        <f>IF($B1682&lt;&gt;"",SUMPRODUCT(($B$2:$B1682&lt;&gt;"")*1),"")</f>
        <v/>
      </c>
    </row>
    <row r="1683" spans="1:7">
      <c r="A1683" s="23" t="str">
        <f>IF('تعديل الجرد'!C183="","",'تعديل الجرد'!B183)</f>
        <v/>
      </c>
      <c r="B1683" t="str">
        <f>IF('تعديل الجرد'!C183="","","تعديل جرد")</f>
        <v/>
      </c>
      <c r="C1683" t="str">
        <f>IF('تعديل الجرد'!C183="","",IF('تعديل الجرد'!G183="","-",'تعديل الجرد'!G183))</f>
        <v/>
      </c>
      <c r="D1683" t="str">
        <f>IF('تعديل الجرد'!C183="","",'تعديل الجرد'!C183)</f>
        <v/>
      </c>
      <c r="E1683" s="24" t="str">
        <f>IF('تعديل الجرد'!C183="","",'تعديل الجرد'!F183)</f>
        <v/>
      </c>
      <c r="F1683" t="str">
        <f>IF('تعديل الجرد'!C183="","",IF('تعديل الجرد'!H183="","",'تعديل الجرد'!H183))</f>
        <v/>
      </c>
      <c r="G1683" t="str">
        <f>IF($B1683&lt;&gt;"",SUMPRODUCT(($B$2:$B1683&lt;&gt;"")*1),"")</f>
        <v/>
      </c>
    </row>
    <row r="1684" spans="1:7">
      <c r="A1684" s="23" t="str">
        <f>IF('تعديل الجرد'!C184="","",'تعديل الجرد'!B184)</f>
        <v/>
      </c>
      <c r="B1684" t="str">
        <f>IF('تعديل الجرد'!C184="","","تعديل جرد")</f>
        <v/>
      </c>
      <c r="C1684" t="str">
        <f>IF('تعديل الجرد'!C184="","",IF('تعديل الجرد'!G184="","-",'تعديل الجرد'!G184))</f>
        <v/>
      </c>
      <c r="D1684" t="str">
        <f>IF('تعديل الجرد'!C184="","",'تعديل الجرد'!C184)</f>
        <v/>
      </c>
      <c r="E1684" s="24" t="str">
        <f>IF('تعديل الجرد'!C184="","",'تعديل الجرد'!F184)</f>
        <v/>
      </c>
      <c r="F1684" t="str">
        <f>IF('تعديل الجرد'!C184="","",IF('تعديل الجرد'!H184="","",'تعديل الجرد'!H184))</f>
        <v/>
      </c>
      <c r="G1684" t="str">
        <f>IF($B1684&lt;&gt;"",SUMPRODUCT(($B$2:$B1684&lt;&gt;"")*1),"")</f>
        <v/>
      </c>
    </row>
    <row r="1685" spans="1:7">
      <c r="A1685" s="23" t="str">
        <f>IF('تعديل الجرد'!C185="","",'تعديل الجرد'!B185)</f>
        <v/>
      </c>
      <c r="B1685" t="str">
        <f>IF('تعديل الجرد'!C185="","","تعديل جرد")</f>
        <v/>
      </c>
      <c r="C1685" t="str">
        <f>IF('تعديل الجرد'!C185="","",IF('تعديل الجرد'!G185="","-",'تعديل الجرد'!G185))</f>
        <v/>
      </c>
      <c r="D1685" t="str">
        <f>IF('تعديل الجرد'!C185="","",'تعديل الجرد'!C185)</f>
        <v/>
      </c>
      <c r="E1685" s="24" t="str">
        <f>IF('تعديل الجرد'!C185="","",'تعديل الجرد'!F185)</f>
        <v/>
      </c>
      <c r="F1685" t="str">
        <f>IF('تعديل الجرد'!C185="","",IF('تعديل الجرد'!H185="","",'تعديل الجرد'!H185))</f>
        <v/>
      </c>
      <c r="G1685" t="str">
        <f>IF($B1685&lt;&gt;"",SUMPRODUCT(($B$2:$B1685&lt;&gt;"")*1),"")</f>
        <v/>
      </c>
    </row>
    <row r="1686" spans="1:7">
      <c r="A1686" s="23" t="str">
        <f>IF('تعديل الجرد'!C186="","",'تعديل الجرد'!B186)</f>
        <v/>
      </c>
      <c r="B1686" t="str">
        <f>IF('تعديل الجرد'!C186="","","تعديل جرد")</f>
        <v/>
      </c>
      <c r="C1686" t="str">
        <f>IF('تعديل الجرد'!C186="","",IF('تعديل الجرد'!G186="","-",'تعديل الجرد'!G186))</f>
        <v/>
      </c>
      <c r="D1686" t="str">
        <f>IF('تعديل الجرد'!C186="","",'تعديل الجرد'!C186)</f>
        <v/>
      </c>
      <c r="E1686" s="24" t="str">
        <f>IF('تعديل الجرد'!C186="","",'تعديل الجرد'!F186)</f>
        <v/>
      </c>
      <c r="F1686" t="str">
        <f>IF('تعديل الجرد'!C186="","",IF('تعديل الجرد'!H186="","",'تعديل الجرد'!H186))</f>
        <v/>
      </c>
      <c r="G1686" t="str">
        <f>IF($B1686&lt;&gt;"",SUMPRODUCT(($B$2:$B1686&lt;&gt;"")*1),"")</f>
        <v/>
      </c>
    </row>
    <row r="1687" spans="1:7">
      <c r="A1687" s="23" t="str">
        <f>IF('تعديل الجرد'!C187="","",'تعديل الجرد'!B187)</f>
        <v/>
      </c>
      <c r="B1687" t="str">
        <f>IF('تعديل الجرد'!C187="","","تعديل جرد")</f>
        <v/>
      </c>
      <c r="C1687" t="str">
        <f>IF('تعديل الجرد'!C187="","",IF('تعديل الجرد'!G187="","-",'تعديل الجرد'!G187))</f>
        <v/>
      </c>
      <c r="D1687" t="str">
        <f>IF('تعديل الجرد'!C187="","",'تعديل الجرد'!C187)</f>
        <v/>
      </c>
      <c r="E1687" s="24" t="str">
        <f>IF('تعديل الجرد'!C187="","",'تعديل الجرد'!F187)</f>
        <v/>
      </c>
      <c r="F1687" t="str">
        <f>IF('تعديل الجرد'!C187="","",IF('تعديل الجرد'!H187="","",'تعديل الجرد'!H187))</f>
        <v/>
      </c>
      <c r="G1687" t="str">
        <f>IF($B1687&lt;&gt;"",SUMPRODUCT(($B$2:$B1687&lt;&gt;"")*1),"")</f>
        <v/>
      </c>
    </row>
    <row r="1688" spans="1:7">
      <c r="A1688" s="23" t="str">
        <f>IF('تعديل الجرد'!C188="","",'تعديل الجرد'!B188)</f>
        <v/>
      </c>
      <c r="B1688" t="str">
        <f>IF('تعديل الجرد'!C188="","","تعديل جرد")</f>
        <v/>
      </c>
      <c r="C1688" t="str">
        <f>IF('تعديل الجرد'!C188="","",IF('تعديل الجرد'!G188="","-",'تعديل الجرد'!G188))</f>
        <v/>
      </c>
      <c r="D1688" t="str">
        <f>IF('تعديل الجرد'!C188="","",'تعديل الجرد'!C188)</f>
        <v/>
      </c>
      <c r="E1688" s="24" t="str">
        <f>IF('تعديل الجرد'!C188="","",'تعديل الجرد'!F188)</f>
        <v/>
      </c>
      <c r="F1688" t="str">
        <f>IF('تعديل الجرد'!C188="","",IF('تعديل الجرد'!H188="","",'تعديل الجرد'!H188))</f>
        <v/>
      </c>
      <c r="G1688" t="str">
        <f>IF($B1688&lt;&gt;"",SUMPRODUCT(($B$2:$B1688&lt;&gt;"")*1),"")</f>
        <v/>
      </c>
    </row>
    <row r="1689" spans="1:7">
      <c r="A1689" s="23" t="str">
        <f>IF('تعديل الجرد'!C189="","",'تعديل الجرد'!B189)</f>
        <v/>
      </c>
      <c r="B1689" t="str">
        <f>IF('تعديل الجرد'!C189="","","تعديل جرد")</f>
        <v/>
      </c>
      <c r="C1689" t="str">
        <f>IF('تعديل الجرد'!C189="","",IF('تعديل الجرد'!G189="","-",'تعديل الجرد'!G189))</f>
        <v/>
      </c>
      <c r="D1689" t="str">
        <f>IF('تعديل الجرد'!C189="","",'تعديل الجرد'!C189)</f>
        <v/>
      </c>
      <c r="E1689" s="24" t="str">
        <f>IF('تعديل الجرد'!C189="","",'تعديل الجرد'!F189)</f>
        <v/>
      </c>
      <c r="F1689" t="str">
        <f>IF('تعديل الجرد'!C189="","",IF('تعديل الجرد'!H189="","",'تعديل الجرد'!H189))</f>
        <v/>
      </c>
      <c r="G1689" t="str">
        <f>IF($B1689&lt;&gt;"",SUMPRODUCT(($B$2:$B1689&lt;&gt;"")*1),"")</f>
        <v/>
      </c>
    </row>
    <row r="1690" spans="1:7">
      <c r="A1690" s="23" t="str">
        <f>IF('تعديل الجرد'!C190="","",'تعديل الجرد'!B190)</f>
        <v/>
      </c>
      <c r="B1690" t="str">
        <f>IF('تعديل الجرد'!C190="","","تعديل جرد")</f>
        <v/>
      </c>
      <c r="C1690" t="str">
        <f>IF('تعديل الجرد'!C190="","",IF('تعديل الجرد'!G190="","-",'تعديل الجرد'!G190))</f>
        <v/>
      </c>
      <c r="D1690" t="str">
        <f>IF('تعديل الجرد'!C190="","",'تعديل الجرد'!C190)</f>
        <v/>
      </c>
      <c r="E1690" s="24" t="str">
        <f>IF('تعديل الجرد'!C190="","",'تعديل الجرد'!F190)</f>
        <v/>
      </c>
      <c r="F1690" t="str">
        <f>IF('تعديل الجرد'!C190="","",IF('تعديل الجرد'!H190="","",'تعديل الجرد'!H190))</f>
        <v/>
      </c>
      <c r="G1690" t="str">
        <f>IF($B1690&lt;&gt;"",SUMPRODUCT(($B$2:$B1690&lt;&gt;"")*1),"")</f>
        <v/>
      </c>
    </row>
    <row r="1691" spans="1:7">
      <c r="A1691" s="23" t="str">
        <f>IF('تعديل الجرد'!C191="","",'تعديل الجرد'!B191)</f>
        <v/>
      </c>
      <c r="B1691" t="str">
        <f>IF('تعديل الجرد'!C191="","","تعديل جرد")</f>
        <v/>
      </c>
      <c r="C1691" t="str">
        <f>IF('تعديل الجرد'!C191="","",IF('تعديل الجرد'!G191="","-",'تعديل الجرد'!G191))</f>
        <v/>
      </c>
      <c r="D1691" t="str">
        <f>IF('تعديل الجرد'!C191="","",'تعديل الجرد'!C191)</f>
        <v/>
      </c>
      <c r="E1691" s="24" t="str">
        <f>IF('تعديل الجرد'!C191="","",'تعديل الجرد'!F191)</f>
        <v/>
      </c>
      <c r="F1691" t="str">
        <f>IF('تعديل الجرد'!C191="","",IF('تعديل الجرد'!H191="","",'تعديل الجرد'!H191))</f>
        <v/>
      </c>
      <c r="G1691" t="str">
        <f>IF($B1691&lt;&gt;"",SUMPRODUCT(($B$2:$B1691&lt;&gt;"")*1),"")</f>
        <v/>
      </c>
    </row>
    <row r="1692" spans="1:7">
      <c r="A1692" s="23" t="str">
        <f>IF('تعديل الجرد'!C192="","",'تعديل الجرد'!B192)</f>
        <v/>
      </c>
      <c r="B1692" t="str">
        <f>IF('تعديل الجرد'!C192="","","تعديل جرد")</f>
        <v/>
      </c>
      <c r="C1692" t="str">
        <f>IF('تعديل الجرد'!C192="","",IF('تعديل الجرد'!G192="","-",'تعديل الجرد'!G192))</f>
        <v/>
      </c>
      <c r="D1692" t="str">
        <f>IF('تعديل الجرد'!C192="","",'تعديل الجرد'!C192)</f>
        <v/>
      </c>
      <c r="E1692" s="24" t="str">
        <f>IF('تعديل الجرد'!C192="","",'تعديل الجرد'!F192)</f>
        <v/>
      </c>
      <c r="F1692" t="str">
        <f>IF('تعديل الجرد'!C192="","",IF('تعديل الجرد'!H192="","",'تعديل الجرد'!H192))</f>
        <v/>
      </c>
      <c r="G1692" t="str">
        <f>IF($B1692&lt;&gt;"",SUMPRODUCT(($B$2:$B1692&lt;&gt;"")*1),"")</f>
        <v/>
      </c>
    </row>
    <row r="1693" spans="1:7">
      <c r="A1693" s="23" t="str">
        <f>IF('تعديل الجرد'!C193="","",'تعديل الجرد'!B193)</f>
        <v/>
      </c>
      <c r="B1693" t="str">
        <f>IF('تعديل الجرد'!C193="","","تعديل جرد")</f>
        <v/>
      </c>
      <c r="C1693" t="str">
        <f>IF('تعديل الجرد'!C193="","",IF('تعديل الجرد'!G193="","-",'تعديل الجرد'!G193))</f>
        <v/>
      </c>
      <c r="D1693" t="str">
        <f>IF('تعديل الجرد'!C193="","",'تعديل الجرد'!C193)</f>
        <v/>
      </c>
      <c r="E1693" s="24" t="str">
        <f>IF('تعديل الجرد'!C193="","",'تعديل الجرد'!F193)</f>
        <v/>
      </c>
      <c r="F1693" t="str">
        <f>IF('تعديل الجرد'!C193="","",IF('تعديل الجرد'!H193="","",'تعديل الجرد'!H193))</f>
        <v/>
      </c>
      <c r="G1693" t="str">
        <f>IF($B1693&lt;&gt;"",SUMPRODUCT(($B$2:$B1693&lt;&gt;"")*1),"")</f>
        <v/>
      </c>
    </row>
    <row r="1694" spans="1:7">
      <c r="A1694" s="23" t="str">
        <f>IF('تعديل الجرد'!C194="","",'تعديل الجرد'!B194)</f>
        <v/>
      </c>
      <c r="B1694" t="str">
        <f>IF('تعديل الجرد'!C194="","","تعديل جرد")</f>
        <v/>
      </c>
      <c r="C1694" t="str">
        <f>IF('تعديل الجرد'!C194="","",IF('تعديل الجرد'!G194="","-",'تعديل الجرد'!G194))</f>
        <v/>
      </c>
      <c r="D1694" t="str">
        <f>IF('تعديل الجرد'!C194="","",'تعديل الجرد'!C194)</f>
        <v/>
      </c>
      <c r="E1694" s="24" t="str">
        <f>IF('تعديل الجرد'!C194="","",'تعديل الجرد'!F194)</f>
        <v/>
      </c>
      <c r="F1694" t="str">
        <f>IF('تعديل الجرد'!C194="","",IF('تعديل الجرد'!H194="","",'تعديل الجرد'!H194))</f>
        <v/>
      </c>
      <c r="G1694" t="str">
        <f>IF($B1694&lt;&gt;"",SUMPRODUCT(($B$2:$B1694&lt;&gt;"")*1),"")</f>
        <v/>
      </c>
    </row>
    <row r="1695" spans="1:7">
      <c r="A1695" s="23" t="str">
        <f>IF('تعديل الجرد'!C195="","",'تعديل الجرد'!B195)</f>
        <v/>
      </c>
      <c r="B1695" t="str">
        <f>IF('تعديل الجرد'!C195="","","تعديل جرد")</f>
        <v/>
      </c>
      <c r="C1695" t="str">
        <f>IF('تعديل الجرد'!C195="","",IF('تعديل الجرد'!G195="","-",'تعديل الجرد'!G195))</f>
        <v/>
      </c>
      <c r="D1695" t="str">
        <f>IF('تعديل الجرد'!C195="","",'تعديل الجرد'!C195)</f>
        <v/>
      </c>
      <c r="E1695" s="24" t="str">
        <f>IF('تعديل الجرد'!C195="","",'تعديل الجرد'!F195)</f>
        <v/>
      </c>
      <c r="F1695" t="str">
        <f>IF('تعديل الجرد'!C195="","",IF('تعديل الجرد'!H195="","",'تعديل الجرد'!H195))</f>
        <v/>
      </c>
      <c r="G1695" t="str">
        <f>IF($B1695&lt;&gt;"",SUMPRODUCT(($B$2:$B1695&lt;&gt;"")*1),"")</f>
        <v/>
      </c>
    </row>
    <row r="1696" spans="1:7">
      <c r="A1696" s="23" t="str">
        <f>IF('تعديل الجرد'!C196="","",'تعديل الجرد'!B196)</f>
        <v/>
      </c>
      <c r="B1696" t="str">
        <f>IF('تعديل الجرد'!C196="","","تعديل جرد")</f>
        <v/>
      </c>
      <c r="C1696" t="str">
        <f>IF('تعديل الجرد'!C196="","",IF('تعديل الجرد'!G196="","-",'تعديل الجرد'!G196))</f>
        <v/>
      </c>
      <c r="D1696" t="str">
        <f>IF('تعديل الجرد'!C196="","",'تعديل الجرد'!C196)</f>
        <v/>
      </c>
      <c r="E1696" s="24" t="str">
        <f>IF('تعديل الجرد'!C196="","",'تعديل الجرد'!F196)</f>
        <v/>
      </c>
      <c r="F1696" t="str">
        <f>IF('تعديل الجرد'!C196="","",IF('تعديل الجرد'!H196="","",'تعديل الجرد'!H196))</f>
        <v/>
      </c>
      <c r="G1696" t="str">
        <f>IF($B1696&lt;&gt;"",SUMPRODUCT(($B$2:$B1696&lt;&gt;"")*1),"")</f>
        <v/>
      </c>
    </row>
    <row r="1697" spans="1:7">
      <c r="A1697" s="23" t="str">
        <f>IF('تعديل الجرد'!C197="","",'تعديل الجرد'!B197)</f>
        <v/>
      </c>
      <c r="B1697" t="str">
        <f>IF('تعديل الجرد'!C197="","","تعديل جرد")</f>
        <v/>
      </c>
      <c r="C1697" t="str">
        <f>IF('تعديل الجرد'!C197="","",IF('تعديل الجرد'!G197="","-",'تعديل الجرد'!G197))</f>
        <v/>
      </c>
      <c r="D1697" t="str">
        <f>IF('تعديل الجرد'!C197="","",'تعديل الجرد'!C197)</f>
        <v/>
      </c>
      <c r="E1697" s="24" t="str">
        <f>IF('تعديل الجرد'!C197="","",'تعديل الجرد'!F197)</f>
        <v/>
      </c>
      <c r="F1697" t="str">
        <f>IF('تعديل الجرد'!C197="","",IF('تعديل الجرد'!H197="","",'تعديل الجرد'!H197))</f>
        <v/>
      </c>
      <c r="G1697" t="str">
        <f>IF($B1697&lt;&gt;"",SUMPRODUCT(($B$2:$B1697&lt;&gt;"")*1),"")</f>
        <v/>
      </c>
    </row>
    <row r="1698" spans="1:7">
      <c r="A1698" s="23" t="str">
        <f>IF('تعديل الجرد'!C198="","",'تعديل الجرد'!B198)</f>
        <v/>
      </c>
      <c r="B1698" t="str">
        <f>IF('تعديل الجرد'!C198="","","تعديل جرد")</f>
        <v/>
      </c>
      <c r="C1698" t="str">
        <f>IF('تعديل الجرد'!C198="","",IF('تعديل الجرد'!G198="","-",'تعديل الجرد'!G198))</f>
        <v/>
      </c>
      <c r="D1698" t="str">
        <f>IF('تعديل الجرد'!C198="","",'تعديل الجرد'!C198)</f>
        <v/>
      </c>
      <c r="E1698" s="24" t="str">
        <f>IF('تعديل الجرد'!C198="","",'تعديل الجرد'!F198)</f>
        <v/>
      </c>
      <c r="F1698" t="str">
        <f>IF('تعديل الجرد'!C198="","",IF('تعديل الجرد'!H198="","",'تعديل الجرد'!H198))</f>
        <v/>
      </c>
      <c r="G1698" t="str">
        <f>IF($B1698&lt;&gt;"",SUMPRODUCT(($B$2:$B1698&lt;&gt;"")*1),"")</f>
        <v/>
      </c>
    </row>
    <row r="1699" spans="1:7">
      <c r="A1699" s="23" t="str">
        <f>IF('تعديل الجرد'!C199="","",'تعديل الجرد'!B199)</f>
        <v/>
      </c>
      <c r="B1699" t="str">
        <f>IF('تعديل الجرد'!C199="","","تعديل جرد")</f>
        <v/>
      </c>
      <c r="C1699" t="str">
        <f>IF('تعديل الجرد'!C199="","",IF('تعديل الجرد'!G199="","-",'تعديل الجرد'!G199))</f>
        <v/>
      </c>
      <c r="D1699" t="str">
        <f>IF('تعديل الجرد'!C199="","",'تعديل الجرد'!C199)</f>
        <v/>
      </c>
      <c r="E1699" s="24" t="str">
        <f>IF('تعديل الجرد'!C199="","",'تعديل الجرد'!F199)</f>
        <v/>
      </c>
      <c r="F1699" t="str">
        <f>IF('تعديل الجرد'!C199="","",IF('تعديل الجرد'!H199="","",'تعديل الجرد'!H199))</f>
        <v/>
      </c>
      <c r="G1699" t="str">
        <f>IF($B1699&lt;&gt;"",SUMPRODUCT(($B$2:$B1699&lt;&gt;"")*1),"")</f>
        <v/>
      </c>
    </row>
    <row r="1700" spans="1:7">
      <c r="A1700" s="23" t="str">
        <f>IF('تعديل الجرد'!C200="","",'تعديل الجرد'!B200)</f>
        <v/>
      </c>
      <c r="B1700" t="str">
        <f>IF('تعديل الجرد'!C200="","","تعديل جرد")</f>
        <v/>
      </c>
      <c r="C1700" t="str">
        <f>IF('تعديل الجرد'!C200="","",IF('تعديل الجرد'!G200="","-",'تعديل الجرد'!G200))</f>
        <v/>
      </c>
      <c r="D1700" t="str">
        <f>IF('تعديل الجرد'!C200="","",'تعديل الجرد'!C200)</f>
        <v/>
      </c>
      <c r="E1700" s="24" t="str">
        <f>IF('تعديل الجرد'!C200="","",'تعديل الجرد'!F200)</f>
        <v/>
      </c>
      <c r="F1700" t="str">
        <f>IF('تعديل الجرد'!C200="","",IF('تعديل الجرد'!H200="","",'تعديل الجرد'!H200))</f>
        <v/>
      </c>
      <c r="G1700" t="str">
        <f>IF($B1700&lt;&gt;"",SUMPRODUCT(($B$2:$B1700&lt;&gt;"")*1),"")</f>
        <v/>
      </c>
    </row>
    <row r="1701" spans="1:7">
      <c r="A1701" s="23" t="str">
        <f>IF('تعديل الجرد'!C201="","",'تعديل الجرد'!B201)</f>
        <v/>
      </c>
      <c r="B1701" t="str">
        <f>IF('تعديل الجرد'!C201="","","تعديل جرد")</f>
        <v/>
      </c>
      <c r="C1701" t="str">
        <f>IF('تعديل الجرد'!C201="","",IF('تعديل الجرد'!G201="","-",'تعديل الجرد'!G201))</f>
        <v/>
      </c>
      <c r="D1701" t="str">
        <f>IF('تعديل الجرد'!C201="","",'تعديل الجرد'!C201)</f>
        <v/>
      </c>
      <c r="E1701" s="24" t="str">
        <f>IF('تعديل الجرد'!C201="","",'تعديل الجرد'!F201)</f>
        <v/>
      </c>
      <c r="F1701" t="str">
        <f>IF('تعديل الجرد'!C201="","",IF('تعديل الجرد'!H201="","",'تعديل الجرد'!H201))</f>
        <v/>
      </c>
      <c r="G1701" t="str">
        <f>IF($B1701&lt;&gt;"",SUMPRODUCT(($B$2:$B1701&lt;&gt;"")*1),"")</f>
        <v/>
      </c>
    </row>
    <row r="1702" spans="1:7">
      <c r="A1702" s="23" t="str">
        <f>IF('تعديل الجرد'!C202="","",'تعديل الجرد'!B202)</f>
        <v/>
      </c>
      <c r="B1702" t="str">
        <f>IF('تعديل الجرد'!C202="","","تعديل جرد")</f>
        <v/>
      </c>
      <c r="C1702" t="str">
        <f>IF('تعديل الجرد'!C202="","",IF('تعديل الجرد'!G202="","-",'تعديل الجرد'!G202))</f>
        <v/>
      </c>
      <c r="D1702" t="str">
        <f>IF('تعديل الجرد'!C202="","",'تعديل الجرد'!C202)</f>
        <v/>
      </c>
      <c r="E1702" s="24" t="str">
        <f>IF('تعديل الجرد'!C202="","",'تعديل الجرد'!F202)</f>
        <v/>
      </c>
      <c r="F1702" t="str">
        <f>IF('تعديل الجرد'!C202="","",IF('تعديل الجرد'!H202="","",'تعديل الجرد'!H202))</f>
        <v/>
      </c>
      <c r="G1702" t="str">
        <f>IF($B1702&lt;&gt;"",SUMPRODUCT(($B$2:$B1702&lt;&gt;"")*1),"")</f>
        <v/>
      </c>
    </row>
    <row r="1703" spans="1:7">
      <c r="A1703" s="23" t="str">
        <f>IF('تعديل الجرد'!C203="","",'تعديل الجرد'!B203)</f>
        <v/>
      </c>
      <c r="B1703" t="str">
        <f>IF('تعديل الجرد'!C203="","","تعديل جرد")</f>
        <v/>
      </c>
      <c r="C1703" t="str">
        <f>IF('تعديل الجرد'!C203="","",IF('تعديل الجرد'!G203="","-",'تعديل الجرد'!G203))</f>
        <v/>
      </c>
      <c r="D1703" t="str">
        <f>IF('تعديل الجرد'!C203="","",'تعديل الجرد'!C203)</f>
        <v/>
      </c>
      <c r="E1703" s="24" t="str">
        <f>IF('تعديل الجرد'!C203="","",'تعديل الجرد'!F203)</f>
        <v/>
      </c>
      <c r="F1703" t="str">
        <f>IF('تعديل الجرد'!C203="","",IF('تعديل الجرد'!H203="","",'تعديل الجرد'!H203))</f>
        <v/>
      </c>
      <c r="G1703" t="str">
        <f>IF($B1703&lt;&gt;"",SUMPRODUCT(($B$2:$B1703&lt;&gt;"")*1),"")</f>
        <v/>
      </c>
    </row>
    <row r="1704" spans="1:7">
      <c r="A1704" s="23" t="str">
        <f>IF('تعديل الجرد'!C204="","",'تعديل الجرد'!B204)</f>
        <v/>
      </c>
      <c r="B1704" t="str">
        <f>IF('تعديل الجرد'!C204="","","تعديل جرد")</f>
        <v/>
      </c>
      <c r="C1704" t="str">
        <f>IF('تعديل الجرد'!C204="","",IF('تعديل الجرد'!G204="","-",'تعديل الجرد'!G204))</f>
        <v/>
      </c>
      <c r="D1704" t="str">
        <f>IF('تعديل الجرد'!C204="","",'تعديل الجرد'!C204)</f>
        <v/>
      </c>
      <c r="E1704" s="24" t="str">
        <f>IF('تعديل الجرد'!C204="","",'تعديل الجرد'!F204)</f>
        <v/>
      </c>
      <c r="F1704" t="str">
        <f>IF('تعديل الجرد'!C204="","",IF('تعديل الجرد'!H204="","",'تعديل الجرد'!H204))</f>
        <v/>
      </c>
      <c r="G1704" t="str">
        <f>IF($B1704&lt;&gt;"",SUMPRODUCT(($B$2:$B1704&lt;&gt;"")*1),"")</f>
        <v/>
      </c>
    </row>
    <row r="1705" spans="1:7">
      <c r="A1705" s="23" t="str">
        <f>IF('تعديل الجرد'!C205="","",'تعديل الجرد'!B205)</f>
        <v/>
      </c>
      <c r="B1705" t="str">
        <f>IF('تعديل الجرد'!C205="","","تعديل جرد")</f>
        <v/>
      </c>
      <c r="C1705" t="str">
        <f>IF('تعديل الجرد'!C205="","",IF('تعديل الجرد'!G205="","-",'تعديل الجرد'!G205))</f>
        <v/>
      </c>
      <c r="D1705" t="str">
        <f>IF('تعديل الجرد'!C205="","",'تعديل الجرد'!C205)</f>
        <v/>
      </c>
      <c r="E1705" s="24" t="str">
        <f>IF('تعديل الجرد'!C205="","",'تعديل الجرد'!F205)</f>
        <v/>
      </c>
      <c r="F1705" t="str">
        <f>IF('تعديل الجرد'!C205="","",IF('تعديل الجرد'!H205="","",'تعديل الجرد'!H205))</f>
        <v/>
      </c>
      <c r="G1705" t="str">
        <f>IF($B1705&lt;&gt;"",SUMPRODUCT(($B$2:$B1705&lt;&gt;"")*1),"")</f>
        <v/>
      </c>
    </row>
    <row r="1706" spans="1:7">
      <c r="A1706" s="23" t="str">
        <f>IF('تعديل الجرد'!C206="","",'تعديل الجرد'!B206)</f>
        <v/>
      </c>
      <c r="B1706" t="str">
        <f>IF('تعديل الجرد'!C206="","","تعديل جرد")</f>
        <v/>
      </c>
      <c r="C1706" t="str">
        <f>IF('تعديل الجرد'!C206="","",IF('تعديل الجرد'!G206="","-",'تعديل الجرد'!G206))</f>
        <v/>
      </c>
      <c r="D1706" t="str">
        <f>IF('تعديل الجرد'!C206="","",'تعديل الجرد'!C206)</f>
        <v/>
      </c>
      <c r="E1706" s="24" t="str">
        <f>IF('تعديل الجرد'!C206="","",'تعديل الجرد'!F206)</f>
        <v/>
      </c>
      <c r="F1706" t="str">
        <f>IF('تعديل الجرد'!C206="","",IF('تعديل الجرد'!H206="","",'تعديل الجرد'!H206))</f>
        <v/>
      </c>
      <c r="G1706" t="str">
        <f>IF($B1706&lt;&gt;"",SUMPRODUCT(($B$2:$B1706&lt;&gt;"")*1),"")</f>
        <v/>
      </c>
    </row>
    <row r="1707" spans="1:7">
      <c r="A1707" s="23" t="str">
        <f>IF('تعديل الجرد'!C207="","",'تعديل الجرد'!B207)</f>
        <v/>
      </c>
      <c r="B1707" t="str">
        <f>IF('تعديل الجرد'!C207="","","تعديل جرد")</f>
        <v/>
      </c>
      <c r="C1707" t="str">
        <f>IF('تعديل الجرد'!C207="","",IF('تعديل الجرد'!G207="","-",'تعديل الجرد'!G207))</f>
        <v/>
      </c>
      <c r="D1707" t="str">
        <f>IF('تعديل الجرد'!C207="","",'تعديل الجرد'!C207)</f>
        <v/>
      </c>
      <c r="E1707" s="24" t="str">
        <f>IF('تعديل الجرد'!C207="","",'تعديل الجرد'!F207)</f>
        <v/>
      </c>
      <c r="F1707" t="str">
        <f>IF('تعديل الجرد'!C207="","",IF('تعديل الجرد'!H207="","",'تعديل الجرد'!H207))</f>
        <v/>
      </c>
      <c r="G1707" t="str">
        <f>IF($B1707&lt;&gt;"",SUMPRODUCT(($B$2:$B1707&lt;&gt;"")*1),"")</f>
        <v/>
      </c>
    </row>
    <row r="1708" spans="1:7">
      <c r="A1708" s="23" t="str">
        <f>IF('تعديل الجرد'!C208="","",'تعديل الجرد'!B208)</f>
        <v/>
      </c>
      <c r="B1708" t="str">
        <f>IF('تعديل الجرد'!C208="","","تعديل جرد")</f>
        <v/>
      </c>
      <c r="C1708" t="str">
        <f>IF('تعديل الجرد'!C208="","",IF('تعديل الجرد'!G208="","-",'تعديل الجرد'!G208))</f>
        <v/>
      </c>
      <c r="D1708" t="str">
        <f>IF('تعديل الجرد'!C208="","",'تعديل الجرد'!C208)</f>
        <v/>
      </c>
      <c r="E1708" s="24" t="str">
        <f>IF('تعديل الجرد'!C208="","",'تعديل الجرد'!F208)</f>
        <v/>
      </c>
      <c r="F1708" t="str">
        <f>IF('تعديل الجرد'!C208="","",IF('تعديل الجرد'!H208="","",'تعديل الجرد'!H208))</f>
        <v/>
      </c>
      <c r="G1708" t="str">
        <f>IF($B1708&lt;&gt;"",SUMPRODUCT(($B$2:$B1708&lt;&gt;"")*1),"")</f>
        <v/>
      </c>
    </row>
    <row r="1709" spans="1:7">
      <c r="A1709" s="23" t="str">
        <f>IF('تعديل الجرد'!C209="","",'تعديل الجرد'!B209)</f>
        <v/>
      </c>
      <c r="B1709" t="str">
        <f>IF('تعديل الجرد'!C209="","","تعديل جرد")</f>
        <v/>
      </c>
      <c r="C1709" t="str">
        <f>IF('تعديل الجرد'!C209="","",IF('تعديل الجرد'!G209="","-",'تعديل الجرد'!G209))</f>
        <v/>
      </c>
      <c r="D1709" t="str">
        <f>IF('تعديل الجرد'!C209="","",'تعديل الجرد'!C209)</f>
        <v/>
      </c>
      <c r="E1709" s="24" t="str">
        <f>IF('تعديل الجرد'!C209="","",'تعديل الجرد'!F209)</f>
        <v/>
      </c>
      <c r="F1709" t="str">
        <f>IF('تعديل الجرد'!C209="","",IF('تعديل الجرد'!H209="","",'تعديل الجرد'!H209))</f>
        <v/>
      </c>
      <c r="G1709" t="str">
        <f>IF($B1709&lt;&gt;"",SUMPRODUCT(($B$2:$B1709&lt;&gt;"")*1),"")</f>
        <v/>
      </c>
    </row>
    <row r="1710" spans="1:7">
      <c r="A1710" s="23" t="str">
        <f>IF('تعديل الجرد'!C210="","",'تعديل الجرد'!B210)</f>
        <v/>
      </c>
      <c r="B1710" t="str">
        <f>IF('تعديل الجرد'!C210="","","تعديل جرد")</f>
        <v/>
      </c>
      <c r="C1710" t="str">
        <f>IF('تعديل الجرد'!C210="","",IF('تعديل الجرد'!G210="","-",'تعديل الجرد'!G210))</f>
        <v/>
      </c>
      <c r="D1710" t="str">
        <f>IF('تعديل الجرد'!C210="","",'تعديل الجرد'!C210)</f>
        <v/>
      </c>
      <c r="E1710" s="24" t="str">
        <f>IF('تعديل الجرد'!C210="","",'تعديل الجرد'!F210)</f>
        <v/>
      </c>
      <c r="F1710" t="str">
        <f>IF('تعديل الجرد'!C210="","",IF('تعديل الجرد'!H210="","",'تعديل الجرد'!H210))</f>
        <v/>
      </c>
      <c r="G1710" t="str">
        <f>IF($B1710&lt;&gt;"",SUMPRODUCT(($B$2:$B1710&lt;&gt;"")*1),"")</f>
        <v/>
      </c>
    </row>
    <row r="1711" spans="1:7">
      <c r="A1711" s="23" t="str">
        <f>IF('تعديل الجرد'!C211="","",'تعديل الجرد'!B211)</f>
        <v/>
      </c>
      <c r="B1711" t="str">
        <f>IF('تعديل الجرد'!C211="","","تعديل جرد")</f>
        <v/>
      </c>
      <c r="C1711" t="str">
        <f>IF('تعديل الجرد'!C211="","",IF('تعديل الجرد'!G211="","-",'تعديل الجرد'!G211))</f>
        <v/>
      </c>
      <c r="D1711" t="str">
        <f>IF('تعديل الجرد'!C211="","",'تعديل الجرد'!C211)</f>
        <v/>
      </c>
      <c r="E1711" s="24" t="str">
        <f>IF('تعديل الجرد'!C211="","",'تعديل الجرد'!F211)</f>
        <v/>
      </c>
      <c r="F1711" t="str">
        <f>IF('تعديل الجرد'!C211="","",IF('تعديل الجرد'!H211="","",'تعديل الجرد'!H211))</f>
        <v/>
      </c>
      <c r="G1711" t="str">
        <f>IF($B1711&lt;&gt;"",SUMPRODUCT(($B$2:$B1711&lt;&gt;"")*1),"")</f>
        <v/>
      </c>
    </row>
    <row r="1712" spans="1:7">
      <c r="A1712" s="23" t="str">
        <f>IF('تعديل الجرد'!C212="","",'تعديل الجرد'!B212)</f>
        <v/>
      </c>
      <c r="B1712" t="str">
        <f>IF('تعديل الجرد'!C212="","","تعديل جرد")</f>
        <v/>
      </c>
      <c r="C1712" t="str">
        <f>IF('تعديل الجرد'!C212="","",IF('تعديل الجرد'!G212="","-",'تعديل الجرد'!G212))</f>
        <v/>
      </c>
      <c r="D1712" t="str">
        <f>IF('تعديل الجرد'!C212="","",'تعديل الجرد'!C212)</f>
        <v/>
      </c>
      <c r="E1712" s="24" t="str">
        <f>IF('تعديل الجرد'!C212="","",'تعديل الجرد'!F212)</f>
        <v/>
      </c>
      <c r="F1712" t="str">
        <f>IF('تعديل الجرد'!C212="","",IF('تعديل الجرد'!H212="","",'تعديل الجرد'!H212))</f>
        <v/>
      </c>
      <c r="G1712" t="str">
        <f>IF($B1712&lt;&gt;"",SUMPRODUCT(($B$2:$B1712&lt;&gt;"")*1),"")</f>
        <v/>
      </c>
    </row>
    <row r="1713" spans="1:7">
      <c r="A1713" s="23" t="str">
        <f>IF('تعديل الجرد'!C213="","",'تعديل الجرد'!B213)</f>
        <v/>
      </c>
      <c r="B1713" t="str">
        <f>IF('تعديل الجرد'!C213="","","تعديل جرد")</f>
        <v/>
      </c>
      <c r="C1713" t="str">
        <f>IF('تعديل الجرد'!C213="","",IF('تعديل الجرد'!G213="","-",'تعديل الجرد'!G213))</f>
        <v/>
      </c>
      <c r="D1713" t="str">
        <f>IF('تعديل الجرد'!C213="","",'تعديل الجرد'!C213)</f>
        <v/>
      </c>
      <c r="E1713" s="24" t="str">
        <f>IF('تعديل الجرد'!C213="","",'تعديل الجرد'!F213)</f>
        <v/>
      </c>
      <c r="F1713" t="str">
        <f>IF('تعديل الجرد'!C213="","",IF('تعديل الجرد'!H213="","",'تعديل الجرد'!H213))</f>
        <v/>
      </c>
      <c r="G1713" t="str">
        <f>IF($B1713&lt;&gt;"",SUMPRODUCT(($B$2:$B1713&lt;&gt;"")*1),"")</f>
        <v/>
      </c>
    </row>
    <row r="1714" spans="1:7">
      <c r="A1714" s="23" t="str">
        <f>IF('تعديل الجرد'!C214="","",'تعديل الجرد'!B214)</f>
        <v/>
      </c>
      <c r="B1714" t="str">
        <f>IF('تعديل الجرد'!C214="","","تعديل جرد")</f>
        <v/>
      </c>
      <c r="C1714" t="str">
        <f>IF('تعديل الجرد'!C214="","",IF('تعديل الجرد'!G214="","-",'تعديل الجرد'!G214))</f>
        <v/>
      </c>
      <c r="D1714" t="str">
        <f>IF('تعديل الجرد'!C214="","",'تعديل الجرد'!C214)</f>
        <v/>
      </c>
      <c r="E1714" s="24" t="str">
        <f>IF('تعديل الجرد'!C214="","",'تعديل الجرد'!F214)</f>
        <v/>
      </c>
      <c r="F1714" t="str">
        <f>IF('تعديل الجرد'!C214="","",IF('تعديل الجرد'!H214="","",'تعديل الجرد'!H214))</f>
        <v/>
      </c>
      <c r="G1714" t="str">
        <f>IF($B1714&lt;&gt;"",SUMPRODUCT(($B$2:$B1714&lt;&gt;"")*1),"")</f>
        <v/>
      </c>
    </row>
    <row r="1715" spans="1:7">
      <c r="A1715" s="23" t="str">
        <f>IF('تعديل الجرد'!C215="","",'تعديل الجرد'!B215)</f>
        <v/>
      </c>
      <c r="B1715" t="str">
        <f>IF('تعديل الجرد'!C215="","","تعديل جرد")</f>
        <v/>
      </c>
      <c r="C1715" t="str">
        <f>IF('تعديل الجرد'!C215="","",IF('تعديل الجرد'!G215="","-",'تعديل الجرد'!G215))</f>
        <v/>
      </c>
      <c r="D1715" t="str">
        <f>IF('تعديل الجرد'!C215="","",'تعديل الجرد'!C215)</f>
        <v/>
      </c>
      <c r="E1715" s="24" t="str">
        <f>IF('تعديل الجرد'!C215="","",'تعديل الجرد'!F215)</f>
        <v/>
      </c>
      <c r="F1715" t="str">
        <f>IF('تعديل الجرد'!C215="","",IF('تعديل الجرد'!H215="","",'تعديل الجرد'!H215))</f>
        <v/>
      </c>
      <c r="G1715" t="str">
        <f>IF($B1715&lt;&gt;"",SUMPRODUCT(($B$2:$B1715&lt;&gt;"")*1),"")</f>
        <v/>
      </c>
    </row>
    <row r="1716" spans="1:7">
      <c r="A1716" s="23" t="str">
        <f>IF('تعديل الجرد'!C216="","",'تعديل الجرد'!B216)</f>
        <v/>
      </c>
      <c r="B1716" t="str">
        <f>IF('تعديل الجرد'!C216="","","تعديل جرد")</f>
        <v/>
      </c>
      <c r="C1716" t="str">
        <f>IF('تعديل الجرد'!C216="","",IF('تعديل الجرد'!G216="","-",'تعديل الجرد'!G216))</f>
        <v/>
      </c>
      <c r="D1716" t="str">
        <f>IF('تعديل الجرد'!C216="","",'تعديل الجرد'!C216)</f>
        <v/>
      </c>
      <c r="E1716" s="24" t="str">
        <f>IF('تعديل الجرد'!C216="","",'تعديل الجرد'!F216)</f>
        <v/>
      </c>
      <c r="F1716" t="str">
        <f>IF('تعديل الجرد'!C216="","",IF('تعديل الجرد'!H216="","",'تعديل الجرد'!H216))</f>
        <v/>
      </c>
      <c r="G1716" t="str">
        <f>IF($B1716&lt;&gt;"",SUMPRODUCT(($B$2:$B1716&lt;&gt;"")*1),"")</f>
        <v/>
      </c>
    </row>
    <row r="1717" spans="1:7">
      <c r="A1717" s="23" t="str">
        <f>IF('تعديل الجرد'!C217="","",'تعديل الجرد'!B217)</f>
        <v/>
      </c>
      <c r="B1717" t="str">
        <f>IF('تعديل الجرد'!C217="","","تعديل جرد")</f>
        <v/>
      </c>
      <c r="C1717" t="str">
        <f>IF('تعديل الجرد'!C217="","",IF('تعديل الجرد'!G217="","-",'تعديل الجرد'!G217))</f>
        <v/>
      </c>
      <c r="D1717" t="str">
        <f>IF('تعديل الجرد'!C217="","",'تعديل الجرد'!C217)</f>
        <v/>
      </c>
      <c r="E1717" s="24" t="str">
        <f>IF('تعديل الجرد'!C217="","",'تعديل الجرد'!F217)</f>
        <v/>
      </c>
      <c r="F1717" t="str">
        <f>IF('تعديل الجرد'!C217="","",IF('تعديل الجرد'!H217="","",'تعديل الجرد'!H217))</f>
        <v/>
      </c>
      <c r="G1717" t="str">
        <f>IF($B1717&lt;&gt;"",SUMPRODUCT(($B$2:$B1717&lt;&gt;"")*1),"")</f>
        <v/>
      </c>
    </row>
    <row r="1718" spans="1:7">
      <c r="A1718" s="23" t="str">
        <f>IF('تعديل الجرد'!C218="","",'تعديل الجرد'!B218)</f>
        <v/>
      </c>
      <c r="B1718" t="str">
        <f>IF('تعديل الجرد'!C218="","","تعديل جرد")</f>
        <v/>
      </c>
      <c r="C1718" t="str">
        <f>IF('تعديل الجرد'!C218="","",IF('تعديل الجرد'!G218="","-",'تعديل الجرد'!G218))</f>
        <v/>
      </c>
      <c r="D1718" t="str">
        <f>IF('تعديل الجرد'!C218="","",'تعديل الجرد'!C218)</f>
        <v/>
      </c>
      <c r="E1718" s="24" t="str">
        <f>IF('تعديل الجرد'!C218="","",'تعديل الجرد'!F218)</f>
        <v/>
      </c>
      <c r="F1718" t="str">
        <f>IF('تعديل الجرد'!C218="","",IF('تعديل الجرد'!H218="","",'تعديل الجرد'!H218))</f>
        <v/>
      </c>
      <c r="G1718" t="str">
        <f>IF($B1718&lt;&gt;"",SUMPRODUCT(($B$2:$B1718&lt;&gt;"")*1),"")</f>
        <v/>
      </c>
    </row>
    <row r="1719" spans="1:7">
      <c r="A1719" s="23" t="str">
        <f>IF('تعديل الجرد'!C219="","",'تعديل الجرد'!B219)</f>
        <v/>
      </c>
      <c r="B1719" t="str">
        <f>IF('تعديل الجرد'!C219="","","تعديل جرد")</f>
        <v/>
      </c>
      <c r="C1719" t="str">
        <f>IF('تعديل الجرد'!C219="","",IF('تعديل الجرد'!G219="","-",'تعديل الجرد'!G219))</f>
        <v/>
      </c>
      <c r="D1719" t="str">
        <f>IF('تعديل الجرد'!C219="","",'تعديل الجرد'!C219)</f>
        <v/>
      </c>
      <c r="E1719" s="24" t="str">
        <f>IF('تعديل الجرد'!C219="","",'تعديل الجرد'!F219)</f>
        <v/>
      </c>
      <c r="F1719" t="str">
        <f>IF('تعديل الجرد'!C219="","",IF('تعديل الجرد'!H219="","",'تعديل الجرد'!H219))</f>
        <v/>
      </c>
      <c r="G1719" t="str">
        <f>IF($B1719&lt;&gt;"",SUMPRODUCT(($B$2:$B1719&lt;&gt;"")*1),"")</f>
        <v/>
      </c>
    </row>
    <row r="1720" spans="1:7">
      <c r="A1720" s="23" t="str">
        <f>IF('تعديل الجرد'!C220="","",'تعديل الجرد'!B220)</f>
        <v/>
      </c>
      <c r="B1720" t="str">
        <f>IF('تعديل الجرد'!C220="","","تعديل جرد")</f>
        <v/>
      </c>
      <c r="C1720" t="str">
        <f>IF('تعديل الجرد'!C220="","",IF('تعديل الجرد'!G220="","-",'تعديل الجرد'!G220))</f>
        <v/>
      </c>
      <c r="D1720" t="str">
        <f>IF('تعديل الجرد'!C220="","",'تعديل الجرد'!C220)</f>
        <v/>
      </c>
      <c r="E1720" s="24" t="str">
        <f>IF('تعديل الجرد'!C220="","",'تعديل الجرد'!F220)</f>
        <v/>
      </c>
      <c r="F1720" t="str">
        <f>IF('تعديل الجرد'!C220="","",IF('تعديل الجرد'!H220="","",'تعديل الجرد'!H220))</f>
        <v/>
      </c>
      <c r="G1720" t="str">
        <f>IF($B1720&lt;&gt;"",SUMPRODUCT(($B$2:$B1720&lt;&gt;"")*1),"")</f>
        <v/>
      </c>
    </row>
    <row r="1721" spans="1:7">
      <c r="A1721" s="23" t="str">
        <f>IF('تعديل الجرد'!C221="","",'تعديل الجرد'!B221)</f>
        <v/>
      </c>
      <c r="B1721" t="str">
        <f>IF('تعديل الجرد'!C221="","","تعديل جرد")</f>
        <v/>
      </c>
      <c r="C1721" t="str">
        <f>IF('تعديل الجرد'!C221="","",IF('تعديل الجرد'!G221="","-",'تعديل الجرد'!G221))</f>
        <v/>
      </c>
      <c r="D1721" t="str">
        <f>IF('تعديل الجرد'!C221="","",'تعديل الجرد'!C221)</f>
        <v/>
      </c>
      <c r="E1721" s="24" t="str">
        <f>IF('تعديل الجرد'!C221="","",'تعديل الجرد'!F221)</f>
        <v/>
      </c>
      <c r="F1721" t="str">
        <f>IF('تعديل الجرد'!C221="","",IF('تعديل الجرد'!H221="","",'تعديل الجرد'!H221))</f>
        <v/>
      </c>
      <c r="G1721" t="str">
        <f>IF($B1721&lt;&gt;"",SUMPRODUCT(($B$2:$B1721&lt;&gt;"")*1),"")</f>
        <v/>
      </c>
    </row>
    <row r="1722" spans="1:7">
      <c r="A1722" s="23" t="str">
        <f>IF('تعديل الجرد'!C222="","",'تعديل الجرد'!B222)</f>
        <v/>
      </c>
      <c r="B1722" t="str">
        <f>IF('تعديل الجرد'!C222="","","تعديل جرد")</f>
        <v/>
      </c>
      <c r="C1722" t="str">
        <f>IF('تعديل الجرد'!C222="","",IF('تعديل الجرد'!G222="","-",'تعديل الجرد'!G222))</f>
        <v/>
      </c>
      <c r="D1722" t="str">
        <f>IF('تعديل الجرد'!C222="","",'تعديل الجرد'!C222)</f>
        <v/>
      </c>
      <c r="E1722" s="24" t="str">
        <f>IF('تعديل الجرد'!C222="","",'تعديل الجرد'!F222)</f>
        <v/>
      </c>
      <c r="F1722" t="str">
        <f>IF('تعديل الجرد'!C222="","",IF('تعديل الجرد'!H222="","",'تعديل الجرد'!H222))</f>
        <v/>
      </c>
      <c r="G1722" t="str">
        <f>IF($B1722&lt;&gt;"",SUMPRODUCT(($B$2:$B1722&lt;&gt;"")*1),"")</f>
        <v/>
      </c>
    </row>
    <row r="1723" spans="1:7">
      <c r="A1723" s="23" t="str">
        <f>IF('تعديل الجرد'!C223="","",'تعديل الجرد'!B223)</f>
        <v/>
      </c>
      <c r="B1723" t="str">
        <f>IF('تعديل الجرد'!C223="","","تعديل جرد")</f>
        <v/>
      </c>
      <c r="C1723" t="str">
        <f>IF('تعديل الجرد'!C223="","",IF('تعديل الجرد'!G223="","-",'تعديل الجرد'!G223))</f>
        <v/>
      </c>
      <c r="D1723" t="str">
        <f>IF('تعديل الجرد'!C223="","",'تعديل الجرد'!C223)</f>
        <v/>
      </c>
      <c r="E1723" s="24" t="str">
        <f>IF('تعديل الجرد'!C223="","",'تعديل الجرد'!F223)</f>
        <v/>
      </c>
      <c r="F1723" t="str">
        <f>IF('تعديل الجرد'!C223="","",IF('تعديل الجرد'!H223="","",'تعديل الجرد'!H223))</f>
        <v/>
      </c>
      <c r="G1723" t="str">
        <f>IF($B1723&lt;&gt;"",SUMPRODUCT(($B$2:$B1723&lt;&gt;"")*1),"")</f>
        <v/>
      </c>
    </row>
    <row r="1724" spans="1:7">
      <c r="A1724" s="23" t="str">
        <f>IF('تعديل الجرد'!C224="","",'تعديل الجرد'!B224)</f>
        <v/>
      </c>
      <c r="B1724" t="str">
        <f>IF('تعديل الجرد'!C224="","","تعديل جرد")</f>
        <v/>
      </c>
      <c r="C1724" t="str">
        <f>IF('تعديل الجرد'!C224="","",IF('تعديل الجرد'!G224="","-",'تعديل الجرد'!G224))</f>
        <v/>
      </c>
      <c r="D1724" t="str">
        <f>IF('تعديل الجرد'!C224="","",'تعديل الجرد'!C224)</f>
        <v/>
      </c>
      <c r="E1724" s="24" t="str">
        <f>IF('تعديل الجرد'!C224="","",'تعديل الجرد'!F224)</f>
        <v/>
      </c>
      <c r="F1724" t="str">
        <f>IF('تعديل الجرد'!C224="","",IF('تعديل الجرد'!H224="","",'تعديل الجرد'!H224))</f>
        <v/>
      </c>
      <c r="G1724" t="str">
        <f>IF($B1724&lt;&gt;"",SUMPRODUCT(($B$2:$B1724&lt;&gt;"")*1),"")</f>
        <v/>
      </c>
    </row>
    <row r="1725" spans="1:7">
      <c r="A1725" s="23" t="str">
        <f>IF('تعديل الجرد'!C225="","",'تعديل الجرد'!B225)</f>
        <v/>
      </c>
      <c r="B1725" t="str">
        <f>IF('تعديل الجرد'!C225="","","تعديل جرد")</f>
        <v/>
      </c>
      <c r="C1725" t="str">
        <f>IF('تعديل الجرد'!C225="","",IF('تعديل الجرد'!G225="","-",'تعديل الجرد'!G225))</f>
        <v/>
      </c>
      <c r="D1725" t="str">
        <f>IF('تعديل الجرد'!C225="","",'تعديل الجرد'!C225)</f>
        <v/>
      </c>
      <c r="E1725" s="24" t="str">
        <f>IF('تعديل الجرد'!C225="","",'تعديل الجرد'!F225)</f>
        <v/>
      </c>
      <c r="F1725" t="str">
        <f>IF('تعديل الجرد'!C225="","",IF('تعديل الجرد'!H225="","",'تعديل الجرد'!H225))</f>
        <v/>
      </c>
      <c r="G1725" t="str">
        <f>IF($B1725&lt;&gt;"",SUMPRODUCT(($B$2:$B1725&lt;&gt;"")*1),"")</f>
        <v/>
      </c>
    </row>
    <row r="1726" spans="1:7">
      <c r="A1726" s="23" t="str">
        <f>IF('تعديل الجرد'!C226="","",'تعديل الجرد'!B226)</f>
        <v/>
      </c>
      <c r="B1726" t="str">
        <f>IF('تعديل الجرد'!C226="","","تعديل جرد")</f>
        <v/>
      </c>
      <c r="C1726" t="str">
        <f>IF('تعديل الجرد'!C226="","",IF('تعديل الجرد'!G226="","-",'تعديل الجرد'!G226))</f>
        <v/>
      </c>
      <c r="D1726" t="str">
        <f>IF('تعديل الجرد'!C226="","",'تعديل الجرد'!C226)</f>
        <v/>
      </c>
      <c r="E1726" s="24" t="str">
        <f>IF('تعديل الجرد'!C226="","",'تعديل الجرد'!F226)</f>
        <v/>
      </c>
      <c r="F1726" t="str">
        <f>IF('تعديل الجرد'!C226="","",IF('تعديل الجرد'!H226="","",'تعديل الجرد'!H226))</f>
        <v/>
      </c>
      <c r="G1726" t="str">
        <f>IF($B1726&lt;&gt;"",SUMPRODUCT(($B$2:$B1726&lt;&gt;"")*1),"")</f>
        <v/>
      </c>
    </row>
    <row r="1727" spans="1:7">
      <c r="A1727" s="23" t="str">
        <f>IF('تعديل الجرد'!C227="","",'تعديل الجرد'!B227)</f>
        <v/>
      </c>
      <c r="B1727" t="str">
        <f>IF('تعديل الجرد'!C227="","","تعديل جرد")</f>
        <v/>
      </c>
      <c r="C1727" t="str">
        <f>IF('تعديل الجرد'!C227="","",IF('تعديل الجرد'!G227="","-",'تعديل الجرد'!G227))</f>
        <v/>
      </c>
      <c r="D1727" t="str">
        <f>IF('تعديل الجرد'!C227="","",'تعديل الجرد'!C227)</f>
        <v/>
      </c>
      <c r="E1727" s="24" t="str">
        <f>IF('تعديل الجرد'!C227="","",'تعديل الجرد'!F227)</f>
        <v/>
      </c>
      <c r="F1727" t="str">
        <f>IF('تعديل الجرد'!C227="","",IF('تعديل الجرد'!H227="","",'تعديل الجرد'!H227))</f>
        <v/>
      </c>
      <c r="G1727" t="str">
        <f>IF($B1727&lt;&gt;"",SUMPRODUCT(($B$2:$B1727&lt;&gt;"")*1),"")</f>
        <v/>
      </c>
    </row>
    <row r="1728" spans="1:7">
      <c r="A1728" s="23" t="str">
        <f>IF('تعديل الجرد'!C228="","",'تعديل الجرد'!B228)</f>
        <v/>
      </c>
      <c r="B1728" t="str">
        <f>IF('تعديل الجرد'!C228="","","تعديل جرد")</f>
        <v/>
      </c>
      <c r="C1728" t="str">
        <f>IF('تعديل الجرد'!C228="","",IF('تعديل الجرد'!G228="","-",'تعديل الجرد'!G228))</f>
        <v/>
      </c>
      <c r="D1728" t="str">
        <f>IF('تعديل الجرد'!C228="","",'تعديل الجرد'!C228)</f>
        <v/>
      </c>
      <c r="E1728" s="24" t="str">
        <f>IF('تعديل الجرد'!C228="","",'تعديل الجرد'!F228)</f>
        <v/>
      </c>
      <c r="F1728" t="str">
        <f>IF('تعديل الجرد'!C228="","",IF('تعديل الجرد'!H228="","",'تعديل الجرد'!H228))</f>
        <v/>
      </c>
      <c r="G1728" t="str">
        <f>IF($B1728&lt;&gt;"",SUMPRODUCT(($B$2:$B1728&lt;&gt;"")*1),"")</f>
        <v/>
      </c>
    </row>
    <row r="1729" spans="1:7">
      <c r="A1729" s="23" t="str">
        <f>IF('تعديل الجرد'!C229="","",'تعديل الجرد'!B229)</f>
        <v/>
      </c>
      <c r="B1729" t="str">
        <f>IF('تعديل الجرد'!C229="","","تعديل جرد")</f>
        <v/>
      </c>
      <c r="C1729" t="str">
        <f>IF('تعديل الجرد'!C229="","",IF('تعديل الجرد'!G229="","-",'تعديل الجرد'!G229))</f>
        <v/>
      </c>
      <c r="D1729" t="str">
        <f>IF('تعديل الجرد'!C229="","",'تعديل الجرد'!C229)</f>
        <v/>
      </c>
      <c r="E1729" s="24" t="str">
        <f>IF('تعديل الجرد'!C229="","",'تعديل الجرد'!F229)</f>
        <v/>
      </c>
      <c r="F1729" t="str">
        <f>IF('تعديل الجرد'!C229="","",IF('تعديل الجرد'!H229="","",'تعديل الجرد'!H229))</f>
        <v/>
      </c>
      <c r="G1729" t="str">
        <f>IF($B1729&lt;&gt;"",SUMPRODUCT(($B$2:$B1729&lt;&gt;"")*1),"")</f>
        <v/>
      </c>
    </row>
    <row r="1730" spans="1:7">
      <c r="A1730" s="23" t="str">
        <f>IF('تعديل الجرد'!C230="","",'تعديل الجرد'!B230)</f>
        <v/>
      </c>
      <c r="B1730" t="str">
        <f>IF('تعديل الجرد'!C230="","","تعديل جرد")</f>
        <v/>
      </c>
      <c r="C1730" t="str">
        <f>IF('تعديل الجرد'!C230="","",IF('تعديل الجرد'!G230="","-",'تعديل الجرد'!G230))</f>
        <v/>
      </c>
      <c r="D1730" t="str">
        <f>IF('تعديل الجرد'!C230="","",'تعديل الجرد'!C230)</f>
        <v/>
      </c>
      <c r="E1730" s="24" t="str">
        <f>IF('تعديل الجرد'!C230="","",'تعديل الجرد'!F230)</f>
        <v/>
      </c>
      <c r="F1730" t="str">
        <f>IF('تعديل الجرد'!C230="","",IF('تعديل الجرد'!H230="","",'تعديل الجرد'!H230))</f>
        <v/>
      </c>
      <c r="G1730" t="str">
        <f>IF($B1730&lt;&gt;"",SUMPRODUCT(($B$2:$B1730&lt;&gt;"")*1),"")</f>
        <v/>
      </c>
    </row>
    <row r="1731" spans="1:7">
      <c r="A1731" s="23" t="str">
        <f>IF('تعديل الجرد'!C231="","",'تعديل الجرد'!B231)</f>
        <v/>
      </c>
      <c r="B1731" t="str">
        <f>IF('تعديل الجرد'!C231="","","تعديل جرد")</f>
        <v/>
      </c>
      <c r="C1731" t="str">
        <f>IF('تعديل الجرد'!C231="","",IF('تعديل الجرد'!G231="","-",'تعديل الجرد'!G231))</f>
        <v/>
      </c>
      <c r="D1731" t="str">
        <f>IF('تعديل الجرد'!C231="","",'تعديل الجرد'!C231)</f>
        <v/>
      </c>
      <c r="E1731" s="24" t="str">
        <f>IF('تعديل الجرد'!C231="","",'تعديل الجرد'!F231)</f>
        <v/>
      </c>
      <c r="F1731" t="str">
        <f>IF('تعديل الجرد'!C231="","",IF('تعديل الجرد'!H231="","",'تعديل الجرد'!H231))</f>
        <v/>
      </c>
      <c r="G1731" t="str">
        <f>IF($B1731&lt;&gt;"",SUMPRODUCT(($B$2:$B1731&lt;&gt;"")*1),"")</f>
        <v/>
      </c>
    </row>
    <row r="1732" spans="1:7">
      <c r="A1732" s="23" t="str">
        <f>IF('تعديل الجرد'!C232="","",'تعديل الجرد'!B232)</f>
        <v/>
      </c>
      <c r="B1732" t="str">
        <f>IF('تعديل الجرد'!C232="","","تعديل جرد")</f>
        <v/>
      </c>
      <c r="C1732" t="str">
        <f>IF('تعديل الجرد'!C232="","",IF('تعديل الجرد'!G232="","-",'تعديل الجرد'!G232))</f>
        <v/>
      </c>
      <c r="D1732" t="str">
        <f>IF('تعديل الجرد'!C232="","",'تعديل الجرد'!C232)</f>
        <v/>
      </c>
      <c r="E1732" s="24" t="str">
        <f>IF('تعديل الجرد'!C232="","",'تعديل الجرد'!F232)</f>
        <v/>
      </c>
      <c r="F1732" t="str">
        <f>IF('تعديل الجرد'!C232="","",IF('تعديل الجرد'!H232="","",'تعديل الجرد'!H232))</f>
        <v/>
      </c>
      <c r="G1732" t="str">
        <f>IF($B1732&lt;&gt;"",SUMPRODUCT(($B$2:$B1732&lt;&gt;"")*1),"")</f>
        <v/>
      </c>
    </row>
    <row r="1733" spans="1:7">
      <c r="A1733" s="23" t="str">
        <f>IF('تعديل الجرد'!C233="","",'تعديل الجرد'!B233)</f>
        <v/>
      </c>
      <c r="B1733" t="str">
        <f>IF('تعديل الجرد'!C233="","","تعديل جرد")</f>
        <v/>
      </c>
      <c r="C1733" t="str">
        <f>IF('تعديل الجرد'!C233="","",IF('تعديل الجرد'!G233="","-",'تعديل الجرد'!G233))</f>
        <v/>
      </c>
      <c r="D1733" t="str">
        <f>IF('تعديل الجرد'!C233="","",'تعديل الجرد'!C233)</f>
        <v/>
      </c>
      <c r="E1733" s="24" t="str">
        <f>IF('تعديل الجرد'!C233="","",'تعديل الجرد'!F233)</f>
        <v/>
      </c>
      <c r="F1733" t="str">
        <f>IF('تعديل الجرد'!C233="","",IF('تعديل الجرد'!H233="","",'تعديل الجرد'!H233))</f>
        <v/>
      </c>
      <c r="G1733" t="str">
        <f>IF($B1733&lt;&gt;"",SUMPRODUCT(($B$2:$B1733&lt;&gt;"")*1),"")</f>
        <v/>
      </c>
    </row>
    <row r="1734" spans="1:7">
      <c r="A1734" s="23" t="str">
        <f>IF('تعديل الجرد'!C234="","",'تعديل الجرد'!B234)</f>
        <v/>
      </c>
      <c r="B1734" t="str">
        <f>IF('تعديل الجرد'!C234="","","تعديل جرد")</f>
        <v/>
      </c>
      <c r="C1734" t="str">
        <f>IF('تعديل الجرد'!C234="","",IF('تعديل الجرد'!G234="","-",'تعديل الجرد'!G234))</f>
        <v/>
      </c>
      <c r="D1734" t="str">
        <f>IF('تعديل الجرد'!C234="","",'تعديل الجرد'!C234)</f>
        <v/>
      </c>
      <c r="E1734" s="24" t="str">
        <f>IF('تعديل الجرد'!C234="","",'تعديل الجرد'!F234)</f>
        <v/>
      </c>
      <c r="F1734" t="str">
        <f>IF('تعديل الجرد'!C234="","",IF('تعديل الجرد'!H234="","",'تعديل الجرد'!H234))</f>
        <v/>
      </c>
      <c r="G1734" t="str">
        <f>IF($B1734&lt;&gt;"",SUMPRODUCT(($B$2:$B1734&lt;&gt;"")*1),"")</f>
        <v/>
      </c>
    </row>
    <row r="1735" spans="1:7">
      <c r="A1735" s="23" t="str">
        <f>IF('تعديل الجرد'!C235="","",'تعديل الجرد'!B235)</f>
        <v/>
      </c>
      <c r="B1735" t="str">
        <f>IF('تعديل الجرد'!C235="","","تعديل جرد")</f>
        <v/>
      </c>
      <c r="C1735" t="str">
        <f>IF('تعديل الجرد'!C235="","",IF('تعديل الجرد'!G235="","-",'تعديل الجرد'!G235))</f>
        <v/>
      </c>
      <c r="D1735" t="str">
        <f>IF('تعديل الجرد'!C235="","",'تعديل الجرد'!C235)</f>
        <v/>
      </c>
      <c r="E1735" s="24" t="str">
        <f>IF('تعديل الجرد'!C235="","",'تعديل الجرد'!F235)</f>
        <v/>
      </c>
      <c r="F1735" t="str">
        <f>IF('تعديل الجرد'!C235="","",IF('تعديل الجرد'!H235="","",'تعديل الجرد'!H235))</f>
        <v/>
      </c>
      <c r="G1735" t="str">
        <f>IF($B1735&lt;&gt;"",SUMPRODUCT(($B$2:$B1735&lt;&gt;"")*1),"")</f>
        <v/>
      </c>
    </row>
    <row r="1736" spans="1:7">
      <c r="A1736" s="23" t="str">
        <f>IF('تعديل الجرد'!C236="","",'تعديل الجرد'!B236)</f>
        <v/>
      </c>
      <c r="B1736" t="str">
        <f>IF('تعديل الجرد'!C236="","","تعديل جرد")</f>
        <v/>
      </c>
      <c r="C1736" t="str">
        <f>IF('تعديل الجرد'!C236="","",IF('تعديل الجرد'!G236="","-",'تعديل الجرد'!G236))</f>
        <v/>
      </c>
      <c r="D1736" t="str">
        <f>IF('تعديل الجرد'!C236="","",'تعديل الجرد'!C236)</f>
        <v/>
      </c>
      <c r="E1736" s="24" t="str">
        <f>IF('تعديل الجرد'!C236="","",'تعديل الجرد'!F236)</f>
        <v/>
      </c>
      <c r="F1736" t="str">
        <f>IF('تعديل الجرد'!C236="","",IF('تعديل الجرد'!H236="","",'تعديل الجرد'!H236))</f>
        <v/>
      </c>
      <c r="G1736" t="str">
        <f>IF($B1736&lt;&gt;"",SUMPRODUCT(($B$2:$B1736&lt;&gt;"")*1),"")</f>
        <v/>
      </c>
    </row>
    <row r="1737" spans="1:7">
      <c r="A1737" s="23" t="str">
        <f>IF('تعديل الجرد'!C237="","",'تعديل الجرد'!B237)</f>
        <v/>
      </c>
      <c r="B1737" t="str">
        <f>IF('تعديل الجرد'!C237="","","تعديل جرد")</f>
        <v/>
      </c>
      <c r="C1737" t="str">
        <f>IF('تعديل الجرد'!C237="","",IF('تعديل الجرد'!G237="","-",'تعديل الجرد'!G237))</f>
        <v/>
      </c>
      <c r="D1737" t="str">
        <f>IF('تعديل الجرد'!C237="","",'تعديل الجرد'!C237)</f>
        <v/>
      </c>
      <c r="E1737" s="24" t="str">
        <f>IF('تعديل الجرد'!C237="","",'تعديل الجرد'!F237)</f>
        <v/>
      </c>
      <c r="F1737" t="str">
        <f>IF('تعديل الجرد'!C237="","",IF('تعديل الجرد'!H237="","",'تعديل الجرد'!H237))</f>
        <v/>
      </c>
      <c r="G1737" t="str">
        <f>IF($B1737&lt;&gt;"",SUMPRODUCT(($B$2:$B1737&lt;&gt;"")*1),"")</f>
        <v/>
      </c>
    </row>
    <row r="1738" spans="1:7">
      <c r="A1738" s="23" t="str">
        <f>IF('تعديل الجرد'!C238="","",'تعديل الجرد'!B238)</f>
        <v/>
      </c>
      <c r="B1738" t="str">
        <f>IF('تعديل الجرد'!C238="","","تعديل جرد")</f>
        <v/>
      </c>
      <c r="C1738" t="str">
        <f>IF('تعديل الجرد'!C238="","",IF('تعديل الجرد'!G238="","-",'تعديل الجرد'!G238))</f>
        <v/>
      </c>
      <c r="D1738" t="str">
        <f>IF('تعديل الجرد'!C238="","",'تعديل الجرد'!C238)</f>
        <v/>
      </c>
      <c r="E1738" s="24" t="str">
        <f>IF('تعديل الجرد'!C238="","",'تعديل الجرد'!F238)</f>
        <v/>
      </c>
      <c r="F1738" t="str">
        <f>IF('تعديل الجرد'!C238="","",IF('تعديل الجرد'!H238="","",'تعديل الجرد'!H238))</f>
        <v/>
      </c>
      <c r="G1738" t="str">
        <f>IF($B1738&lt;&gt;"",SUMPRODUCT(($B$2:$B1738&lt;&gt;"")*1),"")</f>
        <v/>
      </c>
    </row>
    <row r="1739" spans="1:7">
      <c r="A1739" s="23" t="str">
        <f>IF('تعديل الجرد'!C239="","",'تعديل الجرد'!B239)</f>
        <v/>
      </c>
      <c r="B1739" t="str">
        <f>IF('تعديل الجرد'!C239="","","تعديل جرد")</f>
        <v/>
      </c>
      <c r="C1739" t="str">
        <f>IF('تعديل الجرد'!C239="","",IF('تعديل الجرد'!G239="","-",'تعديل الجرد'!G239))</f>
        <v/>
      </c>
      <c r="D1739" t="str">
        <f>IF('تعديل الجرد'!C239="","",'تعديل الجرد'!C239)</f>
        <v/>
      </c>
      <c r="E1739" s="24" t="str">
        <f>IF('تعديل الجرد'!C239="","",'تعديل الجرد'!F239)</f>
        <v/>
      </c>
      <c r="F1739" t="str">
        <f>IF('تعديل الجرد'!C239="","",IF('تعديل الجرد'!H239="","",'تعديل الجرد'!H239))</f>
        <v/>
      </c>
      <c r="G1739" t="str">
        <f>IF($B1739&lt;&gt;"",SUMPRODUCT(($B$2:$B1739&lt;&gt;"")*1),"")</f>
        <v/>
      </c>
    </row>
    <row r="1740" spans="1:7">
      <c r="A1740" s="23" t="str">
        <f>IF('تعديل الجرد'!C240="","",'تعديل الجرد'!B240)</f>
        <v/>
      </c>
      <c r="B1740" t="str">
        <f>IF('تعديل الجرد'!C240="","","تعديل جرد")</f>
        <v/>
      </c>
      <c r="C1740" t="str">
        <f>IF('تعديل الجرد'!C240="","",IF('تعديل الجرد'!G240="","-",'تعديل الجرد'!G240))</f>
        <v/>
      </c>
      <c r="D1740" t="str">
        <f>IF('تعديل الجرد'!C240="","",'تعديل الجرد'!C240)</f>
        <v/>
      </c>
      <c r="E1740" s="24" t="str">
        <f>IF('تعديل الجرد'!C240="","",'تعديل الجرد'!F240)</f>
        <v/>
      </c>
      <c r="F1740" t="str">
        <f>IF('تعديل الجرد'!C240="","",IF('تعديل الجرد'!H240="","",'تعديل الجرد'!H240))</f>
        <v/>
      </c>
      <c r="G1740" t="str">
        <f>IF($B1740&lt;&gt;"",SUMPRODUCT(($B$2:$B1740&lt;&gt;"")*1),"")</f>
        <v/>
      </c>
    </row>
    <row r="1741" spans="1:7">
      <c r="A1741" s="23" t="str">
        <f>IF('تعديل الجرد'!C241="","",'تعديل الجرد'!B241)</f>
        <v/>
      </c>
      <c r="B1741" t="str">
        <f>IF('تعديل الجرد'!C241="","","تعديل جرد")</f>
        <v/>
      </c>
      <c r="C1741" t="str">
        <f>IF('تعديل الجرد'!C241="","",IF('تعديل الجرد'!G241="","-",'تعديل الجرد'!G241))</f>
        <v/>
      </c>
      <c r="D1741" t="str">
        <f>IF('تعديل الجرد'!C241="","",'تعديل الجرد'!C241)</f>
        <v/>
      </c>
      <c r="E1741" s="24" t="str">
        <f>IF('تعديل الجرد'!C241="","",'تعديل الجرد'!F241)</f>
        <v/>
      </c>
      <c r="F1741" t="str">
        <f>IF('تعديل الجرد'!C241="","",IF('تعديل الجرد'!H241="","",'تعديل الجرد'!H241))</f>
        <v/>
      </c>
      <c r="G1741" t="str">
        <f>IF($B1741&lt;&gt;"",SUMPRODUCT(($B$2:$B1741&lt;&gt;"")*1),"")</f>
        <v/>
      </c>
    </row>
    <row r="1742" spans="1:7">
      <c r="A1742" s="23" t="str">
        <f>IF('تعديل الجرد'!C242="","",'تعديل الجرد'!B242)</f>
        <v/>
      </c>
      <c r="B1742" t="str">
        <f>IF('تعديل الجرد'!C242="","","تعديل جرد")</f>
        <v/>
      </c>
      <c r="C1742" t="str">
        <f>IF('تعديل الجرد'!C242="","",IF('تعديل الجرد'!G242="","-",'تعديل الجرد'!G242))</f>
        <v/>
      </c>
      <c r="D1742" t="str">
        <f>IF('تعديل الجرد'!C242="","",'تعديل الجرد'!C242)</f>
        <v/>
      </c>
      <c r="E1742" s="24" t="str">
        <f>IF('تعديل الجرد'!C242="","",'تعديل الجرد'!F242)</f>
        <v/>
      </c>
      <c r="F1742" t="str">
        <f>IF('تعديل الجرد'!C242="","",IF('تعديل الجرد'!H242="","",'تعديل الجرد'!H242))</f>
        <v/>
      </c>
      <c r="G1742" t="str">
        <f>IF($B1742&lt;&gt;"",SUMPRODUCT(($B$2:$B1742&lt;&gt;"")*1),"")</f>
        <v/>
      </c>
    </row>
    <row r="1743" spans="1:7">
      <c r="A1743" s="23" t="str">
        <f>IF('تعديل الجرد'!C243="","",'تعديل الجرد'!B243)</f>
        <v/>
      </c>
      <c r="B1743" t="str">
        <f>IF('تعديل الجرد'!C243="","","تعديل جرد")</f>
        <v/>
      </c>
      <c r="C1743" t="str">
        <f>IF('تعديل الجرد'!C243="","",IF('تعديل الجرد'!G243="","-",'تعديل الجرد'!G243))</f>
        <v/>
      </c>
      <c r="D1743" t="str">
        <f>IF('تعديل الجرد'!C243="","",'تعديل الجرد'!C243)</f>
        <v/>
      </c>
      <c r="E1743" s="24" t="str">
        <f>IF('تعديل الجرد'!C243="","",'تعديل الجرد'!F243)</f>
        <v/>
      </c>
      <c r="F1743" t="str">
        <f>IF('تعديل الجرد'!C243="","",IF('تعديل الجرد'!H243="","",'تعديل الجرد'!H243))</f>
        <v/>
      </c>
      <c r="G1743" t="str">
        <f>IF($B1743&lt;&gt;"",SUMPRODUCT(($B$2:$B1743&lt;&gt;"")*1),"")</f>
        <v/>
      </c>
    </row>
    <row r="1744" spans="1:7">
      <c r="A1744" s="23" t="str">
        <f>IF('تعديل الجرد'!C244="","",'تعديل الجرد'!B244)</f>
        <v/>
      </c>
      <c r="B1744" t="str">
        <f>IF('تعديل الجرد'!C244="","","تعديل جرد")</f>
        <v/>
      </c>
      <c r="C1744" t="str">
        <f>IF('تعديل الجرد'!C244="","",IF('تعديل الجرد'!G244="","-",'تعديل الجرد'!G244))</f>
        <v/>
      </c>
      <c r="D1744" t="str">
        <f>IF('تعديل الجرد'!C244="","",'تعديل الجرد'!C244)</f>
        <v/>
      </c>
      <c r="E1744" s="24" t="str">
        <f>IF('تعديل الجرد'!C244="","",'تعديل الجرد'!F244)</f>
        <v/>
      </c>
      <c r="F1744" t="str">
        <f>IF('تعديل الجرد'!C244="","",IF('تعديل الجرد'!H244="","",'تعديل الجرد'!H244))</f>
        <v/>
      </c>
      <c r="G1744" t="str">
        <f>IF($B1744&lt;&gt;"",SUMPRODUCT(($B$2:$B1744&lt;&gt;"")*1),"")</f>
        <v/>
      </c>
    </row>
    <row r="1745" spans="1:7">
      <c r="A1745" s="23" t="str">
        <f>IF('تعديل الجرد'!C245="","",'تعديل الجرد'!B245)</f>
        <v/>
      </c>
      <c r="B1745" t="str">
        <f>IF('تعديل الجرد'!C245="","","تعديل جرد")</f>
        <v/>
      </c>
      <c r="C1745" t="str">
        <f>IF('تعديل الجرد'!C245="","",IF('تعديل الجرد'!G245="","-",'تعديل الجرد'!G245))</f>
        <v/>
      </c>
      <c r="D1745" t="str">
        <f>IF('تعديل الجرد'!C245="","",'تعديل الجرد'!C245)</f>
        <v/>
      </c>
      <c r="E1745" s="24" t="str">
        <f>IF('تعديل الجرد'!C245="","",'تعديل الجرد'!F245)</f>
        <v/>
      </c>
      <c r="F1745" t="str">
        <f>IF('تعديل الجرد'!C245="","",IF('تعديل الجرد'!H245="","",'تعديل الجرد'!H245))</f>
        <v/>
      </c>
      <c r="G1745" t="str">
        <f>IF($B1745&lt;&gt;"",SUMPRODUCT(($B$2:$B1745&lt;&gt;"")*1),"")</f>
        <v/>
      </c>
    </row>
    <row r="1746" spans="1:7">
      <c r="A1746" s="23" t="str">
        <f>IF('تعديل الجرد'!C246="","",'تعديل الجرد'!B246)</f>
        <v/>
      </c>
      <c r="B1746" t="str">
        <f>IF('تعديل الجرد'!C246="","","تعديل جرد")</f>
        <v/>
      </c>
      <c r="C1746" t="str">
        <f>IF('تعديل الجرد'!C246="","",IF('تعديل الجرد'!G246="","-",'تعديل الجرد'!G246))</f>
        <v/>
      </c>
      <c r="D1746" t="str">
        <f>IF('تعديل الجرد'!C246="","",'تعديل الجرد'!C246)</f>
        <v/>
      </c>
      <c r="E1746" s="24" t="str">
        <f>IF('تعديل الجرد'!C246="","",'تعديل الجرد'!F246)</f>
        <v/>
      </c>
      <c r="F1746" t="str">
        <f>IF('تعديل الجرد'!C246="","",IF('تعديل الجرد'!H246="","",'تعديل الجرد'!H246))</f>
        <v/>
      </c>
      <c r="G1746" t="str">
        <f>IF($B1746&lt;&gt;"",SUMPRODUCT(($B$2:$B1746&lt;&gt;"")*1),"")</f>
        <v/>
      </c>
    </row>
    <row r="1747" spans="1:7">
      <c r="A1747" s="23" t="str">
        <f>IF('تعديل الجرد'!C247="","",'تعديل الجرد'!B247)</f>
        <v/>
      </c>
      <c r="B1747" t="str">
        <f>IF('تعديل الجرد'!C247="","","تعديل جرد")</f>
        <v/>
      </c>
      <c r="C1747" t="str">
        <f>IF('تعديل الجرد'!C247="","",IF('تعديل الجرد'!G247="","-",'تعديل الجرد'!G247))</f>
        <v/>
      </c>
      <c r="D1747" t="str">
        <f>IF('تعديل الجرد'!C247="","",'تعديل الجرد'!C247)</f>
        <v/>
      </c>
      <c r="E1747" s="24" t="str">
        <f>IF('تعديل الجرد'!C247="","",'تعديل الجرد'!F247)</f>
        <v/>
      </c>
      <c r="F1747" t="str">
        <f>IF('تعديل الجرد'!C247="","",IF('تعديل الجرد'!H247="","",'تعديل الجرد'!H247))</f>
        <v/>
      </c>
      <c r="G1747" t="str">
        <f>IF($B1747&lt;&gt;"",SUMPRODUCT(($B$2:$B1747&lt;&gt;"")*1),"")</f>
        <v/>
      </c>
    </row>
    <row r="1748" spans="1:7">
      <c r="A1748" s="23" t="str">
        <f>IF('تعديل الجرد'!C248="","",'تعديل الجرد'!B248)</f>
        <v/>
      </c>
      <c r="B1748" t="str">
        <f>IF('تعديل الجرد'!C248="","","تعديل جرد")</f>
        <v/>
      </c>
      <c r="C1748" t="str">
        <f>IF('تعديل الجرد'!C248="","",IF('تعديل الجرد'!G248="","-",'تعديل الجرد'!G248))</f>
        <v/>
      </c>
      <c r="D1748" t="str">
        <f>IF('تعديل الجرد'!C248="","",'تعديل الجرد'!C248)</f>
        <v/>
      </c>
      <c r="E1748" s="24" t="str">
        <f>IF('تعديل الجرد'!C248="","",'تعديل الجرد'!F248)</f>
        <v/>
      </c>
      <c r="F1748" t="str">
        <f>IF('تعديل الجرد'!C248="","",IF('تعديل الجرد'!H248="","",'تعديل الجرد'!H248))</f>
        <v/>
      </c>
      <c r="G1748" t="str">
        <f>IF($B1748&lt;&gt;"",SUMPRODUCT(($B$2:$B1748&lt;&gt;"")*1),"")</f>
        <v/>
      </c>
    </row>
    <row r="1749" spans="1:7">
      <c r="A1749" s="23" t="str">
        <f>IF('تعديل الجرد'!C249="","",'تعديل الجرد'!B249)</f>
        <v/>
      </c>
      <c r="B1749" t="str">
        <f>IF('تعديل الجرد'!C249="","","تعديل جرد")</f>
        <v/>
      </c>
      <c r="C1749" t="str">
        <f>IF('تعديل الجرد'!C249="","",IF('تعديل الجرد'!G249="","-",'تعديل الجرد'!G249))</f>
        <v/>
      </c>
      <c r="D1749" t="str">
        <f>IF('تعديل الجرد'!C249="","",'تعديل الجرد'!C249)</f>
        <v/>
      </c>
      <c r="E1749" s="24" t="str">
        <f>IF('تعديل الجرد'!C249="","",'تعديل الجرد'!F249)</f>
        <v/>
      </c>
      <c r="F1749" t="str">
        <f>IF('تعديل الجرد'!C249="","",IF('تعديل الجرد'!H249="","",'تعديل الجرد'!H249))</f>
        <v/>
      </c>
      <c r="G1749" t="str">
        <f>IF($B1749&lt;&gt;"",SUMPRODUCT(($B$2:$B1749&lt;&gt;"")*1),"")</f>
        <v/>
      </c>
    </row>
    <row r="1750" spans="1:7">
      <c r="A1750" s="23" t="str">
        <f>IF('تعديل الجرد'!C250="","",'تعديل الجرد'!B250)</f>
        <v/>
      </c>
      <c r="B1750" t="str">
        <f>IF('تعديل الجرد'!C250="","","تعديل جرد")</f>
        <v/>
      </c>
      <c r="C1750" t="str">
        <f>IF('تعديل الجرد'!C250="","",IF('تعديل الجرد'!G250="","-",'تعديل الجرد'!G250))</f>
        <v/>
      </c>
      <c r="D1750" t="str">
        <f>IF('تعديل الجرد'!C250="","",'تعديل الجرد'!C250)</f>
        <v/>
      </c>
      <c r="E1750" s="24" t="str">
        <f>IF('تعديل الجرد'!C250="","",'تعديل الجرد'!F250)</f>
        <v/>
      </c>
      <c r="F1750" t="str">
        <f>IF('تعديل الجرد'!C250="","",IF('تعديل الجرد'!H250="","",'تعديل الجرد'!H250))</f>
        <v/>
      </c>
      <c r="G1750" t="str">
        <f>IF($B1750&lt;&gt;"",SUMPRODUCT(($B$2:$B1750&lt;&gt;"")*1),"")</f>
        <v/>
      </c>
    </row>
    <row r="1751" spans="1:7">
      <c r="A1751" s="23" t="str">
        <f>IF('تعديل الجرد'!C251="","",'تعديل الجرد'!B251)</f>
        <v/>
      </c>
      <c r="B1751" t="str">
        <f>IF('تعديل الجرد'!C251="","","تعديل جرد")</f>
        <v/>
      </c>
      <c r="C1751" t="str">
        <f>IF('تعديل الجرد'!C251="","",IF('تعديل الجرد'!G251="","-",'تعديل الجرد'!G251))</f>
        <v/>
      </c>
      <c r="D1751" t="str">
        <f>IF('تعديل الجرد'!C251="","",'تعديل الجرد'!C251)</f>
        <v/>
      </c>
      <c r="E1751" s="24" t="str">
        <f>IF('تعديل الجرد'!C251="","",'تعديل الجرد'!F251)</f>
        <v/>
      </c>
      <c r="F1751" t="str">
        <f>IF('تعديل الجرد'!C251="","",IF('تعديل الجرد'!H251="","",'تعديل الجرد'!H251))</f>
        <v/>
      </c>
      <c r="G1751" t="str">
        <f>IF($B1751&lt;&gt;"",SUMPRODUCT(($B$2:$B1751&lt;&gt;"")*1),"")</f>
        <v/>
      </c>
    </row>
    <row r="1752" spans="1:7">
      <c r="A1752" s="23" t="str">
        <f>IF('تعديل الجرد'!C252="","",'تعديل الجرد'!B252)</f>
        <v/>
      </c>
      <c r="B1752" t="str">
        <f>IF('تعديل الجرد'!C252="","","تعديل جرد")</f>
        <v/>
      </c>
      <c r="C1752" t="str">
        <f>IF('تعديل الجرد'!C252="","",IF('تعديل الجرد'!G252="","-",'تعديل الجرد'!G252))</f>
        <v/>
      </c>
      <c r="D1752" t="str">
        <f>IF('تعديل الجرد'!C252="","",'تعديل الجرد'!C252)</f>
        <v/>
      </c>
      <c r="E1752" s="24" t="str">
        <f>IF('تعديل الجرد'!C252="","",'تعديل الجرد'!F252)</f>
        <v/>
      </c>
      <c r="F1752" t="str">
        <f>IF('تعديل الجرد'!C252="","",IF('تعديل الجرد'!H252="","",'تعديل الجرد'!H252))</f>
        <v/>
      </c>
      <c r="G1752" t="str">
        <f>IF($B1752&lt;&gt;"",SUMPRODUCT(($B$2:$B1752&lt;&gt;"")*1),"")</f>
        <v/>
      </c>
    </row>
    <row r="1753" spans="1:7">
      <c r="A1753" s="23" t="str">
        <f>IF('تعديل الجرد'!C253="","",'تعديل الجرد'!B253)</f>
        <v/>
      </c>
      <c r="B1753" t="str">
        <f>IF('تعديل الجرد'!C253="","","تعديل جرد")</f>
        <v/>
      </c>
      <c r="C1753" t="str">
        <f>IF('تعديل الجرد'!C253="","",IF('تعديل الجرد'!G253="","-",'تعديل الجرد'!G253))</f>
        <v/>
      </c>
      <c r="D1753" t="str">
        <f>IF('تعديل الجرد'!C253="","",'تعديل الجرد'!C253)</f>
        <v/>
      </c>
      <c r="E1753" s="24" t="str">
        <f>IF('تعديل الجرد'!C253="","",'تعديل الجرد'!F253)</f>
        <v/>
      </c>
      <c r="F1753" t="str">
        <f>IF('تعديل الجرد'!C253="","",IF('تعديل الجرد'!H253="","",'تعديل الجرد'!H253))</f>
        <v/>
      </c>
      <c r="G1753" t="str">
        <f>IF($B1753&lt;&gt;"",SUMPRODUCT(($B$2:$B1753&lt;&gt;"")*1),"")</f>
        <v/>
      </c>
    </row>
    <row r="1754" spans="1:7">
      <c r="A1754" s="23" t="str">
        <f>IF('تعديل الجرد'!C254="","",'تعديل الجرد'!B254)</f>
        <v/>
      </c>
      <c r="B1754" t="str">
        <f>IF('تعديل الجرد'!C254="","","تعديل جرد")</f>
        <v/>
      </c>
      <c r="C1754" t="str">
        <f>IF('تعديل الجرد'!C254="","",IF('تعديل الجرد'!G254="","-",'تعديل الجرد'!G254))</f>
        <v/>
      </c>
      <c r="D1754" t="str">
        <f>IF('تعديل الجرد'!C254="","",'تعديل الجرد'!C254)</f>
        <v/>
      </c>
      <c r="E1754" s="24" t="str">
        <f>IF('تعديل الجرد'!C254="","",'تعديل الجرد'!F254)</f>
        <v/>
      </c>
      <c r="F1754" t="str">
        <f>IF('تعديل الجرد'!C254="","",IF('تعديل الجرد'!H254="","",'تعديل الجرد'!H254))</f>
        <v/>
      </c>
      <c r="G1754" t="str">
        <f>IF($B1754&lt;&gt;"",SUMPRODUCT(($B$2:$B1754&lt;&gt;"")*1),"")</f>
        <v/>
      </c>
    </row>
    <row r="1755" spans="1:7">
      <c r="A1755" s="23" t="str">
        <f>IF('تعديل الجرد'!C255="","",'تعديل الجرد'!B255)</f>
        <v/>
      </c>
      <c r="B1755" t="str">
        <f>IF('تعديل الجرد'!C255="","","تعديل جرد")</f>
        <v/>
      </c>
      <c r="C1755" t="str">
        <f>IF('تعديل الجرد'!C255="","",IF('تعديل الجرد'!G255="","-",'تعديل الجرد'!G255))</f>
        <v/>
      </c>
      <c r="D1755" t="str">
        <f>IF('تعديل الجرد'!C255="","",'تعديل الجرد'!C255)</f>
        <v/>
      </c>
      <c r="E1755" s="24" t="str">
        <f>IF('تعديل الجرد'!C255="","",'تعديل الجرد'!F255)</f>
        <v/>
      </c>
      <c r="F1755" t="str">
        <f>IF('تعديل الجرد'!C255="","",IF('تعديل الجرد'!H255="","",'تعديل الجرد'!H255))</f>
        <v/>
      </c>
      <c r="G1755" t="str">
        <f>IF($B1755&lt;&gt;"",SUMPRODUCT(($B$2:$B1755&lt;&gt;"")*1),"")</f>
        <v/>
      </c>
    </row>
    <row r="1756" spans="1:7">
      <c r="A1756" s="23" t="str">
        <f>IF('تعديل الجرد'!C256="","",'تعديل الجرد'!B256)</f>
        <v/>
      </c>
      <c r="B1756" t="str">
        <f>IF('تعديل الجرد'!C256="","","تعديل جرد")</f>
        <v/>
      </c>
      <c r="C1756" t="str">
        <f>IF('تعديل الجرد'!C256="","",IF('تعديل الجرد'!G256="","-",'تعديل الجرد'!G256))</f>
        <v/>
      </c>
      <c r="D1756" t="str">
        <f>IF('تعديل الجرد'!C256="","",'تعديل الجرد'!C256)</f>
        <v/>
      </c>
      <c r="E1756" s="24" t="str">
        <f>IF('تعديل الجرد'!C256="","",'تعديل الجرد'!F256)</f>
        <v/>
      </c>
      <c r="F1756" t="str">
        <f>IF('تعديل الجرد'!C256="","",IF('تعديل الجرد'!H256="","",'تعديل الجرد'!H256))</f>
        <v/>
      </c>
      <c r="G1756" t="str">
        <f>IF($B1756&lt;&gt;"",SUMPRODUCT(($B$2:$B1756&lt;&gt;"")*1),"")</f>
        <v/>
      </c>
    </row>
    <row r="1757" spans="1:7">
      <c r="A1757" s="23" t="str">
        <f>IF('تعديل الجرد'!C257="","",'تعديل الجرد'!B257)</f>
        <v/>
      </c>
      <c r="B1757" t="str">
        <f>IF('تعديل الجرد'!C257="","","تعديل جرد")</f>
        <v/>
      </c>
      <c r="C1757" t="str">
        <f>IF('تعديل الجرد'!C257="","",IF('تعديل الجرد'!G257="","-",'تعديل الجرد'!G257))</f>
        <v/>
      </c>
      <c r="D1757" t="str">
        <f>IF('تعديل الجرد'!C257="","",'تعديل الجرد'!C257)</f>
        <v/>
      </c>
      <c r="E1757" s="24" t="str">
        <f>IF('تعديل الجرد'!C257="","",'تعديل الجرد'!F257)</f>
        <v/>
      </c>
      <c r="F1757" t="str">
        <f>IF('تعديل الجرد'!C257="","",IF('تعديل الجرد'!H257="","",'تعديل الجرد'!H257))</f>
        <v/>
      </c>
      <c r="G1757" t="str">
        <f>IF($B1757&lt;&gt;"",SUMPRODUCT(($B$2:$B1757&lt;&gt;"")*1),"")</f>
        <v/>
      </c>
    </row>
    <row r="1758" spans="1:7">
      <c r="A1758" s="23" t="str">
        <f>IF('تعديل الجرد'!C258="","",'تعديل الجرد'!B258)</f>
        <v/>
      </c>
      <c r="B1758" t="str">
        <f>IF('تعديل الجرد'!C258="","","تعديل جرد")</f>
        <v/>
      </c>
      <c r="C1758" t="str">
        <f>IF('تعديل الجرد'!C258="","",IF('تعديل الجرد'!G258="","-",'تعديل الجرد'!G258))</f>
        <v/>
      </c>
      <c r="D1758" t="str">
        <f>IF('تعديل الجرد'!C258="","",'تعديل الجرد'!C258)</f>
        <v/>
      </c>
      <c r="E1758" s="24" t="str">
        <f>IF('تعديل الجرد'!C258="","",'تعديل الجرد'!F258)</f>
        <v/>
      </c>
      <c r="F1758" t="str">
        <f>IF('تعديل الجرد'!C258="","",IF('تعديل الجرد'!H258="","",'تعديل الجرد'!H258))</f>
        <v/>
      </c>
      <c r="G1758" t="str">
        <f>IF($B1758&lt;&gt;"",SUMPRODUCT(($B$2:$B1758&lt;&gt;"")*1),"")</f>
        <v/>
      </c>
    </row>
    <row r="1759" spans="1:7">
      <c r="A1759" s="23" t="str">
        <f>IF('تعديل الجرد'!C259="","",'تعديل الجرد'!B259)</f>
        <v/>
      </c>
      <c r="B1759" t="str">
        <f>IF('تعديل الجرد'!C259="","","تعديل جرد")</f>
        <v/>
      </c>
      <c r="C1759" t="str">
        <f>IF('تعديل الجرد'!C259="","",IF('تعديل الجرد'!G259="","-",'تعديل الجرد'!G259))</f>
        <v/>
      </c>
      <c r="D1759" t="str">
        <f>IF('تعديل الجرد'!C259="","",'تعديل الجرد'!C259)</f>
        <v/>
      </c>
      <c r="E1759" s="24" t="str">
        <f>IF('تعديل الجرد'!C259="","",'تعديل الجرد'!F259)</f>
        <v/>
      </c>
      <c r="F1759" t="str">
        <f>IF('تعديل الجرد'!C259="","",IF('تعديل الجرد'!H259="","",'تعديل الجرد'!H259))</f>
        <v/>
      </c>
      <c r="G1759" t="str">
        <f>IF($B1759&lt;&gt;"",SUMPRODUCT(($B$2:$B1759&lt;&gt;"")*1),"")</f>
        <v/>
      </c>
    </row>
    <row r="1760" spans="1:7">
      <c r="A1760" s="23" t="str">
        <f>IF('تعديل الجرد'!C260="","",'تعديل الجرد'!B260)</f>
        <v/>
      </c>
      <c r="B1760" t="str">
        <f>IF('تعديل الجرد'!C260="","","تعديل جرد")</f>
        <v/>
      </c>
      <c r="C1760" t="str">
        <f>IF('تعديل الجرد'!C260="","",IF('تعديل الجرد'!G260="","-",'تعديل الجرد'!G260))</f>
        <v/>
      </c>
      <c r="D1760" t="str">
        <f>IF('تعديل الجرد'!C260="","",'تعديل الجرد'!C260)</f>
        <v/>
      </c>
      <c r="E1760" s="24" t="str">
        <f>IF('تعديل الجرد'!C260="","",'تعديل الجرد'!F260)</f>
        <v/>
      </c>
      <c r="F1760" t="str">
        <f>IF('تعديل الجرد'!C260="","",IF('تعديل الجرد'!H260="","",'تعديل الجرد'!H260))</f>
        <v/>
      </c>
      <c r="G1760" t="str">
        <f>IF($B1760&lt;&gt;"",SUMPRODUCT(($B$2:$B1760&lt;&gt;"")*1),"")</f>
        <v/>
      </c>
    </row>
    <row r="1761" spans="1:7">
      <c r="A1761" s="23" t="str">
        <f>IF('تعديل الجرد'!C261="","",'تعديل الجرد'!B261)</f>
        <v/>
      </c>
      <c r="B1761" t="str">
        <f>IF('تعديل الجرد'!C261="","","تعديل جرد")</f>
        <v/>
      </c>
      <c r="C1761" t="str">
        <f>IF('تعديل الجرد'!C261="","",IF('تعديل الجرد'!G261="","-",'تعديل الجرد'!G261))</f>
        <v/>
      </c>
      <c r="D1761" t="str">
        <f>IF('تعديل الجرد'!C261="","",'تعديل الجرد'!C261)</f>
        <v/>
      </c>
      <c r="E1761" s="24" t="str">
        <f>IF('تعديل الجرد'!C261="","",'تعديل الجرد'!F261)</f>
        <v/>
      </c>
      <c r="F1761" t="str">
        <f>IF('تعديل الجرد'!C261="","",IF('تعديل الجرد'!H261="","",'تعديل الجرد'!H261))</f>
        <v/>
      </c>
      <c r="G1761" t="str">
        <f>IF($B1761&lt;&gt;"",SUMPRODUCT(($B$2:$B1761&lt;&gt;"")*1),"")</f>
        <v/>
      </c>
    </row>
    <row r="1762" spans="1:7">
      <c r="A1762" s="23" t="str">
        <f>IF('تعديل الجرد'!C262="","",'تعديل الجرد'!B262)</f>
        <v/>
      </c>
      <c r="B1762" t="str">
        <f>IF('تعديل الجرد'!C262="","","تعديل جرد")</f>
        <v/>
      </c>
      <c r="C1762" t="str">
        <f>IF('تعديل الجرد'!C262="","",IF('تعديل الجرد'!G262="","-",'تعديل الجرد'!G262))</f>
        <v/>
      </c>
      <c r="D1762" t="str">
        <f>IF('تعديل الجرد'!C262="","",'تعديل الجرد'!C262)</f>
        <v/>
      </c>
      <c r="E1762" s="24" t="str">
        <f>IF('تعديل الجرد'!C262="","",'تعديل الجرد'!F262)</f>
        <v/>
      </c>
      <c r="F1762" t="str">
        <f>IF('تعديل الجرد'!C262="","",IF('تعديل الجرد'!H262="","",'تعديل الجرد'!H262))</f>
        <v/>
      </c>
      <c r="G1762" t="str">
        <f>IF($B1762&lt;&gt;"",SUMPRODUCT(($B$2:$B1762&lt;&gt;"")*1),"")</f>
        <v/>
      </c>
    </row>
    <row r="1763" spans="1:7">
      <c r="A1763" s="23" t="str">
        <f>IF('تعديل الجرد'!C263="","",'تعديل الجرد'!B263)</f>
        <v/>
      </c>
      <c r="B1763" t="str">
        <f>IF('تعديل الجرد'!C263="","","تعديل جرد")</f>
        <v/>
      </c>
      <c r="C1763" t="str">
        <f>IF('تعديل الجرد'!C263="","",IF('تعديل الجرد'!G263="","-",'تعديل الجرد'!G263))</f>
        <v/>
      </c>
      <c r="D1763" t="str">
        <f>IF('تعديل الجرد'!C263="","",'تعديل الجرد'!C263)</f>
        <v/>
      </c>
      <c r="E1763" s="24" t="str">
        <f>IF('تعديل الجرد'!C263="","",'تعديل الجرد'!F263)</f>
        <v/>
      </c>
      <c r="F1763" t="str">
        <f>IF('تعديل الجرد'!C263="","",IF('تعديل الجرد'!H263="","",'تعديل الجرد'!H263))</f>
        <v/>
      </c>
      <c r="G1763" t="str">
        <f>IF($B1763&lt;&gt;"",SUMPRODUCT(($B$2:$B1763&lt;&gt;"")*1),"")</f>
        <v/>
      </c>
    </row>
    <row r="1764" spans="1:7">
      <c r="A1764" s="23" t="str">
        <f>IF('تعديل الجرد'!C264="","",'تعديل الجرد'!B264)</f>
        <v/>
      </c>
      <c r="B1764" t="str">
        <f>IF('تعديل الجرد'!C264="","","تعديل جرد")</f>
        <v/>
      </c>
      <c r="C1764" t="str">
        <f>IF('تعديل الجرد'!C264="","",IF('تعديل الجرد'!G264="","-",'تعديل الجرد'!G264))</f>
        <v/>
      </c>
      <c r="D1764" t="str">
        <f>IF('تعديل الجرد'!C264="","",'تعديل الجرد'!C264)</f>
        <v/>
      </c>
      <c r="E1764" s="24" t="str">
        <f>IF('تعديل الجرد'!C264="","",'تعديل الجرد'!F264)</f>
        <v/>
      </c>
      <c r="F1764" t="str">
        <f>IF('تعديل الجرد'!C264="","",IF('تعديل الجرد'!H264="","",'تعديل الجرد'!H264))</f>
        <v/>
      </c>
      <c r="G1764" t="str">
        <f>IF($B1764&lt;&gt;"",SUMPRODUCT(($B$2:$B1764&lt;&gt;"")*1),"")</f>
        <v/>
      </c>
    </row>
    <row r="1765" spans="1:7">
      <c r="A1765" s="23" t="str">
        <f>IF('تعديل الجرد'!C265="","",'تعديل الجرد'!B265)</f>
        <v/>
      </c>
      <c r="B1765" t="str">
        <f>IF('تعديل الجرد'!C265="","","تعديل جرد")</f>
        <v/>
      </c>
      <c r="C1765" t="str">
        <f>IF('تعديل الجرد'!C265="","",IF('تعديل الجرد'!G265="","-",'تعديل الجرد'!G265))</f>
        <v/>
      </c>
      <c r="D1765" t="str">
        <f>IF('تعديل الجرد'!C265="","",'تعديل الجرد'!C265)</f>
        <v/>
      </c>
      <c r="E1765" s="24" t="str">
        <f>IF('تعديل الجرد'!C265="","",'تعديل الجرد'!F265)</f>
        <v/>
      </c>
      <c r="F1765" t="str">
        <f>IF('تعديل الجرد'!C265="","",IF('تعديل الجرد'!H265="","",'تعديل الجرد'!H265))</f>
        <v/>
      </c>
      <c r="G1765" t="str">
        <f>IF($B1765&lt;&gt;"",SUMPRODUCT(($B$2:$B1765&lt;&gt;"")*1),"")</f>
        <v/>
      </c>
    </row>
    <row r="1766" spans="1:7">
      <c r="A1766" s="23" t="str">
        <f>IF('تعديل الجرد'!C266="","",'تعديل الجرد'!B266)</f>
        <v/>
      </c>
      <c r="B1766" t="str">
        <f>IF('تعديل الجرد'!C266="","","تعديل جرد")</f>
        <v/>
      </c>
      <c r="C1766" t="str">
        <f>IF('تعديل الجرد'!C266="","",IF('تعديل الجرد'!G266="","-",'تعديل الجرد'!G266))</f>
        <v/>
      </c>
      <c r="D1766" t="str">
        <f>IF('تعديل الجرد'!C266="","",'تعديل الجرد'!C266)</f>
        <v/>
      </c>
      <c r="E1766" s="24" t="str">
        <f>IF('تعديل الجرد'!C266="","",'تعديل الجرد'!F266)</f>
        <v/>
      </c>
      <c r="F1766" t="str">
        <f>IF('تعديل الجرد'!C266="","",IF('تعديل الجرد'!H266="","",'تعديل الجرد'!H266))</f>
        <v/>
      </c>
      <c r="G1766" t="str">
        <f>IF($B1766&lt;&gt;"",SUMPRODUCT(($B$2:$B1766&lt;&gt;"")*1),"")</f>
        <v/>
      </c>
    </row>
    <row r="1767" spans="1:7">
      <c r="A1767" s="23" t="str">
        <f>IF('تعديل الجرد'!C267="","",'تعديل الجرد'!B267)</f>
        <v/>
      </c>
      <c r="B1767" t="str">
        <f>IF('تعديل الجرد'!C267="","","تعديل جرد")</f>
        <v/>
      </c>
      <c r="C1767" t="str">
        <f>IF('تعديل الجرد'!C267="","",IF('تعديل الجرد'!G267="","-",'تعديل الجرد'!G267))</f>
        <v/>
      </c>
      <c r="D1767" t="str">
        <f>IF('تعديل الجرد'!C267="","",'تعديل الجرد'!C267)</f>
        <v/>
      </c>
      <c r="E1767" s="24" t="str">
        <f>IF('تعديل الجرد'!C267="","",'تعديل الجرد'!F267)</f>
        <v/>
      </c>
      <c r="F1767" t="str">
        <f>IF('تعديل الجرد'!C267="","",IF('تعديل الجرد'!H267="","",'تعديل الجرد'!H267))</f>
        <v/>
      </c>
      <c r="G1767" t="str">
        <f>IF($B1767&lt;&gt;"",SUMPRODUCT(($B$2:$B1767&lt;&gt;"")*1),"")</f>
        <v/>
      </c>
    </row>
    <row r="1768" spans="1:7">
      <c r="A1768" s="23" t="str">
        <f>IF('تعديل الجرد'!C268="","",'تعديل الجرد'!B268)</f>
        <v/>
      </c>
      <c r="B1768" t="str">
        <f>IF('تعديل الجرد'!C268="","","تعديل جرد")</f>
        <v/>
      </c>
      <c r="C1768" t="str">
        <f>IF('تعديل الجرد'!C268="","",IF('تعديل الجرد'!G268="","-",'تعديل الجرد'!G268))</f>
        <v/>
      </c>
      <c r="D1768" t="str">
        <f>IF('تعديل الجرد'!C268="","",'تعديل الجرد'!C268)</f>
        <v/>
      </c>
      <c r="E1768" s="24" t="str">
        <f>IF('تعديل الجرد'!C268="","",'تعديل الجرد'!F268)</f>
        <v/>
      </c>
      <c r="F1768" t="str">
        <f>IF('تعديل الجرد'!C268="","",IF('تعديل الجرد'!H268="","",'تعديل الجرد'!H268))</f>
        <v/>
      </c>
      <c r="G1768" t="str">
        <f>IF($B1768&lt;&gt;"",SUMPRODUCT(($B$2:$B1768&lt;&gt;"")*1),"")</f>
        <v/>
      </c>
    </row>
    <row r="1769" spans="1:7">
      <c r="A1769" s="23" t="str">
        <f>IF('تعديل الجرد'!C269="","",'تعديل الجرد'!B269)</f>
        <v/>
      </c>
      <c r="B1769" t="str">
        <f>IF('تعديل الجرد'!C269="","","تعديل جرد")</f>
        <v/>
      </c>
      <c r="C1769" t="str">
        <f>IF('تعديل الجرد'!C269="","",IF('تعديل الجرد'!G269="","-",'تعديل الجرد'!G269))</f>
        <v/>
      </c>
      <c r="D1769" t="str">
        <f>IF('تعديل الجرد'!C269="","",'تعديل الجرد'!C269)</f>
        <v/>
      </c>
      <c r="E1769" s="24" t="str">
        <f>IF('تعديل الجرد'!C269="","",'تعديل الجرد'!F269)</f>
        <v/>
      </c>
      <c r="F1769" t="str">
        <f>IF('تعديل الجرد'!C269="","",IF('تعديل الجرد'!H269="","",'تعديل الجرد'!H269))</f>
        <v/>
      </c>
      <c r="G1769" t="str">
        <f>IF($B1769&lt;&gt;"",SUMPRODUCT(($B$2:$B1769&lt;&gt;"")*1),"")</f>
        <v/>
      </c>
    </row>
    <row r="1770" spans="1:7">
      <c r="A1770" s="23" t="str">
        <f>IF('تعديل الجرد'!C270="","",'تعديل الجرد'!B270)</f>
        <v/>
      </c>
      <c r="B1770" t="str">
        <f>IF('تعديل الجرد'!C270="","","تعديل جرد")</f>
        <v/>
      </c>
      <c r="C1770" t="str">
        <f>IF('تعديل الجرد'!C270="","",IF('تعديل الجرد'!G270="","-",'تعديل الجرد'!G270))</f>
        <v/>
      </c>
      <c r="D1770" t="str">
        <f>IF('تعديل الجرد'!C270="","",'تعديل الجرد'!C270)</f>
        <v/>
      </c>
      <c r="E1770" s="24" t="str">
        <f>IF('تعديل الجرد'!C270="","",'تعديل الجرد'!F270)</f>
        <v/>
      </c>
      <c r="F1770" t="str">
        <f>IF('تعديل الجرد'!C270="","",IF('تعديل الجرد'!H270="","",'تعديل الجرد'!H270))</f>
        <v/>
      </c>
      <c r="G1770" t="str">
        <f>IF($B1770&lt;&gt;"",SUMPRODUCT(($B$2:$B1770&lt;&gt;"")*1),"")</f>
        <v/>
      </c>
    </row>
    <row r="1771" spans="1:7">
      <c r="A1771" s="23" t="str">
        <f>IF('تعديل الجرد'!C271="","",'تعديل الجرد'!B271)</f>
        <v/>
      </c>
      <c r="B1771" t="str">
        <f>IF('تعديل الجرد'!C271="","","تعديل جرد")</f>
        <v/>
      </c>
      <c r="C1771" t="str">
        <f>IF('تعديل الجرد'!C271="","",IF('تعديل الجرد'!G271="","-",'تعديل الجرد'!G271))</f>
        <v/>
      </c>
      <c r="D1771" t="str">
        <f>IF('تعديل الجرد'!C271="","",'تعديل الجرد'!C271)</f>
        <v/>
      </c>
      <c r="E1771" s="24" t="str">
        <f>IF('تعديل الجرد'!C271="","",'تعديل الجرد'!F271)</f>
        <v/>
      </c>
      <c r="F1771" t="str">
        <f>IF('تعديل الجرد'!C271="","",IF('تعديل الجرد'!H271="","",'تعديل الجرد'!H271))</f>
        <v/>
      </c>
      <c r="G1771" t="str">
        <f>IF($B1771&lt;&gt;"",SUMPRODUCT(($B$2:$B1771&lt;&gt;"")*1),"")</f>
        <v/>
      </c>
    </row>
    <row r="1772" spans="1:7">
      <c r="A1772" s="23" t="str">
        <f>IF('تعديل الجرد'!C272="","",'تعديل الجرد'!B272)</f>
        <v/>
      </c>
      <c r="B1772" t="str">
        <f>IF('تعديل الجرد'!C272="","","تعديل جرد")</f>
        <v/>
      </c>
      <c r="C1772" t="str">
        <f>IF('تعديل الجرد'!C272="","",IF('تعديل الجرد'!G272="","-",'تعديل الجرد'!G272))</f>
        <v/>
      </c>
      <c r="D1772" t="str">
        <f>IF('تعديل الجرد'!C272="","",'تعديل الجرد'!C272)</f>
        <v/>
      </c>
      <c r="E1772" s="24" t="str">
        <f>IF('تعديل الجرد'!C272="","",'تعديل الجرد'!F272)</f>
        <v/>
      </c>
      <c r="F1772" t="str">
        <f>IF('تعديل الجرد'!C272="","",IF('تعديل الجرد'!H272="","",'تعديل الجرد'!H272))</f>
        <v/>
      </c>
      <c r="G1772" t="str">
        <f>IF($B1772&lt;&gt;"",SUMPRODUCT(($B$2:$B1772&lt;&gt;"")*1),"")</f>
        <v/>
      </c>
    </row>
    <row r="1773" spans="1:7">
      <c r="A1773" s="23" t="str">
        <f>IF('تعديل الجرد'!C273="","",'تعديل الجرد'!B273)</f>
        <v/>
      </c>
      <c r="B1773" t="str">
        <f>IF('تعديل الجرد'!C273="","","تعديل جرد")</f>
        <v/>
      </c>
      <c r="C1773" t="str">
        <f>IF('تعديل الجرد'!C273="","",IF('تعديل الجرد'!G273="","-",'تعديل الجرد'!G273))</f>
        <v/>
      </c>
      <c r="D1773" t="str">
        <f>IF('تعديل الجرد'!C273="","",'تعديل الجرد'!C273)</f>
        <v/>
      </c>
      <c r="E1773" s="24" t="str">
        <f>IF('تعديل الجرد'!C273="","",'تعديل الجرد'!F273)</f>
        <v/>
      </c>
      <c r="F1773" t="str">
        <f>IF('تعديل الجرد'!C273="","",IF('تعديل الجرد'!H273="","",'تعديل الجرد'!H273))</f>
        <v/>
      </c>
      <c r="G1773" t="str">
        <f>IF($B1773&lt;&gt;"",SUMPRODUCT(($B$2:$B1773&lt;&gt;"")*1),"")</f>
        <v/>
      </c>
    </row>
    <row r="1774" spans="1:7">
      <c r="A1774" s="23" t="str">
        <f>IF('تعديل الجرد'!C274="","",'تعديل الجرد'!B274)</f>
        <v/>
      </c>
      <c r="B1774" t="str">
        <f>IF('تعديل الجرد'!C274="","","تعديل جرد")</f>
        <v/>
      </c>
      <c r="C1774" t="str">
        <f>IF('تعديل الجرد'!C274="","",IF('تعديل الجرد'!G274="","-",'تعديل الجرد'!G274))</f>
        <v/>
      </c>
      <c r="D1774" t="str">
        <f>IF('تعديل الجرد'!C274="","",'تعديل الجرد'!C274)</f>
        <v/>
      </c>
      <c r="E1774" s="24" t="str">
        <f>IF('تعديل الجرد'!C274="","",'تعديل الجرد'!F274)</f>
        <v/>
      </c>
      <c r="F1774" t="str">
        <f>IF('تعديل الجرد'!C274="","",IF('تعديل الجرد'!H274="","",'تعديل الجرد'!H274))</f>
        <v/>
      </c>
      <c r="G1774" t="str">
        <f>IF($B1774&lt;&gt;"",SUMPRODUCT(($B$2:$B1774&lt;&gt;"")*1),"")</f>
        <v/>
      </c>
    </row>
    <row r="1775" spans="1:7">
      <c r="A1775" s="23" t="str">
        <f>IF('تعديل الجرد'!C275="","",'تعديل الجرد'!B275)</f>
        <v/>
      </c>
      <c r="B1775" t="str">
        <f>IF('تعديل الجرد'!C275="","","تعديل جرد")</f>
        <v/>
      </c>
      <c r="C1775" t="str">
        <f>IF('تعديل الجرد'!C275="","",IF('تعديل الجرد'!G275="","-",'تعديل الجرد'!G275))</f>
        <v/>
      </c>
      <c r="D1775" t="str">
        <f>IF('تعديل الجرد'!C275="","",'تعديل الجرد'!C275)</f>
        <v/>
      </c>
      <c r="E1775" s="24" t="str">
        <f>IF('تعديل الجرد'!C275="","",'تعديل الجرد'!F275)</f>
        <v/>
      </c>
      <c r="F1775" t="str">
        <f>IF('تعديل الجرد'!C275="","",IF('تعديل الجرد'!H275="","",'تعديل الجرد'!H275))</f>
        <v/>
      </c>
      <c r="G1775" t="str">
        <f>IF($B1775&lt;&gt;"",SUMPRODUCT(($B$2:$B1775&lt;&gt;"")*1),"")</f>
        <v/>
      </c>
    </row>
    <row r="1776" spans="1:7">
      <c r="A1776" s="23" t="str">
        <f>IF('تعديل الجرد'!C276="","",'تعديل الجرد'!B276)</f>
        <v/>
      </c>
      <c r="B1776" t="str">
        <f>IF('تعديل الجرد'!C276="","","تعديل جرد")</f>
        <v/>
      </c>
      <c r="C1776" t="str">
        <f>IF('تعديل الجرد'!C276="","",IF('تعديل الجرد'!G276="","-",'تعديل الجرد'!G276))</f>
        <v/>
      </c>
      <c r="D1776" t="str">
        <f>IF('تعديل الجرد'!C276="","",'تعديل الجرد'!C276)</f>
        <v/>
      </c>
      <c r="E1776" s="24" t="str">
        <f>IF('تعديل الجرد'!C276="","",'تعديل الجرد'!F276)</f>
        <v/>
      </c>
      <c r="F1776" t="str">
        <f>IF('تعديل الجرد'!C276="","",IF('تعديل الجرد'!H276="","",'تعديل الجرد'!H276))</f>
        <v/>
      </c>
      <c r="G1776" t="str">
        <f>IF($B1776&lt;&gt;"",SUMPRODUCT(($B$2:$B1776&lt;&gt;"")*1),"")</f>
        <v/>
      </c>
    </row>
    <row r="1777" spans="1:7">
      <c r="A1777" s="23" t="str">
        <f>IF('تعديل الجرد'!C277="","",'تعديل الجرد'!B277)</f>
        <v/>
      </c>
      <c r="B1777" t="str">
        <f>IF('تعديل الجرد'!C277="","","تعديل جرد")</f>
        <v/>
      </c>
      <c r="C1777" t="str">
        <f>IF('تعديل الجرد'!C277="","",IF('تعديل الجرد'!G277="","-",'تعديل الجرد'!G277))</f>
        <v/>
      </c>
      <c r="D1777" t="str">
        <f>IF('تعديل الجرد'!C277="","",'تعديل الجرد'!C277)</f>
        <v/>
      </c>
      <c r="E1777" s="24" t="str">
        <f>IF('تعديل الجرد'!C277="","",'تعديل الجرد'!F277)</f>
        <v/>
      </c>
      <c r="F1777" t="str">
        <f>IF('تعديل الجرد'!C277="","",IF('تعديل الجرد'!H277="","",'تعديل الجرد'!H277))</f>
        <v/>
      </c>
      <c r="G1777" t="str">
        <f>IF($B1777&lt;&gt;"",SUMPRODUCT(($B$2:$B1777&lt;&gt;"")*1),"")</f>
        <v/>
      </c>
    </row>
    <row r="1778" spans="1:7">
      <c r="A1778" s="23" t="str">
        <f>IF('تعديل الجرد'!C278="","",'تعديل الجرد'!B278)</f>
        <v/>
      </c>
      <c r="B1778" t="str">
        <f>IF('تعديل الجرد'!C278="","","تعديل جرد")</f>
        <v/>
      </c>
      <c r="C1778" t="str">
        <f>IF('تعديل الجرد'!C278="","",IF('تعديل الجرد'!G278="","-",'تعديل الجرد'!G278))</f>
        <v/>
      </c>
      <c r="D1778" t="str">
        <f>IF('تعديل الجرد'!C278="","",'تعديل الجرد'!C278)</f>
        <v/>
      </c>
      <c r="E1778" s="24" t="str">
        <f>IF('تعديل الجرد'!C278="","",'تعديل الجرد'!F278)</f>
        <v/>
      </c>
      <c r="F1778" t="str">
        <f>IF('تعديل الجرد'!C278="","",IF('تعديل الجرد'!H278="","",'تعديل الجرد'!H278))</f>
        <v/>
      </c>
      <c r="G1778" t="str">
        <f>IF($B1778&lt;&gt;"",SUMPRODUCT(($B$2:$B1778&lt;&gt;"")*1),"")</f>
        <v/>
      </c>
    </row>
    <row r="1779" spans="1:7">
      <c r="A1779" s="23" t="str">
        <f>IF('تعديل الجرد'!C279="","",'تعديل الجرد'!B279)</f>
        <v/>
      </c>
      <c r="B1779" t="str">
        <f>IF('تعديل الجرد'!C279="","","تعديل جرد")</f>
        <v/>
      </c>
      <c r="C1779" t="str">
        <f>IF('تعديل الجرد'!C279="","",IF('تعديل الجرد'!G279="","-",'تعديل الجرد'!G279))</f>
        <v/>
      </c>
      <c r="D1779" t="str">
        <f>IF('تعديل الجرد'!C279="","",'تعديل الجرد'!C279)</f>
        <v/>
      </c>
      <c r="E1779" s="24" t="str">
        <f>IF('تعديل الجرد'!C279="","",'تعديل الجرد'!F279)</f>
        <v/>
      </c>
      <c r="F1779" t="str">
        <f>IF('تعديل الجرد'!C279="","",IF('تعديل الجرد'!H279="","",'تعديل الجرد'!H279))</f>
        <v/>
      </c>
      <c r="G1779" t="str">
        <f>IF($B1779&lt;&gt;"",SUMPRODUCT(($B$2:$B1779&lt;&gt;"")*1),"")</f>
        <v/>
      </c>
    </row>
    <row r="1780" spans="1:7">
      <c r="A1780" s="23" t="str">
        <f>IF('تعديل الجرد'!C280="","",'تعديل الجرد'!B280)</f>
        <v/>
      </c>
      <c r="B1780" t="str">
        <f>IF('تعديل الجرد'!C280="","","تعديل جرد")</f>
        <v/>
      </c>
      <c r="C1780" t="str">
        <f>IF('تعديل الجرد'!C280="","",IF('تعديل الجرد'!G280="","-",'تعديل الجرد'!G280))</f>
        <v/>
      </c>
      <c r="D1780" t="str">
        <f>IF('تعديل الجرد'!C280="","",'تعديل الجرد'!C280)</f>
        <v/>
      </c>
      <c r="E1780" s="24" t="str">
        <f>IF('تعديل الجرد'!C280="","",'تعديل الجرد'!F280)</f>
        <v/>
      </c>
      <c r="F1780" t="str">
        <f>IF('تعديل الجرد'!C280="","",IF('تعديل الجرد'!H280="","",'تعديل الجرد'!H280))</f>
        <v/>
      </c>
      <c r="G1780" t="str">
        <f>IF($B1780&lt;&gt;"",SUMPRODUCT(($B$2:$B1780&lt;&gt;"")*1),"")</f>
        <v/>
      </c>
    </row>
    <row r="1781" spans="1:7">
      <c r="A1781" s="23" t="str">
        <f>IF('تعديل الجرد'!C281="","",'تعديل الجرد'!B281)</f>
        <v/>
      </c>
      <c r="B1781" t="str">
        <f>IF('تعديل الجرد'!C281="","","تعديل جرد")</f>
        <v/>
      </c>
      <c r="C1781" t="str">
        <f>IF('تعديل الجرد'!C281="","",IF('تعديل الجرد'!G281="","-",'تعديل الجرد'!G281))</f>
        <v/>
      </c>
      <c r="D1781" t="str">
        <f>IF('تعديل الجرد'!C281="","",'تعديل الجرد'!C281)</f>
        <v/>
      </c>
      <c r="E1781" s="24" t="str">
        <f>IF('تعديل الجرد'!C281="","",'تعديل الجرد'!F281)</f>
        <v/>
      </c>
      <c r="F1781" t="str">
        <f>IF('تعديل الجرد'!C281="","",IF('تعديل الجرد'!H281="","",'تعديل الجرد'!H281))</f>
        <v/>
      </c>
      <c r="G1781" t="str">
        <f>IF($B1781&lt;&gt;"",SUMPRODUCT(($B$2:$B1781&lt;&gt;"")*1),"")</f>
        <v/>
      </c>
    </row>
    <row r="1782" spans="1:7">
      <c r="A1782" s="23" t="str">
        <f>IF('تعديل الجرد'!C282="","",'تعديل الجرد'!B282)</f>
        <v/>
      </c>
      <c r="B1782" t="str">
        <f>IF('تعديل الجرد'!C282="","","تعديل جرد")</f>
        <v/>
      </c>
      <c r="C1782" t="str">
        <f>IF('تعديل الجرد'!C282="","",IF('تعديل الجرد'!G282="","-",'تعديل الجرد'!G282))</f>
        <v/>
      </c>
      <c r="D1782" t="str">
        <f>IF('تعديل الجرد'!C282="","",'تعديل الجرد'!C282)</f>
        <v/>
      </c>
      <c r="E1782" s="24" t="str">
        <f>IF('تعديل الجرد'!C282="","",'تعديل الجرد'!F282)</f>
        <v/>
      </c>
      <c r="F1782" t="str">
        <f>IF('تعديل الجرد'!C282="","",IF('تعديل الجرد'!H282="","",'تعديل الجرد'!H282))</f>
        <v/>
      </c>
      <c r="G1782" t="str">
        <f>IF($B1782&lt;&gt;"",SUMPRODUCT(($B$2:$B1782&lt;&gt;"")*1),"")</f>
        <v/>
      </c>
    </row>
    <row r="1783" spans="1:7">
      <c r="A1783" s="23" t="str">
        <f>IF('تعديل الجرد'!C283="","",'تعديل الجرد'!B283)</f>
        <v/>
      </c>
      <c r="B1783" t="str">
        <f>IF('تعديل الجرد'!C283="","","تعديل جرد")</f>
        <v/>
      </c>
      <c r="C1783" t="str">
        <f>IF('تعديل الجرد'!C283="","",IF('تعديل الجرد'!G283="","-",'تعديل الجرد'!G283))</f>
        <v/>
      </c>
      <c r="D1783" t="str">
        <f>IF('تعديل الجرد'!C283="","",'تعديل الجرد'!C283)</f>
        <v/>
      </c>
      <c r="E1783" s="24" t="str">
        <f>IF('تعديل الجرد'!C283="","",'تعديل الجرد'!F283)</f>
        <v/>
      </c>
      <c r="F1783" t="str">
        <f>IF('تعديل الجرد'!C283="","",IF('تعديل الجرد'!H283="","",'تعديل الجرد'!H283))</f>
        <v/>
      </c>
      <c r="G1783" t="str">
        <f>IF($B1783&lt;&gt;"",SUMPRODUCT(($B$2:$B1783&lt;&gt;"")*1),"")</f>
        <v/>
      </c>
    </row>
    <row r="1784" spans="1:7">
      <c r="A1784" s="23" t="str">
        <f>IF('تعديل الجرد'!C284="","",'تعديل الجرد'!B284)</f>
        <v/>
      </c>
      <c r="B1784" t="str">
        <f>IF('تعديل الجرد'!C284="","","تعديل جرد")</f>
        <v/>
      </c>
      <c r="C1784" t="str">
        <f>IF('تعديل الجرد'!C284="","",IF('تعديل الجرد'!G284="","-",'تعديل الجرد'!G284))</f>
        <v/>
      </c>
      <c r="D1784" t="str">
        <f>IF('تعديل الجرد'!C284="","",'تعديل الجرد'!C284)</f>
        <v/>
      </c>
      <c r="E1784" s="24" t="str">
        <f>IF('تعديل الجرد'!C284="","",'تعديل الجرد'!F284)</f>
        <v/>
      </c>
      <c r="F1784" t="str">
        <f>IF('تعديل الجرد'!C284="","",IF('تعديل الجرد'!H284="","",'تعديل الجرد'!H284))</f>
        <v/>
      </c>
      <c r="G1784" t="str">
        <f>IF($B1784&lt;&gt;"",SUMPRODUCT(($B$2:$B1784&lt;&gt;"")*1),"")</f>
        <v/>
      </c>
    </row>
    <row r="1785" spans="1:7">
      <c r="A1785" s="23" t="str">
        <f>IF('تعديل الجرد'!C285="","",'تعديل الجرد'!B285)</f>
        <v/>
      </c>
      <c r="B1785" t="str">
        <f>IF('تعديل الجرد'!C285="","","تعديل جرد")</f>
        <v/>
      </c>
      <c r="C1785" t="str">
        <f>IF('تعديل الجرد'!C285="","",IF('تعديل الجرد'!G285="","-",'تعديل الجرد'!G285))</f>
        <v/>
      </c>
      <c r="D1785" t="str">
        <f>IF('تعديل الجرد'!C285="","",'تعديل الجرد'!C285)</f>
        <v/>
      </c>
      <c r="E1785" s="24" t="str">
        <f>IF('تعديل الجرد'!C285="","",'تعديل الجرد'!F285)</f>
        <v/>
      </c>
      <c r="F1785" t="str">
        <f>IF('تعديل الجرد'!C285="","",IF('تعديل الجرد'!H285="","",'تعديل الجرد'!H285))</f>
        <v/>
      </c>
      <c r="G1785" t="str">
        <f>IF($B1785&lt;&gt;"",SUMPRODUCT(($B$2:$B1785&lt;&gt;"")*1),"")</f>
        <v/>
      </c>
    </row>
    <row r="1786" spans="1:7">
      <c r="A1786" s="23" t="str">
        <f>IF('تعديل الجرد'!C286="","",'تعديل الجرد'!B286)</f>
        <v/>
      </c>
      <c r="B1786" t="str">
        <f>IF('تعديل الجرد'!C286="","","تعديل جرد")</f>
        <v/>
      </c>
      <c r="C1786" t="str">
        <f>IF('تعديل الجرد'!C286="","",IF('تعديل الجرد'!G286="","-",'تعديل الجرد'!G286))</f>
        <v/>
      </c>
      <c r="D1786" t="str">
        <f>IF('تعديل الجرد'!C286="","",'تعديل الجرد'!C286)</f>
        <v/>
      </c>
      <c r="E1786" s="24" t="str">
        <f>IF('تعديل الجرد'!C286="","",'تعديل الجرد'!F286)</f>
        <v/>
      </c>
      <c r="F1786" t="str">
        <f>IF('تعديل الجرد'!C286="","",IF('تعديل الجرد'!H286="","",'تعديل الجرد'!H286))</f>
        <v/>
      </c>
      <c r="G1786" t="str">
        <f>IF($B1786&lt;&gt;"",SUMPRODUCT(($B$2:$B1786&lt;&gt;"")*1),"")</f>
        <v/>
      </c>
    </row>
    <row r="1787" spans="1:7">
      <c r="A1787" s="23" t="str">
        <f>IF('تعديل الجرد'!C287="","",'تعديل الجرد'!B287)</f>
        <v/>
      </c>
      <c r="B1787" t="str">
        <f>IF('تعديل الجرد'!C287="","","تعديل جرد")</f>
        <v/>
      </c>
      <c r="C1787" t="str">
        <f>IF('تعديل الجرد'!C287="","",IF('تعديل الجرد'!G287="","-",'تعديل الجرد'!G287))</f>
        <v/>
      </c>
      <c r="D1787" t="str">
        <f>IF('تعديل الجرد'!C287="","",'تعديل الجرد'!C287)</f>
        <v/>
      </c>
      <c r="E1787" s="24" t="str">
        <f>IF('تعديل الجرد'!C287="","",'تعديل الجرد'!F287)</f>
        <v/>
      </c>
      <c r="F1787" t="str">
        <f>IF('تعديل الجرد'!C287="","",IF('تعديل الجرد'!H287="","",'تعديل الجرد'!H287))</f>
        <v/>
      </c>
      <c r="G1787" t="str">
        <f>IF($B1787&lt;&gt;"",SUMPRODUCT(($B$2:$B1787&lt;&gt;"")*1),"")</f>
        <v/>
      </c>
    </row>
    <row r="1788" spans="1:7">
      <c r="A1788" s="23" t="str">
        <f>IF('تعديل الجرد'!C288="","",'تعديل الجرد'!B288)</f>
        <v/>
      </c>
      <c r="B1788" t="str">
        <f>IF('تعديل الجرد'!C288="","","تعديل جرد")</f>
        <v/>
      </c>
      <c r="C1788" t="str">
        <f>IF('تعديل الجرد'!C288="","",IF('تعديل الجرد'!G288="","-",'تعديل الجرد'!G288))</f>
        <v/>
      </c>
      <c r="D1788" t="str">
        <f>IF('تعديل الجرد'!C288="","",'تعديل الجرد'!C288)</f>
        <v/>
      </c>
      <c r="E1788" s="24" t="str">
        <f>IF('تعديل الجرد'!C288="","",'تعديل الجرد'!F288)</f>
        <v/>
      </c>
      <c r="F1788" t="str">
        <f>IF('تعديل الجرد'!C288="","",IF('تعديل الجرد'!H288="","",'تعديل الجرد'!H288))</f>
        <v/>
      </c>
      <c r="G1788" t="str">
        <f>IF($B1788&lt;&gt;"",SUMPRODUCT(($B$2:$B1788&lt;&gt;"")*1),"")</f>
        <v/>
      </c>
    </row>
    <row r="1789" spans="1:7">
      <c r="A1789" s="23" t="str">
        <f>IF('تعديل الجرد'!C289="","",'تعديل الجرد'!B289)</f>
        <v/>
      </c>
      <c r="B1789" t="str">
        <f>IF('تعديل الجرد'!C289="","","تعديل جرد")</f>
        <v/>
      </c>
      <c r="C1789" t="str">
        <f>IF('تعديل الجرد'!C289="","",IF('تعديل الجرد'!G289="","-",'تعديل الجرد'!G289))</f>
        <v/>
      </c>
      <c r="D1789" t="str">
        <f>IF('تعديل الجرد'!C289="","",'تعديل الجرد'!C289)</f>
        <v/>
      </c>
      <c r="E1789" s="24" t="str">
        <f>IF('تعديل الجرد'!C289="","",'تعديل الجرد'!F289)</f>
        <v/>
      </c>
      <c r="F1789" t="str">
        <f>IF('تعديل الجرد'!C289="","",IF('تعديل الجرد'!H289="","",'تعديل الجرد'!H289))</f>
        <v/>
      </c>
      <c r="G1789" t="str">
        <f>IF($B1789&lt;&gt;"",SUMPRODUCT(($B$2:$B1789&lt;&gt;"")*1),"")</f>
        <v/>
      </c>
    </row>
    <row r="1790" spans="1:7">
      <c r="A1790" s="23" t="str">
        <f>IF('تعديل الجرد'!C290="","",'تعديل الجرد'!B290)</f>
        <v/>
      </c>
      <c r="B1790" t="str">
        <f>IF('تعديل الجرد'!C290="","","تعديل جرد")</f>
        <v/>
      </c>
      <c r="C1790" t="str">
        <f>IF('تعديل الجرد'!C290="","",IF('تعديل الجرد'!G290="","-",'تعديل الجرد'!G290))</f>
        <v/>
      </c>
      <c r="D1790" t="str">
        <f>IF('تعديل الجرد'!C290="","",'تعديل الجرد'!C290)</f>
        <v/>
      </c>
      <c r="E1790" s="24" t="str">
        <f>IF('تعديل الجرد'!C290="","",'تعديل الجرد'!F290)</f>
        <v/>
      </c>
      <c r="F1790" t="str">
        <f>IF('تعديل الجرد'!C290="","",IF('تعديل الجرد'!H290="","",'تعديل الجرد'!H290))</f>
        <v/>
      </c>
      <c r="G1790" t="str">
        <f>IF($B1790&lt;&gt;"",SUMPRODUCT(($B$2:$B1790&lt;&gt;"")*1),"")</f>
        <v/>
      </c>
    </row>
    <row r="1791" spans="1:7">
      <c r="A1791" s="23" t="str">
        <f>IF('تعديل الجرد'!C291="","",'تعديل الجرد'!B291)</f>
        <v/>
      </c>
      <c r="B1791" t="str">
        <f>IF('تعديل الجرد'!C291="","","تعديل جرد")</f>
        <v/>
      </c>
      <c r="C1791" t="str">
        <f>IF('تعديل الجرد'!C291="","",IF('تعديل الجرد'!G291="","-",'تعديل الجرد'!G291))</f>
        <v/>
      </c>
      <c r="D1791" t="str">
        <f>IF('تعديل الجرد'!C291="","",'تعديل الجرد'!C291)</f>
        <v/>
      </c>
      <c r="E1791" s="24" t="str">
        <f>IF('تعديل الجرد'!C291="","",'تعديل الجرد'!F291)</f>
        <v/>
      </c>
      <c r="F1791" t="str">
        <f>IF('تعديل الجرد'!C291="","",IF('تعديل الجرد'!H291="","",'تعديل الجرد'!H291))</f>
        <v/>
      </c>
      <c r="G1791" t="str">
        <f>IF($B1791&lt;&gt;"",SUMPRODUCT(($B$2:$B1791&lt;&gt;"")*1),"")</f>
        <v/>
      </c>
    </row>
    <row r="1792" spans="1:7">
      <c r="A1792" s="23" t="str">
        <f>IF('تعديل الجرد'!C292="","",'تعديل الجرد'!B292)</f>
        <v/>
      </c>
      <c r="B1792" t="str">
        <f>IF('تعديل الجرد'!C292="","","تعديل جرد")</f>
        <v/>
      </c>
      <c r="C1792" t="str">
        <f>IF('تعديل الجرد'!C292="","",IF('تعديل الجرد'!G292="","-",'تعديل الجرد'!G292))</f>
        <v/>
      </c>
      <c r="D1792" t="str">
        <f>IF('تعديل الجرد'!C292="","",'تعديل الجرد'!C292)</f>
        <v/>
      </c>
      <c r="E1792" s="24" t="str">
        <f>IF('تعديل الجرد'!C292="","",'تعديل الجرد'!F292)</f>
        <v/>
      </c>
      <c r="F1792" t="str">
        <f>IF('تعديل الجرد'!C292="","",IF('تعديل الجرد'!H292="","",'تعديل الجرد'!H292))</f>
        <v/>
      </c>
      <c r="G1792" t="str">
        <f>IF($B1792&lt;&gt;"",SUMPRODUCT(($B$2:$B1792&lt;&gt;"")*1),"")</f>
        <v/>
      </c>
    </row>
    <row r="1793" spans="1:7">
      <c r="A1793" s="23" t="str">
        <f>IF('تعديل الجرد'!C293="","",'تعديل الجرد'!B293)</f>
        <v/>
      </c>
      <c r="B1793" t="str">
        <f>IF('تعديل الجرد'!C293="","","تعديل جرد")</f>
        <v/>
      </c>
      <c r="C1793" t="str">
        <f>IF('تعديل الجرد'!C293="","",IF('تعديل الجرد'!G293="","-",'تعديل الجرد'!G293))</f>
        <v/>
      </c>
      <c r="D1793" t="str">
        <f>IF('تعديل الجرد'!C293="","",'تعديل الجرد'!C293)</f>
        <v/>
      </c>
      <c r="E1793" s="24" t="str">
        <f>IF('تعديل الجرد'!C293="","",'تعديل الجرد'!F293)</f>
        <v/>
      </c>
      <c r="F1793" t="str">
        <f>IF('تعديل الجرد'!C293="","",IF('تعديل الجرد'!H293="","",'تعديل الجرد'!H293))</f>
        <v/>
      </c>
      <c r="G1793" t="str">
        <f>IF($B1793&lt;&gt;"",SUMPRODUCT(($B$2:$B1793&lt;&gt;"")*1),"")</f>
        <v/>
      </c>
    </row>
    <row r="1794" spans="1:7">
      <c r="A1794" s="23" t="str">
        <f>IF('تعديل الجرد'!C294="","",'تعديل الجرد'!B294)</f>
        <v/>
      </c>
      <c r="B1794" t="str">
        <f>IF('تعديل الجرد'!C294="","","تعديل جرد")</f>
        <v/>
      </c>
      <c r="C1794" t="str">
        <f>IF('تعديل الجرد'!C294="","",IF('تعديل الجرد'!G294="","-",'تعديل الجرد'!G294))</f>
        <v/>
      </c>
      <c r="D1794" t="str">
        <f>IF('تعديل الجرد'!C294="","",'تعديل الجرد'!C294)</f>
        <v/>
      </c>
      <c r="E1794" s="24" t="str">
        <f>IF('تعديل الجرد'!C294="","",'تعديل الجرد'!F294)</f>
        <v/>
      </c>
      <c r="F1794" t="str">
        <f>IF('تعديل الجرد'!C294="","",IF('تعديل الجرد'!H294="","",'تعديل الجرد'!H294))</f>
        <v/>
      </c>
      <c r="G1794" t="str">
        <f>IF($B1794&lt;&gt;"",SUMPRODUCT(($B$2:$B1794&lt;&gt;"")*1),"")</f>
        <v/>
      </c>
    </row>
    <row r="1795" spans="1:7">
      <c r="A1795" s="23" t="str">
        <f>IF('تعديل الجرد'!C295="","",'تعديل الجرد'!B295)</f>
        <v/>
      </c>
      <c r="B1795" t="str">
        <f>IF('تعديل الجرد'!C295="","","تعديل جرد")</f>
        <v/>
      </c>
      <c r="C1795" t="str">
        <f>IF('تعديل الجرد'!C295="","",IF('تعديل الجرد'!G295="","-",'تعديل الجرد'!G295))</f>
        <v/>
      </c>
      <c r="D1795" t="str">
        <f>IF('تعديل الجرد'!C295="","",'تعديل الجرد'!C295)</f>
        <v/>
      </c>
      <c r="E1795" s="24" t="str">
        <f>IF('تعديل الجرد'!C295="","",'تعديل الجرد'!F295)</f>
        <v/>
      </c>
      <c r="F1795" t="str">
        <f>IF('تعديل الجرد'!C295="","",IF('تعديل الجرد'!H295="","",'تعديل الجرد'!H295))</f>
        <v/>
      </c>
      <c r="G1795" t="str">
        <f>IF($B1795&lt;&gt;"",SUMPRODUCT(($B$2:$B1795&lt;&gt;"")*1),"")</f>
        <v/>
      </c>
    </row>
    <row r="1796" spans="1:7">
      <c r="A1796" s="23" t="str">
        <f>IF('تعديل الجرد'!C296="","",'تعديل الجرد'!B296)</f>
        <v/>
      </c>
      <c r="B1796" t="str">
        <f>IF('تعديل الجرد'!C296="","","تعديل جرد")</f>
        <v/>
      </c>
      <c r="C1796" t="str">
        <f>IF('تعديل الجرد'!C296="","",IF('تعديل الجرد'!G296="","-",'تعديل الجرد'!G296))</f>
        <v/>
      </c>
      <c r="D1796" t="str">
        <f>IF('تعديل الجرد'!C296="","",'تعديل الجرد'!C296)</f>
        <v/>
      </c>
      <c r="E1796" s="24" t="str">
        <f>IF('تعديل الجرد'!C296="","",'تعديل الجرد'!F296)</f>
        <v/>
      </c>
      <c r="F1796" t="str">
        <f>IF('تعديل الجرد'!C296="","",IF('تعديل الجرد'!H296="","",'تعديل الجرد'!H296))</f>
        <v/>
      </c>
      <c r="G1796" t="str">
        <f>IF($B1796&lt;&gt;"",SUMPRODUCT(($B$2:$B1796&lt;&gt;"")*1),"")</f>
        <v/>
      </c>
    </row>
    <row r="1797" spans="1:7">
      <c r="A1797" s="23" t="str">
        <f>IF('تعديل الجرد'!C297="","",'تعديل الجرد'!B297)</f>
        <v/>
      </c>
      <c r="B1797" t="str">
        <f>IF('تعديل الجرد'!C297="","","تعديل جرد")</f>
        <v/>
      </c>
      <c r="C1797" t="str">
        <f>IF('تعديل الجرد'!C297="","",IF('تعديل الجرد'!G297="","-",'تعديل الجرد'!G297))</f>
        <v/>
      </c>
      <c r="D1797" t="str">
        <f>IF('تعديل الجرد'!C297="","",'تعديل الجرد'!C297)</f>
        <v/>
      </c>
      <c r="E1797" s="24" t="str">
        <f>IF('تعديل الجرد'!C297="","",'تعديل الجرد'!F297)</f>
        <v/>
      </c>
      <c r="F1797" t="str">
        <f>IF('تعديل الجرد'!C297="","",IF('تعديل الجرد'!H297="","",'تعديل الجرد'!H297))</f>
        <v/>
      </c>
      <c r="G1797" t="str">
        <f>IF($B1797&lt;&gt;"",SUMPRODUCT(($B$2:$B1797&lt;&gt;"")*1),"")</f>
        <v/>
      </c>
    </row>
    <row r="1798" spans="1:7">
      <c r="A1798" s="23" t="str">
        <f>IF('تعديل الجرد'!C298="","",'تعديل الجرد'!B298)</f>
        <v/>
      </c>
      <c r="B1798" t="str">
        <f>IF('تعديل الجرد'!C298="","","تعديل جرد")</f>
        <v/>
      </c>
      <c r="C1798" t="str">
        <f>IF('تعديل الجرد'!C298="","",IF('تعديل الجرد'!G298="","-",'تعديل الجرد'!G298))</f>
        <v/>
      </c>
      <c r="D1798" t="str">
        <f>IF('تعديل الجرد'!C298="","",'تعديل الجرد'!C298)</f>
        <v/>
      </c>
      <c r="E1798" s="24" t="str">
        <f>IF('تعديل الجرد'!C298="","",'تعديل الجرد'!F298)</f>
        <v/>
      </c>
      <c r="F1798" t="str">
        <f>IF('تعديل الجرد'!C298="","",IF('تعديل الجرد'!H298="","",'تعديل الجرد'!H298))</f>
        <v/>
      </c>
      <c r="G1798" t="str">
        <f>IF($B1798&lt;&gt;"",SUMPRODUCT(($B$2:$B1798&lt;&gt;"")*1),"")</f>
        <v/>
      </c>
    </row>
    <row r="1799" spans="1:7">
      <c r="A1799" s="23" t="str">
        <f>IF('تعديل الجرد'!C299="","",'تعديل الجرد'!B299)</f>
        <v/>
      </c>
      <c r="B1799" t="str">
        <f>IF('تعديل الجرد'!C299="","","تعديل جرد")</f>
        <v/>
      </c>
      <c r="C1799" t="str">
        <f>IF('تعديل الجرد'!C299="","",IF('تعديل الجرد'!G299="","-",'تعديل الجرد'!G299))</f>
        <v/>
      </c>
      <c r="D1799" t="str">
        <f>IF('تعديل الجرد'!C299="","",'تعديل الجرد'!C299)</f>
        <v/>
      </c>
      <c r="E1799" s="24" t="str">
        <f>IF('تعديل الجرد'!C299="","",'تعديل الجرد'!F299)</f>
        <v/>
      </c>
      <c r="F1799" t="str">
        <f>IF('تعديل الجرد'!C299="","",IF('تعديل الجرد'!H299="","",'تعديل الجرد'!H299))</f>
        <v/>
      </c>
      <c r="G1799" t="str">
        <f>IF($B1799&lt;&gt;"",SUMPRODUCT(($B$2:$B1799&lt;&gt;"")*1),"")</f>
        <v/>
      </c>
    </row>
    <row r="1800" spans="1:7">
      <c r="A1800" s="23" t="str">
        <f>IF('تعديل الجرد'!C300="","",'تعديل الجرد'!B300)</f>
        <v/>
      </c>
      <c r="B1800" t="str">
        <f>IF('تعديل الجرد'!C300="","","تعديل جرد")</f>
        <v/>
      </c>
      <c r="C1800" t="str">
        <f>IF('تعديل الجرد'!C300="","",IF('تعديل الجرد'!G300="","-",'تعديل الجرد'!G300))</f>
        <v/>
      </c>
      <c r="D1800" t="str">
        <f>IF('تعديل الجرد'!C300="","",'تعديل الجرد'!C300)</f>
        <v/>
      </c>
      <c r="E1800" s="24" t="str">
        <f>IF('تعديل الجرد'!C300="","",'تعديل الجرد'!F300)</f>
        <v/>
      </c>
      <c r="F1800" t="str">
        <f>IF('تعديل الجرد'!C300="","",IF('تعديل الجرد'!H300="","",'تعديل الجرد'!H300))</f>
        <v/>
      </c>
      <c r="G1800" t="str">
        <f>IF($B1800&lt;&gt;"",SUMPRODUCT(($B$2:$B1800&lt;&gt;"")*1),"")</f>
        <v/>
      </c>
    </row>
    <row r="1801" spans="1:7">
      <c r="A1801" s="23" t="str">
        <f>IF('تعديل الجرد'!C301="","",'تعديل الجرد'!B301)</f>
        <v/>
      </c>
      <c r="B1801" t="str">
        <f>IF('تعديل الجرد'!C301="","","تعديل جرد")</f>
        <v/>
      </c>
      <c r="C1801" t="str">
        <f>IF('تعديل الجرد'!C301="","",IF('تعديل الجرد'!G301="","-",'تعديل الجرد'!G301))</f>
        <v/>
      </c>
      <c r="D1801" t="str">
        <f>IF('تعديل الجرد'!C301="","",'تعديل الجرد'!C301)</f>
        <v/>
      </c>
      <c r="E1801" s="24" t="str">
        <f>IF('تعديل الجرد'!C301="","",'تعديل الجرد'!F301)</f>
        <v/>
      </c>
      <c r="F1801" t="str">
        <f>IF('تعديل الجرد'!C301="","",IF('تعديل الجرد'!H301="","",'تعديل الجرد'!H301))</f>
        <v/>
      </c>
      <c r="G1801" t="str">
        <f>IF($B1801&lt;&gt;"",SUMPRODUCT(($B$2:$B1801&lt;&gt;"")*1),"")</f>
        <v/>
      </c>
    </row>
    <row r="1802" spans="1:7">
      <c r="A1802" s="23" t="str">
        <f>IF('تعديل الجرد'!C302="","",'تعديل الجرد'!B302)</f>
        <v/>
      </c>
      <c r="B1802" t="str">
        <f>IF('تعديل الجرد'!C302="","","تعديل جرد")</f>
        <v/>
      </c>
      <c r="C1802" t="str">
        <f>IF('تعديل الجرد'!C302="","",IF('تعديل الجرد'!G302="","-",'تعديل الجرد'!G302))</f>
        <v/>
      </c>
      <c r="D1802" t="str">
        <f>IF('تعديل الجرد'!C302="","",'تعديل الجرد'!C302)</f>
        <v/>
      </c>
      <c r="E1802" s="24" t="str">
        <f>IF('تعديل الجرد'!C302="","",'تعديل الجرد'!F302)</f>
        <v/>
      </c>
      <c r="F1802" t="str">
        <f>IF('تعديل الجرد'!C302="","",IF('تعديل الجرد'!H302="","",'تعديل الجرد'!H302))</f>
        <v/>
      </c>
      <c r="G1802" t="str">
        <f>IF($B1802&lt;&gt;"",SUMPRODUCT(($B$2:$B1802&lt;&gt;"")*1),"")</f>
        <v/>
      </c>
    </row>
    <row r="1803" spans="1:7">
      <c r="A1803" s="23" t="str">
        <f>IF('تعديل الجرد'!C303="","",'تعديل الجرد'!B303)</f>
        <v/>
      </c>
      <c r="B1803" t="str">
        <f>IF('تعديل الجرد'!C303="","","تعديل جرد")</f>
        <v/>
      </c>
      <c r="C1803" t="str">
        <f>IF('تعديل الجرد'!C303="","",IF('تعديل الجرد'!G303="","-",'تعديل الجرد'!G303))</f>
        <v/>
      </c>
      <c r="D1803" t="str">
        <f>IF('تعديل الجرد'!C303="","",'تعديل الجرد'!C303)</f>
        <v/>
      </c>
      <c r="E1803" s="24" t="str">
        <f>IF('تعديل الجرد'!C303="","",'تعديل الجرد'!F303)</f>
        <v/>
      </c>
      <c r="F1803" t="str">
        <f>IF('تعديل الجرد'!C303="","",IF('تعديل الجرد'!H303="","",'تعديل الجرد'!H303))</f>
        <v/>
      </c>
      <c r="G1803" t="str">
        <f>IF($B1803&lt;&gt;"",SUMPRODUCT(($B$2:$B1803&lt;&gt;"")*1),"")</f>
        <v/>
      </c>
    </row>
    <row r="1804" spans="1:7">
      <c r="A1804" s="23" t="str">
        <f>IF('تعديل الجرد'!C304="","",'تعديل الجرد'!B304)</f>
        <v/>
      </c>
      <c r="B1804" t="str">
        <f>IF('تعديل الجرد'!C304="","","تعديل جرد")</f>
        <v/>
      </c>
      <c r="C1804" t="str">
        <f>IF('تعديل الجرد'!C304="","",IF('تعديل الجرد'!G304="","-",'تعديل الجرد'!G304))</f>
        <v/>
      </c>
      <c r="D1804" t="str">
        <f>IF('تعديل الجرد'!C304="","",'تعديل الجرد'!C304)</f>
        <v/>
      </c>
      <c r="E1804" s="24" t="str">
        <f>IF('تعديل الجرد'!C304="","",'تعديل الجرد'!F304)</f>
        <v/>
      </c>
      <c r="F1804" t="str">
        <f>IF('تعديل الجرد'!C304="","",IF('تعديل الجرد'!H304="","",'تعديل الجرد'!H304))</f>
        <v/>
      </c>
      <c r="G1804" t="str">
        <f>IF($B1804&lt;&gt;"",SUMPRODUCT(($B$2:$B1804&lt;&gt;"")*1),"")</f>
        <v/>
      </c>
    </row>
    <row r="1805" spans="1:7">
      <c r="A1805" s="23" t="str">
        <f>IF('تعديل الجرد'!C305="","",'تعديل الجرد'!B305)</f>
        <v/>
      </c>
      <c r="B1805" t="str">
        <f>IF('تعديل الجرد'!C305="","","تعديل جرد")</f>
        <v/>
      </c>
      <c r="C1805" t="str">
        <f>IF('تعديل الجرد'!C305="","",IF('تعديل الجرد'!G305="","-",'تعديل الجرد'!G305))</f>
        <v/>
      </c>
      <c r="D1805" t="str">
        <f>IF('تعديل الجرد'!C305="","",'تعديل الجرد'!C305)</f>
        <v/>
      </c>
      <c r="E1805" s="24" t="str">
        <f>IF('تعديل الجرد'!C305="","",'تعديل الجرد'!F305)</f>
        <v/>
      </c>
      <c r="F1805" t="str">
        <f>IF('تعديل الجرد'!C305="","",IF('تعديل الجرد'!H305="","",'تعديل الجرد'!H305))</f>
        <v/>
      </c>
      <c r="G1805" t="str">
        <f>IF($B1805&lt;&gt;"",SUMPRODUCT(($B$2:$B1805&lt;&gt;"")*1),"")</f>
        <v/>
      </c>
    </row>
    <row r="1806" spans="1:7">
      <c r="A1806" s="23" t="str">
        <f>IF('تعديل الجرد'!C306="","",'تعديل الجرد'!B306)</f>
        <v/>
      </c>
      <c r="B1806" t="str">
        <f>IF('تعديل الجرد'!C306="","","تعديل جرد")</f>
        <v/>
      </c>
      <c r="C1806" t="str">
        <f>IF('تعديل الجرد'!C306="","",IF('تعديل الجرد'!G306="","-",'تعديل الجرد'!G306))</f>
        <v/>
      </c>
      <c r="D1806" t="str">
        <f>IF('تعديل الجرد'!C306="","",'تعديل الجرد'!C306)</f>
        <v/>
      </c>
      <c r="E1806" s="24" t="str">
        <f>IF('تعديل الجرد'!C306="","",'تعديل الجرد'!F306)</f>
        <v/>
      </c>
      <c r="F1806" t="str">
        <f>IF('تعديل الجرد'!C306="","",IF('تعديل الجرد'!H306="","",'تعديل الجرد'!H306))</f>
        <v/>
      </c>
      <c r="G1806" t="str">
        <f>IF($B1806&lt;&gt;"",SUMPRODUCT(($B$2:$B1806&lt;&gt;"")*1),"")</f>
        <v/>
      </c>
    </row>
    <row r="1807" spans="1:7">
      <c r="A1807" s="23" t="str">
        <f>IF('تعديل الجرد'!C307="","",'تعديل الجرد'!B307)</f>
        <v/>
      </c>
      <c r="B1807" t="str">
        <f>IF('تعديل الجرد'!C307="","","تعديل جرد")</f>
        <v/>
      </c>
      <c r="C1807" t="str">
        <f>IF('تعديل الجرد'!C307="","",IF('تعديل الجرد'!G307="","-",'تعديل الجرد'!G307))</f>
        <v/>
      </c>
      <c r="D1807" t="str">
        <f>IF('تعديل الجرد'!C307="","",'تعديل الجرد'!C307)</f>
        <v/>
      </c>
      <c r="E1807" s="24" t="str">
        <f>IF('تعديل الجرد'!C307="","",'تعديل الجرد'!F307)</f>
        <v/>
      </c>
      <c r="F1807" t="str">
        <f>IF('تعديل الجرد'!C307="","",IF('تعديل الجرد'!H307="","",'تعديل الجرد'!H307))</f>
        <v/>
      </c>
      <c r="G1807" t="str">
        <f>IF($B1807&lt;&gt;"",SUMPRODUCT(($B$2:$B1807&lt;&gt;"")*1),"")</f>
        <v/>
      </c>
    </row>
    <row r="1808" spans="1:7">
      <c r="A1808" s="23" t="str">
        <f>IF('تعديل الجرد'!C308="","",'تعديل الجرد'!B308)</f>
        <v/>
      </c>
      <c r="B1808" t="str">
        <f>IF('تعديل الجرد'!C308="","","تعديل جرد")</f>
        <v/>
      </c>
      <c r="C1808" t="str">
        <f>IF('تعديل الجرد'!C308="","",IF('تعديل الجرد'!G308="","-",'تعديل الجرد'!G308))</f>
        <v/>
      </c>
      <c r="D1808" t="str">
        <f>IF('تعديل الجرد'!C308="","",'تعديل الجرد'!C308)</f>
        <v/>
      </c>
      <c r="E1808" s="24" t="str">
        <f>IF('تعديل الجرد'!C308="","",'تعديل الجرد'!F308)</f>
        <v/>
      </c>
      <c r="F1808" t="str">
        <f>IF('تعديل الجرد'!C308="","",IF('تعديل الجرد'!H308="","",'تعديل الجرد'!H308))</f>
        <v/>
      </c>
      <c r="G1808" t="str">
        <f>IF($B1808&lt;&gt;"",SUMPRODUCT(($B$2:$B1808&lt;&gt;"")*1),"")</f>
        <v/>
      </c>
    </row>
    <row r="1809" spans="1:7">
      <c r="A1809" s="23" t="str">
        <f>IF('تعديل الجرد'!C309="","",'تعديل الجرد'!B309)</f>
        <v/>
      </c>
      <c r="B1809" t="str">
        <f>IF('تعديل الجرد'!C309="","","تعديل جرد")</f>
        <v/>
      </c>
      <c r="C1809" t="str">
        <f>IF('تعديل الجرد'!C309="","",IF('تعديل الجرد'!G309="","-",'تعديل الجرد'!G309))</f>
        <v/>
      </c>
      <c r="D1809" t="str">
        <f>IF('تعديل الجرد'!C309="","",'تعديل الجرد'!C309)</f>
        <v/>
      </c>
      <c r="E1809" s="24" t="str">
        <f>IF('تعديل الجرد'!C309="","",'تعديل الجرد'!F309)</f>
        <v/>
      </c>
      <c r="F1809" t="str">
        <f>IF('تعديل الجرد'!C309="","",IF('تعديل الجرد'!H309="","",'تعديل الجرد'!H309))</f>
        <v/>
      </c>
      <c r="G1809" t="str">
        <f>IF($B1809&lt;&gt;"",SUMPRODUCT(($B$2:$B1809&lt;&gt;"")*1),"")</f>
        <v/>
      </c>
    </row>
    <row r="1810" spans="1:7">
      <c r="A1810" s="23" t="str">
        <f>IF('تعديل الجرد'!C310="","",'تعديل الجرد'!B310)</f>
        <v/>
      </c>
      <c r="B1810" t="str">
        <f>IF('تعديل الجرد'!C310="","","تعديل جرد")</f>
        <v/>
      </c>
      <c r="C1810" t="str">
        <f>IF('تعديل الجرد'!C310="","",IF('تعديل الجرد'!G310="","-",'تعديل الجرد'!G310))</f>
        <v/>
      </c>
      <c r="D1810" t="str">
        <f>IF('تعديل الجرد'!C310="","",'تعديل الجرد'!C310)</f>
        <v/>
      </c>
      <c r="E1810" s="24" t="str">
        <f>IF('تعديل الجرد'!C310="","",'تعديل الجرد'!F310)</f>
        <v/>
      </c>
      <c r="F1810" t="str">
        <f>IF('تعديل الجرد'!C310="","",IF('تعديل الجرد'!H310="","",'تعديل الجرد'!H310))</f>
        <v/>
      </c>
      <c r="G1810" t="str">
        <f>IF($B1810&lt;&gt;"",SUMPRODUCT(($B$2:$B1810&lt;&gt;"")*1),"")</f>
        <v/>
      </c>
    </row>
    <row r="1811" spans="1:7">
      <c r="A1811" s="23" t="str">
        <f>IF('تعديل الجرد'!C311="","",'تعديل الجرد'!B311)</f>
        <v/>
      </c>
      <c r="B1811" t="str">
        <f>IF('تعديل الجرد'!C311="","","تعديل جرد")</f>
        <v/>
      </c>
      <c r="C1811" t="str">
        <f>IF('تعديل الجرد'!C311="","",IF('تعديل الجرد'!G311="","-",'تعديل الجرد'!G311))</f>
        <v/>
      </c>
      <c r="D1811" t="str">
        <f>IF('تعديل الجرد'!C311="","",'تعديل الجرد'!C311)</f>
        <v/>
      </c>
      <c r="E1811" s="24" t="str">
        <f>IF('تعديل الجرد'!C311="","",'تعديل الجرد'!F311)</f>
        <v/>
      </c>
      <c r="F1811" t="str">
        <f>IF('تعديل الجرد'!C311="","",IF('تعديل الجرد'!H311="","",'تعديل الجرد'!H311))</f>
        <v/>
      </c>
      <c r="G1811" t="str">
        <f>IF($B1811&lt;&gt;"",SUMPRODUCT(($B$2:$B1811&lt;&gt;"")*1),"")</f>
        <v/>
      </c>
    </row>
    <row r="1812" spans="1:7">
      <c r="A1812" s="23" t="str">
        <f>IF('تعديل الجرد'!C312="","",'تعديل الجرد'!B312)</f>
        <v/>
      </c>
      <c r="B1812" t="str">
        <f>IF('تعديل الجرد'!C312="","","تعديل جرد")</f>
        <v/>
      </c>
      <c r="C1812" t="str">
        <f>IF('تعديل الجرد'!C312="","",IF('تعديل الجرد'!G312="","-",'تعديل الجرد'!G312))</f>
        <v/>
      </c>
      <c r="D1812" t="str">
        <f>IF('تعديل الجرد'!C312="","",'تعديل الجرد'!C312)</f>
        <v/>
      </c>
      <c r="E1812" s="24" t="str">
        <f>IF('تعديل الجرد'!C312="","",'تعديل الجرد'!F312)</f>
        <v/>
      </c>
      <c r="F1812" t="str">
        <f>IF('تعديل الجرد'!C312="","",IF('تعديل الجرد'!H312="","",'تعديل الجرد'!H312))</f>
        <v/>
      </c>
      <c r="G1812" t="str">
        <f>IF($B1812&lt;&gt;"",SUMPRODUCT(($B$2:$B1812&lt;&gt;"")*1),"")</f>
        <v/>
      </c>
    </row>
    <row r="1813" spans="1:7">
      <c r="A1813" s="23" t="str">
        <f>IF('تعديل الجرد'!C313="","",'تعديل الجرد'!B313)</f>
        <v/>
      </c>
      <c r="B1813" t="str">
        <f>IF('تعديل الجرد'!C313="","","تعديل جرد")</f>
        <v/>
      </c>
      <c r="C1813" t="str">
        <f>IF('تعديل الجرد'!C313="","",IF('تعديل الجرد'!G313="","-",'تعديل الجرد'!G313))</f>
        <v/>
      </c>
      <c r="D1813" t="str">
        <f>IF('تعديل الجرد'!C313="","",'تعديل الجرد'!C313)</f>
        <v/>
      </c>
      <c r="E1813" s="24" t="str">
        <f>IF('تعديل الجرد'!C313="","",'تعديل الجرد'!F313)</f>
        <v/>
      </c>
      <c r="F1813" t="str">
        <f>IF('تعديل الجرد'!C313="","",IF('تعديل الجرد'!H313="","",'تعديل الجرد'!H313))</f>
        <v/>
      </c>
      <c r="G1813" t="str">
        <f>IF($B1813&lt;&gt;"",SUMPRODUCT(($B$2:$B1813&lt;&gt;"")*1),"")</f>
        <v/>
      </c>
    </row>
    <row r="1814" spans="1:7">
      <c r="A1814" s="23" t="str">
        <f>IF('تعديل الجرد'!C314="","",'تعديل الجرد'!B314)</f>
        <v/>
      </c>
      <c r="B1814" t="str">
        <f>IF('تعديل الجرد'!C314="","","تعديل جرد")</f>
        <v/>
      </c>
      <c r="C1814" t="str">
        <f>IF('تعديل الجرد'!C314="","",IF('تعديل الجرد'!G314="","-",'تعديل الجرد'!G314))</f>
        <v/>
      </c>
      <c r="D1814" t="str">
        <f>IF('تعديل الجرد'!C314="","",'تعديل الجرد'!C314)</f>
        <v/>
      </c>
      <c r="E1814" s="24" t="str">
        <f>IF('تعديل الجرد'!C314="","",'تعديل الجرد'!F314)</f>
        <v/>
      </c>
      <c r="F1814" t="str">
        <f>IF('تعديل الجرد'!C314="","",IF('تعديل الجرد'!H314="","",'تعديل الجرد'!H314))</f>
        <v/>
      </c>
      <c r="G1814" t="str">
        <f>IF($B1814&lt;&gt;"",SUMPRODUCT(($B$2:$B1814&lt;&gt;"")*1),"")</f>
        <v/>
      </c>
    </row>
    <row r="1815" spans="1:7">
      <c r="A1815" s="23" t="str">
        <f>IF('تعديل الجرد'!C315="","",'تعديل الجرد'!B315)</f>
        <v/>
      </c>
      <c r="B1815" t="str">
        <f>IF('تعديل الجرد'!C315="","","تعديل جرد")</f>
        <v/>
      </c>
      <c r="C1815" t="str">
        <f>IF('تعديل الجرد'!C315="","",IF('تعديل الجرد'!G315="","-",'تعديل الجرد'!G315))</f>
        <v/>
      </c>
      <c r="D1815" t="str">
        <f>IF('تعديل الجرد'!C315="","",'تعديل الجرد'!C315)</f>
        <v/>
      </c>
      <c r="E1815" s="24" t="str">
        <f>IF('تعديل الجرد'!C315="","",'تعديل الجرد'!F315)</f>
        <v/>
      </c>
      <c r="F1815" t="str">
        <f>IF('تعديل الجرد'!C315="","",IF('تعديل الجرد'!H315="","",'تعديل الجرد'!H315))</f>
        <v/>
      </c>
      <c r="G1815" t="str">
        <f>IF($B1815&lt;&gt;"",SUMPRODUCT(($B$2:$B1815&lt;&gt;"")*1),"")</f>
        <v/>
      </c>
    </row>
    <row r="1816" spans="1:7">
      <c r="A1816" s="23" t="str">
        <f>IF('تعديل الجرد'!C316="","",'تعديل الجرد'!B316)</f>
        <v/>
      </c>
      <c r="B1816" t="str">
        <f>IF('تعديل الجرد'!C316="","","تعديل جرد")</f>
        <v/>
      </c>
      <c r="C1816" t="str">
        <f>IF('تعديل الجرد'!C316="","",IF('تعديل الجرد'!G316="","-",'تعديل الجرد'!G316))</f>
        <v/>
      </c>
      <c r="D1816" t="str">
        <f>IF('تعديل الجرد'!C316="","",'تعديل الجرد'!C316)</f>
        <v/>
      </c>
      <c r="E1816" s="24" t="str">
        <f>IF('تعديل الجرد'!C316="","",'تعديل الجرد'!F316)</f>
        <v/>
      </c>
      <c r="F1816" t="str">
        <f>IF('تعديل الجرد'!C316="","",IF('تعديل الجرد'!H316="","",'تعديل الجرد'!H316))</f>
        <v/>
      </c>
      <c r="G1816" t="str">
        <f>IF($B1816&lt;&gt;"",SUMPRODUCT(($B$2:$B1816&lt;&gt;"")*1),"")</f>
        <v/>
      </c>
    </row>
    <row r="1817" spans="1:7">
      <c r="A1817" s="23" t="str">
        <f>IF('تعديل الجرد'!C317="","",'تعديل الجرد'!B317)</f>
        <v/>
      </c>
      <c r="B1817" t="str">
        <f>IF('تعديل الجرد'!C317="","","تعديل جرد")</f>
        <v/>
      </c>
      <c r="C1817" t="str">
        <f>IF('تعديل الجرد'!C317="","",IF('تعديل الجرد'!G317="","-",'تعديل الجرد'!G317))</f>
        <v/>
      </c>
      <c r="D1817" t="str">
        <f>IF('تعديل الجرد'!C317="","",'تعديل الجرد'!C317)</f>
        <v/>
      </c>
      <c r="E1817" s="24" t="str">
        <f>IF('تعديل الجرد'!C317="","",'تعديل الجرد'!F317)</f>
        <v/>
      </c>
      <c r="F1817" t="str">
        <f>IF('تعديل الجرد'!C317="","",IF('تعديل الجرد'!H317="","",'تعديل الجرد'!H317))</f>
        <v/>
      </c>
      <c r="G1817" t="str">
        <f>IF($B1817&lt;&gt;"",SUMPRODUCT(($B$2:$B1817&lt;&gt;"")*1),"")</f>
        <v/>
      </c>
    </row>
    <row r="1818" spans="1:7">
      <c r="A1818" s="23" t="str">
        <f>IF('تعديل الجرد'!C318="","",'تعديل الجرد'!B318)</f>
        <v/>
      </c>
      <c r="B1818" t="str">
        <f>IF('تعديل الجرد'!C318="","","تعديل جرد")</f>
        <v/>
      </c>
      <c r="C1818" t="str">
        <f>IF('تعديل الجرد'!C318="","",IF('تعديل الجرد'!G318="","-",'تعديل الجرد'!G318))</f>
        <v/>
      </c>
      <c r="D1818" t="str">
        <f>IF('تعديل الجرد'!C318="","",'تعديل الجرد'!C318)</f>
        <v/>
      </c>
      <c r="E1818" s="24" t="str">
        <f>IF('تعديل الجرد'!C318="","",'تعديل الجرد'!F318)</f>
        <v/>
      </c>
      <c r="F1818" t="str">
        <f>IF('تعديل الجرد'!C318="","",IF('تعديل الجرد'!H318="","",'تعديل الجرد'!H318))</f>
        <v/>
      </c>
      <c r="G1818" t="str">
        <f>IF($B1818&lt;&gt;"",SUMPRODUCT(($B$2:$B1818&lt;&gt;"")*1),"")</f>
        <v/>
      </c>
    </row>
    <row r="1819" spans="1:7">
      <c r="A1819" s="23" t="str">
        <f>IF('تعديل الجرد'!C319="","",'تعديل الجرد'!B319)</f>
        <v/>
      </c>
      <c r="B1819" t="str">
        <f>IF('تعديل الجرد'!C319="","","تعديل جرد")</f>
        <v/>
      </c>
      <c r="C1819" t="str">
        <f>IF('تعديل الجرد'!C319="","",IF('تعديل الجرد'!G319="","-",'تعديل الجرد'!G319))</f>
        <v/>
      </c>
      <c r="D1819" t="str">
        <f>IF('تعديل الجرد'!C319="","",'تعديل الجرد'!C319)</f>
        <v/>
      </c>
      <c r="E1819" s="24" t="str">
        <f>IF('تعديل الجرد'!C319="","",'تعديل الجرد'!F319)</f>
        <v/>
      </c>
      <c r="F1819" t="str">
        <f>IF('تعديل الجرد'!C319="","",IF('تعديل الجرد'!H319="","",'تعديل الجرد'!H319))</f>
        <v/>
      </c>
      <c r="G1819" t="str">
        <f>IF($B1819&lt;&gt;"",SUMPRODUCT(($B$2:$B1819&lt;&gt;"")*1),"")</f>
        <v/>
      </c>
    </row>
    <row r="1820" spans="1:7">
      <c r="A1820" s="23" t="str">
        <f>IF('تعديل الجرد'!C320="","",'تعديل الجرد'!B320)</f>
        <v/>
      </c>
      <c r="B1820" t="str">
        <f>IF('تعديل الجرد'!C320="","","تعديل جرد")</f>
        <v/>
      </c>
      <c r="C1820" t="str">
        <f>IF('تعديل الجرد'!C320="","",IF('تعديل الجرد'!G320="","-",'تعديل الجرد'!G320))</f>
        <v/>
      </c>
      <c r="D1820" t="str">
        <f>IF('تعديل الجرد'!C320="","",'تعديل الجرد'!C320)</f>
        <v/>
      </c>
      <c r="E1820" s="24" t="str">
        <f>IF('تعديل الجرد'!C320="","",'تعديل الجرد'!F320)</f>
        <v/>
      </c>
      <c r="F1820" t="str">
        <f>IF('تعديل الجرد'!C320="","",IF('تعديل الجرد'!H320="","",'تعديل الجرد'!H320))</f>
        <v/>
      </c>
      <c r="G1820" t="str">
        <f>IF($B1820&lt;&gt;"",SUMPRODUCT(($B$2:$B1820&lt;&gt;"")*1),"")</f>
        <v/>
      </c>
    </row>
    <row r="1821" spans="1:7">
      <c r="A1821" s="23" t="str">
        <f>IF('تعديل الجرد'!C321="","",'تعديل الجرد'!B321)</f>
        <v/>
      </c>
      <c r="B1821" t="str">
        <f>IF('تعديل الجرد'!C321="","","تعديل جرد")</f>
        <v/>
      </c>
      <c r="C1821" t="str">
        <f>IF('تعديل الجرد'!C321="","",IF('تعديل الجرد'!G321="","-",'تعديل الجرد'!G321))</f>
        <v/>
      </c>
      <c r="D1821" t="str">
        <f>IF('تعديل الجرد'!C321="","",'تعديل الجرد'!C321)</f>
        <v/>
      </c>
      <c r="E1821" s="24" t="str">
        <f>IF('تعديل الجرد'!C321="","",'تعديل الجرد'!F321)</f>
        <v/>
      </c>
      <c r="F1821" t="str">
        <f>IF('تعديل الجرد'!C321="","",IF('تعديل الجرد'!H321="","",'تعديل الجرد'!H321))</f>
        <v/>
      </c>
      <c r="G1821" t="str">
        <f>IF($B1821&lt;&gt;"",SUMPRODUCT(($B$2:$B1821&lt;&gt;"")*1),"")</f>
        <v/>
      </c>
    </row>
    <row r="1822" spans="1:7">
      <c r="A1822" s="23" t="str">
        <f>IF('تعديل الجرد'!C322="","",'تعديل الجرد'!B322)</f>
        <v/>
      </c>
      <c r="B1822" t="str">
        <f>IF('تعديل الجرد'!C322="","","تعديل جرد")</f>
        <v/>
      </c>
      <c r="C1822" t="str">
        <f>IF('تعديل الجرد'!C322="","",IF('تعديل الجرد'!G322="","-",'تعديل الجرد'!G322))</f>
        <v/>
      </c>
      <c r="D1822" t="str">
        <f>IF('تعديل الجرد'!C322="","",'تعديل الجرد'!C322)</f>
        <v/>
      </c>
      <c r="E1822" s="24" t="str">
        <f>IF('تعديل الجرد'!C322="","",'تعديل الجرد'!F322)</f>
        <v/>
      </c>
      <c r="F1822" t="str">
        <f>IF('تعديل الجرد'!C322="","",IF('تعديل الجرد'!H322="","",'تعديل الجرد'!H322))</f>
        <v/>
      </c>
      <c r="G1822" t="str">
        <f>IF($B1822&lt;&gt;"",SUMPRODUCT(($B$2:$B1822&lt;&gt;"")*1),"")</f>
        <v/>
      </c>
    </row>
    <row r="1823" spans="1:7">
      <c r="A1823" s="23" t="str">
        <f>IF('تعديل الجرد'!C323="","",'تعديل الجرد'!B323)</f>
        <v/>
      </c>
      <c r="B1823" t="str">
        <f>IF('تعديل الجرد'!C323="","","تعديل جرد")</f>
        <v/>
      </c>
      <c r="C1823" t="str">
        <f>IF('تعديل الجرد'!C323="","",IF('تعديل الجرد'!G323="","-",'تعديل الجرد'!G323))</f>
        <v/>
      </c>
      <c r="D1823" t="str">
        <f>IF('تعديل الجرد'!C323="","",'تعديل الجرد'!C323)</f>
        <v/>
      </c>
      <c r="E1823" s="24" t="str">
        <f>IF('تعديل الجرد'!C323="","",'تعديل الجرد'!F323)</f>
        <v/>
      </c>
      <c r="F1823" t="str">
        <f>IF('تعديل الجرد'!C323="","",IF('تعديل الجرد'!H323="","",'تعديل الجرد'!H323))</f>
        <v/>
      </c>
      <c r="G1823" t="str">
        <f>IF($B1823&lt;&gt;"",SUMPRODUCT(($B$2:$B1823&lt;&gt;"")*1),"")</f>
        <v/>
      </c>
    </row>
    <row r="1824" spans="1:7">
      <c r="A1824" s="23" t="str">
        <f>IF('تعديل الجرد'!C324="","",'تعديل الجرد'!B324)</f>
        <v/>
      </c>
      <c r="B1824" t="str">
        <f>IF('تعديل الجرد'!C324="","","تعديل جرد")</f>
        <v/>
      </c>
      <c r="C1824" t="str">
        <f>IF('تعديل الجرد'!C324="","",IF('تعديل الجرد'!G324="","-",'تعديل الجرد'!G324))</f>
        <v/>
      </c>
      <c r="D1824" t="str">
        <f>IF('تعديل الجرد'!C324="","",'تعديل الجرد'!C324)</f>
        <v/>
      </c>
      <c r="E1824" s="24" t="str">
        <f>IF('تعديل الجرد'!C324="","",'تعديل الجرد'!F324)</f>
        <v/>
      </c>
      <c r="F1824" t="str">
        <f>IF('تعديل الجرد'!C324="","",IF('تعديل الجرد'!H324="","",'تعديل الجرد'!H324))</f>
        <v/>
      </c>
      <c r="G1824" t="str">
        <f>IF($B1824&lt;&gt;"",SUMPRODUCT(($B$2:$B1824&lt;&gt;"")*1),"")</f>
        <v/>
      </c>
    </row>
    <row r="1825" spans="1:7">
      <c r="A1825" s="23" t="str">
        <f>IF('تعديل الجرد'!C325="","",'تعديل الجرد'!B325)</f>
        <v/>
      </c>
      <c r="B1825" t="str">
        <f>IF('تعديل الجرد'!C325="","","تعديل جرد")</f>
        <v/>
      </c>
      <c r="C1825" t="str">
        <f>IF('تعديل الجرد'!C325="","",IF('تعديل الجرد'!G325="","-",'تعديل الجرد'!G325))</f>
        <v/>
      </c>
      <c r="D1825" t="str">
        <f>IF('تعديل الجرد'!C325="","",'تعديل الجرد'!C325)</f>
        <v/>
      </c>
      <c r="E1825" s="24" t="str">
        <f>IF('تعديل الجرد'!C325="","",'تعديل الجرد'!F325)</f>
        <v/>
      </c>
      <c r="F1825" t="str">
        <f>IF('تعديل الجرد'!C325="","",IF('تعديل الجرد'!H325="","",'تعديل الجرد'!H325))</f>
        <v/>
      </c>
      <c r="G1825" t="str">
        <f>IF($B1825&lt;&gt;"",SUMPRODUCT(($B$2:$B1825&lt;&gt;"")*1),"")</f>
        <v/>
      </c>
    </row>
    <row r="1826" spans="1:7">
      <c r="A1826" s="23" t="str">
        <f>IF('تعديل الجرد'!C326="","",'تعديل الجرد'!B326)</f>
        <v/>
      </c>
      <c r="B1826" t="str">
        <f>IF('تعديل الجرد'!C326="","","تعديل جرد")</f>
        <v/>
      </c>
      <c r="C1826" t="str">
        <f>IF('تعديل الجرد'!C326="","",IF('تعديل الجرد'!G326="","-",'تعديل الجرد'!G326))</f>
        <v/>
      </c>
      <c r="D1826" t="str">
        <f>IF('تعديل الجرد'!C326="","",'تعديل الجرد'!C326)</f>
        <v/>
      </c>
      <c r="E1826" s="24" t="str">
        <f>IF('تعديل الجرد'!C326="","",'تعديل الجرد'!F326)</f>
        <v/>
      </c>
      <c r="F1826" t="str">
        <f>IF('تعديل الجرد'!C326="","",IF('تعديل الجرد'!H326="","",'تعديل الجرد'!H326))</f>
        <v/>
      </c>
      <c r="G1826" t="str">
        <f>IF($B1826&lt;&gt;"",SUMPRODUCT(($B$2:$B1826&lt;&gt;"")*1),"")</f>
        <v/>
      </c>
    </row>
    <row r="1827" spans="1:7">
      <c r="A1827" s="23" t="str">
        <f>IF('تعديل الجرد'!C327="","",'تعديل الجرد'!B327)</f>
        <v/>
      </c>
      <c r="B1827" t="str">
        <f>IF('تعديل الجرد'!C327="","","تعديل جرد")</f>
        <v/>
      </c>
      <c r="C1827" t="str">
        <f>IF('تعديل الجرد'!C327="","",IF('تعديل الجرد'!G327="","-",'تعديل الجرد'!G327))</f>
        <v/>
      </c>
      <c r="D1827" t="str">
        <f>IF('تعديل الجرد'!C327="","",'تعديل الجرد'!C327)</f>
        <v/>
      </c>
      <c r="E1827" s="24" t="str">
        <f>IF('تعديل الجرد'!C327="","",'تعديل الجرد'!F327)</f>
        <v/>
      </c>
      <c r="F1827" t="str">
        <f>IF('تعديل الجرد'!C327="","",IF('تعديل الجرد'!H327="","",'تعديل الجرد'!H327))</f>
        <v/>
      </c>
      <c r="G1827" t="str">
        <f>IF($B1827&lt;&gt;"",SUMPRODUCT(($B$2:$B1827&lt;&gt;"")*1),"")</f>
        <v/>
      </c>
    </row>
    <row r="1828" spans="1:7">
      <c r="A1828" s="23" t="str">
        <f>IF('تعديل الجرد'!C328="","",'تعديل الجرد'!B328)</f>
        <v/>
      </c>
      <c r="B1828" t="str">
        <f>IF('تعديل الجرد'!C328="","","تعديل جرد")</f>
        <v/>
      </c>
      <c r="C1828" t="str">
        <f>IF('تعديل الجرد'!C328="","",IF('تعديل الجرد'!G328="","-",'تعديل الجرد'!G328))</f>
        <v/>
      </c>
      <c r="D1828" t="str">
        <f>IF('تعديل الجرد'!C328="","",'تعديل الجرد'!C328)</f>
        <v/>
      </c>
      <c r="E1828" s="24" t="str">
        <f>IF('تعديل الجرد'!C328="","",'تعديل الجرد'!F328)</f>
        <v/>
      </c>
      <c r="F1828" t="str">
        <f>IF('تعديل الجرد'!C328="","",IF('تعديل الجرد'!H328="","",'تعديل الجرد'!H328))</f>
        <v/>
      </c>
      <c r="G1828" t="str">
        <f>IF($B1828&lt;&gt;"",SUMPRODUCT(($B$2:$B1828&lt;&gt;"")*1),"")</f>
        <v/>
      </c>
    </row>
    <row r="1829" spans="1:7">
      <c r="A1829" s="23" t="str">
        <f>IF('تعديل الجرد'!C329="","",'تعديل الجرد'!B329)</f>
        <v/>
      </c>
      <c r="B1829" t="str">
        <f>IF('تعديل الجرد'!C329="","","تعديل جرد")</f>
        <v/>
      </c>
      <c r="C1829" t="str">
        <f>IF('تعديل الجرد'!C329="","",IF('تعديل الجرد'!G329="","-",'تعديل الجرد'!G329))</f>
        <v/>
      </c>
      <c r="D1829" t="str">
        <f>IF('تعديل الجرد'!C329="","",'تعديل الجرد'!C329)</f>
        <v/>
      </c>
      <c r="E1829" s="24" t="str">
        <f>IF('تعديل الجرد'!C329="","",'تعديل الجرد'!F329)</f>
        <v/>
      </c>
      <c r="F1829" t="str">
        <f>IF('تعديل الجرد'!C329="","",IF('تعديل الجرد'!H329="","",'تعديل الجرد'!H329))</f>
        <v/>
      </c>
      <c r="G1829" t="str">
        <f>IF($B1829&lt;&gt;"",SUMPRODUCT(($B$2:$B1829&lt;&gt;"")*1),"")</f>
        <v/>
      </c>
    </row>
    <row r="1830" spans="1:7">
      <c r="A1830" s="23" t="str">
        <f>IF('تعديل الجرد'!C330="","",'تعديل الجرد'!B330)</f>
        <v/>
      </c>
      <c r="B1830" t="str">
        <f>IF('تعديل الجرد'!C330="","","تعديل جرد")</f>
        <v/>
      </c>
      <c r="C1830" t="str">
        <f>IF('تعديل الجرد'!C330="","",IF('تعديل الجرد'!G330="","-",'تعديل الجرد'!G330))</f>
        <v/>
      </c>
      <c r="D1830" t="str">
        <f>IF('تعديل الجرد'!C330="","",'تعديل الجرد'!C330)</f>
        <v/>
      </c>
      <c r="E1830" s="24" t="str">
        <f>IF('تعديل الجرد'!C330="","",'تعديل الجرد'!F330)</f>
        <v/>
      </c>
      <c r="F1830" t="str">
        <f>IF('تعديل الجرد'!C330="","",IF('تعديل الجرد'!H330="","",'تعديل الجرد'!H330))</f>
        <v/>
      </c>
      <c r="G1830" t="str">
        <f>IF($B1830&lt;&gt;"",SUMPRODUCT(($B$2:$B1830&lt;&gt;"")*1),"")</f>
        <v/>
      </c>
    </row>
    <row r="1831" spans="1:7">
      <c r="A1831" s="23" t="str">
        <f>IF('تعديل الجرد'!C331="","",'تعديل الجرد'!B331)</f>
        <v/>
      </c>
      <c r="B1831" t="str">
        <f>IF('تعديل الجرد'!C331="","","تعديل جرد")</f>
        <v/>
      </c>
      <c r="C1831" t="str">
        <f>IF('تعديل الجرد'!C331="","",IF('تعديل الجرد'!G331="","-",'تعديل الجرد'!G331))</f>
        <v/>
      </c>
      <c r="D1831" t="str">
        <f>IF('تعديل الجرد'!C331="","",'تعديل الجرد'!C331)</f>
        <v/>
      </c>
      <c r="E1831" s="24" t="str">
        <f>IF('تعديل الجرد'!C331="","",'تعديل الجرد'!F331)</f>
        <v/>
      </c>
      <c r="F1831" t="str">
        <f>IF('تعديل الجرد'!C331="","",IF('تعديل الجرد'!H331="","",'تعديل الجرد'!H331))</f>
        <v/>
      </c>
      <c r="G1831" t="str">
        <f>IF($B1831&lt;&gt;"",SUMPRODUCT(($B$2:$B1831&lt;&gt;"")*1),"")</f>
        <v/>
      </c>
    </row>
    <row r="1832" spans="1:7">
      <c r="A1832" s="23" t="str">
        <f>IF('تعديل الجرد'!C332="","",'تعديل الجرد'!B332)</f>
        <v/>
      </c>
      <c r="B1832" t="str">
        <f>IF('تعديل الجرد'!C332="","","تعديل جرد")</f>
        <v/>
      </c>
      <c r="C1832" t="str">
        <f>IF('تعديل الجرد'!C332="","",IF('تعديل الجرد'!G332="","-",'تعديل الجرد'!G332))</f>
        <v/>
      </c>
      <c r="D1832" t="str">
        <f>IF('تعديل الجرد'!C332="","",'تعديل الجرد'!C332)</f>
        <v/>
      </c>
      <c r="E1832" s="24" t="str">
        <f>IF('تعديل الجرد'!C332="","",'تعديل الجرد'!F332)</f>
        <v/>
      </c>
      <c r="F1832" t="str">
        <f>IF('تعديل الجرد'!C332="","",IF('تعديل الجرد'!H332="","",'تعديل الجرد'!H332))</f>
        <v/>
      </c>
      <c r="G1832" t="str">
        <f>IF($B1832&lt;&gt;"",SUMPRODUCT(($B$2:$B1832&lt;&gt;"")*1),"")</f>
        <v/>
      </c>
    </row>
    <row r="1833" spans="1:7">
      <c r="A1833" s="23" t="str">
        <f>IF('تعديل الجرد'!C333="","",'تعديل الجرد'!B333)</f>
        <v/>
      </c>
      <c r="B1833" t="str">
        <f>IF('تعديل الجرد'!C333="","","تعديل جرد")</f>
        <v/>
      </c>
      <c r="C1833" t="str">
        <f>IF('تعديل الجرد'!C333="","",IF('تعديل الجرد'!G333="","-",'تعديل الجرد'!G333))</f>
        <v/>
      </c>
      <c r="D1833" t="str">
        <f>IF('تعديل الجرد'!C333="","",'تعديل الجرد'!C333)</f>
        <v/>
      </c>
      <c r="E1833" s="24" t="str">
        <f>IF('تعديل الجرد'!C333="","",'تعديل الجرد'!F333)</f>
        <v/>
      </c>
      <c r="F1833" t="str">
        <f>IF('تعديل الجرد'!C333="","",IF('تعديل الجرد'!H333="","",'تعديل الجرد'!H333))</f>
        <v/>
      </c>
      <c r="G1833" t="str">
        <f>IF($B1833&lt;&gt;"",SUMPRODUCT(($B$2:$B1833&lt;&gt;"")*1),"")</f>
        <v/>
      </c>
    </row>
    <row r="1834" spans="1:7">
      <c r="A1834" s="23" t="str">
        <f>IF('تعديل الجرد'!C334="","",'تعديل الجرد'!B334)</f>
        <v/>
      </c>
      <c r="B1834" t="str">
        <f>IF('تعديل الجرد'!C334="","","تعديل جرد")</f>
        <v/>
      </c>
      <c r="C1834" t="str">
        <f>IF('تعديل الجرد'!C334="","",IF('تعديل الجرد'!G334="","-",'تعديل الجرد'!G334))</f>
        <v/>
      </c>
      <c r="D1834" t="str">
        <f>IF('تعديل الجرد'!C334="","",'تعديل الجرد'!C334)</f>
        <v/>
      </c>
      <c r="E1834" s="24" t="str">
        <f>IF('تعديل الجرد'!C334="","",'تعديل الجرد'!F334)</f>
        <v/>
      </c>
      <c r="F1834" t="str">
        <f>IF('تعديل الجرد'!C334="","",IF('تعديل الجرد'!H334="","",'تعديل الجرد'!H334))</f>
        <v/>
      </c>
      <c r="G1834" t="str">
        <f>IF($B1834&lt;&gt;"",SUMPRODUCT(($B$2:$B1834&lt;&gt;"")*1),"")</f>
        <v/>
      </c>
    </row>
    <row r="1835" spans="1:7">
      <c r="A1835" s="23" t="str">
        <f>IF('تعديل الجرد'!C335="","",'تعديل الجرد'!B335)</f>
        <v/>
      </c>
      <c r="B1835" t="str">
        <f>IF('تعديل الجرد'!C335="","","تعديل جرد")</f>
        <v/>
      </c>
      <c r="C1835" t="str">
        <f>IF('تعديل الجرد'!C335="","",IF('تعديل الجرد'!G335="","-",'تعديل الجرد'!G335))</f>
        <v/>
      </c>
      <c r="D1835" t="str">
        <f>IF('تعديل الجرد'!C335="","",'تعديل الجرد'!C335)</f>
        <v/>
      </c>
      <c r="E1835" s="24" t="str">
        <f>IF('تعديل الجرد'!C335="","",'تعديل الجرد'!F335)</f>
        <v/>
      </c>
      <c r="F1835" t="str">
        <f>IF('تعديل الجرد'!C335="","",IF('تعديل الجرد'!H335="","",'تعديل الجرد'!H335))</f>
        <v/>
      </c>
      <c r="G1835" t="str">
        <f>IF($B1835&lt;&gt;"",SUMPRODUCT(($B$2:$B1835&lt;&gt;"")*1),"")</f>
        <v/>
      </c>
    </row>
    <row r="1836" spans="1:7">
      <c r="A1836" s="23" t="str">
        <f>IF('تعديل الجرد'!C336="","",'تعديل الجرد'!B336)</f>
        <v/>
      </c>
      <c r="B1836" t="str">
        <f>IF('تعديل الجرد'!C336="","","تعديل جرد")</f>
        <v/>
      </c>
      <c r="C1836" t="str">
        <f>IF('تعديل الجرد'!C336="","",IF('تعديل الجرد'!G336="","-",'تعديل الجرد'!G336))</f>
        <v/>
      </c>
      <c r="D1836" t="str">
        <f>IF('تعديل الجرد'!C336="","",'تعديل الجرد'!C336)</f>
        <v/>
      </c>
      <c r="E1836" s="24" t="str">
        <f>IF('تعديل الجرد'!C336="","",'تعديل الجرد'!F336)</f>
        <v/>
      </c>
      <c r="F1836" t="str">
        <f>IF('تعديل الجرد'!C336="","",IF('تعديل الجرد'!H336="","",'تعديل الجرد'!H336))</f>
        <v/>
      </c>
      <c r="G1836" t="str">
        <f>IF($B1836&lt;&gt;"",SUMPRODUCT(($B$2:$B1836&lt;&gt;"")*1),"")</f>
        <v/>
      </c>
    </row>
    <row r="1837" spans="1:7">
      <c r="A1837" s="23" t="str">
        <f>IF('تعديل الجرد'!C337="","",'تعديل الجرد'!B337)</f>
        <v/>
      </c>
      <c r="B1837" t="str">
        <f>IF('تعديل الجرد'!C337="","","تعديل جرد")</f>
        <v/>
      </c>
      <c r="C1837" t="str">
        <f>IF('تعديل الجرد'!C337="","",IF('تعديل الجرد'!G337="","-",'تعديل الجرد'!G337))</f>
        <v/>
      </c>
      <c r="D1837" t="str">
        <f>IF('تعديل الجرد'!C337="","",'تعديل الجرد'!C337)</f>
        <v/>
      </c>
      <c r="E1837" s="24" t="str">
        <f>IF('تعديل الجرد'!C337="","",'تعديل الجرد'!F337)</f>
        <v/>
      </c>
      <c r="F1837" t="str">
        <f>IF('تعديل الجرد'!C337="","",IF('تعديل الجرد'!H337="","",'تعديل الجرد'!H337))</f>
        <v/>
      </c>
      <c r="G1837" t="str">
        <f>IF($B1837&lt;&gt;"",SUMPRODUCT(($B$2:$B1837&lt;&gt;"")*1),"")</f>
        <v/>
      </c>
    </row>
    <row r="1838" spans="1:7">
      <c r="A1838" s="23" t="str">
        <f>IF('تعديل الجرد'!C338="","",'تعديل الجرد'!B338)</f>
        <v/>
      </c>
      <c r="B1838" t="str">
        <f>IF('تعديل الجرد'!C338="","","تعديل جرد")</f>
        <v/>
      </c>
      <c r="C1838" t="str">
        <f>IF('تعديل الجرد'!C338="","",IF('تعديل الجرد'!G338="","-",'تعديل الجرد'!G338))</f>
        <v/>
      </c>
      <c r="D1838" t="str">
        <f>IF('تعديل الجرد'!C338="","",'تعديل الجرد'!C338)</f>
        <v/>
      </c>
      <c r="E1838" s="24" t="str">
        <f>IF('تعديل الجرد'!C338="","",'تعديل الجرد'!F338)</f>
        <v/>
      </c>
      <c r="F1838" t="str">
        <f>IF('تعديل الجرد'!C338="","",IF('تعديل الجرد'!H338="","",'تعديل الجرد'!H338))</f>
        <v/>
      </c>
      <c r="G1838" t="str">
        <f>IF($B1838&lt;&gt;"",SUMPRODUCT(($B$2:$B1838&lt;&gt;"")*1),"")</f>
        <v/>
      </c>
    </row>
    <row r="1839" spans="1:7">
      <c r="A1839" s="23" t="str">
        <f>IF('تعديل الجرد'!C339="","",'تعديل الجرد'!B339)</f>
        <v/>
      </c>
      <c r="B1839" t="str">
        <f>IF('تعديل الجرد'!C339="","","تعديل جرد")</f>
        <v/>
      </c>
      <c r="C1839" t="str">
        <f>IF('تعديل الجرد'!C339="","",IF('تعديل الجرد'!G339="","-",'تعديل الجرد'!G339))</f>
        <v/>
      </c>
      <c r="D1839" t="str">
        <f>IF('تعديل الجرد'!C339="","",'تعديل الجرد'!C339)</f>
        <v/>
      </c>
      <c r="E1839" s="24" t="str">
        <f>IF('تعديل الجرد'!C339="","",'تعديل الجرد'!F339)</f>
        <v/>
      </c>
      <c r="F1839" t="str">
        <f>IF('تعديل الجرد'!C339="","",IF('تعديل الجرد'!H339="","",'تعديل الجرد'!H339))</f>
        <v/>
      </c>
      <c r="G1839" t="str">
        <f>IF($B1839&lt;&gt;"",SUMPRODUCT(($B$2:$B1839&lt;&gt;"")*1),"")</f>
        <v/>
      </c>
    </row>
    <row r="1840" spans="1:7">
      <c r="A1840" s="23" t="str">
        <f>IF('تعديل الجرد'!C340="","",'تعديل الجرد'!B340)</f>
        <v/>
      </c>
      <c r="B1840" t="str">
        <f>IF('تعديل الجرد'!C340="","","تعديل جرد")</f>
        <v/>
      </c>
      <c r="C1840" t="str">
        <f>IF('تعديل الجرد'!C340="","",IF('تعديل الجرد'!G340="","-",'تعديل الجرد'!G340))</f>
        <v/>
      </c>
      <c r="D1840" t="str">
        <f>IF('تعديل الجرد'!C340="","",'تعديل الجرد'!C340)</f>
        <v/>
      </c>
      <c r="E1840" s="24" t="str">
        <f>IF('تعديل الجرد'!C340="","",'تعديل الجرد'!F340)</f>
        <v/>
      </c>
      <c r="F1840" t="str">
        <f>IF('تعديل الجرد'!C340="","",IF('تعديل الجرد'!H340="","",'تعديل الجرد'!H340))</f>
        <v/>
      </c>
      <c r="G1840" t="str">
        <f>IF($B1840&lt;&gt;"",SUMPRODUCT(($B$2:$B1840&lt;&gt;"")*1),"")</f>
        <v/>
      </c>
    </row>
    <row r="1841" spans="1:7">
      <c r="A1841" s="23" t="str">
        <f>IF('تعديل الجرد'!C341="","",'تعديل الجرد'!B341)</f>
        <v/>
      </c>
      <c r="B1841" t="str">
        <f>IF('تعديل الجرد'!C341="","","تعديل جرد")</f>
        <v/>
      </c>
      <c r="C1841" t="str">
        <f>IF('تعديل الجرد'!C341="","",IF('تعديل الجرد'!G341="","-",'تعديل الجرد'!G341))</f>
        <v/>
      </c>
      <c r="D1841" t="str">
        <f>IF('تعديل الجرد'!C341="","",'تعديل الجرد'!C341)</f>
        <v/>
      </c>
      <c r="E1841" s="24" t="str">
        <f>IF('تعديل الجرد'!C341="","",'تعديل الجرد'!F341)</f>
        <v/>
      </c>
      <c r="F1841" t="str">
        <f>IF('تعديل الجرد'!C341="","",IF('تعديل الجرد'!H341="","",'تعديل الجرد'!H341))</f>
        <v/>
      </c>
      <c r="G1841" t="str">
        <f>IF($B1841&lt;&gt;"",SUMPRODUCT(($B$2:$B1841&lt;&gt;"")*1),"")</f>
        <v/>
      </c>
    </row>
    <row r="1842" spans="1:7">
      <c r="A1842" s="23" t="str">
        <f>IF('تعديل الجرد'!C342="","",'تعديل الجرد'!B342)</f>
        <v/>
      </c>
      <c r="B1842" t="str">
        <f>IF('تعديل الجرد'!C342="","","تعديل جرد")</f>
        <v/>
      </c>
      <c r="C1842" t="str">
        <f>IF('تعديل الجرد'!C342="","",IF('تعديل الجرد'!G342="","-",'تعديل الجرد'!G342))</f>
        <v/>
      </c>
      <c r="D1842" t="str">
        <f>IF('تعديل الجرد'!C342="","",'تعديل الجرد'!C342)</f>
        <v/>
      </c>
      <c r="E1842" s="24" t="str">
        <f>IF('تعديل الجرد'!C342="","",'تعديل الجرد'!F342)</f>
        <v/>
      </c>
      <c r="F1842" t="str">
        <f>IF('تعديل الجرد'!C342="","",IF('تعديل الجرد'!H342="","",'تعديل الجرد'!H342))</f>
        <v/>
      </c>
      <c r="G1842" t="str">
        <f>IF($B1842&lt;&gt;"",SUMPRODUCT(($B$2:$B1842&lt;&gt;"")*1),"")</f>
        <v/>
      </c>
    </row>
    <row r="1843" spans="1:7">
      <c r="A1843" s="23" t="str">
        <f>IF('تعديل الجرد'!C343="","",'تعديل الجرد'!B343)</f>
        <v/>
      </c>
      <c r="B1843" t="str">
        <f>IF('تعديل الجرد'!C343="","","تعديل جرد")</f>
        <v/>
      </c>
      <c r="C1843" t="str">
        <f>IF('تعديل الجرد'!C343="","",IF('تعديل الجرد'!G343="","-",'تعديل الجرد'!G343))</f>
        <v/>
      </c>
      <c r="D1843" t="str">
        <f>IF('تعديل الجرد'!C343="","",'تعديل الجرد'!C343)</f>
        <v/>
      </c>
      <c r="E1843" s="24" t="str">
        <f>IF('تعديل الجرد'!C343="","",'تعديل الجرد'!F343)</f>
        <v/>
      </c>
      <c r="F1843" t="str">
        <f>IF('تعديل الجرد'!C343="","",IF('تعديل الجرد'!H343="","",'تعديل الجرد'!H343))</f>
        <v/>
      </c>
      <c r="G1843" t="str">
        <f>IF($B1843&lt;&gt;"",SUMPRODUCT(($B$2:$B1843&lt;&gt;"")*1),"")</f>
        <v/>
      </c>
    </row>
    <row r="1844" spans="1:7">
      <c r="A1844" s="23" t="str">
        <f>IF('تعديل الجرد'!C344="","",'تعديل الجرد'!B344)</f>
        <v/>
      </c>
      <c r="B1844" t="str">
        <f>IF('تعديل الجرد'!C344="","","تعديل جرد")</f>
        <v/>
      </c>
      <c r="C1844" t="str">
        <f>IF('تعديل الجرد'!C344="","",IF('تعديل الجرد'!G344="","-",'تعديل الجرد'!G344))</f>
        <v/>
      </c>
      <c r="D1844" t="str">
        <f>IF('تعديل الجرد'!C344="","",'تعديل الجرد'!C344)</f>
        <v/>
      </c>
      <c r="E1844" s="24" t="str">
        <f>IF('تعديل الجرد'!C344="","",'تعديل الجرد'!F344)</f>
        <v/>
      </c>
      <c r="F1844" t="str">
        <f>IF('تعديل الجرد'!C344="","",IF('تعديل الجرد'!H344="","",'تعديل الجرد'!H344))</f>
        <v/>
      </c>
      <c r="G1844" t="str">
        <f>IF($B1844&lt;&gt;"",SUMPRODUCT(($B$2:$B1844&lt;&gt;"")*1),"")</f>
        <v/>
      </c>
    </row>
    <row r="1845" spans="1:7">
      <c r="A1845" s="23" t="str">
        <f>IF('تعديل الجرد'!C345="","",'تعديل الجرد'!B345)</f>
        <v/>
      </c>
      <c r="B1845" t="str">
        <f>IF('تعديل الجرد'!C345="","","تعديل جرد")</f>
        <v/>
      </c>
      <c r="C1845" t="str">
        <f>IF('تعديل الجرد'!C345="","",IF('تعديل الجرد'!G345="","-",'تعديل الجرد'!G345))</f>
        <v/>
      </c>
      <c r="D1845" t="str">
        <f>IF('تعديل الجرد'!C345="","",'تعديل الجرد'!C345)</f>
        <v/>
      </c>
      <c r="E1845" s="24" t="str">
        <f>IF('تعديل الجرد'!C345="","",'تعديل الجرد'!F345)</f>
        <v/>
      </c>
      <c r="F1845" t="str">
        <f>IF('تعديل الجرد'!C345="","",IF('تعديل الجرد'!H345="","",'تعديل الجرد'!H345))</f>
        <v/>
      </c>
      <c r="G1845" t="str">
        <f>IF($B1845&lt;&gt;"",SUMPRODUCT(($B$2:$B1845&lt;&gt;"")*1),"")</f>
        <v/>
      </c>
    </row>
    <row r="1846" spans="1:7">
      <c r="A1846" s="23" t="str">
        <f>IF('تعديل الجرد'!C346="","",'تعديل الجرد'!B346)</f>
        <v/>
      </c>
      <c r="B1846" t="str">
        <f>IF('تعديل الجرد'!C346="","","تعديل جرد")</f>
        <v/>
      </c>
      <c r="C1846" t="str">
        <f>IF('تعديل الجرد'!C346="","",IF('تعديل الجرد'!G346="","-",'تعديل الجرد'!G346))</f>
        <v/>
      </c>
      <c r="D1846" t="str">
        <f>IF('تعديل الجرد'!C346="","",'تعديل الجرد'!C346)</f>
        <v/>
      </c>
      <c r="E1846" s="24" t="str">
        <f>IF('تعديل الجرد'!C346="","",'تعديل الجرد'!F346)</f>
        <v/>
      </c>
      <c r="F1846" t="str">
        <f>IF('تعديل الجرد'!C346="","",IF('تعديل الجرد'!H346="","",'تعديل الجرد'!H346))</f>
        <v/>
      </c>
      <c r="G1846" t="str">
        <f>IF($B1846&lt;&gt;"",SUMPRODUCT(($B$2:$B1846&lt;&gt;"")*1),"")</f>
        <v/>
      </c>
    </row>
    <row r="1847" spans="1:7">
      <c r="A1847" s="23" t="str">
        <f>IF('تعديل الجرد'!C347="","",'تعديل الجرد'!B347)</f>
        <v/>
      </c>
      <c r="B1847" t="str">
        <f>IF('تعديل الجرد'!C347="","","تعديل جرد")</f>
        <v/>
      </c>
      <c r="C1847" t="str">
        <f>IF('تعديل الجرد'!C347="","",IF('تعديل الجرد'!G347="","-",'تعديل الجرد'!G347))</f>
        <v/>
      </c>
      <c r="D1847" t="str">
        <f>IF('تعديل الجرد'!C347="","",'تعديل الجرد'!C347)</f>
        <v/>
      </c>
      <c r="E1847" s="24" t="str">
        <f>IF('تعديل الجرد'!C347="","",'تعديل الجرد'!F347)</f>
        <v/>
      </c>
      <c r="F1847" t="str">
        <f>IF('تعديل الجرد'!C347="","",IF('تعديل الجرد'!H347="","",'تعديل الجرد'!H347))</f>
        <v/>
      </c>
      <c r="G1847" t="str">
        <f>IF($B1847&lt;&gt;"",SUMPRODUCT(($B$2:$B1847&lt;&gt;"")*1),"")</f>
        <v/>
      </c>
    </row>
    <row r="1848" spans="1:7">
      <c r="A1848" s="23" t="str">
        <f>IF('تعديل الجرد'!C348="","",'تعديل الجرد'!B348)</f>
        <v/>
      </c>
      <c r="B1848" t="str">
        <f>IF('تعديل الجرد'!C348="","","تعديل جرد")</f>
        <v/>
      </c>
      <c r="C1848" t="str">
        <f>IF('تعديل الجرد'!C348="","",IF('تعديل الجرد'!G348="","-",'تعديل الجرد'!G348))</f>
        <v/>
      </c>
      <c r="D1848" t="str">
        <f>IF('تعديل الجرد'!C348="","",'تعديل الجرد'!C348)</f>
        <v/>
      </c>
      <c r="E1848" s="24" t="str">
        <f>IF('تعديل الجرد'!C348="","",'تعديل الجرد'!F348)</f>
        <v/>
      </c>
      <c r="F1848" t="str">
        <f>IF('تعديل الجرد'!C348="","",IF('تعديل الجرد'!H348="","",'تعديل الجرد'!H348))</f>
        <v/>
      </c>
      <c r="G1848" t="str">
        <f>IF($B1848&lt;&gt;"",SUMPRODUCT(($B$2:$B1848&lt;&gt;"")*1),"")</f>
        <v/>
      </c>
    </row>
    <row r="1849" spans="1:7">
      <c r="A1849" s="23" t="str">
        <f>IF('تعديل الجرد'!C349="","",'تعديل الجرد'!B349)</f>
        <v/>
      </c>
      <c r="B1849" t="str">
        <f>IF('تعديل الجرد'!C349="","","تعديل جرد")</f>
        <v/>
      </c>
      <c r="C1849" t="str">
        <f>IF('تعديل الجرد'!C349="","",IF('تعديل الجرد'!G349="","-",'تعديل الجرد'!G349))</f>
        <v/>
      </c>
      <c r="D1849" t="str">
        <f>IF('تعديل الجرد'!C349="","",'تعديل الجرد'!C349)</f>
        <v/>
      </c>
      <c r="E1849" s="24" t="str">
        <f>IF('تعديل الجرد'!C349="","",'تعديل الجرد'!F349)</f>
        <v/>
      </c>
      <c r="F1849" t="str">
        <f>IF('تعديل الجرد'!C349="","",IF('تعديل الجرد'!H349="","",'تعديل الجرد'!H349))</f>
        <v/>
      </c>
      <c r="G1849" t="str">
        <f>IF($B1849&lt;&gt;"",SUMPRODUCT(($B$2:$B1849&lt;&gt;"")*1),"")</f>
        <v/>
      </c>
    </row>
    <row r="1850" spans="1:7">
      <c r="A1850" s="23" t="str">
        <f>IF('تعديل الجرد'!C350="","",'تعديل الجرد'!B350)</f>
        <v/>
      </c>
      <c r="B1850" t="str">
        <f>IF('تعديل الجرد'!C350="","","تعديل جرد")</f>
        <v/>
      </c>
      <c r="C1850" t="str">
        <f>IF('تعديل الجرد'!C350="","",IF('تعديل الجرد'!G350="","-",'تعديل الجرد'!G350))</f>
        <v/>
      </c>
      <c r="D1850" t="str">
        <f>IF('تعديل الجرد'!C350="","",'تعديل الجرد'!C350)</f>
        <v/>
      </c>
      <c r="E1850" s="24" t="str">
        <f>IF('تعديل الجرد'!C350="","",'تعديل الجرد'!F350)</f>
        <v/>
      </c>
      <c r="F1850" t="str">
        <f>IF('تعديل الجرد'!C350="","",IF('تعديل الجرد'!H350="","",'تعديل الجرد'!H350))</f>
        <v/>
      </c>
      <c r="G1850" t="str">
        <f>IF($B1850&lt;&gt;"",SUMPRODUCT(($B$2:$B1850&lt;&gt;"")*1),"")</f>
        <v/>
      </c>
    </row>
    <row r="1851" spans="1:7">
      <c r="A1851" s="23" t="str">
        <f>IF('تعديل الجرد'!C351="","",'تعديل الجرد'!B351)</f>
        <v/>
      </c>
      <c r="B1851" t="str">
        <f>IF('تعديل الجرد'!C351="","","تعديل جرد")</f>
        <v/>
      </c>
      <c r="C1851" t="str">
        <f>IF('تعديل الجرد'!C351="","",IF('تعديل الجرد'!G351="","-",'تعديل الجرد'!G351))</f>
        <v/>
      </c>
      <c r="D1851" t="str">
        <f>IF('تعديل الجرد'!C351="","",'تعديل الجرد'!C351)</f>
        <v/>
      </c>
      <c r="E1851" s="24" t="str">
        <f>IF('تعديل الجرد'!C351="","",'تعديل الجرد'!F351)</f>
        <v/>
      </c>
      <c r="F1851" t="str">
        <f>IF('تعديل الجرد'!C351="","",IF('تعديل الجرد'!H351="","",'تعديل الجرد'!H351))</f>
        <v/>
      </c>
      <c r="G1851" t="str">
        <f>IF($B1851&lt;&gt;"",SUMPRODUCT(($B$2:$B1851&lt;&gt;"")*1),"")</f>
        <v/>
      </c>
    </row>
    <row r="1852" spans="1:7">
      <c r="A1852" s="23" t="str">
        <f>IF('تعديل الجرد'!C352="","",'تعديل الجرد'!B352)</f>
        <v/>
      </c>
      <c r="B1852" t="str">
        <f>IF('تعديل الجرد'!C352="","","تعديل جرد")</f>
        <v/>
      </c>
      <c r="C1852" t="str">
        <f>IF('تعديل الجرد'!C352="","",IF('تعديل الجرد'!G352="","-",'تعديل الجرد'!G352))</f>
        <v/>
      </c>
      <c r="D1852" t="str">
        <f>IF('تعديل الجرد'!C352="","",'تعديل الجرد'!C352)</f>
        <v/>
      </c>
      <c r="E1852" s="24" t="str">
        <f>IF('تعديل الجرد'!C352="","",'تعديل الجرد'!F352)</f>
        <v/>
      </c>
      <c r="F1852" t="str">
        <f>IF('تعديل الجرد'!C352="","",IF('تعديل الجرد'!H352="","",'تعديل الجرد'!H352))</f>
        <v/>
      </c>
      <c r="G1852" t="str">
        <f>IF($B1852&lt;&gt;"",SUMPRODUCT(($B$2:$B1852&lt;&gt;"")*1),"")</f>
        <v/>
      </c>
    </row>
    <row r="1853" spans="1:7">
      <c r="A1853" s="23" t="str">
        <f>IF('تعديل الجرد'!C353="","",'تعديل الجرد'!B353)</f>
        <v/>
      </c>
      <c r="B1853" t="str">
        <f>IF('تعديل الجرد'!C353="","","تعديل جرد")</f>
        <v/>
      </c>
      <c r="C1853" t="str">
        <f>IF('تعديل الجرد'!C353="","",IF('تعديل الجرد'!G353="","-",'تعديل الجرد'!G353))</f>
        <v/>
      </c>
      <c r="D1853" t="str">
        <f>IF('تعديل الجرد'!C353="","",'تعديل الجرد'!C353)</f>
        <v/>
      </c>
      <c r="E1853" s="24" t="str">
        <f>IF('تعديل الجرد'!C353="","",'تعديل الجرد'!F353)</f>
        <v/>
      </c>
      <c r="F1853" t="str">
        <f>IF('تعديل الجرد'!C353="","",IF('تعديل الجرد'!H353="","",'تعديل الجرد'!H353))</f>
        <v/>
      </c>
      <c r="G1853" t="str">
        <f>IF($B1853&lt;&gt;"",SUMPRODUCT(($B$2:$B1853&lt;&gt;"")*1),"")</f>
        <v/>
      </c>
    </row>
    <row r="1854" spans="1:7">
      <c r="A1854" s="23" t="str">
        <f>IF('تعديل الجرد'!C354="","",'تعديل الجرد'!B354)</f>
        <v/>
      </c>
      <c r="B1854" t="str">
        <f>IF('تعديل الجرد'!C354="","","تعديل جرد")</f>
        <v/>
      </c>
      <c r="C1854" t="str">
        <f>IF('تعديل الجرد'!C354="","",IF('تعديل الجرد'!G354="","-",'تعديل الجرد'!G354))</f>
        <v/>
      </c>
      <c r="D1854" t="str">
        <f>IF('تعديل الجرد'!C354="","",'تعديل الجرد'!C354)</f>
        <v/>
      </c>
      <c r="E1854" s="24" t="str">
        <f>IF('تعديل الجرد'!C354="","",'تعديل الجرد'!F354)</f>
        <v/>
      </c>
      <c r="F1854" t="str">
        <f>IF('تعديل الجرد'!C354="","",IF('تعديل الجرد'!H354="","",'تعديل الجرد'!H354))</f>
        <v/>
      </c>
      <c r="G1854" t="str">
        <f>IF($B1854&lt;&gt;"",SUMPRODUCT(($B$2:$B1854&lt;&gt;"")*1),"")</f>
        <v/>
      </c>
    </row>
    <row r="1855" spans="1:7">
      <c r="A1855" s="23" t="str">
        <f>IF('تعديل الجرد'!C355="","",'تعديل الجرد'!B355)</f>
        <v/>
      </c>
      <c r="B1855" t="str">
        <f>IF('تعديل الجرد'!C355="","","تعديل جرد")</f>
        <v/>
      </c>
      <c r="C1855" t="str">
        <f>IF('تعديل الجرد'!C355="","",IF('تعديل الجرد'!G355="","-",'تعديل الجرد'!G355))</f>
        <v/>
      </c>
      <c r="D1855" t="str">
        <f>IF('تعديل الجرد'!C355="","",'تعديل الجرد'!C355)</f>
        <v/>
      </c>
      <c r="E1855" s="24" t="str">
        <f>IF('تعديل الجرد'!C355="","",'تعديل الجرد'!F355)</f>
        <v/>
      </c>
      <c r="F1855" t="str">
        <f>IF('تعديل الجرد'!C355="","",IF('تعديل الجرد'!H355="","",'تعديل الجرد'!H355))</f>
        <v/>
      </c>
      <c r="G1855" t="str">
        <f>IF($B1855&lt;&gt;"",SUMPRODUCT(($B$2:$B1855&lt;&gt;"")*1),"")</f>
        <v/>
      </c>
    </row>
    <row r="1856" spans="1:7">
      <c r="A1856" s="23" t="str">
        <f>IF('تعديل الجرد'!C356="","",'تعديل الجرد'!B356)</f>
        <v/>
      </c>
      <c r="B1856" t="str">
        <f>IF('تعديل الجرد'!C356="","","تعديل جرد")</f>
        <v/>
      </c>
      <c r="C1856" t="str">
        <f>IF('تعديل الجرد'!C356="","",IF('تعديل الجرد'!G356="","-",'تعديل الجرد'!G356))</f>
        <v/>
      </c>
      <c r="D1856" t="str">
        <f>IF('تعديل الجرد'!C356="","",'تعديل الجرد'!C356)</f>
        <v/>
      </c>
      <c r="E1856" s="24" t="str">
        <f>IF('تعديل الجرد'!C356="","",'تعديل الجرد'!F356)</f>
        <v/>
      </c>
      <c r="F1856" t="str">
        <f>IF('تعديل الجرد'!C356="","",IF('تعديل الجرد'!H356="","",'تعديل الجرد'!H356))</f>
        <v/>
      </c>
      <c r="G1856" t="str">
        <f>IF($B1856&lt;&gt;"",SUMPRODUCT(($B$2:$B1856&lt;&gt;"")*1),"")</f>
        <v/>
      </c>
    </row>
    <row r="1857" spans="1:7">
      <c r="A1857" s="23" t="str">
        <f>IF('تعديل الجرد'!C357="","",'تعديل الجرد'!B357)</f>
        <v/>
      </c>
      <c r="B1857" t="str">
        <f>IF('تعديل الجرد'!C357="","","تعديل جرد")</f>
        <v/>
      </c>
      <c r="C1857" t="str">
        <f>IF('تعديل الجرد'!C357="","",IF('تعديل الجرد'!G357="","-",'تعديل الجرد'!G357))</f>
        <v/>
      </c>
      <c r="D1857" t="str">
        <f>IF('تعديل الجرد'!C357="","",'تعديل الجرد'!C357)</f>
        <v/>
      </c>
      <c r="E1857" s="24" t="str">
        <f>IF('تعديل الجرد'!C357="","",'تعديل الجرد'!F357)</f>
        <v/>
      </c>
      <c r="F1857" t="str">
        <f>IF('تعديل الجرد'!C357="","",IF('تعديل الجرد'!H357="","",'تعديل الجرد'!H357))</f>
        <v/>
      </c>
      <c r="G1857" t="str">
        <f>IF($B1857&lt;&gt;"",SUMPRODUCT(($B$2:$B1857&lt;&gt;"")*1),"")</f>
        <v/>
      </c>
    </row>
    <row r="1858" spans="1:7">
      <c r="A1858" s="23" t="str">
        <f>IF('تعديل الجرد'!C358="","",'تعديل الجرد'!B358)</f>
        <v/>
      </c>
      <c r="B1858" t="str">
        <f>IF('تعديل الجرد'!C358="","","تعديل جرد")</f>
        <v/>
      </c>
      <c r="C1858" t="str">
        <f>IF('تعديل الجرد'!C358="","",IF('تعديل الجرد'!G358="","-",'تعديل الجرد'!G358))</f>
        <v/>
      </c>
      <c r="D1858" t="str">
        <f>IF('تعديل الجرد'!C358="","",'تعديل الجرد'!C358)</f>
        <v/>
      </c>
      <c r="E1858" s="24" t="str">
        <f>IF('تعديل الجرد'!C358="","",'تعديل الجرد'!F358)</f>
        <v/>
      </c>
      <c r="F1858" t="str">
        <f>IF('تعديل الجرد'!C358="","",IF('تعديل الجرد'!H358="","",'تعديل الجرد'!H358))</f>
        <v/>
      </c>
      <c r="G1858" t="str">
        <f>IF($B1858&lt;&gt;"",SUMPRODUCT(($B$2:$B1858&lt;&gt;"")*1),"")</f>
        <v/>
      </c>
    </row>
    <row r="1859" spans="1:7">
      <c r="A1859" s="23" t="str">
        <f>IF('تعديل الجرد'!C359="","",'تعديل الجرد'!B359)</f>
        <v/>
      </c>
      <c r="B1859" t="str">
        <f>IF('تعديل الجرد'!C359="","","تعديل جرد")</f>
        <v/>
      </c>
      <c r="C1859" t="str">
        <f>IF('تعديل الجرد'!C359="","",IF('تعديل الجرد'!G359="","-",'تعديل الجرد'!G359))</f>
        <v/>
      </c>
      <c r="D1859" t="str">
        <f>IF('تعديل الجرد'!C359="","",'تعديل الجرد'!C359)</f>
        <v/>
      </c>
      <c r="E1859" s="24" t="str">
        <f>IF('تعديل الجرد'!C359="","",'تعديل الجرد'!F359)</f>
        <v/>
      </c>
      <c r="F1859" t="str">
        <f>IF('تعديل الجرد'!C359="","",IF('تعديل الجرد'!H359="","",'تعديل الجرد'!H359))</f>
        <v/>
      </c>
      <c r="G1859" t="str">
        <f>IF($B1859&lt;&gt;"",SUMPRODUCT(($B$2:$B1859&lt;&gt;"")*1),"")</f>
        <v/>
      </c>
    </row>
    <row r="1860" spans="1:7">
      <c r="A1860" s="23" t="str">
        <f>IF('تعديل الجرد'!C360="","",'تعديل الجرد'!B360)</f>
        <v/>
      </c>
      <c r="B1860" t="str">
        <f>IF('تعديل الجرد'!C360="","","تعديل جرد")</f>
        <v/>
      </c>
      <c r="C1860" t="str">
        <f>IF('تعديل الجرد'!C360="","",IF('تعديل الجرد'!G360="","-",'تعديل الجرد'!G360))</f>
        <v/>
      </c>
      <c r="D1860" t="str">
        <f>IF('تعديل الجرد'!C360="","",'تعديل الجرد'!C360)</f>
        <v/>
      </c>
      <c r="E1860" s="24" t="str">
        <f>IF('تعديل الجرد'!C360="","",'تعديل الجرد'!F360)</f>
        <v/>
      </c>
      <c r="F1860" t="str">
        <f>IF('تعديل الجرد'!C360="","",IF('تعديل الجرد'!H360="","",'تعديل الجرد'!H360))</f>
        <v/>
      </c>
      <c r="G1860" t="str">
        <f>IF($B1860&lt;&gt;"",SUMPRODUCT(($B$2:$B1860&lt;&gt;"")*1),"")</f>
        <v/>
      </c>
    </row>
    <row r="1861" spans="1:7">
      <c r="A1861" s="23" t="str">
        <f>IF('تعديل الجرد'!C361="","",'تعديل الجرد'!B361)</f>
        <v/>
      </c>
      <c r="B1861" t="str">
        <f>IF('تعديل الجرد'!C361="","","تعديل جرد")</f>
        <v/>
      </c>
      <c r="C1861" t="str">
        <f>IF('تعديل الجرد'!C361="","",IF('تعديل الجرد'!G361="","-",'تعديل الجرد'!G361))</f>
        <v/>
      </c>
      <c r="D1861" t="str">
        <f>IF('تعديل الجرد'!C361="","",'تعديل الجرد'!C361)</f>
        <v/>
      </c>
      <c r="E1861" s="24" t="str">
        <f>IF('تعديل الجرد'!C361="","",'تعديل الجرد'!F361)</f>
        <v/>
      </c>
      <c r="F1861" t="str">
        <f>IF('تعديل الجرد'!C361="","",IF('تعديل الجرد'!H361="","",'تعديل الجرد'!H361))</f>
        <v/>
      </c>
      <c r="G1861" t="str">
        <f>IF($B1861&lt;&gt;"",SUMPRODUCT(($B$2:$B1861&lt;&gt;"")*1),"")</f>
        <v/>
      </c>
    </row>
    <row r="1862" spans="1:7">
      <c r="A1862" s="23" t="str">
        <f>IF('تعديل الجرد'!C362="","",'تعديل الجرد'!B362)</f>
        <v/>
      </c>
      <c r="B1862" t="str">
        <f>IF('تعديل الجرد'!C362="","","تعديل جرد")</f>
        <v/>
      </c>
      <c r="C1862" t="str">
        <f>IF('تعديل الجرد'!C362="","",IF('تعديل الجرد'!G362="","-",'تعديل الجرد'!G362))</f>
        <v/>
      </c>
      <c r="D1862" t="str">
        <f>IF('تعديل الجرد'!C362="","",'تعديل الجرد'!C362)</f>
        <v/>
      </c>
      <c r="E1862" s="24" t="str">
        <f>IF('تعديل الجرد'!C362="","",'تعديل الجرد'!F362)</f>
        <v/>
      </c>
      <c r="F1862" t="str">
        <f>IF('تعديل الجرد'!C362="","",IF('تعديل الجرد'!H362="","",'تعديل الجرد'!H362))</f>
        <v/>
      </c>
      <c r="G1862" t="str">
        <f>IF($B1862&lt;&gt;"",SUMPRODUCT(($B$2:$B1862&lt;&gt;"")*1),"")</f>
        <v/>
      </c>
    </row>
    <row r="1863" spans="1:7">
      <c r="A1863" s="23" t="str">
        <f>IF('تعديل الجرد'!C363="","",'تعديل الجرد'!B363)</f>
        <v/>
      </c>
      <c r="B1863" t="str">
        <f>IF('تعديل الجرد'!C363="","","تعديل جرد")</f>
        <v/>
      </c>
      <c r="C1863" t="str">
        <f>IF('تعديل الجرد'!C363="","",IF('تعديل الجرد'!G363="","-",'تعديل الجرد'!G363))</f>
        <v/>
      </c>
      <c r="D1863" t="str">
        <f>IF('تعديل الجرد'!C363="","",'تعديل الجرد'!C363)</f>
        <v/>
      </c>
      <c r="E1863" s="24" t="str">
        <f>IF('تعديل الجرد'!C363="","",'تعديل الجرد'!F363)</f>
        <v/>
      </c>
      <c r="F1863" t="str">
        <f>IF('تعديل الجرد'!C363="","",IF('تعديل الجرد'!H363="","",'تعديل الجرد'!H363))</f>
        <v/>
      </c>
      <c r="G1863" t="str">
        <f>IF($B1863&lt;&gt;"",SUMPRODUCT(($B$2:$B1863&lt;&gt;"")*1),"")</f>
        <v/>
      </c>
    </row>
    <row r="1864" spans="1:7">
      <c r="A1864" s="23" t="str">
        <f>IF('تعديل الجرد'!C364="","",'تعديل الجرد'!B364)</f>
        <v/>
      </c>
      <c r="B1864" t="str">
        <f>IF('تعديل الجرد'!C364="","","تعديل جرد")</f>
        <v/>
      </c>
      <c r="C1864" t="str">
        <f>IF('تعديل الجرد'!C364="","",IF('تعديل الجرد'!G364="","-",'تعديل الجرد'!G364))</f>
        <v/>
      </c>
      <c r="D1864" t="str">
        <f>IF('تعديل الجرد'!C364="","",'تعديل الجرد'!C364)</f>
        <v/>
      </c>
      <c r="E1864" s="24" t="str">
        <f>IF('تعديل الجرد'!C364="","",'تعديل الجرد'!F364)</f>
        <v/>
      </c>
      <c r="F1864" t="str">
        <f>IF('تعديل الجرد'!C364="","",IF('تعديل الجرد'!H364="","",'تعديل الجرد'!H364))</f>
        <v/>
      </c>
      <c r="G1864" t="str">
        <f>IF($B1864&lt;&gt;"",SUMPRODUCT(($B$2:$B1864&lt;&gt;"")*1),"")</f>
        <v/>
      </c>
    </row>
    <row r="1865" spans="1:7">
      <c r="A1865" s="23" t="str">
        <f>IF('تعديل الجرد'!C365="","",'تعديل الجرد'!B365)</f>
        <v/>
      </c>
      <c r="B1865" t="str">
        <f>IF('تعديل الجرد'!C365="","","تعديل جرد")</f>
        <v/>
      </c>
      <c r="C1865" t="str">
        <f>IF('تعديل الجرد'!C365="","",IF('تعديل الجرد'!G365="","-",'تعديل الجرد'!G365))</f>
        <v/>
      </c>
      <c r="D1865" t="str">
        <f>IF('تعديل الجرد'!C365="","",'تعديل الجرد'!C365)</f>
        <v/>
      </c>
      <c r="E1865" s="24" t="str">
        <f>IF('تعديل الجرد'!C365="","",'تعديل الجرد'!F365)</f>
        <v/>
      </c>
      <c r="F1865" t="str">
        <f>IF('تعديل الجرد'!C365="","",IF('تعديل الجرد'!H365="","",'تعديل الجرد'!H365))</f>
        <v/>
      </c>
      <c r="G1865" t="str">
        <f>IF($B1865&lt;&gt;"",SUMPRODUCT(($B$2:$B1865&lt;&gt;"")*1),"")</f>
        <v/>
      </c>
    </row>
    <row r="1866" spans="1:7">
      <c r="A1866" s="23" t="str">
        <f>IF('تعديل الجرد'!C366="","",'تعديل الجرد'!B366)</f>
        <v/>
      </c>
      <c r="B1866" t="str">
        <f>IF('تعديل الجرد'!C366="","","تعديل جرد")</f>
        <v/>
      </c>
      <c r="C1866" t="str">
        <f>IF('تعديل الجرد'!C366="","",IF('تعديل الجرد'!G366="","-",'تعديل الجرد'!G366))</f>
        <v/>
      </c>
      <c r="D1866" t="str">
        <f>IF('تعديل الجرد'!C366="","",'تعديل الجرد'!C366)</f>
        <v/>
      </c>
      <c r="E1866" s="24" t="str">
        <f>IF('تعديل الجرد'!C366="","",'تعديل الجرد'!F366)</f>
        <v/>
      </c>
      <c r="F1866" t="str">
        <f>IF('تعديل الجرد'!C366="","",IF('تعديل الجرد'!H366="","",'تعديل الجرد'!H366))</f>
        <v/>
      </c>
      <c r="G1866" t="str">
        <f>IF($B1866&lt;&gt;"",SUMPRODUCT(($B$2:$B1866&lt;&gt;"")*1),"")</f>
        <v/>
      </c>
    </row>
    <row r="1867" spans="1:7">
      <c r="A1867" s="23" t="str">
        <f>IF('تعديل الجرد'!C367="","",'تعديل الجرد'!B367)</f>
        <v/>
      </c>
      <c r="B1867" t="str">
        <f>IF('تعديل الجرد'!C367="","","تعديل جرد")</f>
        <v/>
      </c>
      <c r="C1867" t="str">
        <f>IF('تعديل الجرد'!C367="","",IF('تعديل الجرد'!G367="","-",'تعديل الجرد'!G367))</f>
        <v/>
      </c>
      <c r="D1867" t="str">
        <f>IF('تعديل الجرد'!C367="","",'تعديل الجرد'!C367)</f>
        <v/>
      </c>
      <c r="E1867" s="24" t="str">
        <f>IF('تعديل الجرد'!C367="","",'تعديل الجرد'!F367)</f>
        <v/>
      </c>
      <c r="F1867" t="str">
        <f>IF('تعديل الجرد'!C367="","",IF('تعديل الجرد'!H367="","",'تعديل الجرد'!H367))</f>
        <v/>
      </c>
      <c r="G1867" t="str">
        <f>IF($B1867&lt;&gt;"",SUMPRODUCT(($B$2:$B1867&lt;&gt;"")*1),"")</f>
        <v/>
      </c>
    </row>
    <row r="1868" spans="1:7">
      <c r="A1868" s="23" t="str">
        <f>IF('تعديل الجرد'!C368="","",'تعديل الجرد'!B368)</f>
        <v/>
      </c>
      <c r="B1868" t="str">
        <f>IF('تعديل الجرد'!C368="","","تعديل جرد")</f>
        <v/>
      </c>
      <c r="C1868" t="str">
        <f>IF('تعديل الجرد'!C368="","",IF('تعديل الجرد'!G368="","-",'تعديل الجرد'!G368))</f>
        <v/>
      </c>
      <c r="D1868" t="str">
        <f>IF('تعديل الجرد'!C368="","",'تعديل الجرد'!C368)</f>
        <v/>
      </c>
      <c r="E1868" s="24" t="str">
        <f>IF('تعديل الجرد'!C368="","",'تعديل الجرد'!F368)</f>
        <v/>
      </c>
      <c r="F1868" t="str">
        <f>IF('تعديل الجرد'!C368="","",IF('تعديل الجرد'!H368="","",'تعديل الجرد'!H368))</f>
        <v/>
      </c>
      <c r="G1868" t="str">
        <f>IF($B1868&lt;&gt;"",SUMPRODUCT(($B$2:$B1868&lt;&gt;"")*1),"")</f>
        <v/>
      </c>
    </row>
    <row r="1869" spans="1:7">
      <c r="A1869" s="23" t="str">
        <f>IF('تعديل الجرد'!C369="","",'تعديل الجرد'!B369)</f>
        <v/>
      </c>
      <c r="B1869" t="str">
        <f>IF('تعديل الجرد'!C369="","","تعديل جرد")</f>
        <v/>
      </c>
      <c r="C1869" t="str">
        <f>IF('تعديل الجرد'!C369="","",IF('تعديل الجرد'!G369="","-",'تعديل الجرد'!G369))</f>
        <v/>
      </c>
      <c r="D1869" t="str">
        <f>IF('تعديل الجرد'!C369="","",'تعديل الجرد'!C369)</f>
        <v/>
      </c>
      <c r="E1869" s="24" t="str">
        <f>IF('تعديل الجرد'!C369="","",'تعديل الجرد'!F369)</f>
        <v/>
      </c>
      <c r="F1869" t="str">
        <f>IF('تعديل الجرد'!C369="","",IF('تعديل الجرد'!H369="","",'تعديل الجرد'!H369))</f>
        <v/>
      </c>
      <c r="G1869" t="str">
        <f>IF($B1869&lt;&gt;"",SUMPRODUCT(($B$2:$B1869&lt;&gt;"")*1),"")</f>
        <v/>
      </c>
    </row>
    <row r="1870" spans="1:7">
      <c r="A1870" s="23" t="str">
        <f>IF('تعديل الجرد'!C370="","",'تعديل الجرد'!B370)</f>
        <v/>
      </c>
      <c r="B1870" t="str">
        <f>IF('تعديل الجرد'!C370="","","تعديل جرد")</f>
        <v/>
      </c>
      <c r="C1870" t="str">
        <f>IF('تعديل الجرد'!C370="","",IF('تعديل الجرد'!G370="","-",'تعديل الجرد'!G370))</f>
        <v/>
      </c>
      <c r="D1870" t="str">
        <f>IF('تعديل الجرد'!C370="","",'تعديل الجرد'!C370)</f>
        <v/>
      </c>
      <c r="E1870" s="24" t="str">
        <f>IF('تعديل الجرد'!C370="","",'تعديل الجرد'!F370)</f>
        <v/>
      </c>
      <c r="F1870" t="str">
        <f>IF('تعديل الجرد'!C370="","",IF('تعديل الجرد'!H370="","",'تعديل الجرد'!H370))</f>
        <v/>
      </c>
      <c r="G1870" t="str">
        <f>IF($B1870&lt;&gt;"",SUMPRODUCT(($B$2:$B1870&lt;&gt;"")*1),"")</f>
        <v/>
      </c>
    </row>
    <row r="1871" spans="1:7">
      <c r="A1871" s="23" t="str">
        <f>IF('تعديل الجرد'!C371="","",'تعديل الجرد'!B371)</f>
        <v/>
      </c>
      <c r="B1871" t="str">
        <f>IF('تعديل الجرد'!C371="","","تعديل جرد")</f>
        <v/>
      </c>
      <c r="C1871" t="str">
        <f>IF('تعديل الجرد'!C371="","",IF('تعديل الجرد'!G371="","-",'تعديل الجرد'!G371))</f>
        <v/>
      </c>
      <c r="D1871" t="str">
        <f>IF('تعديل الجرد'!C371="","",'تعديل الجرد'!C371)</f>
        <v/>
      </c>
      <c r="E1871" s="24" t="str">
        <f>IF('تعديل الجرد'!C371="","",'تعديل الجرد'!F371)</f>
        <v/>
      </c>
      <c r="F1871" t="str">
        <f>IF('تعديل الجرد'!C371="","",IF('تعديل الجرد'!H371="","",'تعديل الجرد'!H371))</f>
        <v/>
      </c>
      <c r="G1871" t="str">
        <f>IF($B1871&lt;&gt;"",SUMPRODUCT(($B$2:$B1871&lt;&gt;"")*1),"")</f>
        <v/>
      </c>
    </row>
    <row r="1872" spans="1:7">
      <c r="A1872" s="23" t="str">
        <f>IF('تعديل الجرد'!C372="","",'تعديل الجرد'!B372)</f>
        <v/>
      </c>
      <c r="B1872" t="str">
        <f>IF('تعديل الجرد'!C372="","","تعديل جرد")</f>
        <v/>
      </c>
      <c r="C1872" t="str">
        <f>IF('تعديل الجرد'!C372="","",IF('تعديل الجرد'!G372="","-",'تعديل الجرد'!G372))</f>
        <v/>
      </c>
      <c r="D1872" t="str">
        <f>IF('تعديل الجرد'!C372="","",'تعديل الجرد'!C372)</f>
        <v/>
      </c>
      <c r="E1872" s="24" t="str">
        <f>IF('تعديل الجرد'!C372="","",'تعديل الجرد'!F372)</f>
        <v/>
      </c>
      <c r="F1872" t="str">
        <f>IF('تعديل الجرد'!C372="","",IF('تعديل الجرد'!H372="","",'تعديل الجرد'!H372))</f>
        <v/>
      </c>
      <c r="G1872" t="str">
        <f>IF($B1872&lt;&gt;"",SUMPRODUCT(($B$2:$B1872&lt;&gt;"")*1),"")</f>
        <v/>
      </c>
    </row>
    <row r="1873" spans="1:7">
      <c r="A1873" s="23" t="str">
        <f>IF('تعديل الجرد'!C373="","",'تعديل الجرد'!B373)</f>
        <v/>
      </c>
      <c r="B1873" t="str">
        <f>IF('تعديل الجرد'!C373="","","تعديل جرد")</f>
        <v/>
      </c>
      <c r="C1873" t="str">
        <f>IF('تعديل الجرد'!C373="","",IF('تعديل الجرد'!G373="","-",'تعديل الجرد'!G373))</f>
        <v/>
      </c>
      <c r="D1873" t="str">
        <f>IF('تعديل الجرد'!C373="","",'تعديل الجرد'!C373)</f>
        <v/>
      </c>
      <c r="E1873" s="24" t="str">
        <f>IF('تعديل الجرد'!C373="","",'تعديل الجرد'!F373)</f>
        <v/>
      </c>
      <c r="F1873" t="str">
        <f>IF('تعديل الجرد'!C373="","",IF('تعديل الجرد'!H373="","",'تعديل الجرد'!H373))</f>
        <v/>
      </c>
      <c r="G1873" t="str">
        <f>IF($B1873&lt;&gt;"",SUMPRODUCT(($B$2:$B1873&lt;&gt;"")*1),"")</f>
        <v/>
      </c>
    </row>
    <row r="1874" spans="1:7">
      <c r="A1874" s="23" t="str">
        <f>IF('تعديل الجرد'!C374="","",'تعديل الجرد'!B374)</f>
        <v/>
      </c>
      <c r="B1874" t="str">
        <f>IF('تعديل الجرد'!C374="","","تعديل جرد")</f>
        <v/>
      </c>
      <c r="C1874" t="str">
        <f>IF('تعديل الجرد'!C374="","",IF('تعديل الجرد'!G374="","-",'تعديل الجرد'!G374))</f>
        <v/>
      </c>
      <c r="D1874" t="str">
        <f>IF('تعديل الجرد'!C374="","",'تعديل الجرد'!C374)</f>
        <v/>
      </c>
      <c r="E1874" s="24" t="str">
        <f>IF('تعديل الجرد'!C374="","",'تعديل الجرد'!F374)</f>
        <v/>
      </c>
      <c r="F1874" t="str">
        <f>IF('تعديل الجرد'!C374="","",IF('تعديل الجرد'!H374="","",'تعديل الجرد'!H374))</f>
        <v/>
      </c>
      <c r="G1874" t="str">
        <f>IF($B1874&lt;&gt;"",SUMPRODUCT(($B$2:$B1874&lt;&gt;"")*1),"")</f>
        <v/>
      </c>
    </row>
    <row r="1875" spans="1:7">
      <c r="A1875" s="23" t="str">
        <f>IF('تعديل الجرد'!C375="","",'تعديل الجرد'!B375)</f>
        <v/>
      </c>
      <c r="B1875" t="str">
        <f>IF('تعديل الجرد'!C375="","","تعديل جرد")</f>
        <v/>
      </c>
      <c r="C1875" t="str">
        <f>IF('تعديل الجرد'!C375="","",IF('تعديل الجرد'!G375="","-",'تعديل الجرد'!G375))</f>
        <v/>
      </c>
      <c r="D1875" t="str">
        <f>IF('تعديل الجرد'!C375="","",'تعديل الجرد'!C375)</f>
        <v/>
      </c>
      <c r="E1875" s="24" t="str">
        <f>IF('تعديل الجرد'!C375="","",'تعديل الجرد'!F375)</f>
        <v/>
      </c>
      <c r="F1875" t="str">
        <f>IF('تعديل الجرد'!C375="","",IF('تعديل الجرد'!H375="","",'تعديل الجرد'!H375))</f>
        <v/>
      </c>
      <c r="G1875" t="str">
        <f>IF($B1875&lt;&gt;"",SUMPRODUCT(($B$2:$B1875&lt;&gt;"")*1),"")</f>
        <v/>
      </c>
    </row>
    <row r="1876" spans="1:7">
      <c r="A1876" s="23" t="str">
        <f>IF('تعديل الجرد'!C376="","",'تعديل الجرد'!B376)</f>
        <v/>
      </c>
      <c r="B1876" t="str">
        <f>IF('تعديل الجرد'!C376="","","تعديل جرد")</f>
        <v/>
      </c>
      <c r="C1876" t="str">
        <f>IF('تعديل الجرد'!C376="","",IF('تعديل الجرد'!G376="","-",'تعديل الجرد'!G376))</f>
        <v/>
      </c>
      <c r="D1876" t="str">
        <f>IF('تعديل الجرد'!C376="","",'تعديل الجرد'!C376)</f>
        <v/>
      </c>
      <c r="E1876" s="24" t="str">
        <f>IF('تعديل الجرد'!C376="","",'تعديل الجرد'!F376)</f>
        <v/>
      </c>
      <c r="F1876" t="str">
        <f>IF('تعديل الجرد'!C376="","",IF('تعديل الجرد'!H376="","",'تعديل الجرد'!H376))</f>
        <v/>
      </c>
      <c r="G1876" t="str">
        <f>IF($B1876&lt;&gt;"",SUMPRODUCT(($B$2:$B1876&lt;&gt;"")*1),"")</f>
        <v/>
      </c>
    </row>
    <row r="1877" spans="1:7">
      <c r="A1877" s="23" t="str">
        <f>IF('تعديل الجرد'!C377="","",'تعديل الجرد'!B377)</f>
        <v/>
      </c>
      <c r="B1877" t="str">
        <f>IF('تعديل الجرد'!C377="","","تعديل جرد")</f>
        <v/>
      </c>
      <c r="C1877" t="str">
        <f>IF('تعديل الجرد'!C377="","",IF('تعديل الجرد'!G377="","-",'تعديل الجرد'!G377))</f>
        <v/>
      </c>
      <c r="D1877" t="str">
        <f>IF('تعديل الجرد'!C377="","",'تعديل الجرد'!C377)</f>
        <v/>
      </c>
      <c r="E1877" s="24" t="str">
        <f>IF('تعديل الجرد'!C377="","",'تعديل الجرد'!F377)</f>
        <v/>
      </c>
      <c r="F1877" t="str">
        <f>IF('تعديل الجرد'!C377="","",IF('تعديل الجرد'!H377="","",'تعديل الجرد'!H377))</f>
        <v/>
      </c>
      <c r="G1877" t="str">
        <f>IF($B1877&lt;&gt;"",SUMPRODUCT(($B$2:$B1877&lt;&gt;"")*1),"")</f>
        <v/>
      </c>
    </row>
    <row r="1878" spans="1:7">
      <c r="A1878" s="23" t="str">
        <f>IF('تعديل الجرد'!C378="","",'تعديل الجرد'!B378)</f>
        <v/>
      </c>
      <c r="B1878" t="str">
        <f>IF('تعديل الجرد'!C378="","","تعديل جرد")</f>
        <v/>
      </c>
      <c r="C1878" t="str">
        <f>IF('تعديل الجرد'!C378="","",IF('تعديل الجرد'!G378="","-",'تعديل الجرد'!G378))</f>
        <v/>
      </c>
      <c r="D1878" t="str">
        <f>IF('تعديل الجرد'!C378="","",'تعديل الجرد'!C378)</f>
        <v/>
      </c>
      <c r="E1878" s="24" t="str">
        <f>IF('تعديل الجرد'!C378="","",'تعديل الجرد'!F378)</f>
        <v/>
      </c>
      <c r="F1878" t="str">
        <f>IF('تعديل الجرد'!C378="","",IF('تعديل الجرد'!H378="","",'تعديل الجرد'!H378))</f>
        <v/>
      </c>
      <c r="G1878" t="str">
        <f>IF($B1878&lt;&gt;"",SUMPRODUCT(($B$2:$B1878&lt;&gt;"")*1),"")</f>
        <v/>
      </c>
    </row>
    <row r="1879" spans="1:7">
      <c r="A1879" s="23" t="str">
        <f>IF('تعديل الجرد'!C379="","",'تعديل الجرد'!B379)</f>
        <v/>
      </c>
      <c r="B1879" t="str">
        <f>IF('تعديل الجرد'!C379="","","تعديل جرد")</f>
        <v/>
      </c>
      <c r="C1879" t="str">
        <f>IF('تعديل الجرد'!C379="","",IF('تعديل الجرد'!G379="","-",'تعديل الجرد'!G379))</f>
        <v/>
      </c>
      <c r="D1879" t="str">
        <f>IF('تعديل الجرد'!C379="","",'تعديل الجرد'!C379)</f>
        <v/>
      </c>
      <c r="E1879" s="24" t="str">
        <f>IF('تعديل الجرد'!C379="","",'تعديل الجرد'!F379)</f>
        <v/>
      </c>
      <c r="F1879" t="str">
        <f>IF('تعديل الجرد'!C379="","",IF('تعديل الجرد'!H379="","",'تعديل الجرد'!H379))</f>
        <v/>
      </c>
      <c r="G1879" t="str">
        <f>IF($B1879&lt;&gt;"",SUMPRODUCT(($B$2:$B1879&lt;&gt;"")*1),"")</f>
        <v/>
      </c>
    </row>
    <row r="1880" spans="1:7">
      <c r="A1880" s="23" t="str">
        <f>IF('تعديل الجرد'!C380="","",'تعديل الجرد'!B380)</f>
        <v/>
      </c>
      <c r="B1880" t="str">
        <f>IF('تعديل الجرد'!C380="","","تعديل جرد")</f>
        <v/>
      </c>
      <c r="C1880" t="str">
        <f>IF('تعديل الجرد'!C380="","",IF('تعديل الجرد'!G380="","-",'تعديل الجرد'!G380))</f>
        <v/>
      </c>
      <c r="D1880" t="str">
        <f>IF('تعديل الجرد'!C380="","",'تعديل الجرد'!C380)</f>
        <v/>
      </c>
      <c r="E1880" s="24" t="str">
        <f>IF('تعديل الجرد'!C380="","",'تعديل الجرد'!F380)</f>
        <v/>
      </c>
      <c r="F1880" t="str">
        <f>IF('تعديل الجرد'!C380="","",IF('تعديل الجرد'!H380="","",'تعديل الجرد'!H380))</f>
        <v/>
      </c>
      <c r="G1880" t="str">
        <f>IF($B1880&lt;&gt;"",SUMPRODUCT(($B$2:$B1880&lt;&gt;"")*1),"")</f>
        <v/>
      </c>
    </row>
    <row r="1881" spans="1:7">
      <c r="A1881" s="23" t="str">
        <f>IF('تعديل الجرد'!C381="","",'تعديل الجرد'!B381)</f>
        <v/>
      </c>
      <c r="B1881" t="str">
        <f>IF('تعديل الجرد'!C381="","","تعديل جرد")</f>
        <v/>
      </c>
      <c r="C1881" t="str">
        <f>IF('تعديل الجرد'!C381="","",IF('تعديل الجرد'!G381="","-",'تعديل الجرد'!G381))</f>
        <v/>
      </c>
      <c r="D1881" t="str">
        <f>IF('تعديل الجرد'!C381="","",'تعديل الجرد'!C381)</f>
        <v/>
      </c>
      <c r="E1881" s="24" t="str">
        <f>IF('تعديل الجرد'!C381="","",'تعديل الجرد'!F381)</f>
        <v/>
      </c>
      <c r="F1881" t="str">
        <f>IF('تعديل الجرد'!C381="","",IF('تعديل الجرد'!H381="","",'تعديل الجرد'!H381))</f>
        <v/>
      </c>
      <c r="G1881" t="str">
        <f>IF($B1881&lt;&gt;"",SUMPRODUCT(($B$2:$B1881&lt;&gt;"")*1),"")</f>
        <v/>
      </c>
    </row>
    <row r="1882" spans="1:7">
      <c r="A1882" s="23" t="str">
        <f>IF('تعديل الجرد'!C382="","",'تعديل الجرد'!B382)</f>
        <v/>
      </c>
      <c r="B1882" t="str">
        <f>IF('تعديل الجرد'!C382="","","تعديل جرد")</f>
        <v/>
      </c>
      <c r="C1882" t="str">
        <f>IF('تعديل الجرد'!C382="","",IF('تعديل الجرد'!G382="","-",'تعديل الجرد'!G382))</f>
        <v/>
      </c>
      <c r="D1882" t="str">
        <f>IF('تعديل الجرد'!C382="","",'تعديل الجرد'!C382)</f>
        <v/>
      </c>
      <c r="E1882" s="24" t="str">
        <f>IF('تعديل الجرد'!C382="","",'تعديل الجرد'!F382)</f>
        <v/>
      </c>
      <c r="F1882" t="str">
        <f>IF('تعديل الجرد'!C382="","",IF('تعديل الجرد'!H382="","",'تعديل الجرد'!H382))</f>
        <v/>
      </c>
      <c r="G1882" t="str">
        <f>IF($B1882&lt;&gt;"",SUMPRODUCT(($B$2:$B1882&lt;&gt;"")*1),"")</f>
        <v/>
      </c>
    </row>
    <row r="1883" spans="1:7">
      <c r="A1883" s="23" t="str">
        <f>IF('تعديل الجرد'!C383="","",'تعديل الجرد'!B383)</f>
        <v/>
      </c>
      <c r="B1883" t="str">
        <f>IF('تعديل الجرد'!C383="","","تعديل جرد")</f>
        <v/>
      </c>
      <c r="C1883" t="str">
        <f>IF('تعديل الجرد'!C383="","",IF('تعديل الجرد'!G383="","-",'تعديل الجرد'!G383))</f>
        <v/>
      </c>
      <c r="D1883" t="str">
        <f>IF('تعديل الجرد'!C383="","",'تعديل الجرد'!C383)</f>
        <v/>
      </c>
      <c r="E1883" s="24" t="str">
        <f>IF('تعديل الجرد'!C383="","",'تعديل الجرد'!F383)</f>
        <v/>
      </c>
      <c r="F1883" t="str">
        <f>IF('تعديل الجرد'!C383="","",IF('تعديل الجرد'!H383="","",'تعديل الجرد'!H383))</f>
        <v/>
      </c>
      <c r="G1883" t="str">
        <f>IF($B1883&lt;&gt;"",SUMPRODUCT(($B$2:$B1883&lt;&gt;"")*1),"")</f>
        <v/>
      </c>
    </row>
    <row r="1884" spans="1:7">
      <c r="A1884" s="23" t="str">
        <f>IF('تعديل الجرد'!C384="","",'تعديل الجرد'!B384)</f>
        <v/>
      </c>
      <c r="B1884" t="str">
        <f>IF('تعديل الجرد'!C384="","","تعديل جرد")</f>
        <v/>
      </c>
      <c r="C1884" t="str">
        <f>IF('تعديل الجرد'!C384="","",IF('تعديل الجرد'!G384="","-",'تعديل الجرد'!G384))</f>
        <v/>
      </c>
      <c r="D1884" t="str">
        <f>IF('تعديل الجرد'!C384="","",'تعديل الجرد'!C384)</f>
        <v/>
      </c>
      <c r="E1884" s="24" t="str">
        <f>IF('تعديل الجرد'!C384="","",'تعديل الجرد'!F384)</f>
        <v/>
      </c>
      <c r="F1884" t="str">
        <f>IF('تعديل الجرد'!C384="","",IF('تعديل الجرد'!H384="","",'تعديل الجرد'!H384))</f>
        <v/>
      </c>
      <c r="G1884" t="str">
        <f>IF($B1884&lt;&gt;"",SUMPRODUCT(($B$2:$B1884&lt;&gt;"")*1),"")</f>
        <v/>
      </c>
    </row>
    <row r="1885" spans="1:7">
      <c r="A1885" s="23" t="str">
        <f>IF('تعديل الجرد'!C385="","",'تعديل الجرد'!B385)</f>
        <v/>
      </c>
      <c r="B1885" t="str">
        <f>IF('تعديل الجرد'!C385="","","تعديل جرد")</f>
        <v/>
      </c>
      <c r="C1885" t="str">
        <f>IF('تعديل الجرد'!C385="","",IF('تعديل الجرد'!G385="","-",'تعديل الجرد'!G385))</f>
        <v/>
      </c>
      <c r="D1885" t="str">
        <f>IF('تعديل الجرد'!C385="","",'تعديل الجرد'!C385)</f>
        <v/>
      </c>
      <c r="E1885" s="24" t="str">
        <f>IF('تعديل الجرد'!C385="","",'تعديل الجرد'!F385)</f>
        <v/>
      </c>
      <c r="F1885" t="str">
        <f>IF('تعديل الجرد'!C385="","",IF('تعديل الجرد'!H385="","",'تعديل الجرد'!H385))</f>
        <v/>
      </c>
      <c r="G1885" t="str">
        <f>IF($B1885&lt;&gt;"",SUMPRODUCT(($B$2:$B1885&lt;&gt;"")*1),"")</f>
        <v/>
      </c>
    </row>
    <row r="1886" spans="1:7">
      <c r="A1886" s="23" t="str">
        <f>IF('تعديل الجرد'!C386="","",'تعديل الجرد'!B386)</f>
        <v/>
      </c>
      <c r="B1886" t="str">
        <f>IF('تعديل الجرد'!C386="","","تعديل جرد")</f>
        <v/>
      </c>
      <c r="C1886" t="str">
        <f>IF('تعديل الجرد'!C386="","",IF('تعديل الجرد'!G386="","-",'تعديل الجرد'!G386))</f>
        <v/>
      </c>
      <c r="D1886" t="str">
        <f>IF('تعديل الجرد'!C386="","",'تعديل الجرد'!C386)</f>
        <v/>
      </c>
      <c r="E1886" s="24" t="str">
        <f>IF('تعديل الجرد'!C386="","",'تعديل الجرد'!F386)</f>
        <v/>
      </c>
      <c r="F1886" t="str">
        <f>IF('تعديل الجرد'!C386="","",IF('تعديل الجرد'!H386="","",'تعديل الجرد'!H386))</f>
        <v/>
      </c>
      <c r="G1886" t="str">
        <f>IF($B1886&lt;&gt;"",SUMPRODUCT(($B$2:$B1886&lt;&gt;"")*1),"")</f>
        <v/>
      </c>
    </row>
    <row r="1887" spans="1:7">
      <c r="A1887" s="23" t="str">
        <f>IF('تعديل الجرد'!C387="","",'تعديل الجرد'!B387)</f>
        <v/>
      </c>
      <c r="B1887" t="str">
        <f>IF('تعديل الجرد'!C387="","","تعديل جرد")</f>
        <v/>
      </c>
      <c r="C1887" t="str">
        <f>IF('تعديل الجرد'!C387="","",IF('تعديل الجرد'!G387="","-",'تعديل الجرد'!G387))</f>
        <v/>
      </c>
      <c r="D1887" t="str">
        <f>IF('تعديل الجرد'!C387="","",'تعديل الجرد'!C387)</f>
        <v/>
      </c>
      <c r="E1887" s="24" t="str">
        <f>IF('تعديل الجرد'!C387="","",'تعديل الجرد'!F387)</f>
        <v/>
      </c>
      <c r="F1887" t="str">
        <f>IF('تعديل الجرد'!C387="","",IF('تعديل الجرد'!H387="","",'تعديل الجرد'!H387))</f>
        <v/>
      </c>
      <c r="G1887" t="str">
        <f>IF($B1887&lt;&gt;"",SUMPRODUCT(($B$2:$B1887&lt;&gt;"")*1),"")</f>
        <v/>
      </c>
    </row>
    <row r="1888" spans="1:7">
      <c r="A1888" s="23" t="str">
        <f>IF('تعديل الجرد'!C388="","",'تعديل الجرد'!B388)</f>
        <v/>
      </c>
      <c r="B1888" t="str">
        <f>IF('تعديل الجرد'!C388="","","تعديل جرد")</f>
        <v/>
      </c>
      <c r="C1888" t="str">
        <f>IF('تعديل الجرد'!C388="","",IF('تعديل الجرد'!G388="","-",'تعديل الجرد'!G388))</f>
        <v/>
      </c>
      <c r="D1888" t="str">
        <f>IF('تعديل الجرد'!C388="","",'تعديل الجرد'!C388)</f>
        <v/>
      </c>
      <c r="E1888" s="24" t="str">
        <f>IF('تعديل الجرد'!C388="","",'تعديل الجرد'!F388)</f>
        <v/>
      </c>
      <c r="F1888" t="str">
        <f>IF('تعديل الجرد'!C388="","",IF('تعديل الجرد'!H388="","",'تعديل الجرد'!H388))</f>
        <v/>
      </c>
      <c r="G1888" t="str">
        <f>IF($B1888&lt;&gt;"",SUMPRODUCT(($B$2:$B1888&lt;&gt;"")*1),"")</f>
        <v/>
      </c>
    </row>
    <row r="1889" spans="1:7">
      <c r="A1889" s="23" t="str">
        <f>IF('تعديل الجرد'!C389="","",'تعديل الجرد'!B389)</f>
        <v/>
      </c>
      <c r="B1889" t="str">
        <f>IF('تعديل الجرد'!C389="","","تعديل جرد")</f>
        <v/>
      </c>
      <c r="C1889" t="str">
        <f>IF('تعديل الجرد'!C389="","",IF('تعديل الجرد'!G389="","-",'تعديل الجرد'!G389))</f>
        <v/>
      </c>
      <c r="D1889" t="str">
        <f>IF('تعديل الجرد'!C389="","",'تعديل الجرد'!C389)</f>
        <v/>
      </c>
      <c r="E1889" s="24" t="str">
        <f>IF('تعديل الجرد'!C389="","",'تعديل الجرد'!F389)</f>
        <v/>
      </c>
      <c r="F1889" t="str">
        <f>IF('تعديل الجرد'!C389="","",IF('تعديل الجرد'!H389="","",'تعديل الجرد'!H389))</f>
        <v/>
      </c>
      <c r="G1889" t="str">
        <f>IF($B1889&lt;&gt;"",SUMPRODUCT(($B$2:$B1889&lt;&gt;"")*1),"")</f>
        <v/>
      </c>
    </row>
    <row r="1890" spans="1:7">
      <c r="A1890" s="23" t="str">
        <f>IF('تعديل الجرد'!C390="","",'تعديل الجرد'!B390)</f>
        <v/>
      </c>
      <c r="B1890" t="str">
        <f>IF('تعديل الجرد'!C390="","","تعديل جرد")</f>
        <v/>
      </c>
      <c r="C1890" t="str">
        <f>IF('تعديل الجرد'!C390="","",IF('تعديل الجرد'!G390="","-",'تعديل الجرد'!G390))</f>
        <v/>
      </c>
      <c r="D1890" t="str">
        <f>IF('تعديل الجرد'!C390="","",'تعديل الجرد'!C390)</f>
        <v/>
      </c>
      <c r="E1890" s="24" t="str">
        <f>IF('تعديل الجرد'!C390="","",'تعديل الجرد'!F390)</f>
        <v/>
      </c>
      <c r="F1890" t="str">
        <f>IF('تعديل الجرد'!C390="","",IF('تعديل الجرد'!H390="","",'تعديل الجرد'!H390))</f>
        <v/>
      </c>
      <c r="G1890" t="str">
        <f>IF($B1890&lt;&gt;"",SUMPRODUCT(($B$2:$B1890&lt;&gt;"")*1),"")</f>
        <v/>
      </c>
    </row>
    <row r="1891" spans="1:7">
      <c r="A1891" s="23" t="str">
        <f>IF('تعديل الجرد'!C391="","",'تعديل الجرد'!B391)</f>
        <v/>
      </c>
      <c r="B1891" t="str">
        <f>IF('تعديل الجرد'!C391="","","تعديل جرد")</f>
        <v/>
      </c>
      <c r="C1891" t="str">
        <f>IF('تعديل الجرد'!C391="","",IF('تعديل الجرد'!G391="","-",'تعديل الجرد'!G391))</f>
        <v/>
      </c>
      <c r="D1891" t="str">
        <f>IF('تعديل الجرد'!C391="","",'تعديل الجرد'!C391)</f>
        <v/>
      </c>
      <c r="E1891" s="24" t="str">
        <f>IF('تعديل الجرد'!C391="","",'تعديل الجرد'!F391)</f>
        <v/>
      </c>
      <c r="F1891" t="str">
        <f>IF('تعديل الجرد'!C391="","",IF('تعديل الجرد'!H391="","",'تعديل الجرد'!H391))</f>
        <v/>
      </c>
      <c r="G1891" t="str">
        <f>IF($B1891&lt;&gt;"",SUMPRODUCT(($B$2:$B1891&lt;&gt;"")*1),"")</f>
        <v/>
      </c>
    </row>
    <row r="1892" spans="1:7">
      <c r="A1892" s="23" t="str">
        <f>IF('تعديل الجرد'!C392="","",'تعديل الجرد'!B392)</f>
        <v/>
      </c>
      <c r="B1892" t="str">
        <f>IF('تعديل الجرد'!C392="","","تعديل جرد")</f>
        <v/>
      </c>
      <c r="C1892" t="str">
        <f>IF('تعديل الجرد'!C392="","",IF('تعديل الجرد'!G392="","-",'تعديل الجرد'!G392))</f>
        <v/>
      </c>
      <c r="D1892" t="str">
        <f>IF('تعديل الجرد'!C392="","",'تعديل الجرد'!C392)</f>
        <v/>
      </c>
      <c r="E1892" s="24" t="str">
        <f>IF('تعديل الجرد'!C392="","",'تعديل الجرد'!F392)</f>
        <v/>
      </c>
      <c r="F1892" t="str">
        <f>IF('تعديل الجرد'!C392="","",IF('تعديل الجرد'!H392="","",'تعديل الجرد'!H392))</f>
        <v/>
      </c>
      <c r="G1892" t="str">
        <f>IF($B1892&lt;&gt;"",SUMPRODUCT(($B$2:$B1892&lt;&gt;"")*1),"")</f>
        <v/>
      </c>
    </row>
    <row r="1893" spans="1:7">
      <c r="A1893" s="23" t="str">
        <f>IF('تعديل الجرد'!C393="","",'تعديل الجرد'!B393)</f>
        <v/>
      </c>
      <c r="B1893" t="str">
        <f>IF('تعديل الجرد'!C393="","","تعديل جرد")</f>
        <v/>
      </c>
      <c r="C1893" t="str">
        <f>IF('تعديل الجرد'!C393="","",IF('تعديل الجرد'!G393="","-",'تعديل الجرد'!G393))</f>
        <v/>
      </c>
      <c r="D1893" t="str">
        <f>IF('تعديل الجرد'!C393="","",'تعديل الجرد'!C393)</f>
        <v/>
      </c>
      <c r="E1893" s="24" t="str">
        <f>IF('تعديل الجرد'!C393="","",'تعديل الجرد'!F393)</f>
        <v/>
      </c>
      <c r="F1893" t="str">
        <f>IF('تعديل الجرد'!C393="","",IF('تعديل الجرد'!H393="","",'تعديل الجرد'!H393))</f>
        <v/>
      </c>
      <c r="G1893" t="str">
        <f>IF($B1893&lt;&gt;"",SUMPRODUCT(($B$2:$B1893&lt;&gt;"")*1),"")</f>
        <v/>
      </c>
    </row>
    <row r="1894" spans="1:7">
      <c r="A1894" s="23" t="str">
        <f>IF('تعديل الجرد'!C394="","",'تعديل الجرد'!B394)</f>
        <v/>
      </c>
      <c r="B1894" t="str">
        <f>IF('تعديل الجرد'!C394="","","تعديل جرد")</f>
        <v/>
      </c>
      <c r="C1894" t="str">
        <f>IF('تعديل الجرد'!C394="","",IF('تعديل الجرد'!G394="","-",'تعديل الجرد'!G394))</f>
        <v/>
      </c>
      <c r="D1894" t="str">
        <f>IF('تعديل الجرد'!C394="","",'تعديل الجرد'!C394)</f>
        <v/>
      </c>
      <c r="E1894" s="24" t="str">
        <f>IF('تعديل الجرد'!C394="","",'تعديل الجرد'!F394)</f>
        <v/>
      </c>
      <c r="F1894" t="str">
        <f>IF('تعديل الجرد'!C394="","",IF('تعديل الجرد'!H394="","",'تعديل الجرد'!H394))</f>
        <v/>
      </c>
      <c r="G1894" t="str">
        <f>IF($B1894&lt;&gt;"",SUMPRODUCT(($B$2:$B1894&lt;&gt;"")*1),"")</f>
        <v/>
      </c>
    </row>
    <row r="1895" spans="1:7">
      <c r="A1895" s="23" t="str">
        <f>IF('تعديل الجرد'!C395="","",'تعديل الجرد'!B395)</f>
        <v/>
      </c>
      <c r="B1895" t="str">
        <f>IF('تعديل الجرد'!C395="","","تعديل جرد")</f>
        <v/>
      </c>
      <c r="C1895" t="str">
        <f>IF('تعديل الجرد'!C395="","",IF('تعديل الجرد'!G395="","-",'تعديل الجرد'!G395))</f>
        <v/>
      </c>
      <c r="D1895" t="str">
        <f>IF('تعديل الجرد'!C395="","",'تعديل الجرد'!C395)</f>
        <v/>
      </c>
      <c r="E1895" s="24" t="str">
        <f>IF('تعديل الجرد'!C395="","",'تعديل الجرد'!F395)</f>
        <v/>
      </c>
      <c r="F1895" t="str">
        <f>IF('تعديل الجرد'!C395="","",IF('تعديل الجرد'!H395="","",'تعديل الجرد'!H395))</f>
        <v/>
      </c>
      <c r="G1895" t="str">
        <f>IF($B1895&lt;&gt;"",SUMPRODUCT(($B$2:$B1895&lt;&gt;"")*1),"")</f>
        <v/>
      </c>
    </row>
    <row r="1896" spans="1:7">
      <c r="A1896" s="23" t="str">
        <f>IF('تعديل الجرد'!C396="","",'تعديل الجرد'!B396)</f>
        <v/>
      </c>
      <c r="B1896" t="str">
        <f>IF('تعديل الجرد'!C396="","","تعديل جرد")</f>
        <v/>
      </c>
      <c r="C1896" t="str">
        <f>IF('تعديل الجرد'!C396="","",IF('تعديل الجرد'!G396="","-",'تعديل الجرد'!G396))</f>
        <v/>
      </c>
      <c r="D1896" t="str">
        <f>IF('تعديل الجرد'!C396="","",'تعديل الجرد'!C396)</f>
        <v/>
      </c>
      <c r="E1896" s="24" t="str">
        <f>IF('تعديل الجرد'!C396="","",'تعديل الجرد'!F396)</f>
        <v/>
      </c>
      <c r="F1896" t="str">
        <f>IF('تعديل الجرد'!C396="","",IF('تعديل الجرد'!H396="","",'تعديل الجرد'!H396))</f>
        <v/>
      </c>
      <c r="G1896" t="str">
        <f>IF($B1896&lt;&gt;"",SUMPRODUCT(($B$2:$B1896&lt;&gt;"")*1),"")</f>
        <v/>
      </c>
    </row>
    <row r="1897" spans="1:7">
      <c r="A1897" s="23" t="str">
        <f>IF('تعديل الجرد'!C397="","",'تعديل الجرد'!B397)</f>
        <v/>
      </c>
      <c r="B1897" t="str">
        <f>IF('تعديل الجرد'!C397="","","تعديل جرد")</f>
        <v/>
      </c>
      <c r="C1897" t="str">
        <f>IF('تعديل الجرد'!C397="","",IF('تعديل الجرد'!G397="","-",'تعديل الجرد'!G397))</f>
        <v/>
      </c>
      <c r="D1897" t="str">
        <f>IF('تعديل الجرد'!C397="","",'تعديل الجرد'!C397)</f>
        <v/>
      </c>
      <c r="E1897" s="24" t="str">
        <f>IF('تعديل الجرد'!C397="","",'تعديل الجرد'!F397)</f>
        <v/>
      </c>
      <c r="F1897" t="str">
        <f>IF('تعديل الجرد'!C397="","",IF('تعديل الجرد'!H397="","",'تعديل الجرد'!H397))</f>
        <v/>
      </c>
      <c r="G1897" t="str">
        <f>IF($B1897&lt;&gt;"",SUMPRODUCT(($B$2:$B1897&lt;&gt;"")*1),"")</f>
        <v/>
      </c>
    </row>
    <row r="1898" spans="1:7">
      <c r="A1898" s="23" t="str">
        <f>IF('تعديل الجرد'!C398="","",'تعديل الجرد'!B398)</f>
        <v/>
      </c>
      <c r="B1898" t="str">
        <f>IF('تعديل الجرد'!C398="","","تعديل جرد")</f>
        <v/>
      </c>
      <c r="C1898" t="str">
        <f>IF('تعديل الجرد'!C398="","",IF('تعديل الجرد'!G398="","-",'تعديل الجرد'!G398))</f>
        <v/>
      </c>
      <c r="D1898" t="str">
        <f>IF('تعديل الجرد'!C398="","",'تعديل الجرد'!C398)</f>
        <v/>
      </c>
      <c r="E1898" s="24" t="str">
        <f>IF('تعديل الجرد'!C398="","",'تعديل الجرد'!F398)</f>
        <v/>
      </c>
      <c r="F1898" t="str">
        <f>IF('تعديل الجرد'!C398="","",IF('تعديل الجرد'!H398="","",'تعديل الجرد'!H398))</f>
        <v/>
      </c>
      <c r="G1898" t="str">
        <f>IF($B1898&lt;&gt;"",SUMPRODUCT(($B$2:$B1898&lt;&gt;"")*1),"")</f>
        <v/>
      </c>
    </row>
    <row r="1899" spans="1:7">
      <c r="A1899" s="23" t="str">
        <f>IF('تعديل الجرد'!C399="","",'تعديل الجرد'!B399)</f>
        <v/>
      </c>
      <c r="B1899" t="str">
        <f>IF('تعديل الجرد'!C399="","","تعديل جرد")</f>
        <v/>
      </c>
      <c r="C1899" t="str">
        <f>IF('تعديل الجرد'!C399="","",IF('تعديل الجرد'!G399="","-",'تعديل الجرد'!G399))</f>
        <v/>
      </c>
      <c r="D1899" t="str">
        <f>IF('تعديل الجرد'!C399="","",'تعديل الجرد'!C399)</f>
        <v/>
      </c>
      <c r="E1899" s="24" t="str">
        <f>IF('تعديل الجرد'!C399="","",'تعديل الجرد'!F399)</f>
        <v/>
      </c>
      <c r="F1899" t="str">
        <f>IF('تعديل الجرد'!C399="","",IF('تعديل الجرد'!H399="","",'تعديل الجرد'!H399))</f>
        <v/>
      </c>
      <c r="G1899" t="str">
        <f>IF($B1899&lt;&gt;"",SUMPRODUCT(($B$2:$B1899&lt;&gt;"")*1),"")</f>
        <v/>
      </c>
    </row>
    <row r="1900" spans="1:7">
      <c r="A1900" s="23" t="str">
        <f>IF('تعديل الجرد'!C400="","",'تعديل الجرد'!B400)</f>
        <v/>
      </c>
      <c r="B1900" t="str">
        <f>IF('تعديل الجرد'!C400="","","تعديل جرد")</f>
        <v/>
      </c>
      <c r="C1900" t="str">
        <f>IF('تعديل الجرد'!C400="","",IF('تعديل الجرد'!G400="","-",'تعديل الجرد'!G400))</f>
        <v/>
      </c>
      <c r="D1900" t="str">
        <f>IF('تعديل الجرد'!C400="","",'تعديل الجرد'!C400)</f>
        <v/>
      </c>
      <c r="E1900" s="24" t="str">
        <f>IF('تعديل الجرد'!C400="","",'تعديل الجرد'!F400)</f>
        <v/>
      </c>
      <c r="F1900" t="str">
        <f>IF('تعديل الجرد'!C400="","",IF('تعديل الجرد'!H400="","",'تعديل الجرد'!H400))</f>
        <v/>
      </c>
      <c r="G1900" t="str">
        <f>IF($B1900&lt;&gt;"",SUMPRODUCT(($B$2:$B1900&lt;&gt;"")*1),"")</f>
        <v/>
      </c>
    </row>
    <row r="1901" spans="1:7">
      <c r="A1901" s="23" t="str">
        <f>IF('تعديل الجرد'!C401="","",'تعديل الجرد'!B401)</f>
        <v/>
      </c>
      <c r="B1901" t="str">
        <f>IF('تعديل الجرد'!C401="","","تعديل جرد")</f>
        <v/>
      </c>
      <c r="C1901" t="str">
        <f>IF('تعديل الجرد'!C401="","",IF('تعديل الجرد'!G401="","-",'تعديل الجرد'!G401))</f>
        <v/>
      </c>
      <c r="D1901" t="str">
        <f>IF('تعديل الجرد'!C401="","",'تعديل الجرد'!C401)</f>
        <v/>
      </c>
      <c r="E1901" s="24" t="str">
        <f>IF('تعديل الجرد'!C401="","",'تعديل الجرد'!F401)</f>
        <v/>
      </c>
      <c r="F1901" t="str">
        <f>IF('تعديل الجرد'!C401="","",IF('تعديل الجرد'!H401="","",'تعديل الجرد'!H401))</f>
        <v/>
      </c>
      <c r="G1901" t="str">
        <f>IF($B1901&lt;&gt;"",SUMPRODUCT(($B$2:$B1901&lt;&gt;"")*1),"")</f>
        <v/>
      </c>
    </row>
    <row r="1902" spans="1:7">
      <c r="A1902" s="23" t="str">
        <f>IF('تعديل الجرد'!C402="","",'تعديل الجرد'!B402)</f>
        <v/>
      </c>
      <c r="B1902" t="str">
        <f>IF('تعديل الجرد'!C402="","","تعديل جرد")</f>
        <v/>
      </c>
      <c r="C1902" t="str">
        <f>IF('تعديل الجرد'!C402="","",IF('تعديل الجرد'!G402="","-",'تعديل الجرد'!G402))</f>
        <v/>
      </c>
      <c r="D1902" t="str">
        <f>IF('تعديل الجرد'!C402="","",'تعديل الجرد'!C402)</f>
        <v/>
      </c>
      <c r="E1902" s="24" t="str">
        <f>IF('تعديل الجرد'!C402="","",'تعديل الجرد'!F402)</f>
        <v/>
      </c>
      <c r="F1902" t="str">
        <f>IF('تعديل الجرد'!C402="","",IF('تعديل الجرد'!H402="","",'تعديل الجرد'!H402))</f>
        <v/>
      </c>
      <c r="G1902" t="str">
        <f>IF($B1902&lt;&gt;"",SUMPRODUCT(($B$2:$B1902&lt;&gt;"")*1),"")</f>
        <v/>
      </c>
    </row>
    <row r="1903" spans="1:7">
      <c r="A1903" s="23" t="str">
        <f>IF('تعديل الجرد'!C403="","",'تعديل الجرد'!B403)</f>
        <v/>
      </c>
      <c r="B1903" t="str">
        <f>IF('تعديل الجرد'!C403="","","تعديل جرد")</f>
        <v/>
      </c>
      <c r="C1903" t="str">
        <f>IF('تعديل الجرد'!C403="","",IF('تعديل الجرد'!G403="","-",'تعديل الجرد'!G403))</f>
        <v/>
      </c>
      <c r="D1903" t="str">
        <f>IF('تعديل الجرد'!C403="","",'تعديل الجرد'!C403)</f>
        <v/>
      </c>
      <c r="E1903" s="24" t="str">
        <f>IF('تعديل الجرد'!C403="","",'تعديل الجرد'!F403)</f>
        <v/>
      </c>
      <c r="F1903" t="str">
        <f>IF('تعديل الجرد'!C403="","",IF('تعديل الجرد'!H403="","",'تعديل الجرد'!H403))</f>
        <v/>
      </c>
      <c r="G1903" t="str">
        <f>IF($B1903&lt;&gt;"",SUMPRODUCT(($B$2:$B1903&lt;&gt;"")*1),"")</f>
        <v/>
      </c>
    </row>
    <row r="1904" spans="1:7">
      <c r="A1904" s="23" t="str">
        <f>IF('تعديل الجرد'!C404="","",'تعديل الجرد'!B404)</f>
        <v/>
      </c>
      <c r="B1904" t="str">
        <f>IF('تعديل الجرد'!C404="","","تعديل جرد")</f>
        <v/>
      </c>
      <c r="C1904" t="str">
        <f>IF('تعديل الجرد'!C404="","",IF('تعديل الجرد'!G404="","-",'تعديل الجرد'!G404))</f>
        <v/>
      </c>
      <c r="D1904" t="str">
        <f>IF('تعديل الجرد'!C404="","",'تعديل الجرد'!C404)</f>
        <v/>
      </c>
      <c r="E1904" s="24" t="str">
        <f>IF('تعديل الجرد'!C404="","",'تعديل الجرد'!F404)</f>
        <v/>
      </c>
      <c r="F1904" t="str">
        <f>IF('تعديل الجرد'!C404="","",IF('تعديل الجرد'!H404="","",'تعديل الجرد'!H404))</f>
        <v/>
      </c>
      <c r="G1904" t="str">
        <f>IF($B1904&lt;&gt;"",SUMPRODUCT(($B$2:$B1904&lt;&gt;"")*1),"")</f>
        <v/>
      </c>
    </row>
    <row r="1905" spans="1:7">
      <c r="A1905" s="23" t="str">
        <f>IF('تعديل الجرد'!C405="","",'تعديل الجرد'!B405)</f>
        <v/>
      </c>
      <c r="B1905" t="str">
        <f>IF('تعديل الجرد'!C405="","","تعديل جرد")</f>
        <v/>
      </c>
      <c r="C1905" t="str">
        <f>IF('تعديل الجرد'!C405="","",IF('تعديل الجرد'!G405="","-",'تعديل الجرد'!G405))</f>
        <v/>
      </c>
      <c r="D1905" t="str">
        <f>IF('تعديل الجرد'!C405="","",'تعديل الجرد'!C405)</f>
        <v/>
      </c>
      <c r="E1905" s="24" t="str">
        <f>IF('تعديل الجرد'!C405="","",'تعديل الجرد'!F405)</f>
        <v/>
      </c>
      <c r="F1905" t="str">
        <f>IF('تعديل الجرد'!C405="","",IF('تعديل الجرد'!H405="","",'تعديل الجرد'!H405))</f>
        <v/>
      </c>
      <c r="G1905" t="str">
        <f>IF($B1905&lt;&gt;"",SUMPRODUCT(($B$2:$B1905&lt;&gt;"")*1),"")</f>
        <v/>
      </c>
    </row>
    <row r="1906" spans="1:7">
      <c r="A1906" s="23" t="str">
        <f>IF('تعديل الجرد'!C406="","",'تعديل الجرد'!B406)</f>
        <v/>
      </c>
      <c r="B1906" t="str">
        <f>IF('تعديل الجرد'!C406="","","تعديل جرد")</f>
        <v/>
      </c>
      <c r="C1906" t="str">
        <f>IF('تعديل الجرد'!C406="","",IF('تعديل الجرد'!G406="","-",'تعديل الجرد'!G406))</f>
        <v/>
      </c>
      <c r="D1906" t="str">
        <f>IF('تعديل الجرد'!C406="","",'تعديل الجرد'!C406)</f>
        <v/>
      </c>
      <c r="E1906" s="24" t="str">
        <f>IF('تعديل الجرد'!C406="","",'تعديل الجرد'!F406)</f>
        <v/>
      </c>
      <c r="F1906" t="str">
        <f>IF('تعديل الجرد'!C406="","",IF('تعديل الجرد'!H406="","",'تعديل الجرد'!H406))</f>
        <v/>
      </c>
      <c r="G1906" t="str">
        <f>IF($B1906&lt;&gt;"",SUMPRODUCT(($B$2:$B1906&lt;&gt;"")*1),"")</f>
        <v/>
      </c>
    </row>
    <row r="1907" spans="1:7">
      <c r="A1907" s="23" t="str">
        <f>IF('تعديل الجرد'!C407="","",'تعديل الجرد'!B407)</f>
        <v/>
      </c>
      <c r="B1907" t="str">
        <f>IF('تعديل الجرد'!C407="","","تعديل جرد")</f>
        <v/>
      </c>
      <c r="C1907" t="str">
        <f>IF('تعديل الجرد'!C407="","",IF('تعديل الجرد'!G407="","-",'تعديل الجرد'!G407))</f>
        <v/>
      </c>
      <c r="D1907" t="str">
        <f>IF('تعديل الجرد'!C407="","",'تعديل الجرد'!C407)</f>
        <v/>
      </c>
      <c r="E1907" s="24" t="str">
        <f>IF('تعديل الجرد'!C407="","",'تعديل الجرد'!F407)</f>
        <v/>
      </c>
      <c r="F1907" t="str">
        <f>IF('تعديل الجرد'!C407="","",IF('تعديل الجرد'!H407="","",'تعديل الجرد'!H407))</f>
        <v/>
      </c>
      <c r="G1907" t="str">
        <f>IF($B1907&lt;&gt;"",SUMPRODUCT(($B$2:$B1907&lt;&gt;"")*1),"")</f>
        <v/>
      </c>
    </row>
    <row r="1908" spans="1:7">
      <c r="A1908" s="23" t="str">
        <f>IF('تعديل الجرد'!C408="","",'تعديل الجرد'!B408)</f>
        <v/>
      </c>
      <c r="B1908" t="str">
        <f>IF('تعديل الجرد'!C408="","","تعديل جرد")</f>
        <v/>
      </c>
      <c r="C1908" t="str">
        <f>IF('تعديل الجرد'!C408="","",IF('تعديل الجرد'!G408="","-",'تعديل الجرد'!G408))</f>
        <v/>
      </c>
      <c r="D1908" t="str">
        <f>IF('تعديل الجرد'!C408="","",'تعديل الجرد'!C408)</f>
        <v/>
      </c>
      <c r="E1908" s="24" t="str">
        <f>IF('تعديل الجرد'!C408="","",'تعديل الجرد'!F408)</f>
        <v/>
      </c>
      <c r="F1908" t="str">
        <f>IF('تعديل الجرد'!C408="","",IF('تعديل الجرد'!H408="","",'تعديل الجرد'!H408))</f>
        <v/>
      </c>
      <c r="G1908" t="str">
        <f>IF($B1908&lt;&gt;"",SUMPRODUCT(($B$2:$B1908&lt;&gt;"")*1),"")</f>
        <v/>
      </c>
    </row>
    <row r="1909" spans="1:7">
      <c r="A1909" s="23" t="str">
        <f>IF('تعديل الجرد'!C409="","",'تعديل الجرد'!B409)</f>
        <v/>
      </c>
      <c r="B1909" t="str">
        <f>IF('تعديل الجرد'!C409="","","تعديل جرد")</f>
        <v/>
      </c>
      <c r="C1909" t="str">
        <f>IF('تعديل الجرد'!C409="","",IF('تعديل الجرد'!G409="","-",'تعديل الجرد'!G409))</f>
        <v/>
      </c>
      <c r="D1909" t="str">
        <f>IF('تعديل الجرد'!C409="","",'تعديل الجرد'!C409)</f>
        <v/>
      </c>
      <c r="E1909" s="24" t="str">
        <f>IF('تعديل الجرد'!C409="","",'تعديل الجرد'!F409)</f>
        <v/>
      </c>
      <c r="F1909" t="str">
        <f>IF('تعديل الجرد'!C409="","",IF('تعديل الجرد'!H409="","",'تعديل الجرد'!H409))</f>
        <v/>
      </c>
      <c r="G1909" t="str">
        <f>IF($B1909&lt;&gt;"",SUMPRODUCT(($B$2:$B1909&lt;&gt;"")*1),"")</f>
        <v/>
      </c>
    </row>
    <row r="1910" spans="1:7">
      <c r="A1910" s="23" t="str">
        <f>IF('تعديل الجرد'!C410="","",'تعديل الجرد'!B410)</f>
        <v/>
      </c>
      <c r="B1910" t="str">
        <f>IF('تعديل الجرد'!C410="","","تعديل جرد")</f>
        <v/>
      </c>
      <c r="C1910" t="str">
        <f>IF('تعديل الجرد'!C410="","",IF('تعديل الجرد'!G410="","-",'تعديل الجرد'!G410))</f>
        <v/>
      </c>
      <c r="D1910" t="str">
        <f>IF('تعديل الجرد'!C410="","",'تعديل الجرد'!C410)</f>
        <v/>
      </c>
      <c r="E1910" s="24" t="str">
        <f>IF('تعديل الجرد'!C410="","",'تعديل الجرد'!F410)</f>
        <v/>
      </c>
      <c r="F1910" t="str">
        <f>IF('تعديل الجرد'!C410="","",IF('تعديل الجرد'!H410="","",'تعديل الجرد'!H410))</f>
        <v/>
      </c>
      <c r="G1910" t="str">
        <f>IF($B1910&lt;&gt;"",SUMPRODUCT(($B$2:$B1910&lt;&gt;"")*1),"")</f>
        <v/>
      </c>
    </row>
    <row r="1911" spans="1:7">
      <c r="A1911" s="23" t="str">
        <f>IF('تعديل الجرد'!C411="","",'تعديل الجرد'!B411)</f>
        <v/>
      </c>
      <c r="B1911" t="str">
        <f>IF('تعديل الجرد'!C411="","","تعديل جرد")</f>
        <v/>
      </c>
      <c r="C1911" t="str">
        <f>IF('تعديل الجرد'!C411="","",IF('تعديل الجرد'!G411="","-",'تعديل الجرد'!G411))</f>
        <v/>
      </c>
      <c r="D1911" t="str">
        <f>IF('تعديل الجرد'!C411="","",'تعديل الجرد'!C411)</f>
        <v/>
      </c>
      <c r="E1911" s="24" t="str">
        <f>IF('تعديل الجرد'!C411="","",'تعديل الجرد'!F411)</f>
        <v/>
      </c>
      <c r="F1911" t="str">
        <f>IF('تعديل الجرد'!C411="","",IF('تعديل الجرد'!H411="","",'تعديل الجرد'!H411))</f>
        <v/>
      </c>
      <c r="G1911" t="str">
        <f>IF($B1911&lt;&gt;"",SUMPRODUCT(($B$2:$B1911&lt;&gt;"")*1),"")</f>
        <v/>
      </c>
    </row>
    <row r="1912" spans="1:7">
      <c r="A1912" s="23" t="str">
        <f>IF('تعديل الجرد'!C412="","",'تعديل الجرد'!B412)</f>
        <v/>
      </c>
      <c r="B1912" t="str">
        <f>IF('تعديل الجرد'!C412="","","تعديل جرد")</f>
        <v/>
      </c>
      <c r="C1912" t="str">
        <f>IF('تعديل الجرد'!C412="","",IF('تعديل الجرد'!G412="","-",'تعديل الجرد'!G412))</f>
        <v/>
      </c>
      <c r="D1912" t="str">
        <f>IF('تعديل الجرد'!C412="","",'تعديل الجرد'!C412)</f>
        <v/>
      </c>
      <c r="E1912" s="24" t="str">
        <f>IF('تعديل الجرد'!C412="","",'تعديل الجرد'!F412)</f>
        <v/>
      </c>
      <c r="F1912" t="str">
        <f>IF('تعديل الجرد'!C412="","",IF('تعديل الجرد'!H412="","",'تعديل الجرد'!H412))</f>
        <v/>
      </c>
      <c r="G1912" t="str">
        <f>IF($B1912&lt;&gt;"",SUMPRODUCT(($B$2:$B1912&lt;&gt;"")*1),"")</f>
        <v/>
      </c>
    </row>
    <row r="1913" spans="1:7">
      <c r="A1913" s="23" t="str">
        <f>IF('تعديل الجرد'!C413="","",'تعديل الجرد'!B413)</f>
        <v/>
      </c>
      <c r="B1913" t="str">
        <f>IF('تعديل الجرد'!C413="","","تعديل جرد")</f>
        <v/>
      </c>
      <c r="C1913" t="str">
        <f>IF('تعديل الجرد'!C413="","",IF('تعديل الجرد'!G413="","-",'تعديل الجرد'!G413))</f>
        <v/>
      </c>
      <c r="D1913" t="str">
        <f>IF('تعديل الجرد'!C413="","",'تعديل الجرد'!C413)</f>
        <v/>
      </c>
      <c r="E1913" s="24" t="str">
        <f>IF('تعديل الجرد'!C413="","",'تعديل الجرد'!F413)</f>
        <v/>
      </c>
      <c r="F1913" t="str">
        <f>IF('تعديل الجرد'!C413="","",IF('تعديل الجرد'!H413="","",'تعديل الجرد'!H413))</f>
        <v/>
      </c>
      <c r="G1913" t="str">
        <f>IF($B1913&lt;&gt;"",SUMPRODUCT(($B$2:$B1913&lt;&gt;"")*1),"")</f>
        <v/>
      </c>
    </row>
    <row r="1914" spans="1:7">
      <c r="A1914" s="23" t="str">
        <f>IF('تعديل الجرد'!C414="","",'تعديل الجرد'!B414)</f>
        <v/>
      </c>
      <c r="B1914" t="str">
        <f>IF('تعديل الجرد'!C414="","","تعديل جرد")</f>
        <v/>
      </c>
      <c r="C1914" t="str">
        <f>IF('تعديل الجرد'!C414="","",IF('تعديل الجرد'!G414="","-",'تعديل الجرد'!G414))</f>
        <v/>
      </c>
      <c r="D1914" t="str">
        <f>IF('تعديل الجرد'!C414="","",'تعديل الجرد'!C414)</f>
        <v/>
      </c>
      <c r="E1914" s="24" t="str">
        <f>IF('تعديل الجرد'!C414="","",'تعديل الجرد'!F414)</f>
        <v/>
      </c>
      <c r="F1914" t="str">
        <f>IF('تعديل الجرد'!C414="","",IF('تعديل الجرد'!H414="","",'تعديل الجرد'!H414))</f>
        <v/>
      </c>
      <c r="G1914" t="str">
        <f>IF($B1914&lt;&gt;"",SUMPRODUCT(($B$2:$B1914&lt;&gt;"")*1),"")</f>
        <v/>
      </c>
    </row>
    <row r="1915" spans="1:7">
      <c r="A1915" s="23" t="str">
        <f>IF('تعديل الجرد'!C415="","",'تعديل الجرد'!B415)</f>
        <v/>
      </c>
      <c r="B1915" t="str">
        <f>IF('تعديل الجرد'!C415="","","تعديل جرد")</f>
        <v/>
      </c>
      <c r="C1915" t="str">
        <f>IF('تعديل الجرد'!C415="","",IF('تعديل الجرد'!G415="","-",'تعديل الجرد'!G415))</f>
        <v/>
      </c>
      <c r="D1915" t="str">
        <f>IF('تعديل الجرد'!C415="","",'تعديل الجرد'!C415)</f>
        <v/>
      </c>
      <c r="E1915" s="24" t="str">
        <f>IF('تعديل الجرد'!C415="","",'تعديل الجرد'!F415)</f>
        <v/>
      </c>
      <c r="F1915" t="str">
        <f>IF('تعديل الجرد'!C415="","",IF('تعديل الجرد'!H415="","",'تعديل الجرد'!H415))</f>
        <v/>
      </c>
      <c r="G1915" t="str">
        <f>IF($B1915&lt;&gt;"",SUMPRODUCT(($B$2:$B1915&lt;&gt;"")*1),"")</f>
        <v/>
      </c>
    </row>
    <row r="1916" spans="1:7">
      <c r="A1916" s="23" t="str">
        <f>IF('تعديل الجرد'!C416="","",'تعديل الجرد'!B416)</f>
        <v/>
      </c>
      <c r="B1916" t="str">
        <f>IF('تعديل الجرد'!C416="","","تعديل جرد")</f>
        <v/>
      </c>
      <c r="C1916" t="str">
        <f>IF('تعديل الجرد'!C416="","",IF('تعديل الجرد'!G416="","-",'تعديل الجرد'!G416))</f>
        <v/>
      </c>
      <c r="D1916" t="str">
        <f>IF('تعديل الجرد'!C416="","",'تعديل الجرد'!C416)</f>
        <v/>
      </c>
      <c r="E1916" s="24" t="str">
        <f>IF('تعديل الجرد'!C416="","",'تعديل الجرد'!F416)</f>
        <v/>
      </c>
      <c r="F1916" t="str">
        <f>IF('تعديل الجرد'!C416="","",IF('تعديل الجرد'!H416="","",'تعديل الجرد'!H416))</f>
        <v/>
      </c>
      <c r="G1916" t="str">
        <f>IF($B1916&lt;&gt;"",SUMPRODUCT(($B$2:$B1916&lt;&gt;"")*1),"")</f>
        <v/>
      </c>
    </row>
    <row r="1917" spans="1:7">
      <c r="A1917" s="23" t="str">
        <f>IF('تعديل الجرد'!C417="","",'تعديل الجرد'!B417)</f>
        <v/>
      </c>
      <c r="B1917" t="str">
        <f>IF('تعديل الجرد'!C417="","","تعديل جرد")</f>
        <v/>
      </c>
      <c r="C1917" t="str">
        <f>IF('تعديل الجرد'!C417="","",IF('تعديل الجرد'!G417="","-",'تعديل الجرد'!G417))</f>
        <v/>
      </c>
      <c r="D1917" t="str">
        <f>IF('تعديل الجرد'!C417="","",'تعديل الجرد'!C417)</f>
        <v/>
      </c>
      <c r="E1917" s="24" t="str">
        <f>IF('تعديل الجرد'!C417="","",'تعديل الجرد'!F417)</f>
        <v/>
      </c>
      <c r="F1917" t="str">
        <f>IF('تعديل الجرد'!C417="","",IF('تعديل الجرد'!H417="","",'تعديل الجرد'!H417))</f>
        <v/>
      </c>
      <c r="G1917" t="str">
        <f>IF($B1917&lt;&gt;"",SUMPRODUCT(($B$2:$B1917&lt;&gt;"")*1),"")</f>
        <v/>
      </c>
    </row>
    <row r="1918" spans="1:7">
      <c r="A1918" s="23" t="str">
        <f>IF('تعديل الجرد'!C418="","",'تعديل الجرد'!B418)</f>
        <v/>
      </c>
      <c r="B1918" t="str">
        <f>IF('تعديل الجرد'!C418="","","تعديل جرد")</f>
        <v/>
      </c>
      <c r="C1918" t="str">
        <f>IF('تعديل الجرد'!C418="","",IF('تعديل الجرد'!G418="","-",'تعديل الجرد'!G418))</f>
        <v/>
      </c>
      <c r="D1918" t="str">
        <f>IF('تعديل الجرد'!C418="","",'تعديل الجرد'!C418)</f>
        <v/>
      </c>
      <c r="E1918" s="24" t="str">
        <f>IF('تعديل الجرد'!C418="","",'تعديل الجرد'!F418)</f>
        <v/>
      </c>
      <c r="F1918" t="str">
        <f>IF('تعديل الجرد'!C418="","",IF('تعديل الجرد'!H418="","",'تعديل الجرد'!H418))</f>
        <v/>
      </c>
      <c r="G1918" t="str">
        <f>IF($B1918&lt;&gt;"",SUMPRODUCT(($B$2:$B1918&lt;&gt;"")*1),"")</f>
        <v/>
      </c>
    </row>
    <row r="1919" spans="1:7">
      <c r="A1919" s="23" t="str">
        <f>IF('تعديل الجرد'!C419="","",'تعديل الجرد'!B419)</f>
        <v/>
      </c>
      <c r="B1919" t="str">
        <f>IF('تعديل الجرد'!C419="","","تعديل جرد")</f>
        <v/>
      </c>
      <c r="C1919" t="str">
        <f>IF('تعديل الجرد'!C419="","",IF('تعديل الجرد'!G419="","-",'تعديل الجرد'!G419))</f>
        <v/>
      </c>
      <c r="D1919" t="str">
        <f>IF('تعديل الجرد'!C419="","",'تعديل الجرد'!C419)</f>
        <v/>
      </c>
      <c r="E1919" s="24" t="str">
        <f>IF('تعديل الجرد'!C419="","",'تعديل الجرد'!F419)</f>
        <v/>
      </c>
      <c r="F1919" t="str">
        <f>IF('تعديل الجرد'!C419="","",IF('تعديل الجرد'!H419="","",'تعديل الجرد'!H419))</f>
        <v/>
      </c>
      <c r="G1919" t="str">
        <f>IF($B1919&lt;&gt;"",SUMPRODUCT(($B$2:$B1919&lt;&gt;"")*1),"")</f>
        <v/>
      </c>
    </row>
    <row r="1920" spans="1:7">
      <c r="A1920" s="23" t="str">
        <f>IF('تعديل الجرد'!C420="","",'تعديل الجرد'!B420)</f>
        <v/>
      </c>
      <c r="B1920" t="str">
        <f>IF('تعديل الجرد'!C420="","","تعديل جرد")</f>
        <v/>
      </c>
      <c r="C1920" t="str">
        <f>IF('تعديل الجرد'!C420="","",IF('تعديل الجرد'!G420="","-",'تعديل الجرد'!G420))</f>
        <v/>
      </c>
      <c r="D1920" t="str">
        <f>IF('تعديل الجرد'!C420="","",'تعديل الجرد'!C420)</f>
        <v/>
      </c>
      <c r="E1920" s="24" t="str">
        <f>IF('تعديل الجرد'!C420="","",'تعديل الجرد'!F420)</f>
        <v/>
      </c>
      <c r="F1920" t="str">
        <f>IF('تعديل الجرد'!C420="","",IF('تعديل الجرد'!H420="","",'تعديل الجرد'!H420))</f>
        <v/>
      </c>
      <c r="G1920" t="str">
        <f>IF($B1920&lt;&gt;"",SUMPRODUCT(($B$2:$B1920&lt;&gt;"")*1),"")</f>
        <v/>
      </c>
    </row>
    <row r="1921" spans="1:7">
      <c r="A1921" s="23" t="str">
        <f>IF('تعديل الجرد'!C421="","",'تعديل الجرد'!B421)</f>
        <v/>
      </c>
      <c r="B1921" t="str">
        <f>IF('تعديل الجرد'!C421="","","تعديل جرد")</f>
        <v/>
      </c>
      <c r="C1921" t="str">
        <f>IF('تعديل الجرد'!C421="","",IF('تعديل الجرد'!G421="","-",'تعديل الجرد'!G421))</f>
        <v/>
      </c>
      <c r="D1921" t="str">
        <f>IF('تعديل الجرد'!C421="","",'تعديل الجرد'!C421)</f>
        <v/>
      </c>
      <c r="E1921" s="24" t="str">
        <f>IF('تعديل الجرد'!C421="","",'تعديل الجرد'!F421)</f>
        <v/>
      </c>
      <c r="F1921" t="str">
        <f>IF('تعديل الجرد'!C421="","",IF('تعديل الجرد'!H421="","",'تعديل الجرد'!H421))</f>
        <v/>
      </c>
      <c r="G1921" t="str">
        <f>IF($B1921&lt;&gt;"",SUMPRODUCT(($B$2:$B1921&lt;&gt;"")*1),"")</f>
        <v/>
      </c>
    </row>
    <row r="1922" spans="1:7">
      <c r="A1922" s="23" t="str">
        <f>IF('تعديل الجرد'!C422="","",'تعديل الجرد'!B422)</f>
        <v/>
      </c>
      <c r="B1922" t="str">
        <f>IF('تعديل الجرد'!C422="","","تعديل جرد")</f>
        <v/>
      </c>
      <c r="C1922" t="str">
        <f>IF('تعديل الجرد'!C422="","",IF('تعديل الجرد'!G422="","-",'تعديل الجرد'!G422))</f>
        <v/>
      </c>
      <c r="D1922" t="str">
        <f>IF('تعديل الجرد'!C422="","",'تعديل الجرد'!C422)</f>
        <v/>
      </c>
      <c r="E1922" s="24" t="str">
        <f>IF('تعديل الجرد'!C422="","",'تعديل الجرد'!F422)</f>
        <v/>
      </c>
      <c r="F1922" t="str">
        <f>IF('تعديل الجرد'!C422="","",IF('تعديل الجرد'!H422="","",'تعديل الجرد'!H422))</f>
        <v/>
      </c>
      <c r="G1922" t="str">
        <f>IF($B1922&lt;&gt;"",SUMPRODUCT(($B$2:$B1922&lt;&gt;"")*1),"")</f>
        <v/>
      </c>
    </row>
    <row r="1923" spans="1:7">
      <c r="A1923" s="23" t="str">
        <f>IF('تعديل الجرد'!C423="","",'تعديل الجرد'!B423)</f>
        <v/>
      </c>
      <c r="B1923" t="str">
        <f>IF('تعديل الجرد'!C423="","","تعديل جرد")</f>
        <v/>
      </c>
      <c r="C1923" t="str">
        <f>IF('تعديل الجرد'!C423="","",IF('تعديل الجرد'!G423="","-",'تعديل الجرد'!G423))</f>
        <v/>
      </c>
      <c r="D1923" t="str">
        <f>IF('تعديل الجرد'!C423="","",'تعديل الجرد'!C423)</f>
        <v/>
      </c>
      <c r="E1923" s="24" t="str">
        <f>IF('تعديل الجرد'!C423="","",'تعديل الجرد'!F423)</f>
        <v/>
      </c>
      <c r="F1923" t="str">
        <f>IF('تعديل الجرد'!C423="","",IF('تعديل الجرد'!H423="","",'تعديل الجرد'!H423))</f>
        <v/>
      </c>
      <c r="G1923" t="str">
        <f>IF($B1923&lt;&gt;"",SUMPRODUCT(($B$2:$B1923&lt;&gt;"")*1),"")</f>
        <v/>
      </c>
    </row>
    <row r="1924" spans="1:7">
      <c r="A1924" s="23" t="str">
        <f>IF('تعديل الجرد'!C424="","",'تعديل الجرد'!B424)</f>
        <v/>
      </c>
      <c r="B1924" t="str">
        <f>IF('تعديل الجرد'!C424="","","تعديل جرد")</f>
        <v/>
      </c>
      <c r="C1924" t="str">
        <f>IF('تعديل الجرد'!C424="","",IF('تعديل الجرد'!G424="","-",'تعديل الجرد'!G424))</f>
        <v/>
      </c>
      <c r="D1924" t="str">
        <f>IF('تعديل الجرد'!C424="","",'تعديل الجرد'!C424)</f>
        <v/>
      </c>
      <c r="E1924" s="24" t="str">
        <f>IF('تعديل الجرد'!C424="","",'تعديل الجرد'!F424)</f>
        <v/>
      </c>
      <c r="F1924" t="str">
        <f>IF('تعديل الجرد'!C424="","",IF('تعديل الجرد'!H424="","",'تعديل الجرد'!H424))</f>
        <v/>
      </c>
      <c r="G1924" t="str">
        <f>IF($B1924&lt;&gt;"",SUMPRODUCT(($B$2:$B1924&lt;&gt;"")*1),"")</f>
        <v/>
      </c>
    </row>
    <row r="1925" spans="1:7">
      <c r="A1925" s="23" t="str">
        <f>IF('تعديل الجرد'!C425="","",'تعديل الجرد'!B425)</f>
        <v/>
      </c>
      <c r="B1925" t="str">
        <f>IF('تعديل الجرد'!C425="","","تعديل جرد")</f>
        <v/>
      </c>
      <c r="C1925" t="str">
        <f>IF('تعديل الجرد'!C425="","",IF('تعديل الجرد'!G425="","-",'تعديل الجرد'!G425))</f>
        <v/>
      </c>
      <c r="D1925" t="str">
        <f>IF('تعديل الجرد'!C425="","",'تعديل الجرد'!C425)</f>
        <v/>
      </c>
      <c r="E1925" s="24" t="str">
        <f>IF('تعديل الجرد'!C425="","",'تعديل الجرد'!F425)</f>
        <v/>
      </c>
      <c r="F1925" t="str">
        <f>IF('تعديل الجرد'!C425="","",IF('تعديل الجرد'!H425="","",'تعديل الجرد'!H425))</f>
        <v/>
      </c>
      <c r="G1925" t="str">
        <f>IF($B1925&lt;&gt;"",SUMPRODUCT(($B$2:$B1925&lt;&gt;"")*1),"")</f>
        <v/>
      </c>
    </row>
    <row r="1926" spans="1:7">
      <c r="A1926" s="23" t="str">
        <f>IF('تعديل الجرد'!C426="","",'تعديل الجرد'!B426)</f>
        <v/>
      </c>
      <c r="B1926" t="str">
        <f>IF('تعديل الجرد'!C426="","","تعديل جرد")</f>
        <v/>
      </c>
      <c r="C1926" t="str">
        <f>IF('تعديل الجرد'!C426="","",IF('تعديل الجرد'!G426="","-",'تعديل الجرد'!G426))</f>
        <v/>
      </c>
      <c r="D1926" t="str">
        <f>IF('تعديل الجرد'!C426="","",'تعديل الجرد'!C426)</f>
        <v/>
      </c>
      <c r="E1926" s="24" t="str">
        <f>IF('تعديل الجرد'!C426="","",'تعديل الجرد'!F426)</f>
        <v/>
      </c>
      <c r="F1926" t="str">
        <f>IF('تعديل الجرد'!C426="","",IF('تعديل الجرد'!H426="","",'تعديل الجرد'!H426))</f>
        <v/>
      </c>
      <c r="G1926" t="str">
        <f>IF($B1926&lt;&gt;"",SUMPRODUCT(($B$2:$B1926&lt;&gt;"")*1),"")</f>
        <v/>
      </c>
    </row>
    <row r="1927" spans="1:7">
      <c r="A1927" s="23" t="str">
        <f>IF('تعديل الجرد'!C427="","",'تعديل الجرد'!B427)</f>
        <v/>
      </c>
      <c r="B1927" t="str">
        <f>IF('تعديل الجرد'!C427="","","تعديل جرد")</f>
        <v/>
      </c>
      <c r="C1927" t="str">
        <f>IF('تعديل الجرد'!C427="","",IF('تعديل الجرد'!G427="","-",'تعديل الجرد'!G427))</f>
        <v/>
      </c>
      <c r="D1927" t="str">
        <f>IF('تعديل الجرد'!C427="","",'تعديل الجرد'!C427)</f>
        <v/>
      </c>
      <c r="E1927" s="24" t="str">
        <f>IF('تعديل الجرد'!C427="","",'تعديل الجرد'!F427)</f>
        <v/>
      </c>
      <c r="F1927" t="str">
        <f>IF('تعديل الجرد'!C427="","",IF('تعديل الجرد'!H427="","",'تعديل الجرد'!H427))</f>
        <v/>
      </c>
      <c r="G1927" t="str">
        <f>IF($B1927&lt;&gt;"",SUMPRODUCT(($B$2:$B1927&lt;&gt;"")*1),"")</f>
        <v/>
      </c>
    </row>
    <row r="1928" spans="1:7">
      <c r="A1928" s="23" t="str">
        <f>IF('تعديل الجرد'!C428="","",'تعديل الجرد'!B428)</f>
        <v/>
      </c>
      <c r="B1928" t="str">
        <f>IF('تعديل الجرد'!C428="","","تعديل جرد")</f>
        <v/>
      </c>
      <c r="C1928" t="str">
        <f>IF('تعديل الجرد'!C428="","",IF('تعديل الجرد'!G428="","-",'تعديل الجرد'!G428))</f>
        <v/>
      </c>
      <c r="D1928" t="str">
        <f>IF('تعديل الجرد'!C428="","",'تعديل الجرد'!C428)</f>
        <v/>
      </c>
      <c r="E1928" s="24" t="str">
        <f>IF('تعديل الجرد'!C428="","",'تعديل الجرد'!F428)</f>
        <v/>
      </c>
      <c r="F1928" t="str">
        <f>IF('تعديل الجرد'!C428="","",IF('تعديل الجرد'!H428="","",'تعديل الجرد'!H428))</f>
        <v/>
      </c>
      <c r="G1928" t="str">
        <f>IF($B1928&lt;&gt;"",SUMPRODUCT(($B$2:$B1928&lt;&gt;"")*1),"")</f>
        <v/>
      </c>
    </row>
    <row r="1929" spans="1:7">
      <c r="A1929" s="23" t="str">
        <f>IF('تعديل الجرد'!C429="","",'تعديل الجرد'!B429)</f>
        <v/>
      </c>
      <c r="B1929" t="str">
        <f>IF('تعديل الجرد'!C429="","","تعديل جرد")</f>
        <v/>
      </c>
      <c r="C1929" t="str">
        <f>IF('تعديل الجرد'!C429="","",IF('تعديل الجرد'!G429="","-",'تعديل الجرد'!G429))</f>
        <v/>
      </c>
      <c r="D1929" t="str">
        <f>IF('تعديل الجرد'!C429="","",'تعديل الجرد'!C429)</f>
        <v/>
      </c>
      <c r="E1929" s="24" t="str">
        <f>IF('تعديل الجرد'!C429="","",'تعديل الجرد'!F429)</f>
        <v/>
      </c>
      <c r="F1929" t="str">
        <f>IF('تعديل الجرد'!C429="","",IF('تعديل الجرد'!H429="","",'تعديل الجرد'!H429))</f>
        <v/>
      </c>
      <c r="G1929" t="str">
        <f>IF($B1929&lt;&gt;"",SUMPRODUCT(($B$2:$B1929&lt;&gt;"")*1),"")</f>
        <v/>
      </c>
    </row>
    <row r="1930" spans="1:7">
      <c r="A1930" s="23" t="str">
        <f>IF('تعديل الجرد'!C430="","",'تعديل الجرد'!B430)</f>
        <v/>
      </c>
      <c r="B1930" t="str">
        <f>IF('تعديل الجرد'!C430="","","تعديل جرد")</f>
        <v/>
      </c>
      <c r="C1930" t="str">
        <f>IF('تعديل الجرد'!C430="","",IF('تعديل الجرد'!G430="","-",'تعديل الجرد'!G430))</f>
        <v/>
      </c>
      <c r="D1930" t="str">
        <f>IF('تعديل الجرد'!C430="","",'تعديل الجرد'!C430)</f>
        <v/>
      </c>
      <c r="E1930" s="24" t="str">
        <f>IF('تعديل الجرد'!C430="","",'تعديل الجرد'!F430)</f>
        <v/>
      </c>
      <c r="F1930" t="str">
        <f>IF('تعديل الجرد'!C430="","",IF('تعديل الجرد'!H430="","",'تعديل الجرد'!H430))</f>
        <v/>
      </c>
      <c r="G1930" t="str">
        <f>IF($B1930&lt;&gt;"",SUMPRODUCT(($B$2:$B1930&lt;&gt;"")*1),"")</f>
        <v/>
      </c>
    </row>
    <row r="1931" spans="1:7">
      <c r="A1931" s="23" t="str">
        <f>IF('تعديل الجرد'!C431="","",'تعديل الجرد'!B431)</f>
        <v/>
      </c>
      <c r="B1931" t="str">
        <f>IF('تعديل الجرد'!C431="","","تعديل جرد")</f>
        <v/>
      </c>
      <c r="C1931" t="str">
        <f>IF('تعديل الجرد'!C431="","",IF('تعديل الجرد'!G431="","-",'تعديل الجرد'!G431))</f>
        <v/>
      </c>
      <c r="D1931" t="str">
        <f>IF('تعديل الجرد'!C431="","",'تعديل الجرد'!C431)</f>
        <v/>
      </c>
      <c r="E1931" s="24" t="str">
        <f>IF('تعديل الجرد'!C431="","",'تعديل الجرد'!F431)</f>
        <v/>
      </c>
      <c r="F1931" t="str">
        <f>IF('تعديل الجرد'!C431="","",IF('تعديل الجرد'!H431="","",'تعديل الجرد'!H431))</f>
        <v/>
      </c>
      <c r="G1931" t="str">
        <f>IF($B1931&lt;&gt;"",SUMPRODUCT(($B$2:$B1931&lt;&gt;"")*1),"")</f>
        <v/>
      </c>
    </row>
    <row r="1932" spans="1:7">
      <c r="A1932" s="23" t="str">
        <f>IF('تعديل الجرد'!C432="","",'تعديل الجرد'!B432)</f>
        <v/>
      </c>
      <c r="B1932" t="str">
        <f>IF('تعديل الجرد'!C432="","","تعديل جرد")</f>
        <v/>
      </c>
      <c r="C1932" t="str">
        <f>IF('تعديل الجرد'!C432="","",IF('تعديل الجرد'!G432="","-",'تعديل الجرد'!G432))</f>
        <v/>
      </c>
      <c r="D1932" t="str">
        <f>IF('تعديل الجرد'!C432="","",'تعديل الجرد'!C432)</f>
        <v/>
      </c>
      <c r="E1932" s="24" t="str">
        <f>IF('تعديل الجرد'!C432="","",'تعديل الجرد'!F432)</f>
        <v/>
      </c>
      <c r="F1932" t="str">
        <f>IF('تعديل الجرد'!C432="","",IF('تعديل الجرد'!H432="","",'تعديل الجرد'!H432))</f>
        <v/>
      </c>
      <c r="G1932" t="str">
        <f>IF($B1932&lt;&gt;"",SUMPRODUCT(($B$2:$B1932&lt;&gt;"")*1),"")</f>
        <v/>
      </c>
    </row>
    <row r="1933" spans="1:7">
      <c r="A1933" s="23" t="str">
        <f>IF('تعديل الجرد'!C433="","",'تعديل الجرد'!B433)</f>
        <v/>
      </c>
      <c r="B1933" t="str">
        <f>IF('تعديل الجرد'!C433="","","تعديل جرد")</f>
        <v/>
      </c>
      <c r="C1933" t="str">
        <f>IF('تعديل الجرد'!C433="","",IF('تعديل الجرد'!G433="","-",'تعديل الجرد'!G433))</f>
        <v/>
      </c>
      <c r="D1933" t="str">
        <f>IF('تعديل الجرد'!C433="","",'تعديل الجرد'!C433)</f>
        <v/>
      </c>
      <c r="E1933" s="24" t="str">
        <f>IF('تعديل الجرد'!C433="","",'تعديل الجرد'!F433)</f>
        <v/>
      </c>
      <c r="F1933" t="str">
        <f>IF('تعديل الجرد'!C433="","",IF('تعديل الجرد'!H433="","",'تعديل الجرد'!H433))</f>
        <v/>
      </c>
      <c r="G1933" t="str">
        <f>IF($B1933&lt;&gt;"",SUMPRODUCT(($B$2:$B1933&lt;&gt;"")*1),"")</f>
        <v/>
      </c>
    </row>
    <row r="1934" spans="1:7">
      <c r="A1934" s="23" t="str">
        <f>IF('تعديل الجرد'!C434="","",'تعديل الجرد'!B434)</f>
        <v/>
      </c>
      <c r="B1934" t="str">
        <f>IF('تعديل الجرد'!C434="","","تعديل جرد")</f>
        <v/>
      </c>
      <c r="C1934" t="str">
        <f>IF('تعديل الجرد'!C434="","",IF('تعديل الجرد'!G434="","-",'تعديل الجرد'!G434))</f>
        <v/>
      </c>
      <c r="D1934" t="str">
        <f>IF('تعديل الجرد'!C434="","",'تعديل الجرد'!C434)</f>
        <v/>
      </c>
      <c r="E1934" s="24" t="str">
        <f>IF('تعديل الجرد'!C434="","",'تعديل الجرد'!F434)</f>
        <v/>
      </c>
      <c r="F1934" t="str">
        <f>IF('تعديل الجرد'!C434="","",IF('تعديل الجرد'!H434="","",'تعديل الجرد'!H434))</f>
        <v/>
      </c>
      <c r="G1934" t="str">
        <f>IF($B1934&lt;&gt;"",SUMPRODUCT(($B$2:$B1934&lt;&gt;"")*1),"")</f>
        <v/>
      </c>
    </row>
    <row r="1935" spans="1:7">
      <c r="A1935" s="23" t="str">
        <f>IF('تعديل الجرد'!C435="","",'تعديل الجرد'!B435)</f>
        <v/>
      </c>
      <c r="B1935" t="str">
        <f>IF('تعديل الجرد'!C435="","","تعديل جرد")</f>
        <v/>
      </c>
      <c r="C1935" t="str">
        <f>IF('تعديل الجرد'!C435="","",IF('تعديل الجرد'!G435="","-",'تعديل الجرد'!G435))</f>
        <v/>
      </c>
      <c r="D1935" t="str">
        <f>IF('تعديل الجرد'!C435="","",'تعديل الجرد'!C435)</f>
        <v/>
      </c>
      <c r="E1935" s="24" t="str">
        <f>IF('تعديل الجرد'!C435="","",'تعديل الجرد'!F435)</f>
        <v/>
      </c>
      <c r="F1935" t="str">
        <f>IF('تعديل الجرد'!C435="","",IF('تعديل الجرد'!H435="","",'تعديل الجرد'!H435))</f>
        <v/>
      </c>
      <c r="G1935" t="str">
        <f>IF($B1935&lt;&gt;"",SUMPRODUCT(($B$2:$B1935&lt;&gt;"")*1),"")</f>
        <v/>
      </c>
    </row>
    <row r="1936" spans="1:7">
      <c r="A1936" s="23" t="str">
        <f>IF('تعديل الجرد'!C436="","",'تعديل الجرد'!B436)</f>
        <v/>
      </c>
      <c r="B1936" t="str">
        <f>IF('تعديل الجرد'!C436="","","تعديل جرد")</f>
        <v/>
      </c>
      <c r="C1936" t="str">
        <f>IF('تعديل الجرد'!C436="","",IF('تعديل الجرد'!G436="","-",'تعديل الجرد'!G436))</f>
        <v/>
      </c>
      <c r="D1936" t="str">
        <f>IF('تعديل الجرد'!C436="","",'تعديل الجرد'!C436)</f>
        <v/>
      </c>
      <c r="E1936" s="24" t="str">
        <f>IF('تعديل الجرد'!C436="","",'تعديل الجرد'!F436)</f>
        <v/>
      </c>
      <c r="F1936" t="str">
        <f>IF('تعديل الجرد'!C436="","",IF('تعديل الجرد'!H436="","",'تعديل الجرد'!H436))</f>
        <v/>
      </c>
      <c r="G1936" t="str">
        <f>IF($B1936&lt;&gt;"",SUMPRODUCT(($B$2:$B1936&lt;&gt;"")*1),"")</f>
        <v/>
      </c>
    </row>
    <row r="1937" spans="1:7">
      <c r="A1937" s="23" t="str">
        <f>IF('تعديل الجرد'!C437="","",'تعديل الجرد'!B437)</f>
        <v/>
      </c>
      <c r="B1937" t="str">
        <f>IF('تعديل الجرد'!C437="","","تعديل جرد")</f>
        <v/>
      </c>
      <c r="C1937" t="str">
        <f>IF('تعديل الجرد'!C437="","",IF('تعديل الجرد'!G437="","-",'تعديل الجرد'!G437))</f>
        <v/>
      </c>
      <c r="D1937" t="str">
        <f>IF('تعديل الجرد'!C437="","",'تعديل الجرد'!C437)</f>
        <v/>
      </c>
      <c r="E1937" s="24" t="str">
        <f>IF('تعديل الجرد'!C437="","",'تعديل الجرد'!F437)</f>
        <v/>
      </c>
      <c r="F1937" t="str">
        <f>IF('تعديل الجرد'!C437="","",IF('تعديل الجرد'!H437="","",'تعديل الجرد'!H437))</f>
        <v/>
      </c>
      <c r="G1937" t="str">
        <f>IF($B1937&lt;&gt;"",SUMPRODUCT(($B$2:$B1937&lt;&gt;"")*1),"")</f>
        <v/>
      </c>
    </row>
    <row r="1938" spans="1:7">
      <c r="A1938" s="23" t="str">
        <f>IF('تعديل الجرد'!C438="","",'تعديل الجرد'!B438)</f>
        <v/>
      </c>
      <c r="B1938" t="str">
        <f>IF('تعديل الجرد'!C438="","","تعديل جرد")</f>
        <v/>
      </c>
      <c r="C1938" t="str">
        <f>IF('تعديل الجرد'!C438="","",IF('تعديل الجرد'!G438="","-",'تعديل الجرد'!G438))</f>
        <v/>
      </c>
      <c r="D1938" t="str">
        <f>IF('تعديل الجرد'!C438="","",'تعديل الجرد'!C438)</f>
        <v/>
      </c>
      <c r="E1938" s="24" t="str">
        <f>IF('تعديل الجرد'!C438="","",'تعديل الجرد'!F438)</f>
        <v/>
      </c>
      <c r="F1938" t="str">
        <f>IF('تعديل الجرد'!C438="","",IF('تعديل الجرد'!H438="","",'تعديل الجرد'!H438))</f>
        <v/>
      </c>
      <c r="G1938" t="str">
        <f>IF($B1938&lt;&gt;"",SUMPRODUCT(($B$2:$B1938&lt;&gt;"")*1),"")</f>
        <v/>
      </c>
    </row>
    <row r="1939" spans="1:7">
      <c r="A1939" s="23" t="str">
        <f>IF('تعديل الجرد'!C439="","",'تعديل الجرد'!B439)</f>
        <v/>
      </c>
      <c r="B1939" t="str">
        <f>IF('تعديل الجرد'!C439="","","تعديل جرد")</f>
        <v/>
      </c>
      <c r="C1939" t="str">
        <f>IF('تعديل الجرد'!C439="","",IF('تعديل الجرد'!G439="","-",'تعديل الجرد'!G439))</f>
        <v/>
      </c>
      <c r="D1939" t="str">
        <f>IF('تعديل الجرد'!C439="","",'تعديل الجرد'!C439)</f>
        <v/>
      </c>
      <c r="E1939" s="24" t="str">
        <f>IF('تعديل الجرد'!C439="","",'تعديل الجرد'!F439)</f>
        <v/>
      </c>
      <c r="F1939" t="str">
        <f>IF('تعديل الجرد'!C439="","",IF('تعديل الجرد'!H439="","",'تعديل الجرد'!H439))</f>
        <v/>
      </c>
      <c r="G1939" t="str">
        <f>IF($B1939&lt;&gt;"",SUMPRODUCT(($B$2:$B1939&lt;&gt;"")*1),"")</f>
        <v/>
      </c>
    </row>
    <row r="1940" spans="1:7">
      <c r="A1940" s="23" t="str">
        <f>IF('تعديل الجرد'!C440="","",'تعديل الجرد'!B440)</f>
        <v/>
      </c>
      <c r="B1940" t="str">
        <f>IF('تعديل الجرد'!C440="","","تعديل جرد")</f>
        <v/>
      </c>
      <c r="C1940" t="str">
        <f>IF('تعديل الجرد'!C440="","",IF('تعديل الجرد'!G440="","-",'تعديل الجرد'!G440))</f>
        <v/>
      </c>
      <c r="D1940" t="str">
        <f>IF('تعديل الجرد'!C440="","",'تعديل الجرد'!C440)</f>
        <v/>
      </c>
      <c r="E1940" s="24" t="str">
        <f>IF('تعديل الجرد'!C440="","",'تعديل الجرد'!F440)</f>
        <v/>
      </c>
      <c r="F1940" t="str">
        <f>IF('تعديل الجرد'!C440="","",IF('تعديل الجرد'!H440="","",'تعديل الجرد'!H440))</f>
        <v/>
      </c>
      <c r="G1940" t="str">
        <f>IF($B1940&lt;&gt;"",SUMPRODUCT(($B$2:$B1940&lt;&gt;"")*1),"")</f>
        <v/>
      </c>
    </row>
    <row r="1941" spans="1:7">
      <c r="A1941" s="23" t="str">
        <f>IF('تعديل الجرد'!C441="","",'تعديل الجرد'!B441)</f>
        <v/>
      </c>
      <c r="B1941" t="str">
        <f>IF('تعديل الجرد'!C441="","","تعديل جرد")</f>
        <v/>
      </c>
      <c r="C1941" t="str">
        <f>IF('تعديل الجرد'!C441="","",IF('تعديل الجرد'!G441="","-",'تعديل الجرد'!G441))</f>
        <v/>
      </c>
      <c r="D1941" t="str">
        <f>IF('تعديل الجرد'!C441="","",'تعديل الجرد'!C441)</f>
        <v/>
      </c>
      <c r="E1941" s="24" t="str">
        <f>IF('تعديل الجرد'!C441="","",'تعديل الجرد'!F441)</f>
        <v/>
      </c>
      <c r="F1941" t="str">
        <f>IF('تعديل الجرد'!C441="","",IF('تعديل الجرد'!H441="","",'تعديل الجرد'!H441))</f>
        <v/>
      </c>
      <c r="G1941" t="str">
        <f>IF($B1941&lt;&gt;"",SUMPRODUCT(($B$2:$B1941&lt;&gt;"")*1),"")</f>
        <v/>
      </c>
    </row>
    <row r="1942" spans="1:7">
      <c r="A1942" s="23" t="str">
        <f>IF('تعديل الجرد'!C442="","",'تعديل الجرد'!B442)</f>
        <v/>
      </c>
      <c r="B1942" t="str">
        <f>IF('تعديل الجرد'!C442="","","تعديل جرد")</f>
        <v/>
      </c>
      <c r="C1942" t="str">
        <f>IF('تعديل الجرد'!C442="","",IF('تعديل الجرد'!G442="","-",'تعديل الجرد'!G442))</f>
        <v/>
      </c>
      <c r="D1942" t="str">
        <f>IF('تعديل الجرد'!C442="","",'تعديل الجرد'!C442)</f>
        <v/>
      </c>
      <c r="E1942" s="24" t="str">
        <f>IF('تعديل الجرد'!C442="","",'تعديل الجرد'!F442)</f>
        <v/>
      </c>
      <c r="F1942" t="str">
        <f>IF('تعديل الجرد'!C442="","",IF('تعديل الجرد'!H442="","",'تعديل الجرد'!H442))</f>
        <v/>
      </c>
      <c r="G1942" t="str">
        <f>IF($B1942&lt;&gt;"",SUMPRODUCT(($B$2:$B1942&lt;&gt;"")*1),"")</f>
        <v/>
      </c>
    </row>
    <row r="1943" spans="1:7">
      <c r="A1943" s="23" t="str">
        <f>IF('تعديل الجرد'!C443="","",'تعديل الجرد'!B443)</f>
        <v/>
      </c>
      <c r="B1943" t="str">
        <f>IF('تعديل الجرد'!C443="","","تعديل جرد")</f>
        <v/>
      </c>
      <c r="C1943" t="str">
        <f>IF('تعديل الجرد'!C443="","",IF('تعديل الجرد'!G443="","-",'تعديل الجرد'!G443))</f>
        <v/>
      </c>
      <c r="D1943" t="str">
        <f>IF('تعديل الجرد'!C443="","",'تعديل الجرد'!C443)</f>
        <v/>
      </c>
      <c r="E1943" s="24" t="str">
        <f>IF('تعديل الجرد'!C443="","",'تعديل الجرد'!F443)</f>
        <v/>
      </c>
      <c r="F1943" t="str">
        <f>IF('تعديل الجرد'!C443="","",IF('تعديل الجرد'!H443="","",'تعديل الجرد'!H443))</f>
        <v/>
      </c>
      <c r="G1943" t="str">
        <f>IF($B1943&lt;&gt;"",SUMPRODUCT(($B$2:$B1943&lt;&gt;"")*1),"")</f>
        <v/>
      </c>
    </row>
    <row r="1944" spans="1:7">
      <c r="A1944" s="23" t="str">
        <f>IF('تعديل الجرد'!C444="","",'تعديل الجرد'!B444)</f>
        <v/>
      </c>
      <c r="B1944" t="str">
        <f>IF('تعديل الجرد'!C444="","","تعديل جرد")</f>
        <v/>
      </c>
      <c r="C1944" t="str">
        <f>IF('تعديل الجرد'!C444="","",IF('تعديل الجرد'!G444="","-",'تعديل الجرد'!G444))</f>
        <v/>
      </c>
      <c r="D1944" t="str">
        <f>IF('تعديل الجرد'!C444="","",'تعديل الجرد'!C444)</f>
        <v/>
      </c>
      <c r="E1944" s="24" t="str">
        <f>IF('تعديل الجرد'!C444="","",'تعديل الجرد'!F444)</f>
        <v/>
      </c>
      <c r="F1944" t="str">
        <f>IF('تعديل الجرد'!C444="","",IF('تعديل الجرد'!H444="","",'تعديل الجرد'!H444))</f>
        <v/>
      </c>
      <c r="G1944" t="str">
        <f>IF($B1944&lt;&gt;"",SUMPRODUCT(($B$2:$B1944&lt;&gt;"")*1),"")</f>
        <v/>
      </c>
    </row>
    <row r="1945" spans="1:7">
      <c r="A1945" s="23" t="str">
        <f>IF('تعديل الجرد'!C445="","",'تعديل الجرد'!B445)</f>
        <v/>
      </c>
      <c r="B1945" t="str">
        <f>IF('تعديل الجرد'!C445="","","تعديل جرد")</f>
        <v/>
      </c>
      <c r="C1945" t="str">
        <f>IF('تعديل الجرد'!C445="","",IF('تعديل الجرد'!G445="","-",'تعديل الجرد'!G445))</f>
        <v/>
      </c>
      <c r="D1945" t="str">
        <f>IF('تعديل الجرد'!C445="","",'تعديل الجرد'!C445)</f>
        <v/>
      </c>
      <c r="E1945" s="24" t="str">
        <f>IF('تعديل الجرد'!C445="","",'تعديل الجرد'!F445)</f>
        <v/>
      </c>
      <c r="F1945" t="str">
        <f>IF('تعديل الجرد'!C445="","",IF('تعديل الجرد'!H445="","",'تعديل الجرد'!H445))</f>
        <v/>
      </c>
      <c r="G1945" t="str">
        <f>IF($B1945&lt;&gt;"",SUMPRODUCT(($B$2:$B1945&lt;&gt;"")*1),"")</f>
        <v/>
      </c>
    </row>
    <row r="1946" spans="1:7">
      <c r="A1946" s="23" t="str">
        <f>IF('تعديل الجرد'!C446="","",'تعديل الجرد'!B446)</f>
        <v/>
      </c>
      <c r="B1946" t="str">
        <f>IF('تعديل الجرد'!C446="","","تعديل جرد")</f>
        <v/>
      </c>
      <c r="C1946" t="str">
        <f>IF('تعديل الجرد'!C446="","",IF('تعديل الجرد'!G446="","-",'تعديل الجرد'!G446))</f>
        <v/>
      </c>
      <c r="D1946" t="str">
        <f>IF('تعديل الجرد'!C446="","",'تعديل الجرد'!C446)</f>
        <v/>
      </c>
      <c r="E1946" s="24" t="str">
        <f>IF('تعديل الجرد'!C446="","",'تعديل الجرد'!F446)</f>
        <v/>
      </c>
      <c r="F1946" t="str">
        <f>IF('تعديل الجرد'!C446="","",IF('تعديل الجرد'!H446="","",'تعديل الجرد'!H446))</f>
        <v/>
      </c>
      <c r="G1946" t="str">
        <f>IF($B1946&lt;&gt;"",SUMPRODUCT(($B$2:$B1946&lt;&gt;"")*1),"")</f>
        <v/>
      </c>
    </row>
    <row r="1947" spans="1:7">
      <c r="A1947" s="23" t="str">
        <f>IF('تعديل الجرد'!C447="","",'تعديل الجرد'!B447)</f>
        <v/>
      </c>
      <c r="B1947" t="str">
        <f>IF('تعديل الجرد'!C447="","","تعديل جرد")</f>
        <v/>
      </c>
      <c r="C1947" t="str">
        <f>IF('تعديل الجرد'!C447="","",IF('تعديل الجرد'!G447="","-",'تعديل الجرد'!G447))</f>
        <v/>
      </c>
      <c r="D1947" t="str">
        <f>IF('تعديل الجرد'!C447="","",'تعديل الجرد'!C447)</f>
        <v/>
      </c>
      <c r="E1947" s="24" t="str">
        <f>IF('تعديل الجرد'!C447="","",'تعديل الجرد'!F447)</f>
        <v/>
      </c>
      <c r="F1947" t="str">
        <f>IF('تعديل الجرد'!C447="","",IF('تعديل الجرد'!H447="","",'تعديل الجرد'!H447))</f>
        <v/>
      </c>
      <c r="G1947" t="str">
        <f>IF($B1947&lt;&gt;"",SUMPRODUCT(($B$2:$B1947&lt;&gt;"")*1),"")</f>
        <v/>
      </c>
    </row>
    <row r="1948" spans="1:7">
      <c r="A1948" s="23" t="str">
        <f>IF('تعديل الجرد'!C448="","",'تعديل الجرد'!B448)</f>
        <v/>
      </c>
      <c r="B1948" t="str">
        <f>IF('تعديل الجرد'!C448="","","تعديل جرد")</f>
        <v/>
      </c>
      <c r="C1948" t="str">
        <f>IF('تعديل الجرد'!C448="","",IF('تعديل الجرد'!G448="","-",'تعديل الجرد'!G448))</f>
        <v/>
      </c>
      <c r="D1948" t="str">
        <f>IF('تعديل الجرد'!C448="","",'تعديل الجرد'!C448)</f>
        <v/>
      </c>
      <c r="E1948" s="24" t="str">
        <f>IF('تعديل الجرد'!C448="","",'تعديل الجرد'!F448)</f>
        <v/>
      </c>
      <c r="F1948" t="str">
        <f>IF('تعديل الجرد'!C448="","",IF('تعديل الجرد'!H448="","",'تعديل الجرد'!H448))</f>
        <v/>
      </c>
      <c r="G1948" t="str">
        <f>IF($B1948&lt;&gt;"",SUMPRODUCT(($B$2:$B1948&lt;&gt;"")*1),"")</f>
        <v/>
      </c>
    </row>
    <row r="1949" spans="1:7">
      <c r="A1949" s="23" t="str">
        <f>IF('تعديل الجرد'!C449="","",'تعديل الجرد'!B449)</f>
        <v/>
      </c>
      <c r="B1949" t="str">
        <f>IF('تعديل الجرد'!C449="","","تعديل جرد")</f>
        <v/>
      </c>
      <c r="C1949" t="str">
        <f>IF('تعديل الجرد'!C449="","",IF('تعديل الجرد'!G449="","-",'تعديل الجرد'!G449))</f>
        <v/>
      </c>
      <c r="D1949" t="str">
        <f>IF('تعديل الجرد'!C449="","",'تعديل الجرد'!C449)</f>
        <v/>
      </c>
      <c r="E1949" s="24" t="str">
        <f>IF('تعديل الجرد'!C449="","",'تعديل الجرد'!F449)</f>
        <v/>
      </c>
      <c r="F1949" t="str">
        <f>IF('تعديل الجرد'!C449="","",IF('تعديل الجرد'!H449="","",'تعديل الجرد'!H449))</f>
        <v/>
      </c>
      <c r="G1949" t="str">
        <f>IF($B1949&lt;&gt;"",SUMPRODUCT(($B$2:$B1949&lt;&gt;"")*1),"")</f>
        <v/>
      </c>
    </row>
    <row r="1950" spans="1:7">
      <c r="A1950" s="23" t="str">
        <f>IF('تعديل الجرد'!C450="","",'تعديل الجرد'!B450)</f>
        <v/>
      </c>
      <c r="B1950" t="str">
        <f>IF('تعديل الجرد'!C450="","","تعديل جرد")</f>
        <v/>
      </c>
      <c r="C1950" t="str">
        <f>IF('تعديل الجرد'!C450="","",IF('تعديل الجرد'!G450="","-",'تعديل الجرد'!G450))</f>
        <v/>
      </c>
      <c r="D1950" t="str">
        <f>IF('تعديل الجرد'!C450="","",'تعديل الجرد'!C450)</f>
        <v/>
      </c>
      <c r="E1950" s="24" t="str">
        <f>IF('تعديل الجرد'!C450="","",'تعديل الجرد'!F450)</f>
        <v/>
      </c>
      <c r="F1950" t="str">
        <f>IF('تعديل الجرد'!C450="","",IF('تعديل الجرد'!H450="","",'تعديل الجرد'!H450))</f>
        <v/>
      </c>
      <c r="G1950" t="str">
        <f>IF($B1950&lt;&gt;"",SUMPRODUCT(($B$2:$B1950&lt;&gt;"")*1),"")</f>
        <v/>
      </c>
    </row>
    <row r="1951" spans="1:7">
      <c r="A1951" s="23" t="str">
        <f>IF('تعديل الجرد'!C451="","",'تعديل الجرد'!B451)</f>
        <v/>
      </c>
      <c r="B1951" t="str">
        <f>IF('تعديل الجرد'!C451="","","تعديل جرد")</f>
        <v/>
      </c>
      <c r="C1951" t="str">
        <f>IF('تعديل الجرد'!C451="","",IF('تعديل الجرد'!G451="","-",'تعديل الجرد'!G451))</f>
        <v/>
      </c>
      <c r="D1951" t="str">
        <f>IF('تعديل الجرد'!C451="","",'تعديل الجرد'!C451)</f>
        <v/>
      </c>
      <c r="E1951" s="24" t="str">
        <f>IF('تعديل الجرد'!C451="","",'تعديل الجرد'!F451)</f>
        <v/>
      </c>
      <c r="F1951" t="str">
        <f>IF('تعديل الجرد'!C451="","",IF('تعديل الجرد'!H451="","",'تعديل الجرد'!H451))</f>
        <v/>
      </c>
      <c r="G1951" t="str">
        <f>IF($B1951&lt;&gt;"",SUMPRODUCT(($B$2:$B1951&lt;&gt;"")*1),"")</f>
        <v/>
      </c>
    </row>
    <row r="1952" spans="1:7">
      <c r="A1952" s="23" t="str">
        <f>IF('تعديل الجرد'!C452="","",'تعديل الجرد'!B452)</f>
        <v/>
      </c>
      <c r="B1952" t="str">
        <f>IF('تعديل الجرد'!C452="","","تعديل جرد")</f>
        <v/>
      </c>
      <c r="C1952" t="str">
        <f>IF('تعديل الجرد'!C452="","",IF('تعديل الجرد'!G452="","-",'تعديل الجرد'!G452))</f>
        <v/>
      </c>
      <c r="D1952" t="str">
        <f>IF('تعديل الجرد'!C452="","",'تعديل الجرد'!C452)</f>
        <v/>
      </c>
      <c r="E1952" s="24" t="str">
        <f>IF('تعديل الجرد'!C452="","",'تعديل الجرد'!F452)</f>
        <v/>
      </c>
      <c r="F1952" t="str">
        <f>IF('تعديل الجرد'!C452="","",IF('تعديل الجرد'!H452="","",'تعديل الجرد'!H452))</f>
        <v/>
      </c>
      <c r="G1952" t="str">
        <f>IF($B1952&lt;&gt;"",SUMPRODUCT(($B$2:$B1952&lt;&gt;"")*1),"")</f>
        <v/>
      </c>
    </row>
    <row r="1953" spans="1:7">
      <c r="A1953" s="23" t="str">
        <f>IF('تعديل الجرد'!C453="","",'تعديل الجرد'!B453)</f>
        <v/>
      </c>
      <c r="B1953" t="str">
        <f>IF('تعديل الجرد'!C453="","","تعديل جرد")</f>
        <v/>
      </c>
      <c r="C1953" t="str">
        <f>IF('تعديل الجرد'!C453="","",IF('تعديل الجرد'!G453="","-",'تعديل الجرد'!G453))</f>
        <v/>
      </c>
      <c r="D1953" t="str">
        <f>IF('تعديل الجرد'!C453="","",'تعديل الجرد'!C453)</f>
        <v/>
      </c>
      <c r="E1953" s="24" t="str">
        <f>IF('تعديل الجرد'!C453="","",'تعديل الجرد'!F453)</f>
        <v/>
      </c>
      <c r="F1953" t="str">
        <f>IF('تعديل الجرد'!C453="","",IF('تعديل الجرد'!H453="","",'تعديل الجرد'!H453))</f>
        <v/>
      </c>
      <c r="G1953" t="str">
        <f>IF($B1953&lt;&gt;"",SUMPRODUCT(($B$2:$B1953&lt;&gt;"")*1),"")</f>
        <v/>
      </c>
    </row>
    <row r="1954" spans="1:7">
      <c r="A1954" s="23" t="str">
        <f>IF('تعديل الجرد'!C454="","",'تعديل الجرد'!B454)</f>
        <v/>
      </c>
      <c r="B1954" t="str">
        <f>IF('تعديل الجرد'!C454="","","تعديل جرد")</f>
        <v/>
      </c>
      <c r="C1954" t="str">
        <f>IF('تعديل الجرد'!C454="","",IF('تعديل الجرد'!G454="","-",'تعديل الجرد'!G454))</f>
        <v/>
      </c>
      <c r="D1954" t="str">
        <f>IF('تعديل الجرد'!C454="","",'تعديل الجرد'!C454)</f>
        <v/>
      </c>
      <c r="E1954" s="24" t="str">
        <f>IF('تعديل الجرد'!C454="","",'تعديل الجرد'!F454)</f>
        <v/>
      </c>
      <c r="F1954" t="str">
        <f>IF('تعديل الجرد'!C454="","",IF('تعديل الجرد'!H454="","",'تعديل الجرد'!H454))</f>
        <v/>
      </c>
      <c r="G1954" t="str">
        <f>IF($B1954&lt;&gt;"",SUMPRODUCT(($B$2:$B1954&lt;&gt;"")*1),"")</f>
        <v/>
      </c>
    </row>
    <row r="1955" spans="1:7">
      <c r="A1955" s="23" t="str">
        <f>IF('تعديل الجرد'!C455="","",'تعديل الجرد'!B455)</f>
        <v/>
      </c>
      <c r="B1955" t="str">
        <f>IF('تعديل الجرد'!C455="","","تعديل جرد")</f>
        <v/>
      </c>
      <c r="C1955" t="str">
        <f>IF('تعديل الجرد'!C455="","",IF('تعديل الجرد'!G455="","-",'تعديل الجرد'!G455))</f>
        <v/>
      </c>
      <c r="D1955" t="str">
        <f>IF('تعديل الجرد'!C455="","",'تعديل الجرد'!C455)</f>
        <v/>
      </c>
      <c r="E1955" s="24" t="str">
        <f>IF('تعديل الجرد'!C455="","",'تعديل الجرد'!F455)</f>
        <v/>
      </c>
      <c r="F1955" t="str">
        <f>IF('تعديل الجرد'!C455="","",IF('تعديل الجرد'!H455="","",'تعديل الجرد'!H455))</f>
        <v/>
      </c>
      <c r="G1955" t="str">
        <f>IF($B1955&lt;&gt;"",SUMPRODUCT(($B$2:$B1955&lt;&gt;"")*1),"")</f>
        <v/>
      </c>
    </row>
    <row r="1956" spans="1:7">
      <c r="A1956" s="23" t="str">
        <f>IF('تعديل الجرد'!C456="","",'تعديل الجرد'!B456)</f>
        <v/>
      </c>
      <c r="B1956" t="str">
        <f>IF('تعديل الجرد'!C456="","","تعديل جرد")</f>
        <v/>
      </c>
      <c r="C1956" t="str">
        <f>IF('تعديل الجرد'!C456="","",IF('تعديل الجرد'!G456="","-",'تعديل الجرد'!G456))</f>
        <v/>
      </c>
      <c r="D1956" t="str">
        <f>IF('تعديل الجرد'!C456="","",'تعديل الجرد'!C456)</f>
        <v/>
      </c>
      <c r="E1956" s="24" t="str">
        <f>IF('تعديل الجرد'!C456="","",'تعديل الجرد'!F456)</f>
        <v/>
      </c>
      <c r="F1956" t="str">
        <f>IF('تعديل الجرد'!C456="","",IF('تعديل الجرد'!H456="","",'تعديل الجرد'!H456))</f>
        <v/>
      </c>
      <c r="G1956" t="str">
        <f>IF($B1956&lt;&gt;"",SUMPRODUCT(($B$2:$B1956&lt;&gt;"")*1),"")</f>
        <v/>
      </c>
    </row>
    <row r="1957" spans="1:7">
      <c r="A1957" s="23" t="str">
        <f>IF('تعديل الجرد'!C457="","",'تعديل الجرد'!B457)</f>
        <v/>
      </c>
      <c r="B1957" t="str">
        <f>IF('تعديل الجرد'!C457="","","تعديل جرد")</f>
        <v/>
      </c>
      <c r="C1957" t="str">
        <f>IF('تعديل الجرد'!C457="","",IF('تعديل الجرد'!G457="","-",'تعديل الجرد'!G457))</f>
        <v/>
      </c>
      <c r="D1957" t="str">
        <f>IF('تعديل الجرد'!C457="","",'تعديل الجرد'!C457)</f>
        <v/>
      </c>
      <c r="E1957" s="24" t="str">
        <f>IF('تعديل الجرد'!C457="","",'تعديل الجرد'!F457)</f>
        <v/>
      </c>
      <c r="F1957" t="str">
        <f>IF('تعديل الجرد'!C457="","",IF('تعديل الجرد'!H457="","",'تعديل الجرد'!H457))</f>
        <v/>
      </c>
      <c r="G1957" t="str">
        <f>IF($B1957&lt;&gt;"",SUMPRODUCT(($B$2:$B1957&lt;&gt;"")*1),"")</f>
        <v/>
      </c>
    </row>
    <row r="1958" spans="1:7">
      <c r="A1958" s="23" t="str">
        <f>IF('تعديل الجرد'!C458="","",'تعديل الجرد'!B458)</f>
        <v/>
      </c>
      <c r="B1958" t="str">
        <f>IF('تعديل الجرد'!C458="","","تعديل جرد")</f>
        <v/>
      </c>
      <c r="C1958" t="str">
        <f>IF('تعديل الجرد'!C458="","",IF('تعديل الجرد'!G458="","-",'تعديل الجرد'!G458))</f>
        <v/>
      </c>
      <c r="D1958" t="str">
        <f>IF('تعديل الجرد'!C458="","",'تعديل الجرد'!C458)</f>
        <v/>
      </c>
      <c r="E1958" s="24" t="str">
        <f>IF('تعديل الجرد'!C458="","",'تعديل الجرد'!F458)</f>
        <v/>
      </c>
      <c r="F1958" t="str">
        <f>IF('تعديل الجرد'!C458="","",IF('تعديل الجرد'!H458="","",'تعديل الجرد'!H458))</f>
        <v/>
      </c>
      <c r="G1958" t="str">
        <f>IF($B1958&lt;&gt;"",SUMPRODUCT(($B$2:$B1958&lt;&gt;"")*1),"")</f>
        <v/>
      </c>
    </row>
    <row r="1959" spans="1:7">
      <c r="A1959" s="23" t="str">
        <f>IF('تعديل الجرد'!C459="","",'تعديل الجرد'!B459)</f>
        <v/>
      </c>
      <c r="B1959" t="str">
        <f>IF('تعديل الجرد'!C459="","","تعديل جرد")</f>
        <v/>
      </c>
      <c r="C1959" t="str">
        <f>IF('تعديل الجرد'!C459="","",IF('تعديل الجرد'!G459="","-",'تعديل الجرد'!G459))</f>
        <v/>
      </c>
      <c r="D1959" t="str">
        <f>IF('تعديل الجرد'!C459="","",'تعديل الجرد'!C459)</f>
        <v/>
      </c>
      <c r="E1959" s="24" t="str">
        <f>IF('تعديل الجرد'!C459="","",'تعديل الجرد'!F459)</f>
        <v/>
      </c>
      <c r="F1959" t="str">
        <f>IF('تعديل الجرد'!C459="","",IF('تعديل الجرد'!H459="","",'تعديل الجرد'!H459))</f>
        <v/>
      </c>
      <c r="G1959" t="str">
        <f>IF($B1959&lt;&gt;"",SUMPRODUCT(($B$2:$B1959&lt;&gt;"")*1),"")</f>
        <v/>
      </c>
    </row>
    <row r="1960" spans="1:7">
      <c r="A1960" s="23" t="str">
        <f>IF('تعديل الجرد'!C460="","",'تعديل الجرد'!B460)</f>
        <v/>
      </c>
      <c r="B1960" t="str">
        <f>IF('تعديل الجرد'!C460="","","تعديل جرد")</f>
        <v/>
      </c>
      <c r="C1960" t="str">
        <f>IF('تعديل الجرد'!C460="","",IF('تعديل الجرد'!G460="","-",'تعديل الجرد'!G460))</f>
        <v/>
      </c>
      <c r="D1960" t="str">
        <f>IF('تعديل الجرد'!C460="","",'تعديل الجرد'!C460)</f>
        <v/>
      </c>
      <c r="E1960" s="24" t="str">
        <f>IF('تعديل الجرد'!C460="","",'تعديل الجرد'!F460)</f>
        <v/>
      </c>
      <c r="F1960" t="str">
        <f>IF('تعديل الجرد'!C460="","",IF('تعديل الجرد'!H460="","",'تعديل الجرد'!H460))</f>
        <v/>
      </c>
      <c r="G1960" t="str">
        <f>IF($B1960&lt;&gt;"",SUMPRODUCT(($B$2:$B1960&lt;&gt;"")*1),"")</f>
        <v/>
      </c>
    </row>
    <row r="1961" spans="1:7">
      <c r="A1961" s="23" t="str">
        <f>IF('تعديل الجرد'!C461="","",'تعديل الجرد'!B461)</f>
        <v/>
      </c>
      <c r="B1961" t="str">
        <f>IF('تعديل الجرد'!C461="","","تعديل جرد")</f>
        <v/>
      </c>
      <c r="C1961" t="str">
        <f>IF('تعديل الجرد'!C461="","",IF('تعديل الجرد'!G461="","-",'تعديل الجرد'!G461))</f>
        <v/>
      </c>
      <c r="D1961" t="str">
        <f>IF('تعديل الجرد'!C461="","",'تعديل الجرد'!C461)</f>
        <v/>
      </c>
      <c r="E1961" s="24" t="str">
        <f>IF('تعديل الجرد'!C461="","",'تعديل الجرد'!F461)</f>
        <v/>
      </c>
      <c r="F1961" t="str">
        <f>IF('تعديل الجرد'!C461="","",IF('تعديل الجرد'!H461="","",'تعديل الجرد'!H461))</f>
        <v/>
      </c>
      <c r="G1961" t="str">
        <f>IF($B1961&lt;&gt;"",SUMPRODUCT(($B$2:$B1961&lt;&gt;"")*1),"")</f>
        <v/>
      </c>
    </row>
    <row r="1962" spans="1:7">
      <c r="A1962" s="23" t="str">
        <f>IF('تعديل الجرد'!C462="","",'تعديل الجرد'!B462)</f>
        <v/>
      </c>
      <c r="B1962" t="str">
        <f>IF('تعديل الجرد'!C462="","","تعديل جرد")</f>
        <v/>
      </c>
      <c r="C1962" t="str">
        <f>IF('تعديل الجرد'!C462="","",IF('تعديل الجرد'!G462="","-",'تعديل الجرد'!G462))</f>
        <v/>
      </c>
      <c r="D1962" t="str">
        <f>IF('تعديل الجرد'!C462="","",'تعديل الجرد'!C462)</f>
        <v/>
      </c>
      <c r="E1962" s="24" t="str">
        <f>IF('تعديل الجرد'!C462="","",'تعديل الجرد'!F462)</f>
        <v/>
      </c>
      <c r="F1962" t="str">
        <f>IF('تعديل الجرد'!C462="","",IF('تعديل الجرد'!H462="","",'تعديل الجرد'!H462))</f>
        <v/>
      </c>
      <c r="G1962" t="str">
        <f>IF($B1962&lt;&gt;"",SUMPRODUCT(($B$2:$B1962&lt;&gt;"")*1),"")</f>
        <v/>
      </c>
    </row>
    <row r="1963" spans="1:7">
      <c r="A1963" s="23" t="str">
        <f>IF('تعديل الجرد'!C463="","",'تعديل الجرد'!B463)</f>
        <v/>
      </c>
      <c r="B1963" t="str">
        <f>IF('تعديل الجرد'!C463="","","تعديل جرد")</f>
        <v/>
      </c>
      <c r="C1963" t="str">
        <f>IF('تعديل الجرد'!C463="","",IF('تعديل الجرد'!G463="","-",'تعديل الجرد'!G463))</f>
        <v/>
      </c>
      <c r="D1963" t="str">
        <f>IF('تعديل الجرد'!C463="","",'تعديل الجرد'!C463)</f>
        <v/>
      </c>
      <c r="E1963" s="24" t="str">
        <f>IF('تعديل الجرد'!C463="","",'تعديل الجرد'!F463)</f>
        <v/>
      </c>
      <c r="F1963" t="str">
        <f>IF('تعديل الجرد'!C463="","",IF('تعديل الجرد'!H463="","",'تعديل الجرد'!H463))</f>
        <v/>
      </c>
      <c r="G1963" t="str">
        <f>IF($B1963&lt;&gt;"",SUMPRODUCT(($B$2:$B1963&lt;&gt;"")*1),"")</f>
        <v/>
      </c>
    </row>
    <row r="1964" spans="1:7">
      <c r="A1964" s="23" t="str">
        <f>IF('تعديل الجرد'!C464="","",'تعديل الجرد'!B464)</f>
        <v/>
      </c>
      <c r="B1964" t="str">
        <f>IF('تعديل الجرد'!C464="","","تعديل جرد")</f>
        <v/>
      </c>
      <c r="C1964" t="str">
        <f>IF('تعديل الجرد'!C464="","",IF('تعديل الجرد'!G464="","-",'تعديل الجرد'!G464))</f>
        <v/>
      </c>
      <c r="D1964" t="str">
        <f>IF('تعديل الجرد'!C464="","",'تعديل الجرد'!C464)</f>
        <v/>
      </c>
      <c r="E1964" s="24" t="str">
        <f>IF('تعديل الجرد'!C464="","",'تعديل الجرد'!F464)</f>
        <v/>
      </c>
      <c r="F1964" t="str">
        <f>IF('تعديل الجرد'!C464="","",IF('تعديل الجرد'!H464="","",'تعديل الجرد'!H464))</f>
        <v/>
      </c>
      <c r="G1964" t="str">
        <f>IF($B1964&lt;&gt;"",SUMPRODUCT(($B$2:$B1964&lt;&gt;"")*1),"")</f>
        <v/>
      </c>
    </row>
    <row r="1965" spans="1:7">
      <c r="A1965" s="23" t="str">
        <f>IF('تعديل الجرد'!C465="","",'تعديل الجرد'!B465)</f>
        <v/>
      </c>
      <c r="B1965" t="str">
        <f>IF('تعديل الجرد'!C465="","","تعديل جرد")</f>
        <v/>
      </c>
      <c r="C1965" t="str">
        <f>IF('تعديل الجرد'!C465="","",IF('تعديل الجرد'!G465="","-",'تعديل الجرد'!G465))</f>
        <v/>
      </c>
      <c r="D1965" t="str">
        <f>IF('تعديل الجرد'!C465="","",'تعديل الجرد'!C465)</f>
        <v/>
      </c>
      <c r="E1965" s="24" t="str">
        <f>IF('تعديل الجرد'!C465="","",'تعديل الجرد'!F465)</f>
        <v/>
      </c>
      <c r="F1965" t="str">
        <f>IF('تعديل الجرد'!C465="","",IF('تعديل الجرد'!H465="","",'تعديل الجرد'!H465))</f>
        <v/>
      </c>
      <c r="G1965" t="str">
        <f>IF($B1965&lt;&gt;"",SUMPRODUCT(($B$2:$B1965&lt;&gt;"")*1),"")</f>
        <v/>
      </c>
    </row>
    <row r="1966" spans="1:7">
      <c r="A1966" s="23" t="str">
        <f>IF('تعديل الجرد'!C466="","",'تعديل الجرد'!B466)</f>
        <v/>
      </c>
      <c r="B1966" t="str">
        <f>IF('تعديل الجرد'!C466="","","تعديل جرد")</f>
        <v/>
      </c>
      <c r="C1966" t="str">
        <f>IF('تعديل الجرد'!C466="","",IF('تعديل الجرد'!G466="","-",'تعديل الجرد'!G466))</f>
        <v/>
      </c>
      <c r="D1966" t="str">
        <f>IF('تعديل الجرد'!C466="","",'تعديل الجرد'!C466)</f>
        <v/>
      </c>
      <c r="E1966" s="24" t="str">
        <f>IF('تعديل الجرد'!C466="","",'تعديل الجرد'!F466)</f>
        <v/>
      </c>
      <c r="F1966" t="str">
        <f>IF('تعديل الجرد'!C466="","",IF('تعديل الجرد'!H466="","",'تعديل الجرد'!H466))</f>
        <v/>
      </c>
      <c r="G1966" t="str">
        <f>IF($B1966&lt;&gt;"",SUMPRODUCT(($B$2:$B1966&lt;&gt;"")*1),"")</f>
        <v/>
      </c>
    </row>
    <row r="1967" spans="1:7">
      <c r="A1967" s="23" t="str">
        <f>IF('تعديل الجرد'!C467="","",'تعديل الجرد'!B467)</f>
        <v/>
      </c>
      <c r="B1967" t="str">
        <f>IF('تعديل الجرد'!C467="","","تعديل جرد")</f>
        <v/>
      </c>
      <c r="C1967" t="str">
        <f>IF('تعديل الجرد'!C467="","",IF('تعديل الجرد'!G467="","-",'تعديل الجرد'!G467))</f>
        <v/>
      </c>
      <c r="D1967" t="str">
        <f>IF('تعديل الجرد'!C467="","",'تعديل الجرد'!C467)</f>
        <v/>
      </c>
      <c r="E1967" s="24" t="str">
        <f>IF('تعديل الجرد'!C467="","",'تعديل الجرد'!F467)</f>
        <v/>
      </c>
      <c r="F1967" t="str">
        <f>IF('تعديل الجرد'!C467="","",IF('تعديل الجرد'!H467="","",'تعديل الجرد'!H467))</f>
        <v/>
      </c>
      <c r="G1967" t="str">
        <f>IF($B1967&lt;&gt;"",SUMPRODUCT(($B$2:$B1967&lt;&gt;"")*1),"")</f>
        <v/>
      </c>
    </row>
    <row r="1968" spans="1:7">
      <c r="A1968" s="23" t="str">
        <f>IF('تعديل الجرد'!C468="","",'تعديل الجرد'!B468)</f>
        <v/>
      </c>
      <c r="B1968" t="str">
        <f>IF('تعديل الجرد'!C468="","","تعديل جرد")</f>
        <v/>
      </c>
      <c r="C1968" t="str">
        <f>IF('تعديل الجرد'!C468="","",IF('تعديل الجرد'!G468="","-",'تعديل الجرد'!G468))</f>
        <v/>
      </c>
      <c r="D1968" t="str">
        <f>IF('تعديل الجرد'!C468="","",'تعديل الجرد'!C468)</f>
        <v/>
      </c>
      <c r="E1968" s="24" t="str">
        <f>IF('تعديل الجرد'!C468="","",'تعديل الجرد'!F468)</f>
        <v/>
      </c>
      <c r="F1968" t="str">
        <f>IF('تعديل الجرد'!C468="","",IF('تعديل الجرد'!H468="","",'تعديل الجرد'!H468))</f>
        <v/>
      </c>
      <c r="G1968" t="str">
        <f>IF($B1968&lt;&gt;"",SUMPRODUCT(($B$2:$B1968&lt;&gt;"")*1),"")</f>
        <v/>
      </c>
    </row>
    <row r="1969" spans="1:7">
      <c r="A1969" s="23" t="str">
        <f>IF('تعديل الجرد'!C469="","",'تعديل الجرد'!B469)</f>
        <v/>
      </c>
      <c r="B1969" t="str">
        <f>IF('تعديل الجرد'!C469="","","تعديل جرد")</f>
        <v/>
      </c>
      <c r="C1969" t="str">
        <f>IF('تعديل الجرد'!C469="","",IF('تعديل الجرد'!G469="","-",'تعديل الجرد'!G469))</f>
        <v/>
      </c>
      <c r="D1969" t="str">
        <f>IF('تعديل الجرد'!C469="","",'تعديل الجرد'!C469)</f>
        <v/>
      </c>
      <c r="E1969" s="24" t="str">
        <f>IF('تعديل الجرد'!C469="","",'تعديل الجرد'!F469)</f>
        <v/>
      </c>
      <c r="F1969" t="str">
        <f>IF('تعديل الجرد'!C469="","",IF('تعديل الجرد'!H469="","",'تعديل الجرد'!H469))</f>
        <v/>
      </c>
      <c r="G1969" t="str">
        <f>IF($B1969&lt;&gt;"",SUMPRODUCT(($B$2:$B1969&lt;&gt;"")*1),"")</f>
        <v/>
      </c>
    </row>
    <row r="1970" spans="1:7">
      <c r="A1970" s="23" t="str">
        <f>IF('تعديل الجرد'!C470="","",'تعديل الجرد'!B470)</f>
        <v/>
      </c>
      <c r="B1970" t="str">
        <f>IF('تعديل الجرد'!C470="","","تعديل جرد")</f>
        <v/>
      </c>
      <c r="C1970" t="str">
        <f>IF('تعديل الجرد'!C470="","",IF('تعديل الجرد'!G470="","-",'تعديل الجرد'!G470))</f>
        <v/>
      </c>
      <c r="D1970" t="str">
        <f>IF('تعديل الجرد'!C470="","",'تعديل الجرد'!C470)</f>
        <v/>
      </c>
      <c r="E1970" s="24" t="str">
        <f>IF('تعديل الجرد'!C470="","",'تعديل الجرد'!F470)</f>
        <v/>
      </c>
      <c r="F1970" t="str">
        <f>IF('تعديل الجرد'!C470="","",IF('تعديل الجرد'!H470="","",'تعديل الجرد'!H470))</f>
        <v/>
      </c>
      <c r="G1970" t="str">
        <f>IF($B1970&lt;&gt;"",SUMPRODUCT(($B$2:$B1970&lt;&gt;"")*1),"")</f>
        <v/>
      </c>
    </row>
    <row r="1971" spans="1:7">
      <c r="A1971" s="23" t="str">
        <f>IF('تعديل الجرد'!C471="","",'تعديل الجرد'!B471)</f>
        <v/>
      </c>
      <c r="B1971" t="str">
        <f>IF('تعديل الجرد'!C471="","","تعديل جرد")</f>
        <v/>
      </c>
      <c r="C1971" t="str">
        <f>IF('تعديل الجرد'!C471="","",IF('تعديل الجرد'!G471="","-",'تعديل الجرد'!G471))</f>
        <v/>
      </c>
      <c r="D1971" t="str">
        <f>IF('تعديل الجرد'!C471="","",'تعديل الجرد'!C471)</f>
        <v/>
      </c>
      <c r="E1971" s="24" t="str">
        <f>IF('تعديل الجرد'!C471="","",'تعديل الجرد'!F471)</f>
        <v/>
      </c>
      <c r="F1971" t="str">
        <f>IF('تعديل الجرد'!C471="","",IF('تعديل الجرد'!H471="","",'تعديل الجرد'!H471))</f>
        <v/>
      </c>
      <c r="G1971" t="str">
        <f>IF($B1971&lt;&gt;"",SUMPRODUCT(($B$2:$B1971&lt;&gt;"")*1),"")</f>
        <v/>
      </c>
    </row>
    <row r="1972" spans="1:7">
      <c r="A1972" s="23" t="str">
        <f>IF('تعديل الجرد'!C472="","",'تعديل الجرد'!B472)</f>
        <v/>
      </c>
      <c r="B1972" t="str">
        <f>IF('تعديل الجرد'!C472="","","تعديل جرد")</f>
        <v/>
      </c>
      <c r="C1972" t="str">
        <f>IF('تعديل الجرد'!C472="","",IF('تعديل الجرد'!G472="","-",'تعديل الجرد'!G472))</f>
        <v/>
      </c>
      <c r="D1972" t="str">
        <f>IF('تعديل الجرد'!C472="","",'تعديل الجرد'!C472)</f>
        <v/>
      </c>
      <c r="E1972" s="24" t="str">
        <f>IF('تعديل الجرد'!C472="","",'تعديل الجرد'!F472)</f>
        <v/>
      </c>
      <c r="F1972" t="str">
        <f>IF('تعديل الجرد'!C472="","",IF('تعديل الجرد'!H472="","",'تعديل الجرد'!H472))</f>
        <v/>
      </c>
      <c r="G1972" t="str">
        <f>IF($B1972&lt;&gt;"",SUMPRODUCT(($B$2:$B1972&lt;&gt;"")*1),"")</f>
        <v/>
      </c>
    </row>
    <row r="1973" spans="1:7">
      <c r="A1973" s="23" t="str">
        <f>IF('تعديل الجرد'!C473="","",'تعديل الجرد'!B473)</f>
        <v/>
      </c>
      <c r="B1973" t="str">
        <f>IF('تعديل الجرد'!C473="","","تعديل جرد")</f>
        <v/>
      </c>
      <c r="C1973" t="str">
        <f>IF('تعديل الجرد'!C473="","",IF('تعديل الجرد'!G473="","-",'تعديل الجرد'!G473))</f>
        <v/>
      </c>
      <c r="D1973" t="str">
        <f>IF('تعديل الجرد'!C473="","",'تعديل الجرد'!C473)</f>
        <v/>
      </c>
      <c r="E1973" s="24" t="str">
        <f>IF('تعديل الجرد'!C473="","",'تعديل الجرد'!F473)</f>
        <v/>
      </c>
      <c r="F1973" t="str">
        <f>IF('تعديل الجرد'!C473="","",IF('تعديل الجرد'!H473="","",'تعديل الجرد'!H473))</f>
        <v/>
      </c>
      <c r="G1973" t="str">
        <f>IF($B1973&lt;&gt;"",SUMPRODUCT(($B$2:$B1973&lt;&gt;"")*1),"")</f>
        <v/>
      </c>
    </row>
    <row r="1974" spans="1:7">
      <c r="A1974" s="23" t="str">
        <f>IF('تعديل الجرد'!C474="","",'تعديل الجرد'!B474)</f>
        <v/>
      </c>
      <c r="B1974" t="str">
        <f>IF('تعديل الجرد'!C474="","","تعديل جرد")</f>
        <v/>
      </c>
      <c r="C1974" t="str">
        <f>IF('تعديل الجرد'!C474="","",IF('تعديل الجرد'!G474="","-",'تعديل الجرد'!G474))</f>
        <v/>
      </c>
      <c r="D1974" t="str">
        <f>IF('تعديل الجرد'!C474="","",'تعديل الجرد'!C474)</f>
        <v/>
      </c>
      <c r="E1974" s="24" t="str">
        <f>IF('تعديل الجرد'!C474="","",'تعديل الجرد'!F474)</f>
        <v/>
      </c>
      <c r="F1974" t="str">
        <f>IF('تعديل الجرد'!C474="","",IF('تعديل الجرد'!H474="","",'تعديل الجرد'!H474))</f>
        <v/>
      </c>
      <c r="G1974" t="str">
        <f>IF($B1974&lt;&gt;"",SUMPRODUCT(($B$2:$B1974&lt;&gt;"")*1),"")</f>
        <v/>
      </c>
    </row>
    <row r="1975" spans="1:7">
      <c r="A1975" s="23" t="str">
        <f>IF('تعديل الجرد'!C475="","",'تعديل الجرد'!B475)</f>
        <v/>
      </c>
      <c r="B1975" t="str">
        <f>IF('تعديل الجرد'!C475="","","تعديل جرد")</f>
        <v/>
      </c>
      <c r="C1975" t="str">
        <f>IF('تعديل الجرد'!C475="","",IF('تعديل الجرد'!G475="","-",'تعديل الجرد'!G475))</f>
        <v/>
      </c>
      <c r="D1975" t="str">
        <f>IF('تعديل الجرد'!C475="","",'تعديل الجرد'!C475)</f>
        <v/>
      </c>
      <c r="E1975" s="24" t="str">
        <f>IF('تعديل الجرد'!C475="","",'تعديل الجرد'!F475)</f>
        <v/>
      </c>
      <c r="F1975" t="str">
        <f>IF('تعديل الجرد'!C475="","",IF('تعديل الجرد'!H475="","",'تعديل الجرد'!H475))</f>
        <v/>
      </c>
      <c r="G1975" t="str">
        <f>IF($B1975&lt;&gt;"",SUMPRODUCT(($B$2:$B1975&lt;&gt;"")*1),"")</f>
        <v/>
      </c>
    </row>
    <row r="1976" spans="1:7">
      <c r="A1976" s="23" t="str">
        <f>IF('تعديل الجرد'!C476="","",'تعديل الجرد'!B476)</f>
        <v/>
      </c>
      <c r="B1976" t="str">
        <f>IF('تعديل الجرد'!C476="","","تعديل جرد")</f>
        <v/>
      </c>
      <c r="C1976" t="str">
        <f>IF('تعديل الجرد'!C476="","",IF('تعديل الجرد'!G476="","-",'تعديل الجرد'!G476))</f>
        <v/>
      </c>
      <c r="D1976" t="str">
        <f>IF('تعديل الجرد'!C476="","",'تعديل الجرد'!C476)</f>
        <v/>
      </c>
      <c r="E1976" s="24" t="str">
        <f>IF('تعديل الجرد'!C476="","",'تعديل الجرد'!F476)</f>
        <v/>
      </c>
      <c r="F1976" t="str">
        <f>IF('تعديل الجرد'!C476="","",IF('تعديل الجرد'!H476="","",'تعديل الجرد'!H476))</f>
        <v/>
      </c>
      <c r="G1976" t="str">
        <f>IF($B1976&lt;&gt;"",SUMPRODUCT(($B$2:$B1976&lt;&gt;"")*1),"")</f>
        <v/>
      </c>
    </row>
    <row r="1977" spans="1:7">
      <c r="A1977" s="23" t="str">
        <f>IF('تعديل الجرد'!C477="","",'تعديل الجرد'!B477)</f>
        <v/>
      </c>
      <c r="B1977" t="str">
        <f>IF('تعديل الجرد'!C477="","","تعديل جرد")</f>
        <v/>
      </c>
      <c r="C1977" t="str">
        <f>IF('تعديل الجرد'!C477="","",IF('تعديل الجرد'!G477="","-",'تعديل الجرد'!G477))</f>
        <v/>
      </c>
      <c r="D1977" t="str">
        <f>IF('تعديل الجرد'!C477="","",'تعديل الجرد'!C477)</f>
        <v/>
      </c>
      <c r="E1977" s="24" t="str">
        <f>IF('تعديل الجرد'!C477="","",'تعديل الجرد'!F477)</f>
        <v/>
      </c>
      <c r="F1977" t="str">
        <f>IF('تعديل الجرد'!C477="","",IF('تعديل الجرد'!H477="","",'تعديل الجرد'!H477))</f>
        <v/>
      </c>
      <c r="G1977" t="str">
        <f>IF($B1977&lt;&gt;"",SUMPRODUCT(($B$2:$B1977&lt;&gt;"")*1),"")</f>
        <v/>
      </c>
    </row>
    <row r="1978" spans="1:7">
      <c r="A1978" s="23" t="str">
        <f>IF('تعديل الجرد'!C478="","",'تعديل الجرد'!B478)</f>
        <v/>
      </c>
      <c r="B1978" t="str">
        <f>IF('تعديل الجرد'!C478="","","تعديل جرد")</f>
        <v/>
      </c>
      <c r="C1978" t="str">
        <f>IF('تعديل الجرد'!C478="","",IF('تعديل الجرد'!G478="","-",'تعديل الجرد'!G478))</f>
        <v/>
      </c>
      <c r="D1978" t="str">
        <f>IF('تعديل الجرد'!C478="","",'تعديل الجرد'!C478)</f>
        <v/>
      </c>
      <c r="E1978" s="24" t="str">
        <f>IF('تعديل الجرد'!C478="","",'تعديل الجرد'!F478)</f>
        <v/>
      </c>
      <c r="F1978" t="str">
        <f>IF('تعديل الجرد'!C478="","",IF('تعديل الجرد'!H478="","",'تعديل الجرد'!H478))</f>
        <v/>
      </c>
      <c r="G1978" t="str">
        <f>IF($B1978&lt;&gt;"",SUMPRODUCT(($B$2:$B1978&lt;&gt;"")*1),"")</f>
        <v/>
      </c>
    </row>
    <row r="1979" spans="1:7">
      <c r="A1979" s="23" t="str">
        <f>IF('تعديل الجرد'!C479="","",'تعديل الجرد'!B479)</f>
        <v/>
      </c>
      <c r="B1979" t="str">
        <f>IF('تعديل الجرد'!C479="","","تعديل جرد")</f>
        <v/>
      </c>
      <c r="C1979" t="str">
        <f>IF('تعديل الجرد'!C479="","",IF('تعديل الجرد'!G479="","-",'تعديل الجرد'!G479))</f>
        <v/>
      </c>
      <c r="D1979" t="str">
        <f>IF('تعديل الجرد'!C479="","",'تعديل الجرد'!C479)</f>
        <v/>
      </c>
      <c r="E1979" s="24" t="str">
        <f>IF('تعديل الجرد'!C479="","",'تعديل الجرد'!F479)</f>
        <v/>
      </c>
      <c r="F1979" t="str">
        <f>IF('تعديل الجرد'!C479="","",IF('تعديل الجرد'!H479="","",'تعديل الجرد'!H479))</f>
        <v/>
      </c>
      <c r="G1979" t="str">
        <f>IF($B1979&lt;&gt;"",SUMPRODUCT(($B$2:$B1979&lt;&gt;"")*1),"")</f>
        <v/>
      </c>
    </row>
    <row r="1980" spans="1:7">
      <c r="A1980" s="23" t="str">
        <f>IF('تعديل الجرد'!C480="","",'تعديل الجرد'!B480)</f>
        <v/>
      </c>
      <c r="B1980" t="str">
        <f>IF('تعديل الجرد'!C480="","","تعديل جرد")</f>
        <v/>
      </c>
      <c r="C1980" t="str">
        <f>IF('تعديل الجرد'!C480="","",IF('تعديل الجرد'!G480="","-",'تعديل الجرد'!G480))</f>
        <v/>
      </c>
      <c r="D1980" t="str">
        <f>IF('تعديل الجرد'!C480="","",'تعديل الجرد'!C480)</f>
        <v/>
      </c>
      <c r="E1980" s="24" t="str">
        <f>IF('تعديل الجرد'!C480="","",'تعديل الجرد'!F480)</f>
        <v/>
      </c>
      <c r="F1980" t="str">
        <f>IF('تعديل الجرد'!C480="","",IF('تعديل الجرد'!H480="","",'تعديل الجرد'!H480))</f>
        <v/>
      </c>
      <c r="G1980" t="str">
        <f>IF($B1980&lt;&gt;"",SUMPRODUCT(($B$2:$B1980&lt;&gt;"")*1),"")</f>
        <v/>
      </c>
    </row>
    <row r="1981" spans="1:7">
      <c r="A1981" s="23" t="str">
        <f>IF('تعديل الجرد'!C481="","",'تعديل الجرد'!B481)</f>
        <v/>
      </c>
      <c r="B1981" t="str">
        <f>IF('تعديل الجرد'!C481="","","تعديل جرد")</f>
        <v/>
      </c>
      <c r="C1981" t="str">
        <f>IF('تعديل الجرد'!C481="","",IF('تعديل الجرد'!G481="","-",'تعديل الجرد'!G481))</f>
        <v/>
      </c>
      <c r="D1981" t="str">
        <f>IF('تعديل الجرد'!C481="","",'تعديل الجرد'!C481)</f>
        <v/>
      </c>
      <c r="E1981" s="24" t="str">
        <f>IF('تعديل الجرد'!C481="","",'تعديل الجرد'!F481)</f>
        <v/>
      </c>
      <c r="F1981" t="str">
        <f>IF('تعديل الجرد'!C481="","",IF('تعديل الجرد'!H481="","",'تعديل الجرد'!H481))</f>
        <v/>
      </c>
      <c r="G1981" t="str">
        <f>IF($B1981&lt;&gt;"",SUMPRODUCT(($B$2:$B1981&lt;&gt;"")*1),"")</f>
        <v/>
      </c>
    </row>
    <row r="1982" spans="1:7">
      <c r="A1982" s="23" t="str">
        <f>IF('تعديل الجرد'!C482="","",'تعديل الجرد'!B482)</f>
        <v/>
      </c>
      <c r="B1982" t="str">
        <f>IF('تعديل الجرد'!C482="","","تعديل جرد")</f>
        <v/>
      </c>
      <c r="C1982" t="str">
        <f>IF('تعديل الجرد'!C482="","",IF('تعديل الجرد'!G482="","-",'تعديل الجرد'!G482))</f>
        <v/>
      </c>
      <c r="D1982" t="str">
        <f>IF('تعديل الجرد'!C482="","",'تعديل الجرد'!C482)</f>
        <v/>
      </c>
      <c r="E1982" s="24" t="str">
        <f>IF('تعديل الجرد'!C482="","",'تعديل الجرد'!F482)</f>
        <v/>
      </c>
      <c r="F1982" t="str">
        <f>IF('تعديل الجرد'!C482="","",IF('تعديل الجرد'!H482="","",'تعديل الجرد'!H482))</f>
        <v/>
      </c>
      <c r="G1982" t="str">
        <f>IF($B1982&lt;&gt;"",SUMPRODUCT(($B$2:$B1982&lt;&gt;"")*1),"")</f>
        <v/>
      </c>
    </row>
    <row r="1983" spans="1:7">
      <c r="A1983" s="23" t="str">
        <f>IF('تعديل الجرد'!C483="","",'تعديل الجرد'!B483)</f>
        <v/>
      </c>
      <c r="B1983" t="str">
        <f>IF('تعديل الجرد'!C483="","","تعديل جرد")</f>
        <v/>
      </c>
      <c r="C1983" t="str">
        <f>IF('تعديل الجرد'!C483="","",IF('تعديل الجرد'!G483="","-",'تعديل الجرد'!G483))</f>
        <v/>
      </c>
      <c r="D1983" t="str">
        <f>IF('تعديل الجرد'!C483="","",'تعديل الجرد'!C483)</f>
        <v/>
      </c>
      <c r="E1983" s="24" t="str">
        <f>IF('تعديل الجرد'!C483="","",'تعديل الجرد'!F483)</f>
        <v/>
      </c>
      <c r="F1983" t="str">
        <f>IF('تعديل الجرد'!C483="","",IF('تعديل الجرد'!H483="","",'تعديل الجرد'!H483))</f>
        <v/>
      </c>
      <c r="G1983" t="str">
        <f>IF($B1983&lt;&gt;"",SUMPRODUCT(($B$2:$B1983&lt;&gt;"")*1),"")</f>
        <v/>
      </c>
    </row>
    <row r="1984" spans="1:7">
      <c r="A1984" s="23" t="str">
        <f>IF('تعديل الجرد'!C484="","",'تعديل الجرد'!B484)</f>
        <v/>
      </c>
      <c r="B1984" t="str">
        <f>IF('تعديل الجرد'!C484="","","تعديل جرد")</f>
        <v/>
      </c>
      <c r="C1984" t="str">
        <f>IF('تعديل الجرد'!C484="","",IF('تعديل الجرد'!G484="","-",'تعديل الجرد'!G484))</f>
        <v/>
      </c>
      <c r="D1984" t="str">
        <f>IF('تعديل الجرد'!C484="","",'تعديل الجرد'!C484)</f>
        <v/>
      </c>
      <c r="E1984" s="24" t="str">
        <f>IF('تعديل الجرد'!C484="","",'تعديل الجرد'!F484)</f>
        <v/>
      </c>
      <c r="F1984" t="str">
        <f>IF('تعديل الجرد'!C484="","",IF('تعديل الجرد'!H484="","",'تعديل الجرد'!H484))</f>
        <v/>
      </c>
      <c r="G1984" t="str">
        <f>IF($B1984&lt;&gt;"",SUMPRODUCT(($B$2:$B1984&lt;&gt;"")*1),"")</f>
        <v/>
      </c>
    </row>
    <row r="1985" spans="1:7">
      <c r="A1985" s="23" t="str">
        <f>IF('تعديل الجرد'!C485="","",'تعديل الجرد'!B485)</f>
        <v/>
      </c>
      <c r="B1985" t="str">
        <f>IF('تعديل الجرد'!C485="","","تعديل جرد")</f>
        <v/>
      </c>
      <c r="C1985" t="str">
        <f>IF('تعديل الجرد'!C485="","",IF('تعديل الجرد'!G485="","-",'تعديل الجرد'!G485))</f>
        <v/>
      </c>
      <c r="D1985" t="str">
        <f>IF('تعديل الجرد'!C485="","",'تعديل الجرد'!C485)</f>
        <v/>
      </c>
      <c r="E1985" s="24" t="str">
        <f>IF('تعديل الجرد'!C485="","",'تعديل الجرد'!F485)</f>
        <v/>
      </c>
      <c r="F1985" t="str">
        <f>IF('تعديل الجرد'!C485="","",IF('تعديل الجرد'!H485="","",'تعديل الجرد'!H485))</f>
        <v/>
      </c>
      <c r="G1985" t="str">
        <f>IF($B1985&lt;&gt;"",SUMPRODUCT(($B$2:$B1985&lt;&gt;"")*1),"")</f>
        <v/>
      </c>
    </row>
    <row r="1986" spans="1:7">
      <c r="A1986" s="23" t="str">
        <f>IF('تعديل الجرد'!C486="","",'تعديل الجرد'!B486)</f>
        <v/>
      </c>
      <c r="B1986" t="str">
        <f>IF('تعديل الجرد'!C486="","","تعديل جرد")</f>
        <v/>
      </c>
      <c r="C1986" t="str">
        <f>IF('تعديل الجرد'!C486="","",IF('تعديل الجرد'!G486="","-",'تعديل الجرد'!G486))</f>
        <v/>
      </c>
      <c r="D1986" t="str">
        <f>IF('تعديل الجرد'!C486="","",'تعديل الجرد'!C486)</f>
        <v/>
      </c>
      <c r="E1986" s="24" t="str">
        <f>IF('تعديل الجرد'!C486="","",'تعديل الجرد'!F486)</f>
        <v/>
      </c>
      <c r="F1986" t="str">
        <f>IF('تعديل الجرد'!C486="","",IF('تعديل الجرد'!H486="","",'تعديل الجرد'!H486))</f>
        <v/>
      </c>
      <c r="G1986" t="str">
        <f>IF($B1986&lt;&gt;"",SUMPRODUCT(($B$2:$B1986&lt;&gt;"")*1),"")</f>
        <v/>
      </c>
    </row>
    <row r="1987" spans="1:7">
      <c r="A1987" s="23" t="str">
        <f>IF('تعديل الجرد'!C487="","",'تعديل الجرد'!B487)</f>
        <v/>
      </c>
      <c r="B1987" t="str">
        <f>IF('تعديل الجرد'!C487="","","تعديل جرد")</f>
        <v/>
      </c>
      <c r="C1987" t="str">
        <f>IF('تعديل الجرد'!C487="","",IF('تعديل الجرد'!G487="","-",'تعديل الجرد'!G487))</f>
        <v/>
      </c>
      <c r="D1987" t="str">
        <f>IF('تعديل الجرد'!C487="","",'تعديل الجرد'!C487)</f>
        <v/>
      </c>
      <c r="E1987" s="24" t="str">
        <f>IF('تعديل الجرد'!C487="","",'تعديل الجرد'!F487)</f>
        <v/>
      </c>
      <c r="F1987" t="str">
        <f>IF('تعديل الجرد'!C487="","",IF('تعديل الجرد'!H487="","",'تعديل الجرد'!H487))</f>
        <v/>
      </c>
      <c r="G1987" t="str">
        <f>IF($B1987&lt;&gt;"",SUMPRODUCT(($B$2:$B1987&lt;&gt;"")*1),"")</f>
        <v/>
      </c>
    </row>
    <row r="1988" spans="1:7">
      <c r="A1988" s="23" t="str">
        <f>IF('تعديل الجرد'!C488="","",'تعديل الجرد'!B488)</f>
        <v/>
      </c>
      <c r="B1988" t="str">
        <f>IF('تعديل الجرد'!C488="","","تعديل جرد")</f>
        <v/>
      </c>
      <c r="C1988" t="str">
        <f>IF('تعديل الجرد'!C488="","",IF('تعديل الجرد'!G488="","-",'تعديل الجرد'!G488))</f>
        <v/>
      </c>
      <c r="D1988" t="str">
        <f>IF('تعديل الجرد'!C488="","",'تعديل الجرد'!C488)</f>
        <v/>
      </c>
      <c r="E1988" s="24" t="str">
        <f>IF('تعديل الجرد'!C488="","",'تعديل الجرد'!F488)</f>
        <v/>
      </c>
      <c r="F1988" t="str">
        <f>IF('تعديل الجرد'!C488="","",IF('تعديل الجرد'!H488="","",'تعديل الجرد'!H488))</f>
        <v/>
      </c>
      <c r="G1988" t="str">
        <f>IF($B1988&lt;&gt;"",SUMPRODUCT(($B$2:$B1988&lt;&gt;"")*1),"")</f>
        <v/>
      </c>
    </row>
    <row r="1989" spans="1:7">
      <c r="A1989" s="23" t="str">
        <f>IF('تعديل الجرد'!C489="","",'تعديل الجرد'!B489)</f>
        <v/>
      </c>
      <c r="B1989" t="str">
        <f>IF('تعديل الجرد'!C489="","","تعديل جرد")</f>
        <v/>
      </c>
      <c r="C1989" t="str">
        <f>IF('تعديل الجرد'!C489="","",IF('تعديل الجرد'!G489="","-",'تعديل الجرد'!G489))</f>
        <v/>
      </c>
      <c r="D1989" t="str">
        <f>IF('تعديل الجرد'!C489="","",'تعديل الجرد'!C489)</f>
        <v/>
      </c>
      <c r="E1989" s="24" t="str">
        <f>IF('تعديل الجرد'!C489="","",'تعديل الجرد'!F489)</f>
        <v/>
      </c>
      <c r="F1989" t="str">
        <f>IF('تعديل الجرد'!C489="","",IF('تعديل الجرد'!H489="","",'تعديل الجرد'!H489))</f>
        <v/>
      </c>
      <c r="G1989" t="str">
        <f>IF($B1989&lt;&gt;"",SUMPRODUCT(($B$2:$B1989&lt;&gt;"")*1),"")</f>
        <v/>
      </c>
    </row>
    <row r="1990" spans="1:7">
      <c r="A1990" s="23" t="str">
        <f>IF('تعديل الجرد'!C490="","",'تعديل الجرد'!B490)</f>
        <v/>
      </c>
      <c r="B1990" t="str">
        <f>IF('تعديل الجرد'!C490="","","تعديل جرد")</f>
        <v/>
      </c>
      <c r="C1990" t="str">
        <f>IF('تعديل الجرد'!C490="","",IF('تعديل الجرد'!G490="","-",'تعديل الجرد'!G490))</f>
        <v/>
      </c>
      <c r="D1990" t="str">
        <f>IF('تعديل الجرد'!C490="","",'تعديل الجرد'!C490)</f>
        <v/>
      </c>
      <c r="E1990" s="24" t="str">
        <f>IF('تعديل الجرد'!C490="","",'تعديل الجرد'!F490)</f>
        <v/>
      </c>
      <c r="F1990" t="str">
        <f>IF('تعديل الجرد'!C490="","",IF('تعديل الجرد'!H490="","",'تعديل الجرد'!H490))</f>
        <v/>
      </c>
      <c r="G1990" t="str">
        <f>IF($B1990&lt;&gt;"",SUMPRODUCT(($B$2:$B1990&lt;&gt;"")*1),"")</f>
        <v/>
      </c>
    </row>
    <row r="1991" spans="1:7">
      <c r="A1991" s="23" t="str">
        <f>IF('تعديل الجرد'!C491="","",'تعديل الجرد'!B491)</f>
        <v/>
      </c>
      <c r="B1991" t="str">
        <f>IF('تعديل الجرد'!C491="","","تعديل جرد")</f>
        <v/>
      </c>
      <c r="C1991" t="str">
        <f>IF('تعديل الجرد'!C491="","",IF('تعديل الجرد'!G491="","-",'تعديل الجرد'!G491))</f>
        <v/>
      </c>
      <c r="D1991" t="str">
        <f>IF('تعديل الجرد'!C491="","",'تعديل الجرد'!C491)</f>
        <v/>
      </c>
      <c r="E1991" s="24" t="str">
        <f>IF('تعديل الجرد'!C491="","",'تعديل الجرد'!F491)</f>
        <v/>
      </c>
      <c r="F1991" t="str">
        <f>IF('تعديل الجرد'!C491="","",IF('تعديل الجرد'!H491="","",'تعديل الجرد'!H491))</f>
        <v/>
      </c>
      <c r="G1991" t="str">
        <f>IF($B1991&lt;&gt;"",SUMPRODUCT(($B$2:$B1991&lt;&gt;"")*1),"")</f>
        <v/>
      </c>
    </row>
    <row r="1992" spans="1:7">
      <c r="A1992" s="23" t="str">
        <f>IF('تعديل الجرد'!C492="","",'تعديل الجرد'!B492)</f>
        <v/>
      </c>
      <c r="B1992" t="str">
        <f>IF('تعديل الجرد'!C492="","","تعديل جرد")</f>
        <v/>
      </c>
      <c r="C1992" t="str">
        <f>IF('تعديل الجرد'!C492="","",IF('تعديل الجرد'!G492="","-",'تعديل الجرد'!G492))</f>
        <v/>
      </c>
      <c r="D1992" t="str">
        <f>IF('تعديل الجرد'!C492="","",'تعديل الجرد'!C492)</f>
        <v/>
      </c>
      <c r="E1992" s="24" t="str">
        <f>IF('تعديل الجرد'!C492="","",'تعديل الجرد'!F492)</f>
        <v/>
      </c>
      <c r="F1992" t="str">
        <f>IF('تعديل الجرد'!C492="","",IF('تعديل الجرد'!H492="","",'تعديل الجرد'!H492))</f>
        <v/>
      </c>
      <c r="G1992" t="str">
        <f>IF($B1992&lt;&gt;"",SUMPRODUCT(($B$2:$B1992&lt;&gt;"")*1),"")</f>
        <v/>
      </c>
    </row>
    <row r="1993" spans="1:7">
      <c r="A1993" s="23" t="str">
        <f>IF('تعديل الجرد'!C493="","",'تعديل الجرد'!B493)</f>
        <v/>
      </c>
      <c r="B1993" t="str">
        <f>IF('تعديل الجرد'!C493="","","تعديل جرد")</f>
        <v/>
      </c>
      <c r="C1993" t="str">
        <f>IF('تعديل الجرد'!C493="","",IF('تعديل الجرد'!G493="","-",'تعديل الجرد'!G493))</f>
        <v/>
      </c>
      <c r="D1993" t="str">
        <f>IF('تعديل الجرد'!C493="","",'تعديل الجرد'!C493)</f>
        <v/>
      </c>
      <c r="E1993" s="24" t="str">
        <f>IF('تعديل الجرد'!C493="","",'تعديل الجرد'!F493)</f>
        <v/>
      </c>
      <c r="F1993" t="str">
        <f>IF('تعديل الجرد'!C493="","",IF('تعديل الجرد'!H493="","",'تعديل الجرد'!H493))</f>
        <v/>
      </c>
      <c r="G1993" t="str">
        <f>IF($B1993&lt;&gt;"",SUMPRODUCT(($B$2:$B1993&lt;&gt;"")*1),"")</f>
        <v/>
      </c>
    </row>
    <row r="1994" spans="1:7">
      <c r="A1994" s="23" t="str">
        <f>IF('تعديل الجرد'!C494="","",'تعديل الجرد'!B494)</f>
        <v/>
      </c>
      <c r="B1994" t="str">
        <f>IF('تعديل الجرد'!C494="","","تعديل جرد")</f>
        <v/>
      </c>
      <c r="C1994" t="str">
        <f>IF('تعديل الجرد'!C494="","",IF('تعديل الجرد'!G494="","-",'تعديل الجرد'!G494))</f>
        <v/>
      </c>
      <c r="D1994" t="str">
        <f>IF('تعديل الجرد'!C494="","",'تعديل الجرد'!C494)</f>
        <v/>
      </c>
      <c r="E1994" s="24" t="str">
        <f>IF('تعديل الجرد'!C494="","",'تعديل الجرد'!F494)</f>
        <v/>
      </c>
      <c r="F1994" t="str">
        <f>IF('تعديل الجرد'!C494="","",IF('تعديل الجرد'!H494="","",'تعديل الجرد'!H494))</f>
        <v/>
      </c>
      <c r="G1994" t="str">
        <f>IF($B1994&lt;&gt;"",SUMPRODUCT(($B$2:$B1994&lt;&gt;"")*1),"")</f>
        <v/>
      </c>
    </row>
    <row r="1995" spans="1:7">
      <c r="A1995" s="23" t="str">
        <f>IF('تعديل الجرد'!C495="","",'تعديل الجرد'!B495)</f>
        <v/>
      </c>
      <c r="B1995" t="str">
        <f>IF('تعديل الجرد'!C495="","","تعديل جرد")</f>
        <v/>
      </c>
      <c r="C1995" t="str">
        <f>IF('تعديل الجرد'!C495="","",IF('تعديل الجرد'!G495="","-",'تعديل الجرد'!G495))</f>
        <v/>
      </c>
      <c r="D1995" t="str">
        <f>IF('تعديل الجرد'!C495="","",'تعديل الجرد'!C495)</f>
        <v/>
      </c>
      <c r="E1995" s="24" t="str">
        <f>IF('تعديل الجرد'!C495="","",'تعديل الجرد'!F495)</f>
        <v/>
      </c>
      <c r="F1995" t="str">
        <f>IF('تعديل الجرد'!C495="","",IF('تعديل الجرد'!H495="","",'تعديل الجرد'!H495))</f>
        <v/>
      </c>
      <c r="G1995" t="str">
        <f>IF($B1995&lt;&gt;"",SUMPRODUCT(($B$2:$B1995&lt;&gt;"")*1),"")</f>
        <v/>
      </c>
    </row>
    <row r="1996" spans="1:7">
      <c r="A1996" s="23" t="str">
        <f>IF('تعديل الجرد'!C496="","",'تعديل الجرد'!B496)</f>
        <v/>
      </c>
      <c r="B1996" t="str">
        <f>IF('تعديل الجرد'!C496="","","تعديل جرد")</f>
        <v/>
      </c>
      <c r="C1996" t="str">
        <f>IF('تعديل الجرد'!C496="","",IF('تعديل الجرد'!G496="","-",'تعديل الجرد'!G496))</f>
        <v/>
      </c>
      <c r="D1996" t="str">
        <f>IF('تعديل الجرد'!C496="","",'تعديل الجرد'!C496)</f>
        <v/>
      </c>
      <c r="E1996" s="24" t="str">
        <f>IF('تعديل الجرد'!C496="","",'تعديل الجرد'!F496)</f>
        <v/>
      </c>
      <c r="F1996" t="str">
        <f>IF('تعديل الجرد'!C496="","",IF('تعديل الجرد'!H496="","",'تعديل الجرد'!H496))</f>
        <v/>
      </c>
      <c r="G1996" t="str">
        <f>IF($B1996&lt;&gt;"",SUMPRODUCT(($B$2:$B1996&lt;&gt;"")*1),"")</f>
        <v/>
      </c>
    </row>
    <row r="1997" spans="1:7">
      <c r="A1997" s="23" t="str">
        <f>IF('تعديل الجرد'!C497="","",'تعديل الجرد'!B497)</f>
        <v/>
      </c>
      <c r="B1997" t="str">
        <f>IF('تعديل الجرد'!C497="","","تعديل جرد")</f>
        <v/>
      </c>
      <c r="C1997" t="str">
        <f>IF('تعديل الجرد'!C497="","",IF('تعديل الجرد'!G497="","-",'تعديل الجرد'!G497))</f>
        <v/>
      </c>
      <c r="D1997" t="str">
        <f>IF('تعديل الجرد'!C497="","",'تعديل الجرد'!C497)</f>
        <v/>
      </c>
      <c r="E1997" s="24" t="str">
        <f>IF('تعديل الجرد'!C497="","",'تعديل الجرد'!F497)</f>
        <v/>
      </c>
      <c r="F1997" t="str">
        <f>IF('تعديل الجرد'!C497="","",IF('تعديل الجرد'!H497="","",'تعديل الجرد'!H497))</f>
        <v/>
      </c>
      <c r="G1997" t="str">
        <f>IF($B1997&lt;&gt;"",SUMPRODUCT(($B$2:$B1997&lt;&gt;"")*1),"")</f>
        <v/>
      </c>
    </row>
    <row r="1998" spans="1:7">
      <c r="A1998" s="23" t="str">
        <f>IF('تعديل الجرد'!C498="","",'تعديل الجرد'!B498)</f>
        <v/>
      </c>
      <c r="B1998" t="str">
        <f>IF('تعديل الجرد'!C498="","","تعديل جرد")</f>
        <v/>
      </c>
      <c r="C1998" t="str">
        <f>IF('تعديل الجرد'!C498="","",IF('تعديل الجرد'!G498="","-",'تعديل الجرد'!G498))</f>
        <v/>
      </c>
      <c r="D1998" t="str">
        <f>IF('تعديل الجرد'!C498="","",'تعديل الجرد'!C498)</f>
        <v/>
      </c>
      <c r="E1998" s="24" t="str">
        <f>IF('تعديل الجرد'!C498="","",'تعديل الجرد'!F498)</f>
        <v/>
      </c>
      <c r="F1998" t="str">
        <f>IF('تعديل الجرد'!C498="","",IF('تعديل الجرد'!H498="","",'تعديل الجرد'!H498))</f>
        <v/>
      </c>
      <c r="G1998" t="str">
        <f>IF($B1998&lt;&gt;"",SUMPRODUCT(($B$2:$B1998&lt;&gt;"")*1),"")</f>
        <v/>
      </c>
    </row>
    <row r="1999" spans="1:7">
      <c r="A1999" s="23" t="str">
        <f>IF('تعديل الجرد'!C499="","",'تعديل الجرد'!B499)</f>
        <v/>
      </c>
      <c r="B1999" t="str">
        <f>IF('تعديل الجرد'!C499="","","تعديل جرد")</f>
        <v/>
      </c>
      <c r="C1999" t="str">
        <f>IF('تعديل الجرد'!C499="","",IF('تعديل الجرد'!G499="","-",'تعديل الجرد'!G499))</f>
        <v/>
      </c>
      <c r="D1999" t="str">
        <f>IF('تعديل الجرد'!C499="","",'تعديل الجرد'!C499)</f>
        <v/>
      </c>
      <c r="E1999" s="24" t="str">
        <f>IF('تعديل الجرد'!C499="","",'تعديل الجرد'!F499)</f>
        <v/>
      </c>
      <c r="F1999" t="str">
        <f>IF('تعديل الجرد'!C499="","",IF('تعديل الجرد'!H499="","",'تعديل الجرد'!H499))</f>
        <v/>
      </c>
      <c r="G1999" t="str">
        <f>IF($B1999&lt;&gt;"",SUMPRODUCT(($B$2:$B1999&lt;&gt;"")*1),"")</f>
        <v/>
      </c>
    </row>
    <row r="2000" spans="1:7">
      <c r="A2000" s="23" t="str">
        <f>IF('تعديل الجرد'!C500="","",'تعديل الجرد'!B500)</f>
        <v/>
      </c>
      <c r="B2000" t="str">
        <f>IF('تعديل الجرد'!C500="","","تعديل جرد")</f>
        <v/>
      </c>
      <c r="C2000" t="str">
        <f>IF('تعديل الجرد'!C500="","",IF('تعديل الجرد'!G500="","-",'تعديل الجرد'!G500))</f>
        <v/>
      </c>
      <c r="D2000" t="str">
        <f>IF('تعديل الجرد'!C500="","",'تعديل الجرد'!C500)</f>
        <v/>
      </c>
      <c r="E2000" s="24" t="str">
        <f>IF('تعديل الجرد'!C500="","",'تعديل الجرد'!F500)</f>
        <v/>
      </c>
      <c r="F2000" t="str">
        <f>IF('تعديل الجرد'!C500="","",IF('تعديل الجرد'!H500="","",'تعديل الجرد'!H500))</f>
        <v/>
      </c>
      <c r="G2000" t="str">
        <f>IF($B2000&lt;&gt;"",SUMPRODUCT(($B$2:$B2000&lt;&gt;"")*1),"")</f>
        <v/>
      </c>
    </row>
    <row r="2001" spans="1:7">
      <c r="A2001" s="23" t="str">
        <f>IF('تعديل الجرد'!C501="","",'تعديل الجرد'!B501)</f>
        <v/>
      </c>
      <c r="B2001" t="str">
        <f>IF('تعديل الجرد'!C501="","","تعديل جرد")</f>
        <v/>
      </c>
      <c r="C2001" t="str">
        <f>IF('تعديل الجرد'!C501="","",IF('تعديل الجرد'!G501="","-",'تعديل الجرد'!G501))</f>
        <v/>
      </c>
      <c r="D2001" t="str">
        <f>IF('تعديل الجرد'!C501="","",'تعديل الجرد'!C501)</f>
        <v/>
      </c>
      <c r="E2001" s="24" t="str">
        <f>IF('تعديل الجرد'!C501="","",'تعديل الجرد'!F501)</f>
        <v/>
      </c>
      <c r="F2001" t="str">
        <f>IF('تعديل الجرد'!C501="","",IF('تعديل الجرد'!H501="","",'تعديل الجرد'!H501))</f>
        <v/>
      </c>
      <c r="G2001" t="str">
        <f>IF($B2001&lt;&gt;"",SUMPRODUCT(($B$2:$B2001&lt;&gt;"")*1),"")</f>
        <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12</vt:i4>
      </vt:variant>
    </vt:vector>
  </HeadingPairs>
  <TitlesOfParts>
    <vt:vector size="12" baseType="lpstr">
      <vt:lpstr>لوحة التحكم</vt:lpstr>
      <vt:lpstr>الإدخالات</vt:lpstr>
      <vt:lpstr>سجل الإنتاج</vt:lpstr>
      <vt:lpstr>الصرف المباشر</vt:lpstr>
      <vt:lpstr>تعديل الجرد</vt:lpstr>
      <vt:lpstr>الرصيد الحالي</vt:lpstr>
      <vt:lpstr>سجل الحركات</vt:lpstr>
      <vt:lpstr>المواد</vt:lpstr>
      <vt:lpstr>الطبخات</vt:lpstr>
      <vt:lpstr>التعليمات</vt:lpstr>
      <vt:lpstr>قوائم</vt:lpstr>
      <vt:lpstr>بيانات الحركات</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DeLL</cp:lastModifiedBy>
  <dcterms:created xsi:type="dcterms:W3CDTF">2026-07-16T08:26:55Z</dcterms:created>
  <dcterms:modified xsi:type="dcterms:W3CDTF">2026-07-22T13:31:22Z</dcterms:modified>
</cp:coreProperties>
</file>